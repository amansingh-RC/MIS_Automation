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08445DE6-F759-4F93-A98F-C02BDF4DA098}" xr6:coauthVersionLast="47" xr6:coauthVersionMax="47" xr10:uidLastSave="{00000000-0000-0000-0000-000000000000}"/>
  <bookViews>
    <workbookView xWindow="-110" yWindow="-110" windowWidth="19420" windowHeight="10300" activeTab="2" xr2:uid="{9809CB2B-87F8-40AF-A316-0F5B8B2932F5}"/>
  </bookViews>
  <sheets>
    <sheet name="original file " sheetId="1" r:id="rId1"/>
    <sheet name="working file" sheetId="2" r:id="rId2"/>
    <sheet name="PVT" sheetId="3" r:id="rId3"/>
    <sheet name="final file" sheetId="4" r:id="rId4"/>
  </sheets>
  <definedNames>
    <definedName name="_xlnm._FilterDatabase" localSheetId="1" hidden="1">'working file'!$A$1:$AW$1989</definedName>
    <definedName name="_xlnm.Print_Titles" localSheetId="0">'original file '!$1:$7</definedName>
    <definedName name="_xlnm.Print_Titles" localSheetId="1">'working file'!#REF!</definedName>
  </definedNames>
  <calcPr calcId="191029"/>
  <pivotCaches>
    <pivotCache cacheId="0" r:id="rId5"/>
  </pivotCaches>
  <fileRecoveryPr autoRecover="0"/>
</workbook>
</file>

<file path=xl/calcChain.xml><?xml version="1.0" encoding="utf-8"?>
<calcChain xmlns="http://schemas.openxmlformats.org/spreadsheetml/2006/main">
  <c r="AE3" i="2" l="1"/>
  <c r="AE2" i="2"/>
  <c r="N2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N3" i="2"/>
  <c r="N4" i="2"/>
  <c r="AE4" i="2" s="1"/>
  <c r="N5" i="2"/>
  <c r="AE5" i="2" s="1"/>
  <c r="AF5" i="2" s="1"/>
  <c r="N6" i="2"/>
  <c r="AE6" i="2" s="1"/>
  <c r="AF6" i="2" s="1"/>
  <c r="N7" i="2"/>
  <c r="N8" i="2"/>
  <c r="N9" i="2"/>
  <c r="N10" i="2"/>
  <c r="AE10" i="2" s="1"/>
  <c r="N11" i="2"/>
  <c r="N12" i="2"/>
  <c r="N13" i="2"/>
  <c r="N14" i="2"/>
  <c r="N15" i="2"/>
  <c r="N16" i="2"/>
  <c r="N17" i="2"/>
  <c r="AE17" i="2" s="1"/>
  <c r="N18" i="2"/>
  <c r="AE18" i="2" s="1"/>
  <c r="AF18" i="2" s="1"/>
  <c r="N19" i="2"/>
  <c r="N20" i="2"/>
  <c r="N21" i="2"/>
  <c r="N22" i="2"/>
  <c r="N23" i="2"/>
  <c r="N24" i="2"/>
  <c r="AE24" i="2" s="1"/>
  <c r="AF24" i="2" s="1"/>
  <c r="N25" i="2"/>
  <c r="AE25" i="2" s="1"/>
  <c r="N26" i="2"/>
  <c r="AE26" i="2" s="1"/>
  <c r="N27" i="2"/>
  <c r="AE27" i="2" s="1"/>
  <c r="N28" i="2"/>
  <c r="AE28" i="2" s="1"/>
  <c r="AF28" i="2" s="1"/>
  <c r="N29" i="2"/>
  <c r="AE29" i="2" s="1"/>
  <c r="AF29" i="2" s="1"/>
  <c r="N30" i="2"/>
  <c r="AE30" i="2" s="1"/>
  <c r="AF30" i="2" s="1"/>
  <c r="N31" i="2"/>
  <c r="N32" i="2"/>
  <c r="AE32" i="2" s="1"/>
  <c r="N33" i="2"/>
  <c r="N34" i="2"/>
  <c r="N35" i="2"/>
  <c r="AE35" i="2" s="1"/>
  <c r="N36" i="2"/>
  <c r="AE36" i="2" s="1"/>
  <c r="AF36" i="2" s="1"/>
  <c r="N37" i="2"/>
  <c r="AE37" i="2" s="1"/>
  <c r="AF37" i="2" s="1"/>
  <c r="N38" i="2"/>
  <c r="AE38" i="2" s="1"/>
  <c r="AF38" i="2" s="1"/>
  <c r="N39" i="2"/>
  <c r="AE39" i="2" s="1"/>
  <c r="N40" i="2"/>
  <c r="N41" i="2"/>
  <c r="N42" i="2"/>
  <c r="AE42" i="2" s="1"/>
  <c r="N43" i="2"/>
  <c r="AE43" i="2" s="1"/>
  <c r="AF43" i="2" s="1"/>
  <c r="N44" i="2"/>
  <c r="AE44" i="2" s="1"/>
  <c r="AF44" i="2" s="1"/>
  <c r="N45" i="2"/>
  <c r="AE45" i="2" s="1"/>
  <c r="AF45" i="2" s="1"/>
  <c r="N46" i="2"/>
  <c r="N47" i="2"/>
  <c r="N48" i="2"/>
  <c r="N49" i="2"/>
  <c r="N50" i="2"/>
  <c r="N51" i="2"/>
  <c r="AE51" i="2" s="1"/>
  <c r="N52" i="2"/>
  <c r="N53" i="2"/>
  <c r="AE53" i="2" s="1"/>
  <c r="AF53" i="2" s="1"/>
  <c r="N54" i="2"/>
  <c r="N55" i="2"/>
  <c r="N56" i="2"/>
  <c r="AE56" i="2" s="1"/>
  <c r="N57" i="2"/>
  <c r="AE57" i="2" s="1"/>
  <c r="N58" i="2"/>
  <c r="AE58" i="2" s="1"/>
  <c r="N59" i="2"/>
  <c r="N60" i="2"/>
  <c r="AE60" i="2" s="1"/>
  <c r="AF60" i="2" s="1"/>
  <c r="N61" i="2"/>
  <c r="AE61" i="2" s="1"/>
  <c r="N62" i="2"/>
  <c r="AE62" i="2" s="1"/>
  <c r="N63" i="2"/>
  <c r="AE63" i="2" s="1"/>
  <c r="AF63" i="2" s="1"/>
  <c r="N64" i="2"/>
  <c r="AE64" i="2" s="1"/>
  <c r="AF64" i="2" s="1"/>
  <c r="N65" i="2"/>
  <c r="AE65" i="2" s="1"/>
  <c r="N66" i="2"/>
  <c r="N67" i="2"/>
  <c r="AE67" i="2" s="1"/>
  <c r="N68" i="2"/>
  <c r="N69" i="2"/>
  <c r="AE69" i="2" s="1"/>
  <c r="AF69" i="2" s="1"/>
  <c r="N70" i="2"/>
  <c r="N71" i="2"/>
  <c r="N72" i="2"/>
  <c r="AE72" i="2" s="1"/>
  <c r="AF72" i="2" s="1"/>
  <c r="N73" i="2"/>
  <c r="N74" i="2"/>
  <c r="AE74" i="2" s="1"/>
  <c r="N75" i="2"/>
  <c r="AE75" i="2" s="1"/>
  <c r="N76" i="2"/>
  <c r="N77" i="2"/>
  <c r="AE77" i="2" s="1"/>
  <c r="AF77" i="2" s="1"/>
  <c r="N78" i="2"/>
  <c r="AE78" i="2" s="1"/>
  <c r="AF78" i="2" s="1"/>
  <c r="N79" i="2"/>
  <c r="AE79" i="2" s="1"/>
  <c r="N80" i="2"/>
  <c r="AE80" i="2" s="1"/>
  <c r="AF80" i="2" s="1"/>
  <c r="N81" i="2"/>
  <c r="N82" i="2"/>
  <c r="AE82" i="2" s="1"/>
  <c r="N83" i="2"/>
  <c r="AE83" i="2" s="1"/>
  <c r="AF83" i="2" s="1"/>
  <c r="N84" i="2"/>
  <c r="AE84" i="2" s="1"/>
  <c r="AF84" i="2" s="1"/>
  <c r="N85" i="2"/>
  <c r="AE85" i="2" s="1"/>
  <c r="N86" i="2"/>
  <c r="N87" i="2"/>
  <c r="AE87" i="2" s="1"/>
  <c r="N88" i="2"/>
  <c r="AE88" i="2" s="1"/>
  <c r="N89" i="2"/>
  <c r="N90" i="2"/>
  <c r="AE90" i="2" s="1"/>
  <c r="N91" i="2"/>
  <c r="AE91" i="2" s="1"/>
  <c r="N92" i="2"/>
  <c r="AE92" i="2" s="1"/>
  <c r="AF92" i="2" s="1"/>
  <c r="N93" i="2"/>
  <c r="AE93" i="2" s="1"/>
  <c r="N94" i="2"/>
  <c r="N95" i="2"/>
  <c r="AE95" i="2" s="1"/>
  <c r="AF95" i="2" s="1"/>
  <c r="N96" i="2"/>
  <c r="N97" i="2"/>
  <c r="AE97" i="2" s="1"/>
  <c r="N98" i="2"/>
  <c r="AE98" i="2" s="1"/>
  <c r="N99" i="2"/>
  <c r="N100" i="2"/>
  <c r="AE100" i="2" s="1"/>
  <c r="AF100" i="2" s="1"/>
  <c r="N101" i="2"/>
  <c r="AE101" i="2" s="1"/>
  <c r="AF101" i="2" s="1"/>
  <c r="N102" i="2"/>
  <c r="N103" i="2"/>
  <c r="N104" i="2"/>
  <c r="AE104" i="2" s="1"/>
  <c r="AF104" i="2" s="1"/>
  <c r="N105" i="2"/>
  <c r="AE105" i="2" s="1"/>
  <c r="AF105" i="2" s="1"/>
  <c r="N106" i="2"/>
  <c r="N107" i="2"/>
  <c r="AE107" i="2" s="1"/>
  <c r="AF107" i="2" s="1"/>
  <c r="N108" i="2"/>
  <c r="AE108" i="2" s="1"/>
  <c r="AF108" i="2" s="1"/>
  <c r="N109" i="2"/>
  <c r="N110" i="2"/>
  <c r="AE110" i="2" s="1"/>
  <c r="N111" i="2"/>
  <c r="N112" i="2"/>
  <c r="N113" i="2"/>
  <c r="AE113" i="2" s="1"/>
  <c r="N114" i="2"/>
  <c r="N115" i="2"/>
  <c r="N116" i="2"/>
  <c r="AE116" i="2" s="1"/>
  <c r="N117" i="2"/>
  <c r="AE117" i="2" s="1"/>
  <c r="N118" i="2"/>
  <c r="AE118" i="2" s="1"/>
  <c r="N119" i="2"/>
  <c r="AE119" i="2" s="1"/>
  <c r="N120" i="2"/>
  <c r="AE120" i="2" s="1"/>
  <c r="N121" i="2"/>
  <c r="N122" i="2"/>
  <c r="AE122" i="2" s="1"/>
  <c r="AF122" i="2" s="1"/>
  <c r="N123" i="2"/>
  <c r="AE123" i="2" s="1"/>
  <c r="N124" i="2"/>
  <c r="N125" i="2"/>
  <c r="AE125" i="2" s="1"/>
  <c r="N126" i="2"/>
  <c r="N127" i="2"/>
  <c r="AE127" i="2" s="1"/>
  <c r="AF127" i="2" s="1"/>
  <c r="N128" i="2"/>
  <c r="N129" i="2"/>
  <c r="AE129" i="2" s="1"/>
  <c r="AF129" i="2" s="1"/>
  <c r="N130" i="2"/>
  <c r="AE130" i="2" s="1"/>
  <c r="AF130" i="2" s="1"/>
  <c r="N131" i="2"/>
  <c r="N132" i="2"/>
  <c r="N133" i="2"/>
  <c r="AE133" i="2" s="1"/>
  <c r="N134" i="2"/>
  <c r="AE134" i="2" s="1"/>
  <c r="N135" i="2"/>
  <c r="N136" i="2"/>
  <c r="N137" i="2"/>
  <c r="N138" i="2"/>
  <c r="AE138" i="2" s="1"/>
  <c r="AF138" i="2" s="1"/>
  <c r="N139" i="2"/>
  <c r="AE139" i="2" s="1"/>
  <c r="N140" i="2"/>
  <c r="AE140" i="2" s="1"/>
  <c r="AF140" i="2" s="1"/>
  <c r="N141" i="2"/>
  <c r="AE141" i="2" s="1"/>
  <c r="AF141" i="2" s="1"/>
  <c r="N142" i="2"/>
  <c r="N143" i="2"/>
  <c r="N144" i="2"/>
  <c r="AE144" i="2" s="1"/>
  <c r="AF144" i="2" s="1"/>
  <c r="N145" i="2"/>
  <c r="N146" i="2"/>
  <c r="N147" i="2"/>
  <c r="N148" i="2"/>
  <c r="AE148" i="2" s="1"/>
  <c r="AF148" i="2" s="1"/>
  <c r="N149" i="2"/>
  <c r="AE149" i="2" s="1"/>
  <c r="AF149" i="2" s="1"/>
  <c r="N150" i="2"/>
  <c r="N151" i="2"/>
  <c r="AE151" i="2" s="1"/>
  <c r="N152" i="2"/>
  <c r="N153" i="2"/>
  <c r="AE153" i="2" s="1"/>
  <c r="AF153" i="2" s="1"/>
  <c r="N154" i="2"/>
  <c r="AE154" i="2" s="1"/>
  <c r="AF154" i="2" s="1"/>
  <c r="N155" i="2"/>
  <c r="AE155" i="2" s="1"/>
  <c r="N156" i="2"/>
  <c r="N157" i="2"/>
  <c r="N158" i="2"/>
  <c r="N159" i="2"/>
  <c r="N160" i="2"/>
  <c r="N161" i="2"/>
  <c r="N162" i="2"/>
  <c r="N163" i="2"/>
  <c r="N164" i="2"/>
  <c r="N165" i="2"/>
  <c r="AE165" i="2" s="1"/>
  <c r="AF165" i="2" s="1"/>
  <c r="N166" i="2"/>
  <c r="N167" i="2"/>
  <c r="N168" i="2"/>
  <c r="N169" i="2"/>
  <c r="N170" i="2"/>
  <c r="N171" i="2"/>
  <c r="N172" i="2"/>
  <c r="N173" i="2"/>
  <c r="N174" i="2"/>
  <c r="N175" i="2"/>
  <c r="N176" i="2"/>
  <c r="AE176" i="2" s="1"/>
  <c r="N177" i="2"/>
  <c r="N178" i="2"/>
  <c r="AE178" i="2" s="1"/>
  <c r="N179" i="2"/>
  <c r="AE179" i="2" s="1"/>
  <c r="AF179" i="2" s="1"/>
  <c r="N180" i="2"/>
  <c r="N181" i="2"/>
  <c r="AE181" i="2" s="1"/>
  <c r="N182" i="2"/>
  <c r="N183" i="2"/>
  <c r="N184" i="2"/>
  <c r="N185" i="2"/>
  <c r="AE185" i="2" s="1"/>
  <c r="N186" i="2"/>
  <c r="AE186" i="2" s="1"/>
  <c r="AF186" i="2" s="1"/>
  <c r="N187" i="2"/>
  <c r="AE187" i="2" s="1"/>
  <c r="AF187" i="2" s="1"/>
  <c r="N188" i="2"/>
  <c r="N189" i="2"/>
  <c r="N190" i="2"/>
  <c r="AE190" i="2" s="1"/>
  <c r="N191" i="2"/>
  <c r="N192" i="2"/>
  <c r="N193" i="2"/>
  <c r="AE193" i="2" s="1"/>
  <c r="N194" i="2"/>
  <c r="N195" i="2"/>
  <c r="N196" i="2"/>
  <c r="N197" i="2"/>
  <c r="N198" i="2"/>
  <c r="N199" i="2"/>
  <c r="N200" i="2"/>
  <c r="N201" i="2"/>
  <c r="AE201" i="2" s="1"/>
  <c r="N202" i="2"/>
  <c r="AE202" i="2" s="1"/>
  <c r="AF202" i="2" s="1"/>
  <c r="N203" i="2"/>
  <c r="AE203" i="2" s="1"/>
  <c r="N204" i="2"/>
  <c r="N205" i="2"/>
  <c r="AE205" i="2" s="1"/>
  <c r="N206" i="2"/>
  <c r="AE206" i="2" s="1"/>
  <c r="AF206" i="2" s="1"/>
  <c r="N207" i="2"/>
  <c r="N208" i="2"/>
  <c r="N209" i="2"/>
  <c r="N210" i="2"/>
  <c r="N211" i="2"/>
  <c r="AE211" i="2" s="1"/>
  <c r="N212" i="2"/>
  <c r="N213" i="2"/>
  <c r="N214" i="2"/>
  <c r="N215" i="2"/>
  <c r="N216" i="2"/>
  <c r="N217" i="2"/>
  <c r="N218" i="2"/>
  <c r="AE218" i="2" s="1"/>
  <c r="N219" i="2"/>
  <c r="AE219" i="2" s="1"/>
  <c r="N220" i="2"/>
  <c r="AE220" i="2" s="1"/>
  <c r="N221" i="2"/>
  <c r="N222" i="2"/>
  <c r="AE222" i="2" s="1"/>
  <c r="N223" i="2"/>
  <c r="AE223" i="2" s="1"/>
  <c r="N224" i="2"/>
  <c r="AE224" i="2" s="1"/>
  <c r="AF224" i="2" s="1"/>
  <c r="N225" i="2"/>
  <c r="N226" i="2"/>
  <c r="N227" i="2"/>
  <c r="AE227" i="2" s="1"/>
  <c r="AF227" i="2" s="1"/>
  <c r="N228" i="2"/>
  <c r="AE228" i="2" s="1"/>
  <c r="AF228" i="2" s="1"/>
  <c r="N229" i="2"/>
  <c r="N230" i="2"/>
  <c r="AE230" i="2" s="1"/>
  <c r="AF230" i="2" s="1"/>
  <c r="N231" i="2"/>
  <c r="N232" i="2"/>
  <c r="N233" i="2"/>
  <c r="N234" i="2"/>
  <c r="AE234" i="2" s="1"/>
  <c r="AF234" i="2" s="1"/>
  <c r="N235" i="2"/>
  <c r="AE235" i="2" s="1"/>
  <c r="N236" i="2"/>
  <c r="AE236" i="2" s="1"/>
  <c r="AF236" i="2" s="1"/>
  <c r="N237" i="2"/>
  <c r="AE237" i="2" s="1"/>
  <c r="AF237" i="2" s="1"/>
  <c r="N238" i="2"/>
  <c r="AE238" i="2" s="1"/>
  <c r="N239" i="2"/>
  <c r="N240" i="2"/>
  <c r="AE240" i="2" s="1"/>
  <c r="N241" i="2"/>
  <c r="N242" i="2"/>
  <c r="AE242" i="2" s="1"/>
  <c r="AF242" i="2" s="1"/>
  <c r="N243" i="2"/>
  <c r="AE243" i="2" s="1"/>
  <c r="N244" i="2"/>
  <c r="AE244" i="2" s="1"/>
  <c r="N245" i="2"/>
  <c r="AE245" i="2" s="1"/>
  <c r="N246" i="2"/>
  <c r="AE246" i="2" s="1"/>
  <c r="N247" i="2"/>
  <c r="N248" i="2"/>
  <c r="N249" i="2"/>
  <c r="AE249" i="2" s="1"/>
  <c r="N250" i="2"/>
  <c r="N251" i="2"/>
  <c r="AE251" i="2" s="1"/>
  <c r="N252" i="2"/>
  <c r="N253" i="2"/>
  <c r="AE253" i="2" s="1"/>
  <c r="N254" i="2"/>
  <c r="AE254" i="2" s="1"/>
  <c r="N255" i="2"/>
  <c r="N256" i="2"/>
  <c r="AE256" i="2" s="1"/>
  <c r="AF256" i="2" s="1"/>
  <c r="N257" i="2"/>
  <c r="AE257" i="2" s="1"/>
  <c r="AF257" i="2" s="1"/>
  <c r="N258" i="2"/>
  <c r="N259" i="2"/>
  <c r="AE259" i="2" s="1"/>
  <c r="N260" i="2"/>
  <c r="AE260" i="2" s="1"/>
  <c r="N261" i="2"/>
  <c r="N262" i="2"/>
  <c r="N263" i="2"/>
  <c r="N264" i="2"/>
  <c r="N265" i="2"/>
  <c r="AE265" i="2" s="1"/>
  <c r="AF265" i="2" s="1"/>
  <c r="N266" i="2"/>
  <c r="AE266" i="2" s="1"/>
  <c r="AF266" i="2" s="1"/>
  <c r="N267" i="2"/>
  <c r="AE267" i="2" s="1"/>
  <c r="AF267" i="2" s="1"/>
  <c r="N268" i="2"/>
  <c r="N269" i="2"/>
  <c r="N270" i="2"/>
  <c r="AE270" i="2" s="1"/>
  <c r="AF270" i="2" s="1"/>
  <c r="N271" i="2"/>
  <c r="N272" i="2"/>
  <c r="N273" i="2"/>
  <c r="N274" i="2"/>
  <c r="N275" i="2"/>
  <c r="N276" i="2"/>
  <c r="N277" i="2"/>
  <c r="N278" i="2"/>
  <c r="N279" i="2"/>
  <c r="N280" i="2"/>
  <c r="AE280" i="2" s="1"/>
  <c r="N281" i="2"/>
  <c r="AE281" i="2" s="1"/>
  <c r="AF281" i="2" s="1"/>
  <c r="N282" i="2"/>
  <c r="N283" i="2"/>
  <c r="N284" i="2"/>
  <c r="N285" i="2"/>
  <c r="N286" i="2"/>
  <c r="N287" i="2"/>
  <c r="N288" i="2"/>
  <c r="N289" i="2"/>
  <c r="AE289" i="2" s="1"/>
  <c r="N290" i="2"/>
  <c r="AE290" i="2" s="1"/>
  <c r="N291" i="2"/>
  <c r="N292" i="2"/>
  <c r="AE292" i="2" s="1"/>
  <c r="AF292" i="2" s="1"/>
  <c r="N293" i="2"/>
  <c r="AE293" i="2" s="1"/>
  <c r="AF293" i="2" s="1"/>
  <c r="N294" i="2"/>
  <c r="N295" i="2"/>
  <c r="AE295" i="2" s="1"/>
  <c r="N296" i="2"/>
  <c r="AE296" i="2" s="1"/>
  <c r="N297" i="2"/>
  <c r="N298" i="2"/>
  <c r="AE298" i="2" s="1"/>
  <c r="N299" i="2"/>
  <c r="N300" i="2"/>
  <c r="AE300" i="2" s="1"/>
  <c r="AF300" i="2" s="1"/>
  <c r="N301" i="2"/>
  <c r="N302" i="2"/>
  <c r="N303" i="2"/>
  <c r="AE303" i="2" s="1"/>
  <c r="N304" i="2"/>
  <c r="AE304" i="2" s="1"/>
  <c r="N305" i="2"/>
  <c r="N306" i="2"/>
  <c r="N307" i="2"/>
  <c r="N308" i="2"/>
  <c r="N309" i="2"/>
  <c r="AE309" i="2" s="1"/>
  <c r="AF309" i="2" s="1"/>
  <c r="N310" i="2"/>
  <c r="AE310" i="2" s="1"/>
  <c r="AF310" i="2" s="1"/>
  <c r="N311" i="2"/>
  <c r="AE311" i="2" s="1"/>
  <c r="N312" i="2"/>
  <c r="AE312" i="2" s="1"/>
  <c r="N313" i="2"/>
  <c r="AE313" i="2" s="1"/>
  <c r="N314" i="2"/>
  <c r="AE314" i="2" s="1"/>
  <c r="AF314" i="2" s="1"/>
  <c r="N315" i="2"/>
  <c r="N316" i="2"/>
  <c r="N317" i="2"/>
  <c r="N318" i="2"/>
  <c r="N319" i="2"/>
  <c r="AE319" i="2" s="1"/>
  <c r="AF319" i="2" s="1"/>
  <c r="N320" i="2"/>
  <c r="AE320" i="2" s="1"/>
  <c r="AF320" i="2" s="1"/>
  <c r="N321" i="2"/>
  <c r="N322" i="2"/>
  <c r="AE322" i="2" s="1"/>
  <c r="N323" i="2"/>
  <c r="AE323" i="2" s="1"/>
  <c r="N324" i="2"/>
  <c r="AE324" i="2" s="1"/>
  <c r="AF324" i="2" s="1"/>
  <c r="N325" i="2"/>
  <c r="N326" i="2"/>
  <c r="N327" i="2"/>
  <c r="N328" i="2"/>
  <c r="N329" i="2"/>
  <c r="N330" i="2"/>
  <c r="AE330" i="2" s="1"/>
  <c r="N331" i="2"/>
  <c r="AE331" i="2" s="1"/>
  <c r="N332" i="2"/>
  <c r="AE332" i="2" s="1"/>
  <c r="AF332" i="2" s="1"/>
  <c r="N333" i="2"/>
  <c r="N334" i="2"/>
  <c r="AE334" i="2" s="1"/>
  <c r="N335" i="2"/>
  <c r="AE335" i="2" s="1"/>
  <c r="AF335" i="2" s="1"/>
  <c r="N336" i="2"/>
  <c r="N337" i="2"/>
  <c r="AE337" i="2" s="1"/>
  <c r="N338" i="2"/>
  <c r="N339" i="2"/>
  <c r="AE339" i="2" s="1"/>
  <c r="N340" i="2"/>
  <c r="N341" i="2"/>
  <c r="N342" i="2"/>
  <c r="N343" i="2"/>
  <c r="N344" i="2"/>
  <c r="N345" i="2"/>
  <c r="N346" i="2"/>
  <c r="N347" i="2"/>
  <c r="AE347" i="2" s="1"/>
  <c r="N348" i="2"/>
  <c r="AE348" i="2" s="1"/>
  <c r="AF348" i="2" s="1"/>
  <c r="N349" i="2"/>
  <c r="AE349" i="2" s="1"/>
  <c r="N350" i="2"/>
  <c r="N351" i="2"/>
  <c r="N352" i="2"/>
  <c r="AE352" i="2" s="1"/>
  <c r="AF352" i="2" s="1"/>
  <c r="N353" i="2"/>
  <c r="AE353" i="2" s="1"/>
  <c r="AF353" i="2" s="1"/>
  <c r="N354" i="2"/>
  <c r="AE354" i="2" s="1"/>
  <c r="AF354" i="2" s="1"/>
  <c r="N355" i="2"/>
  <c r="N356" i="2"/>
  <c r="N357" i="2"/>
  <c r="N358" i="2"/>
  <c r="AE358" i="2" s="1"/>
  <c r="N359" i="2"/>
  <c r="AE359" i="2" s="1"/>
  <c r="N360" i="2"/>
  <c r="N361" i="2"/>
  <c r="AE361" i="2" s="1"/>
  <c r="N362" i="2"/>
  <c r="AE362" i="2" s="1"/>
  <c r="N363" i="2"/>
  <c r="N364" i="2"/>
  <c r="AE364" i="2" s="1"/>
  <c r="AF364" i="2" s="1"/>
  <c r="N365" i="2"/>
  <c r="AE365" i="2" s="1"/>
  <c r="N366" i="2"/>
  <c r="AE366" i="2" s="1"/>
  <c r="N367" i="2"/>
  <c r="AE367" i="2" s="1"/>
  <c r="AF367" i="2" s="1"/>
  <c r="N368" i="2"/>
  <c r="N369" i="2"/>
  <c r="AE369" i="2" s="1"/>
  <c r="AF369" i="2" s="1"/>
  <c r="N370" i="2"/>
  <c r="AE370" i="2" s="1"/>
  <c r="AF370" i="2" s="1"/>
  <c r="N371" i="2"/>
  <c r="AE371" i="2" s="1"/>
  <c r="N372" i="2"/>
  <c r="AE372" i="2" s="1"/>
  <c r="AF372" i="2" s="1"/>
  <c r="N373" i="2"/>
  <c r="AE373" i="2" s="1"/>
  <c r="AF373" i="2" s="1"/>
  <c r="N374" i="2"/>
  <c r="AE374" i="2" s="1"/>
  <c r="AF374" i="2" s="1"/>
  <c r="N375" i="2"/>
  <c r="N376" i="2"/>
  <c r="AE376" i="2" s="1"/>
  <c r="AF376" i="2" s="1"/>
  <c r="N377" i="2"/>
  <c r="AE377" i="2" s="1"/>
  <c r="AF377" i="2" s="1"/>
  <c r="N378" i="2"/>
  <c r="AE378" i="2" s="1"/>
  <c r="N379" i="2"/>
  <c r="N380" i="2"/>
  <c r="AE380" i="2" s="1"/>
  <c r="N381" i="2"/>
  <c r="N382" i="2"/>
  <c r="AE382" i="2" s="1"/>
  <c r="AF382" i="2" s="1"/>
  <c r="N383" i="2"/>
  <c r="AE383" i="2" s="1"/>
  <c r="AF383" i="2" s="1"/>
  <c r="N384" i="2"/>
  <c r="N385" i="2"/>
  <c r="N386" i="2"/>
  <c r="AE386" i="2" s="1"/>
  <c r="AF386" i="2" s="1"/>
  <c r="N387" i="2"/>
  <c r="N388" i="2"/>
  <c r="N389" i="2"/>
  <c r="AE389" i="2" s="1"/>
  <c r="N390" i="2"/>
  <c r="AE390" i="2" s="1"/>
  <c r="N391" i="2"/>
  <c r="N392" i="2"/>
  <c r="AE392" i="2" s="1"/>
  <c r="AF392" i="2" s="1"/>
  <c r="N393" i="2"/>
  <c r="N394" i="2"/>
  <c r="N395" i="2"/>
  <c r="AE395" i="2" s="1"/>
  <c r="N396" i="2"/>
  <c r="N397" i="2"/>
  <c r="AE397" i="2" s="1"/>
  <c r="AF397" i="2" s="1"/>
  <c r="N398" i="2"/>
  <c r="N399" i="2"/>
  <c r="AE399" i="2" s="1"/>
  <c r="N400" i="2"/>
  <c r="AE400" i="2" s="1"/>
  <c r="AF400" i="2" s="1"/>
  <c r="N401" i="2"/>
  <c r="N402" i="2"/>
  <c r="N403" i="2"/>
  <c r="AE403" i="2" s="1"/>
  <c r="N404" i="2"/>
  <c r="AE404" i="2" s="1"/>
  <c r="AF404" i="2" s="1"/>
  <c r="N405" i="2"/>
  <c r="AE405" i="2" s="1"/>
  <c r="N406" i="2"/>
  <c r="N407" i="2"/>
  <c r="AE407" i="2" s="1"/>
  <c r="N408" i="2"/>
  <c r="AE408" i="2" s="1"/>
  <c r="N409" i="2"/>
  <c r="AE409" i="2" s="1"/>
  <c r="N410" i="2"/>
  <c r="AE410" i="2" s="1"/>
  <c r="N411" i="2"/>
  <c r="N412" i="2"/>
  <c r="AE412" i="2" s="1"/>
  <c r="AF412" i="2" s="1"/>
  <c r="N413" i="2"/>
  <c r="N414" i="2"/>
  <c r="AE414" i="2" s="1"/>
  <c r="N415" i="2"/>
  <c r="N416" i="2"/>
  <c r="AE416" i="2" s="1"/>
  <c r="AF416" i="2" s="1"/>
  <c r="N417" i="2"/>
  <c r="AE417" i="2" s="1"/>
  <c r="N418" i="2"/>
  <c r="AE418" i="2" s="1"/>
  <c r="N419" i="2"/>
  <c r="N420" i="2"/>
  <c r="AE420" i="2" s="1"/>
  <c r="N421" i="2"/>
  <c r="N422" i="2"/>
  <c r="N423" i="2"/>
  <c r="N424" i="2"/>
  <c r="AE424" i="2" s="1"/>
  <c r="AF424" i="2" s="1"/>
  <c r="N425" i="2"/>
  <c r="AE425" i="2" s="1"/>
  <c r="N426" i="2"/>
  <c r="N427" i="2"/>
  <c r="N428" i="2"/>
  <c r="N429" i="2"/>
  <c r="N430" i="2"/>
  <c r="AE430" i="2" s="1"/>
  <c r="N431" i="2"/>
  <c r="AE431" i="2" s="1"/>
  <c r="N432" i="2"/>
  <c r="N433" i="2"/>
  <c r="N434" i="2"/>
  <c r="N435" i="2"/>
  <c r="N436" i="2"/>
  <c r="AE436" i="2" s="1"/>
  <c r="AF436" i="2" s="1"/>
  <c r="N437" i="2"/>
  <c r="N438" i="2"/>
  <c r="N439" i="2"/>
  <c r="AE439" i="2" s="1"/>
  <c r="N440" i="2"/>
  <c r="AE440" i="2" s="1"/>
  <c r="N441" i="2"/>
  <c r="N442" i="2"/>
  <c r="AE442" i="2" s="1"/>
  <c r="AF442" i="2" s="1"/>
  <c r="N443" i="2"/>
  <c r="N444" i="2"/>
  <c r="N445" i="2"/>
  <c r="N446" i="2"/>
  <c r="AE446" i="2" s="1"/>
  <c r="AF446" i="2" s="1"/>
  <c r="N447" i="2"/>
  <c r="AE447" i="2" s="1"/>
  <c r="N448" i="2"/>
  <c r="AE448" i="2" s="1"/>
  <c r="N449" i="2"/>
  <c r="N450" i="2"/>
  <c r="AE450" i="2" s="1"/>
  <c r="N451" i="2"/>
  <c r="N452" i="2"/>
  <c r="N453" i="2"/>
  <c r="N454" i="2"/>
  <c r="N455" i="2"/>
  <c r="N456" i="2"/>
  <c r="N457" i="2"/>
  <c r="AE457" i="2" s="1"/>
  <c r="N458" i="2"/>
  <c r="AE458" i="2" s="1"/>
  <c r="AF458" i="2" s="1"/>
  <c r="N459" i="2"/>
  <c r="N460" i="2"/>
  <c r="AE460" i="2" s="1"/>
  <c r="N461" i="2"/>
  <c r="AE461" i="2" s="1"/>
  <c r="N462" i="2"/>
  <c r="AE462" i="2" s="1"/>
  <c r="AF462" i="2" s="1"/>
  <c r="N463" i="2"/>
  <c r="AE463" i="2" s="1"/>
  <c r="N464" i="2"/>
  <c r="AE464" i="2" s="1"/>
  <c r="N465" i="2"/>
  <c r="N466" i="2"/>
  <c r="N467" i="2"/>
  <c r="N468" i="2"/>
  <c r="AE468" i="2" s="1"/>
  <c r="N469" i="2"/>
  <c r="AE469" i="2" s="1"/>
  <c r="N470" i="2"/>
  <c r="N471" i="2"/>
  <c r="N472" i="2"/>
  <c r="N473" i="2"/>
  <c r="AE473" i="2" s="1"/>
  <c r="N474" i="2"/>
  <c r="AE474" i="2" s="1"/>
  <c r="AF474" i="2" s="1"/>
  <c r="N475" i="2"/>
  <c r="N476" i="2"/>
  <c r="N477" i="2"/>
  <c r="N478" i="2"/>
  <c r="N479" i="2"/>
  <c r="N480" i="2"/>
  <c r="AE480" i="2" s="1"/>
  <c r="AF480" i="2" s="1"/>
  <c r="N481" i="2"/>
  <c r="AE481" i="2" s="1"/>
  <c r="N482" i="2"/>
  <c r="AE482" i="2" s="1"/>
  <c r="AF482" i="2" s="1"/>
  <c r="N483" i="2"/>
  <c r="N484" i="2"/>
  <c r="N485" i="2"/>
  <c r="N486" i="2"/>
  <c r="AE486" i="2" s="1"/>
  <c r="N487" i="2"/>
  <c r="N488" i="2"/>
  <c r="AE488" i="2" s="1"/>
  <c r="N489" i="2"/>
  <c r="AE489" i="2" s="1"/>
  <c r="AF489" i="2" s="1"/>
  <c r="N490" i="2"/>
  <c r="N491" i="2"/>
  <c r="AE491" i="2" s="1"/>
  <c r="N492" i="2"/>
  <c r="AE492" i="2" s="1"/>
  <c r="N493" i="2"/>
  <c r="N494" i="2"/>
  <c r="AE494" i="2" s="1"/>
  <c r="AF494" i="2" s="1"/>
  <c r="N495" i="2"/>
  <c r="AE495" i="2" s="1"/>
  <c r="N496" i="2"/>
  <c r="AE496" i="2" s="1"/>
  <c r="N497" i="2"/>
  <c r="AE497" i="2" s="1"/>
  <c r="AF497" i="2" s="1"/>
  <c r="N498" i="2"/>
  <c r="AE498" i="2" s="1"/>
  <c r="AF498" i="2" s="1"/>
  <c r="N499" i="2"/>
  <c r="AE499" i="2" s="1"/>
  <c r="N500" i="2"/>
  <c r="AE500" i="2" s="1"/>
  <c r="AF500" i="2" s="1"/>
  <c r="N501" i="2"/>
  <c r="N502" i="2"/>
  <c r="AE502" i="2" s="1"/>
  <c r="N503" i="2"/>
  <c r="N504" i="2"/>
  <c r="N505" i="2"/>
  <c r="N506" i="2"/>
  <c r="AE506" i="2" s="1"/>
  <c r="AF506" i="2" s="1"/>
  <c r="N507" i="2"/>
  <c r="AE507" i="2" s="1"/>
  <c r="AF507" i="2" s="1"/>
  <c r="N508" i="2"/>
  <c r="AE508" i="2" s="1"/>
  <c r="N509" i="2"/>
  <c r="N510" i="2"/>
  <c r="AE510" i="2" s="1"/>
  <c r="AF510" i="2" s="1"/>
  <c r="N511" i="2"/>
  <c r="AE511" i="2" s="1"/>
  <c r="N512" i="2"/>
  <c r="N513" i="2"/>
  <c r="AE513" i="2" s="1"/>
  <c r="AF513" i="2" s="1"/>
  <c r="N514" i="2"/>
  <c r="AE514" i="2" s="1"/>
  <c r="AF514" i="2" s="1"/>
  <c r="N515" i="2"/>
  <c r="AE515" i="2" s="1"/>
  <c r="AF515" i="2" s="1"/>
  <c r="N516" i="2"/>
  <c r="AE516" i="2" s="1"/>
  <c r="AF516" i="2" s="1"/>
  <c r="N517" i="2"/>
  <c r="N518" i="2"/>
  <c r="AE518" i="2" s="1"/>
  <c r="AF518" i="2" s="1"/>
  <c r="N519" i="2"/>
  <c r="AE519" i="2" s="1"/>
  <c r="N520" i="2"/>
  <c r="AE520" i="2" s="1"/>
  <c r="N521" i="2"/>
  <c r="AE521" i="2" s="1"/>
  <c r="AF521" i="2" s="1"/>
  <c r="N522" i="2"/>
  <c r="AE522" i="2" s="1"/>
  <c r="N523" i="2"/>
  <c r="N524" i="2"/>
  <c r="AE524" i="2" s="1"/>
  <c r="AF524" i="2" s="1"/>
  <c r="N525" i="2"/>
  <c r="N526" i="2"/>
  <c r="AE526" i="2" s="1"/>
  <c r="N527" i="2"/>
  <c r="AE527" i="2" s="1"/>
  <c r="AF527" i="2" s="1"/>
  <c r="N528" i="2"/>
  <c r="AE528" i="2" s="1"/>
  <c r="AF528" i="2" s="1"/>
  <c r="N529" i="2"/>
  <c r="AE529" i="2" s="1"/>
  <c r="N530" i="2"/>
  <c r="N531" i="2"/>
  <c r="AE531" i="2" s="1"/>
  <c r="N532" i="2"/>
  <c r="AE532" i="2" s="1"/>
  <c r="AF532" i="2" s="1"/>
  <c r="N533" i="2"/>
  <c r="N534" i="2"/>
  <c r="N535" i="2"/>
  <c r="N536" i="2"/>
  <c r="N537" i="2"/>
  <c r="N538" i="2"/>
  <c r="N539" i="2"/>
  <c r="N540" i="2"/>
  <c r="AE540" i="2" s="1"/>
  <c r="AF540" i="2" s="1"/>
  <c r="N541" i="2"/>
  <c r="AE541" i="2" s="1"/>
  <c r="AF541" i="2" s="1"/>
  <c r="N542" i="2"/>
  <c r="N543" i="2"/>
  <c r="AE543" i="2" s="1"/>
  <c r="N544" i="2"/>
  <c r="N545" i="2"/>
  <c r="N546" i="2"/>
  <c r="AE546" i="2" s="1"/>
  <c r="N547" i="2"/>
  <c r="AE547" i="2" s="1"/>
  <c r="AF547" i="2" s="1"/>
  <c r="N548" i="2"/>
  <c r="N549" i="2"/>
  <c r="AE549" i="2" s="1"/>
  <c r="N550" i="2"/>
  <c r="N551" i="2"/>
  <c r="N552" i="2"/>
  <c r="N553" i="2"/>
  <c r="N554" i="2"/>
  <c r="N555" i="2"/>
  <c r="N556" i="2"/>
  <c r="AE556" i="2" s="1"/>
  <c r="N557" i="2"/>
  <c r="AE557" i="2" s="1"/>
  <c r="N558" i="2"/>
  <c r="N559" i="2"/>
  <c r="N560" i="2"/>
  <c r="N561" i="2"/>
  <c r="AE561" i="2" s="1"/>
  <c r="N562" i="2"/>
  <c r="N563" i="2"/>
  <c r="N564" i="2"/>
  <c r="AE564" i="2" s="1"/>
  <c r="AF564" i="2" s="1"/>
  <c r="N565" i="2"/>
  <c r="AE565" i="2" s="1"/>
  <c r="N566" i="2"/>
  <c r="N567" i="2"/>
  <c r="N568" i="2"/>
  <c r="N569" i="2"/>
  <c r="AE569" i="2" s="1"/>
  <c r="AF569" i="2" s="1"/>
  <c r="N570" i="2"/>
  <c r="N571" i="2"/>
  <c r="N572" i="2"/>
  <c r="N573" i="2"/>
  <c r="N574" i="2"/>
  <c r="N575" i="2"/>
  <c r="AE575" i="2" s="1"/>
  <c r="N576" i="2"/>
  <c r="N577" i="2"/>
  <c r="AE577" i="2" s="1"/>
  <c r="AF577" i="2" s="1"/>
  <c r="N578" i="2"/>
  <c r="AE578" i="2" s="1"/>
  <c r="N579" i="2"/>
  <c r="N580" i="2"/>
  <c r="AE580" i="2" s="1"/>
  <c r="AF580" i="2" s="1"/>
  <c r="N581" i="2"/>
  <c r="AE581" i="2" s="1"/>
  <c r="N582" i="2"/>
  <c r="N583" i="2"/>
  <c r="AE583" i="2" s="1"/>
  <c r="N584" i="2"/>
  <c r="AE584" i="2" s="1"/>
  <c r="N585" i="2"/>
  <c r="AE585" i="2" s="1"/>
  <c r="N586" i="2"/>
  <c r="N587" i="2"/>
  <c r="AE587" i="2" s="1"/>
  <c r="N588" i="2"/>
  <c r="AE588" i="2" s="1"/>
  <c r="N589" i="2"/>
  <c r="N590" i="2"/>
  <c r="AE590" i="2" s="1"/>
  <c r="N591" i="2"/>
  <c r="N592" i="2"/>
  <c r="N593" i="2"/>
  <c r="AE593" i="2" s="1"/>
  <c r="AF593" i="2" s="1"/>
  <c r="N594" i="2"/>
  <c r="AE594" i="2" s="1"/>
  <c r="AF594" i="2" s="1"/>
  <c r="N595" i="2"/>
  <c r="AE595" i="2" s="1"/>
  <c r="N596" i="2"/>
  <c r="AE596" i="2" s="1"/>
  <c r="N597" i="2"/>
  <c r="N598" i="2"/>
  <c r="AE598" i="2" s="1"/>
  <c r="AF598" i="2" s="1"/>
  <c r="N599" i="2"/>
  <c r="N600" i="2"/>
  <c r="N601" i="2"/>
  <c r="N602" i="2"/>
  <c r="N603" i="2"/>
  <c r="AE603" i="2" s="1"/>
  <c r="N604" i="2"/>
  <c r="AE604" i="2" s="1"/>
  <c r="N605" i="2"/>
  <c r="N606" i="2"/>
  <c r="AE606" i="2" s="1"/>
  <c r="N607" i="2"/>
  <c r="N608" i="2"/>
  <c r="AE608" i="2" s="1"/>
  <c r="AF608" i="2" s="1"/>
  <c r="N609" i="2"/>
  <c r="N610" i="2"/>
  <c r="N611" i="2"/>
  <c r="N612" i="2"/>
  <c r="AE612" i="2" s="1"/>
  <c r="AF612" i="2" s="1"/>
  <c r="N613" i="2"/>
  <c r="AE613" i="2" s="1"/>
  <c r="N614" i="2"/>
  <c r="N615" i="2"/>
  <c r="N616" i="2"/>
  <c r="N617" i="2"/>
  <c r="N618" i="2"/>
  <c r="N619" i="2"/>
  <c r="AE619" i="2" s="1"/>
  <c r="N620" i="2"/>
  <c r="AE620" i="2" s="1"/>
  <c r="N621" i="2"/>
  <c r="N622" i="2"/>
  <c r="AE622" i="2" s="1"/>
  <c r="N623" i="2"/>
  <c r="N624" i="2"/>
  <c r="AE624" i="2" s="1"/>
  <c r="AF624" i="2" s="1"/>
  <c r="N625" i="2"/>
  <c r="N626" i="2"/>
  <c r="AE626" i="2" s="1"/>
  <c r="AF626" i="2" s="1"/>
  <c r="N627" i="2"/>
  <c r="N628" i="2"/>
  <c r="AE628" i="2" s="1"/>
  <c r="N629" i="2"/>
  <c r="N630" i="2"/>
  <c r="N631" i="2"/>
  <c r="AE631" i="2" s="1"/>
  <c r="N632" i="2"/>
  <c r="AE632" i="2" s="1"/>
  <c r="N633" i="2"/>
  <c r="AE633" i="2" s="1"/>
  <c r="N634" i="2"/>
  <c r="AE634" i="2" s="1"/>
  <c r="AF634" i="2" s="1"/>
  <c r="N635" i="2"/>
  <c r="N636" i="2"/>
  <c r="AE636" i="2" s="1"/>
  <c r="AF636" i="2" s="1"/>
  <c r="N637" i="2"/>
  <c r="AE637" i="2" s="1"/>
  <c r="AF637" i="2" s="1"/>
  <c r="N638" i="2"/>
  <c r="N639" i="2"/>
  <c r="N640" i="2"/>
  <c r="AE640" i="2" s="1"/>
  <c r="N641" i="2"/>
  <c r="N642" i="2"/>
  <c r="AE642" i="2" s="1"/>
  <c r="N643" i="2"/>
  <c r="AE643" i="2" s="1"/>
  <c r="AF643" i="2" s="1"/>
  <c r="N644" i="2"/>
  <c r="AE644" i="2" s="1"/>
  <c r="AF644" i="2" s="1"/>
  <c r="N645" i="2"/>
  <c r="N646" i="2"/>
  <c r="N647" i="2"/>
  <c r="N648" i="2"/>
  <c r="N649" i="2"/>
  <c r="N650" i="2"/>
  <c r="N651" i="2"/>
  <c r="AE651" i="2" s="1"/>
  <c r="N652" i="2"/>
  <c r="AE652" i="2" s="1"/>
  <c r="N653" i="2"/>
  <c r="N654" i="2"/>
  <c r="N655" i="2"/>
  <c r="N656" i="2"/>
  <c r="AE656" i="2" s="1"/>
  <c r="N657" i="2"/>
  <c r="AE657" i="2" s="1"/>
  <c r="N658" i="2"/>
  <c r="AE658" i="2" s="1"/>
  <c r="N659" i="2"/>
  <c r="N660" i="2"/>
  <c r="AE660" i="2" s="1"/>
  <c r="N661" i="2"/>
  <c r="N662" i="2"/>
  <c r="AE662" i="2" s="1"/>
  <c r="N663" i="2"/>
  <c r="AE663" i="2" s="1"/>
  <c r="N664" i="2"/>
  <c r="AE664" i="2" s="1"/>
  <c r="AF664" i="2" s="1"/>
  <c r="N665" i="2"/>
  <c r="AE665" i="2" s="1"/>
  <c r="N666" i="2"/>
  <c r="N667" i="2"/>
  <c r="N668" i="2"/>
  <c r="AE668" i="2" s="1"/>
  <c r="AF668" i="2" s="1"/>
  <c r="N669" i="2"/>
  <c r="N670" i="2"/>
  <c r="N671" i="2"/>
  <c r="N672" i="2"/>
  <c r="AE672" i="2" s="1"/>
  <c r="AF672" i="2" s="1"/>
  <c r="N673" i="2"/>
  <c r="AE673" i="2" s="1"/>
  <c r="AF673" i="2" s="1"/>
  <c r="N674" i="2"/>
  <c r="N675" i="2"/>
  <c r="N676" i="2"/>
  <c r="AE676" i="2" s="1"/>
  <c r="AF676" i="2" s="1"/>
  <c r="N677" i="2"/>
  <c r="AE677" i="2" s="1"/>
  <c r="AF677" i="2" s="1"/>
  <c r="N678" i="2"/>
  <c r="AE678" i="2" s="1"/>
  <c r="AF678" i="2" s="1"/>
  <c r="N679" i="2"/>
  <c r="AE679" i="2" s="1"/>
  <c r="N680" i="2"/>
  <c r="AE680" i="2" s="1"/>
  <c r="N681" i="2"/>
  <c r="N682" i="2"/>
  <c r="N683" i="2"/>
  <c r="N684" i="2"/>
  <c r="N685" i="2"/>
  <c r="N686" i="2"/>
  <c r="N687" i="2"/>
  <c r="AE687" i="2" s="1"/>
  <c r="AF687" i="2" s="1"/>
  <c r="N688" i="2"/>
  <c r="AE688" i="2" s="1"/>
  <c r="N689" i="2"/>
  <c r="N690" i="2"/>
  <c r="AE690" i="2" s="1"/>
  <c r="N691" i="2"/>
  <c r="AE691" i="2" s="1"/>
  <c r="AF691" i="2" s="1"/>
  <c r="N692" i="2"/>
  <c r="N693" i="2"/>
  <c r="AE693" i="2" s="1"/>
  <c r="N694" i="2"/>
  <c r="N695" i="2"/>
  <c r="N696" i="2"/>
  <c r="AE696" i="2" s="1"/>
  <c r="N697" i="2"/>
  <c r="N698" i="2"/>
  <c r="AE698" i="2" s="1"/>
  <c r="N699" i="2"/>
  <c r="AE627" i="2" s="1"/>
  <c r="AF627" i="2" s="1"/>
  <c r="N700" i="2"/>
  <c r="AE700" i="2" s="1"/>
  <c r="N701" i="2"/>
  <c r="AE701" i="2" s="1"/>
  <c r="N702" i="2"/>
  <c r="AE702" i="2" s="1"/>
  <c r="N703" i="2"/>
  <c r="AE703" i="2" s="1"/>
  <c r="N704" i="2"/>
  <c r="AE704" i="2" s="1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AE720" i="2" s="1"/>
  <c r="N721" i="2"/>
  <c r="AE721" i="2" s="1"/>
  <c r="AF721" i="2" s="1"/>
  <c r="N722" i="2"/>
  <c r="AE722" i="2" s="1"/>
  <c r="AF722" i="2" s="1"/>
  <c r="N723" i="2"/>
  <c r="AE723" i="2" s="1"/>
  <c r="AF723" i="2" s="1"/>
  <c r="N724" i="2"/>
  <c r="AE724" i="2" s="1"/>
  <c r="N725" i="2"/>
  <c r="N726" i="2"/>
  <c r="AE726" i="2" s="1"/>
  <c r="N727" i="2"/>
  <c r="AE727" i="2" s="1"/>
  <c r="N728" i="2"/>
  <c r="N729" i="2"/>
  <c r="N730" i="2"/>
  <c r="N731" i="2"/>
  <c r="N732" i="2"/>
  <c r="AE732" i="2" s="1"/>
  <c r="AF732" i="2" s="1"/>
  <c r="N733" i="2"/>
  <c r="N734" i="2"/>
  <c r="AE734" i="2" s="1"/>
  <c r="N735" i="2"/>
  <c r="N736" i="2"/>
  <c r="AE736" i="2" s="1"/>
  <c r="AF736" i="2" s="1"/>
  <c r="N737" i="2"/>
  <c r="AE737" i="2" s="1"/>
  <c r="AF737" i="2" s="1"/>
  <c r="N738" i="2"/>
  <c r="AE738" i="2" s="1"/>
  <c r="AF738" i="2" s="1"/>
  <c r="N739" i="2"/>
  <c r="N740" i="2"/>
  <c r="AE740" i="2" s="1"/>
  <c r="N741" i="2"/>
  <c r="N742" i="2"/>
  <c r="AE742" i="2" s="1"/>
  <c r="AF742" i="2" s="1"/>
  <c r="N743" i="2"/>
  <c r="AE743" i="2" s="1"/>
  <c r="AF743" i="2" s="1"/>
  <c r="N744" i="2"/>
  <c r="N745" i="2"/>
  <c r="AE745" i="2" s="1"/>
  <c r="AF745" i="2" s="1"/>
  <c r="N746" i="2"/>
  <c r="N747" i="2"/>
  <c r="AE747" i="2" s="1"/>
  <c r="N748" i="2"/>
  <c r="N749" i="2"/>
  <c r="AE749" i="2" s="1"/>
  <c r="N750" i="2"/>
  <c r="AE750" i="2" s="1"/>
  <c r="N751" i="2"/>
  <c r="AE751" i="2" s="1"/>
  <c r="N752" i="2"/>
  <c r="AE752" i="2" s="1"/>
  <c r="N753" i="2"/>
  <c r="N754" i="2"/>
  <c r="AE754" i="2" s="1"/>
  <c r="N755" i="2"/>
  <c r="N756" i="2"/>
  <c r="AE756" i="2" s="1"/>
  <c r="N757" i="2"/>
  <c r="AE757" i="2" s="1"/>
  <c r="AF757" i="2" s="1"/>
  <c r="N758" i="2"/>
  <c r="AE758" i="2" s="1"/>
  <c r="N759" i="2"/>
  <c r="N760" i="2"/>
  <c r="N761" i="2"/>
  <c r="AE761" i="2" s="1"/>
  <c r="AF761" i="2" s="1"/>
  <c r="N762" i="2"/>
  <c r="AE762" i="2" s="1"/>
  <c r="N763" i="2"/>
  <c r="N764" i="2"/>
  <c r="AE764" i="2" s="1"/>
  <c r="N765" i="2"/>
  <c r="AE765" i="2" s="1"/>
  <c r="N766" i="2"/>
  <c r="AE766" i="2" s="1"/>
  <c r="N767" i="2"/>
  <c r="N768" i="2"/>
  <c r="AE768" i="2" s="1"/>
  <c r="N769" i="2"/>
  <c r="N770" i="2"/>
  <c r="AE770" i="2" s="1"/>
  <c r="N771" i="2"/>
  <c r="AE771" i="2" s="1"/>
  <c r="N772" i="2"/>
  <c r="AE772" i="2" s="1"/>
  <c r="AF772" i="2" s="1"/>
  <c r="N773" i="2"/>
  <c r="N774" i="2"/>
  <c r="AE774" i="2" s="1"/>
  <c r="AF774" i="2" s="1"/>
  <c r="N775" i="2"/>
  <c r="N776" i="2"/>
  <c r="N777" i="2"/>
  <c r="AE777" i="2" s="1"/>
  <c r="AF777" i="2" s="1"/>
  <c r="N778" i="2"/>
  <c r="N779" i="2"/>
  <c r="AE779" i="2" s="1"/>
  <c r="N780" i="2"/>
  <c r="N781" i="2"/>
  <c r="N782" i="2"/>
  <c r="N783" i="2"/>
  <c r="AE783" i="2" s="1"/>
  <c r="N784" i="2"/>
  <c r="AE784" i="2" s="1"/>
  <c r="AF784" i="2" s="1"/>
  <c r="N785" i="2"/>
  <c r="N786" i="2"/>
  <c r="AE786" i="2" s="1"/>
  <c r="N787" i="2"/>
  <c r="AE787" i="2" s="1"/>
  <c r="N788" i="2"/>
  <c r="AE788" i="2" s="1"/>
  <c r="AF788" i="2" s="1"/>
  <c r="N789" i="2"/>
  <c r="N790" i="2"/>
  <c r="AE790" i="2" s="1"/>
  <c r="AF790" i="2" s="1"/>
  <c r="N791" i="2"/>
  <c r="N792" i="2"/>
  <c r="N793" i="2"/>
  <c r="AE793" i="2" s="1"/>
  <c r="N794" i="2"/>
  <c r="AE794" i="2" s="1"/>
  <c r="N795" i="2"/>
  <c r="N796" i="2"/>
  <c r="AE796" i="2" s="1"/>
  <c r="AF796" i="2" s="1"/>
  <c r="N797" i="2"/>
  <c r="N798" i="2"/>
  <c r="AE798" i="2" s="1"/>
  <c r="AF798" i="2" s="1"/>
  <c r="N799" i="2"/>
  <c r="N800" i="2"/>
  <c r="N801" i="2"/>
  <c r="AE801" i="2" s="1"/>
  <c r="N802" i="2"/>
  <c r="N803" i="2"/>
  <c r="N804" i="2"/>
  <c r="N805" i="2"/>
  <c r="N806" i="2"/>
  <c r="AE806" i="2" s="1"/>
  <c r="AF806" i="2" s="1"/>
  <c r="N807" i="2"/>
  <c r="N808" i="2"/>
  <c r="N809" i="2"/>
  <c r="N810" i="2"/>
  <c r="AE810" i="2" s="1"/>
  <c r="N811" i="2"/>
  <c r="AE811" i="2" s="1"/>
  <c r="N812" i="2"/>
  <c r="AE812" i="2" s="1"/>
  <c r="AF812" i="2" s="1"/>
  <c r="N813" i="2"/>
  <c r="N814" i="2"/>
  <c r="AE814" i="2" s="1"/>
  <c r="AF814" i="2" s="1"/>
  <c r="N815" i="2"/>
  <c r="AE815" i="2" s="1"/>
  <c r="AF815" i="2" s="1"/>
  <c r="N816" i="2"/>
  <c r="AE816" i="2" s="1"/>
  <c r="N817" i="2"/>
  <c r="AE817" i="2" s="1"/>
  <c r="AF817" i="2" s="1"/>
  <c r="N818" i="2"/>
  <c r="N819" i="2"/>
  <c r="N820" i="2"/>
  <c r="N821" i="2"/>
  <c r="AE821" i="2" s="1"/>
  <c r="AF821" i="2" s="1"/>
  <c r="N822" i="2"/>
  <c r="N823" i="2"/>
  <c r="N824" i="2"/>
  <c r="N825" i="2"/>
  <c r="N826" i="2"/>
  <c r="N827" i="2"/>
  <c r="AE827" i="2" s="1"/>
  <c r="AF827" i="2" s="1"/>
  <c r="N828" i="2"/>
  <c r="AE828" i="2" s="1"/>
  <c r="AF828" i="2" s="1"/>
  <c r="N829" i="2"/>
  <c r="N830" i="2"/>
  <c r="AE830" i="2" s="1"/>
  <c r="AF830" i="2" s="1"/>
  <c r="N831" i="2"/>
  <c r="N832" i="2"/>
  <c r="AE832" i="2" s="1"/>
  <c r="AF832" i="2" s="1"/>
  <c r="N833" i="2"/>
  <c r="AE833" i="2" s="1"/>
  <c r="AF833" i="2" s="1"/>
  <c r="N834" i="2"/>
  <c r="AE834" i="2" s="1"/>
  <c r="N835" i="2"/>
  <c r="AE835" i="2" s="1"/>
  <c r="N836" i="2"/>
  <c r="N837" i="2"/>
  <c r="AE837" i="2" s="1"/>
  <c r="AF837" i="2" s="1"/>
  <c r="N838" i="2"/>
  <c r="N839" i="2"/>
  <c r="AE839" i="2" s="1"/>
  <c r="N840" i="2"/>
  <c r="AE840" i="2" s="1"/>
  <c r="AF840" i="2" s="1"/>
  <c r="N841" i="2"/>
  <c r="AE841" i="2" s="1"/>
  <c r="AF841" i="2" s="1"/>
  <c r="N842" i="2"/>
  <c r="N843" i="2"/>
  <c r="N844" i="2"/>
  <c r="AE844" i="2" s="1"/>
  <c r="AF844" i="2" s="1"/>
  <c r="N845" i="2"/>
  <c r="N846" i="2"/>
  <c r="N847" i="2"/>
  <c r="AE847" i="2" s="1"/>
  <c r="N848" i="2"/>
  <c r="AE848" i="2" s="1"/>
  <c r="AF848" i="2" s="1"/>
  <c r="N849" i="2"/>
  <c r="N850" i="2"/>
  <c r="AE850" i="2" s="1"/>
  <c r="N851" i="2"/>
  <c r="AE851" i="2" s="1"/>
  <c r="AF851" i="2" s="1"/>
  <c r="N852" i="2"/>
  <c r="AE852" i="2" s="1"/>
  <c r="N853" i="2"/>
  <c r="AE853" i="2" s="1"/>
  <c r="AF853" i="2" s="1"/>
  <c r="N854" i="2"/>
  <c r="AE854" i="2" s="1"/>
  <c r="N855" i="2"/>
  <c r="AE855" i="2" s="1"/>
  <c r="N856" i="2"/>
  <c r="AE856" i="2" s="1"/>
  <c r="N857" i="2"/>
  <c r="N858" i="2"/>
  <c r="AE858" i="2" s="1"/>
  <c r="N859" i="2"/>
  <c r="N860" i="2"/>
  <c r="N861" i="2"/>
  <c r="N862" i="2"/>
  <c r="N863" i="2"/>
  <c r="N864" i="2"/>
  <c r="N865" i="2"/>
  <c r="N866" i="2"/>
  <c r="N867" i="2"/>
  <c r="AE867" i="2" s="1"/>
  <c r="N868" i="2"/>
  <c r="N869" i="2"/>
  <c r="N870" i="2"/>
  <c r="N871" i="2"/>
  <c r="N872" i="2"/>
  <c r="N873" i="2"/>
  <c r="N874" i="2"/>
  <c r="AE874" i="2" s="1"/>
  <c r="N875" i="2"/>
  <c r="N876" i="2"/>
  <c r="N877" i="2"/>
  <c r="N878" i="2"/>
  <c r="N879" i="2"/>
  <c r="N880" i="2"/>
  <c r="AE880" i="2" s="1"/>
  <c r="AF880" i="2" s="1"/>
  <c r="N881" i="2"/>
  <c r="N882" i="2"/>
  <c r="N883" i="2"/>
  <c r="N884" i="2"/>
  <c r="N885" i="2"/>
  <c r="AE885" i="2" s="1"/>
  <c r="AF885" i="2" s="1"/>
  <c r="N886" i="2"/>
  <c r="N887" i="2"/>
  <c r="N888" i="2"/>
  <c r="N889" i="2"/>
  <c r="N890" i="2"/>
  <c r="AE890" i="2" s="1"/>
  <c r="AF890" i="2" s="1"/>
  <c r="N891" i="2"/>
  <c r="AE891" i="2" s="1"/>
  <c r="N892" i="2"/>
  <c r="AE892" i="2" s="1"/>
  <c r="AF892" i="2" s="1"/>
  <c r="N893" i="2"/>
  <c r="N894" i="2"/>
  <c r="N895" i="2"/>
  <c r="N896" i="2"/>
  <c r="N897" i="2"/>
  <c r="N898" i="2"/>
  <c r="N899" i="2"/>
  <c r="AE899" i="2" s="1"/>
  <c r="AF899" i="2" s="1"/>
  <c r="N900" i="2"/>
  <c r="N901" i="2"/>
  <c r="AE901" i="2" s="1"/>
  <c r="AF901" i="2" s="1"/>
  <c r="N902" i="2"/>
  <c r="N903" i="2"/>
  <c r="N904" i="2"/>
  <c r="AE904" i="2" s="1"/>
  <c r="N905" i="2"/>
  <c r="N906" i="2"/>
  <c r="N907" i="2"/>
  <c r="N908" i="2"/>
  <c r="AE908" i="2" s="1"/>
  <c r="N909" i="2"/>
  <c r="N910" i="2"/>
  <c r="N911" i="2"/>
  <c r="AE911" i="2" s="1"/>
  <c r="N912" i="2"/>
  <c r="N913" i="2"/>
  <c r="AE913" i="2" s="1"/>
  <c r="N914" i="2"/>
  <c r="N915" i="2"/>
  <c r="N916" i="2"/>
  <c r="AE916" i="2" s="1"/>
  <c r="AF916" i="2" s="1"/>
  <c r="N917" i="2"/>
  <c r="AE917" i="2" s="1"/>
  <c r="N918" i="2"/>
  <c r="AE918" i="2" s="1"/>
  <c r="AF918" i="2" s="1"/>
  <c r="N919" i="2"/>
  <c r="AE919" i="2" s="1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AE932" i="2" s="1"/>
  <c r="N933" i="2"/>
  <c r="N934" i="2"/>
  <c r="AE934" i="2" s="1"/>
  <c r="AF934" i="2" s="1"/>
  <c r="N935" i="2"/>
  <c r="N936" i="2"/>
  <c r="N937" i="2"/>
  <c r="AE937" i="2" s="1"/>
  <c r="AF937" i="2" s="1"/>
  <c r="N938" i="2"/>
  <c r="N939" i="2"/>
  <c r="N940" i="2"/>
  <c r="N941" i="2"/>
  <c r="N942" i="2"/>
  <c r="N943" i="2"/>
  <c r="AE943" i="2" s="1"/>
  <c r="N944" i="2"/>
  <c r="N945" i="2"/>
  <c r="AE945" i="2" s="1"/>
  <c r="N946" i="2"/>
  <c r="N947" i="2"/>
  <c r="N948" i="2"/>
  <c r="N949" i="2"/>
  <c r="N950" i="2"/>
  <c r="N951" i="2"/>
  <c r="AE951" i="2" s="1"/>
  <c r="N952" i="2"/>
  <c r="AE952" i="2" s="1"/>
  <c r="AF952" i="2" s="1"/>
  <c r="N953" i="2"/>
  <c r="N954" i="2"/>
  <c r="AE954" i="2" s="1"/>
  <c r="N955" i="2"/>
  <c r="N956" i="2"/>
  <c r="N957" i="2"/>
  <c r="N958" i="2"/>
  <c r="N959" i="2"/>
  <c r="N960" i="2"/>
  <c r="N961" i="2"/>
  <c r="AE961" i="2" s="1"/>
  <c r="N962" i="2"/>
  <c r="N963" i="2"/>
  <c r="N964" i="2"/>
  <c r="AE964" i="2" s="1"/>
  <c r="N965" i="2"/>
  <c r="AE965" i="2" s="1"/>
  <c r="AF965" i="2" s="1"/>
  <c r="N966" i="2"/>
  <c r="N967" i="2"/>
  <c r="N968" i="2"/>
  <c r="N969" i="2"/>
  <c r="N970" i="2"/>
  <c r="N971" i="2"/>
  <c r="N972" i="2"/>
  <c r="N973" i="2"/>
  <c r="AE973" i="2" s="1"/>
  <c r="N974" i="2"/>
  <c r="AE974" i="2" s="1"/>
  <c r="N975" i="2"/>
  <c r="AE975" i="2" s="1"/>
  <c r="AF975" i="2" s="1"/>
  <c r="N976" i="2"/>
  <c r="AE976" i="2" s="1"/>
  <c r="N977" i="2"/>
  <c r="N978" i="2"/>
  <c r="N979" i="2"/>
  <c r="N980" i="2"/>
  <c r="N981" i="2"/>
  <c r="N982" i="2"/>
  <c r="N983" i="2"/>
  <c r="N984" i="2"/>
  <c r="AE984" i="2" s="1"/>
  <c r="N985" i="2"/>
  <c r="AE985" i="2" s="1"/>
  <c r="AF985" i="2" s="1"/>
  <c r="N986" i="2"/>
  <c r="AE986" i="2" s="1"/>
  <c r="N987" i="2"/>
  <c r="N988" i="2"/>
  <c r="N989" i="2"/>
  <c r="N990" i="2"/>
  <c r="N991" i="2"/>
  <c r="AE991" i="2" s="1"/>
  <c r="AF991" i="2" s="1"/>
  <c r="N992" i="2"/>
  <c r="AE992" i="2" s="1"/>
  <c r="N993" i="2"/>
  <c r="AE993" i="2" s="1"/>
  <c r="N994" i="2"/>
  <c r="AE994" i="2" s="1"/>
  <c r="N995" i="2"/>
  <c r="N996" i="2"/>
  <c r="AE996" i="2" s="1"/>
  <c r="N997" i="2"/>
  <c r="AE997" i="2" s="1"/>
  <c r="N998" i="2"/>
  <c r="AE998" i="2" s="1"/>
  <c r="N999" i="2"/>
  <c r="AE999" i="2" s="1"/>
  <c r="AF999" i="2" s="1"/>
  <c r="N1000" i="2"/>
  <c r="AE1000" i="2" s="1"/>
  <c r="N1001" i="2"/>
  <c r="N1002" i="2"/>
  <c r="N1003" i="2"/>
  <c r="AE1003" i="2" s="1"/>
  <c r="AF1003" i="2" s="1"/>
  <c r="N1004" i="2"/>
  <c r="AE1004" i="2" s="1"/>
  <c r="N1005" i="2"/>
  <c r="AE1005" i="2" s="1"/>
  <c r="N1006" i="2"/>
  <c r="AE1006" i="2" s="1"/>
  <c r="N1007" i="2"/>
  <c r="N1008" i="2"/>
  <c r="AE1008" i="2" s="1"/>
  <c r="N1009" i="2"/>
  <c r="AE1009" i="2" s="1"/>
  <c r="AF1009" i="2" s="1"/>
  <c r="N1010" i="2"/>
  <c r="AE1010" i="2" s="1"/>
  <c r="AF1010" i="2" s="1"/>
  <c r="N1011" i="2"/>
  <c r="AE1011" i="2" s="1"/>
  <c r="AF1011" i="2" s="1"/>
  <c r="N1012" i="2"/>
  <c r="N1013" i="2"/>
  <c r="N1014" i="2"/>
  <c r="AE1014" i="2" s="1"/>
  <c r="N1015" i="2"/>
  <c r="AE1015" i="2" s="1"/>
  <c r="N1016" i="2"/>
  <c r="AE1016" i="2" s="1"/>
  <c r="AF1016" i="2" s="1"/>
  <c r="N1017" i="2"/>
  <c r="N1018" i="2"/>
  <c r="N1019" i="2"/>
  <c r="AE1019" i="2" s="1"/>
  <c r="N1020" i="2"/>
  <c r="N1021" i="2"/>
  <c r="N1022" i="2"/>
  <c r="N1023" i="2"/>
  <c r="N1024" i="2"/>
  <c r="N1025" i="2"/>
  <c r="N1026" i="2"/>
  <c r="AE1026" i="2" s="1"/>
  <c r="N1027" i="2"/>
  <c r="N1028" i="2"/>
  <c r="AE1028" i="2" s="1"/>
  <c r="N1029" i="2"/>
  <c r="AE1029" i="2" s="1"/>
  <c r="AF1029" i="2" s="1"/>
  <c r="N1030" i="2"/>
  <c r="N1031" i="2"/>
  <c r="N1032" i="2"/>
  <c r="N1033" i="2"/>
  <c r="AE1033" i="2" s="1"/>
  <c r="N1034" i="2"/>
  <c r="N1035" i="2"/>
  <c r="N1036" i="2"/>
  <c r="N1037" i="2"/>
  <c r="AE1037" i="2" s="1"/>
  <c r="AF1037" i="2" s="1"/>
  <c r="N1038" i="2"/>
  <c r="N1039" i="2"/>
  <c r="N1040" i="2"/>
  <c r="AE1040" i="2" s="1"/>
  <c r="N1041" i="2"/>
  <c r="N1042" i="2"/>
  <c r="N1043" i="2"/>
  <c r="N1044" i="2"/>
  <c r="N1045" i="2"/>
  <c r="AE1045" i="2" s="1"/>
  <c r="N1046" i="2"/>
  <c r="N1047" i="2"/>
  <c r="N1048" i="2"/>
  <c r="N1049" i="2"/>
  <c r="N1050" i="2"/>
  <c r="N1051" i="2"/>
  <c r="N1052" i="2"/>
  <c r="N1053" i="2"/>
  <c r="N1054" i="2"/>
  <c r="N1055" i="2"/>
  <c r="AE1055" i="2" s="1"/>
  <c r="AF1055" i="2" s="1"/>
  <c r="N1056" i="2"/>
  <c r="N1057" i="2"/>
  <c r="N1058" i="2"/>
  <c r="N1059" i="2"/>
  <c r="N1060" i="2"/>
  <c r="AE1060" i="2" s="1"/>
  <c r="N1061" i="2"/>
  <c r="AE1061" i="2" s="1"/>
  <c r="N1062" i="2"/>
  <c r="AE1062" i="2" s="1"/>
  <c r="N1063" i="2"/>
  <c r="AE1063" i="2" s="1"/>
  <c r="AF1063" i="2" s="1"/>
  <c r="N1064" i="2"/>
  <c r="AE1064" i="2" s="1"/>
  <c r="AF1064" i="2" s="1"/>
  <c r="N1065" i="2"/>
  <c r="N1066" i="2"/>
  <c r="N1067" i="2"/>
  <c r="N1068" i="2"/>
  <c r="N1069" i="2"/>
  <c r="AE1069" i="2" s="1"/>
  <c r="N1070" i="2"/>
  <c r="N1071" i="2"/>
  <c r="N1072" i="2"/>
  <c r="AE1072" i="2" s="1"/>
  <c r="N1073" i="2"/>
  <c r="N1074" i="2"/>
  <c r="N1075" i="2"/>
  <c r="AE1075" i="2" s="1"/>
  <c r="N1076" i="2"/>
  <c r="N1077" i="2"/>
  <c r="AE1077" i="2" s="1"/>
  <c r="N1078" i="2"/>
  <c r="N1079" i="2"/>
  <c r="N1080" i="2"/>
  <c r="N1081" i="2"/>
  <c r="AE1081" i="2" s="1"/>
  <c r="N1082" i="2"/>
  <c r="N1083" i="2"/>
  <c r="N1084" i="2"/>
  <c r="N1085" i="2"/>
  <c r="N1086" i="2"/>
  <c r="N1087" i="2"/>
  <c r="N1088" i="2"/>
  <c r="AE1088" i="2" s="1"/>
  <c r="N1089" i="2"/>
  <c r="N1090" i="2"/>
  <c r="AE1090" i="2" s="1"/>
  <c r="N1091" i="2"/>
  <c r="N1092" i="2"/>
  <c r="N1093" i="2"/>
  <c r="N1094" i="2"/>
  <c r="N1095" i="2"/>
  <c r="N1096" i="2"/>
  <c r="AE1096" i="2" s="1"/>
  <c r="N1097" i="2"/>
  <c r="N1098" i="2"/>
  <c r="AE1098" i="2" s="1"/>
  <c r="N1099" i="2"/>
  <c r="AE1099" i="2" s="1"/>
  <c r="N1100" i="2"/>
  <c r="N1101" i="2"/>
  <c r="AE1101" i="2" s="1"/>
  <c r="N1102" i="2"/>
  <c r="AE1102" i="2" s="1"/>
  <c r="N1103" i="2"/>
  <c r="AE1103" i="2" s="1"/>
  <c r="N1104" i="2"/>
  <c r="N1105" i="2"/>
  <c r="N1106" i="2"/>
  <c r="AE1106" i="2" s="1"/>
  <c r="N1107" i="2"/>
  <c r="AE1107" i="2" s="1"/>
  <c r="N1108" i="2"/>
  <c r="N1109" i="2"/>
  <c r="AE1109" i="2" s="1"/>
  <c r="N1110" i="2"/>
  <c r="N1111" i="2"/>
  <c r="N1112" i="2"/>
  <c r="N1113" i="2"/>
  <c r="N1114" i="2"/>
  <c r="N1115" i="2"/>
  <c r="AE1115" i="2" s="1"/>
  <c r="N1116" i="2"/>
  <c r="AE1116" i="2" s="1"/>
  <c r="N1117" i="2"/>
  <c r="N1118" i="2"/>
  <c r="N1119" i="2"/>
  <c r="N1120" i="2"/>
  <c r="N1121" i="2"/>
  <c r="AE1121" i="2" s="1"/>
  <c r="N1122" i="2"/>
  <c r="AE1122" i="2" s="1"/>
  <c r="N1123" i="2"/>
  <c r="AE1123" i="2" s="1"/>
  <c r="N1124" i="2"/>
  <c r="AE1124" i="2" s="1"/>
  <c r="AF1124" i="2" s="1"/>
  <c r="N1125" i="2"/>
  <c r="N1126" i="2"/>
  <c r="N1127" i="2"/>
  <c r="N1128" i="2"/>
  <c r="AE1128" i="2" s="1"/>
  <c r="N1129" i="2"/>
  <c r="AE1129" i="2" s="1"/>
  <c r="N1130" i="2"/>
  <c r="N1131" i="2"/>
  <c r="AE1131" i="2" s="1"/>
  <c r="N1132" i="2"/>
  <c r="N1133" i="2"/>
  <c r="AE1133" i="2" s="1"/>
  <c r="N1134" i="2"/>
  <c r="AE1134" i="2" s="1"/>
  <c r="AF1134" i="2" s="1"/>
  <c r="N1135" i="2"/>
  <c r="N1136" i="2"/>
  <c r="AE1136" i="2" s="1"/>
  <c r="N1137" i="2"/>
  <c r="AE1137" i="2" s="1"/>
  <c r="AF1137" i="2" s="1"/>
  <c r="N1138" i="2"/>
  <c r="AE1138" i="2" s="1"/>
  <c r="AF1138" i="2" s="1"/>
  <c r="N1139" i="2"/>
  <c r="N1140" i="2"/>
  <c r="N1141" i="2"/>
  <c r="N1142" i="2"/>
  <c r="N1143" i="2"/>
  <c r="AE1143" i="2" s="1"/>
  <c r="N1144" i="2"/>
  <c r="N1145" i="2"/>
  <c r="N1146" i="2"/>
  <c r="AE1146" i="2" s="1"/>
  <c r="AF1146" i="2" s="1"/>
  <c r="N1147" i="2"/>
  <c r="AE1147" i="2" s="1"/>
  <c r="N1148" i="2"/>
  <c r="AE1148" i="2" s="1"/>
  <c r="AF1148" i="2" s="1"/>
  <c r="N1149" i="2"/>
  <c r="AE1149" i="2" s="1"/>
  <c r="N1150" i="2"/>
  <c r="AE1150" i="2" s="1"/>
  <c r="AF1150" i="2" s="1"/>
  <c r="N1151" i="2"/>
  <c r="N1152" i="2"/>
  <c r="AE1152" i="2" s="1"/>
  <c r="AF1152" i="2" s="1"/>
  <c r="N1153" i="2"/>
  <c r="N1154" i="2"/>
  <c r="AE1154" i="2" s="1"/>
  <c r="AF1154" i="2" s="1"/>
  <c r="N1155" i="2"/>
  <c r="AE1155" i="2" s="1"/>
  <c r="N1156" i="2"/>
  <c r="AE1156" i="2" s="1"/>
  <c r="AF1156" i="2" s="1"/>
  <c r="N1157" i="2"/>
  <c r="N1158" i="2"/>
  <c r="N1159" i="2"/>
  <c r="N1160" i="2"/>
  <c r="AE1160" i="2" s="1"/>
  <c r="N1161" i="2"/>
  <c r="AE1161" i="2" s="1"/>
  <c r="N1162" i="2"/>
  <c r="N1163" i="2"/>
  <c r="N1164" i="2"/>
  <c r="N1165" i="2"/>
  <c r="N1166" i="2"/>
  <c r="N1167" i="2"/>
  <c r="AE1167" i="2" s="1"/>
  <c r="N1168" i="2"/>
  <c r="AE1168" i="2" s="1"/>
  <c r="AF1168" i="2" s="1"/>
  <c r="N1169" i="2"/>
  <c r="AE1169" i="2" s="1"/>
  <c r="N1170" i="2"/>
  <c r="N1171" i="2"/>
  <c r="AE1171" i="2" s="1"/>
  <c r="N1172" i="2"/>
  <c r="AE1172" i="2" s="1"/>
  <c r="AF1172" i="2" s="1"/>
  <c r="N1173" i="2"/>
  <c r="N1174" i="2"/>
  <c r="N1175" i="2"/>
  <c r="N1176" i="2"/>
  <c r="N1177" i="2"/>
  <c r="N1178" i="2"/>
  <c r="N1179" i="2"/>
  <c r="N1180" i="2"/>
  <c r="N1181" i="2"/>
  <c r="N1182" i="2"/>
  <c r="N1183" i="2"/>
  <c r="AE1183" i="2" s="1"/>
  <c r="N1184" i="2"/>
  <c r="AE1184" i="2" s="1"/>
  <c r="N1185" i="2"/>
  <c r="AE1185" i="2" s="1"/>
  <c r="N1186" i="2"/>
  <c r="N1187" i="2"/>
  <c r="AE1187" i="2" s="1"/>
  <c r="N1188" i="2"/>
  <c r="N1189" i="2"/>
  <c r="N1190" i="2"/>
  <c r="N1191" i="2"/>
  <c r="AE1191" i="2" s="1"/>
  <c r="N1192" i="2"/>
  <c r="N1193" i="2"/>
  <c r="N1194" i="2"/>
  <c r="N1195" i="2"/>
  <c r="AE1195" i="2" s="1"/>
  <c r="N1196" i="2"/>
  <c r="AE1196" i="2" s="1"/>
  <c r="AF1196" i="2" s="1"/>
  <c r="N1197" i="2"/>
  <c r="AE1197" i="2" s="1"/>
  <c r="N1198" i="2"/>
  <c r="N1199" i="2"/>
  <c r="N1200" i="2"/>
  <c r="N1201" i="2"/>
  <c r="AE1201" i="2" s="1"/>
  <c r="N1202" i="2"/>
  <c r="N1203" i="2"/>
  <c r="AE1203" i="2" s="1"/>
  <c r="N1204" i="2"/>
  <c r="AE1204" i="2" s="1"/>
  <c r="N1205" i="2"/>
  <c r="AE1205" i="2" s="1"/>
  <c r="N1206" i="2"/>
  <c r="N1207" i="2"/>
  <c r="AE1207" i="2" s="1"/>
  <c r="N1208" i="2"/>
  <c r="N1209" i="2"/>
  <c r="N1210" i="2"/>
  <c r="N1211" i="2"/>
  <c r="AE1211" i="2" s="1"/>
  <c r="N1212" i="2"/>
  <c r="AE1212" i="2" s="1"/>
  <c r="N1213" i="2"/>
  <c r="AE1213" i="2" s="1"/>
  <c r="N1214" i="2"/>
  <c r="N1215" i="2"/>
  <c r="N1216" i="2"/>
  <c r="N1217" i="2"/>
  <c r="N1218" i="2"/>
  <c r="AE1218" i="2" s="1"/>
  <c r="N1219" i="2"/>
  <c r="N1220" i="2"/>
  <c r="AE1220" i="2" s="1"/>
  <c r="N1221" i="2"/>
  <c r="N1222" i="2"/>
  <c r="AE1222" i="2" s="1"/>
  <c r="N1223" i="2"/>
  <c r="N1224" i="2"/>
  <c r="N1225" i="2"/>
  <c r="N1226" i="2"/>
  <c r="AE1226" i="2" s="1"/>
  <c r="AF1226" i="2" s="1"/>
  <c r="N1227" i="2"/>
  <c r="N1228" i="2"/>
  <c r="N1229" i="2"/>
  <c r="N1230" i="2"/>
  <c r="N1231" i="2"/>
  <c r="AE1231" i="2" s="1"/>
  <c r="N1232" i="2"/>
  <c r="N1233" i="2"/>
  <c r="N1234" i="2"/>
  <c r="N1235" i="2"/>
  <c r="N1236" i="2"/>
  <c r="AE1236" i="2" s="1"/>
  <c r="AF1236" i="2" s="1"/>
  <c r="N1237" i="2"/>
  <c r="N1238" i="2"/>
  <c r="N1239" i="2"/>
  <c r="N1240" i="2"/>
  <c r="AE1240" i="2" s="1"/>
  <c r="N1241" i="2"/>
  <c r="AE1241" i="2" s="1"/>
  <c r="N1242" i="2"/>
  <c r="N1243" i="2"/>
  <c r="N1244" i="2"/>
  <c r="N1245" i="2"/>
  <c r="N1246" i="2"/>
  <c r="AE1246" i="2" s="1"/>
  <c r="AF1246" i="2" s="1"/>
  <c r="N1247" i="2"/>
  <c r="N1248" i="2"/>
  <c r="AE1248" i="2" s="1"/>
  <c r="AF1248" i="2" s="1"/>
  <c r="N1249" i="2"/>
  <c r="N1250" i="2"/>
  <c r="N1251" i="2"/>
  <c r="N1252" i="2"/>
  <c r="AE1252" i="2" s="1"/>
  <c r="N1253" i="2"/>
  <c r="N1254" i="2"/>
  <c r="N1255" i="2"/>
  <c r="AE1255" i="2" s="1"/>
  <c r="N1256" i="2"/>
  <c r="N1257" i="2"/>
  <c r="N1258" i="2"/>
  <c r="N1259" i="2"/>
  <c r="AE1259" i="2" s="1"/>
  <c r="N1260" i="2"/>
  <c r="N1261" i="2"/>
  <c r="N1262" i="2"/>
  <c r="N1263" i="2"/>
  <c r="AE1263" i="2" s="1"/>
  <c r="N1264" i="2"/>
  <c r="N1265" i="2"/>
  <c r="N1266" i="2"/>
  <c r="AE1266" i="2" s="1"/>
  <c r="AF1266" i="2" s="1"/>
  <c r="N1267" i="2"/>
  <c r="AE1267" i="2" s="1"/>
  <c r="N1268" i="2"/>
  <c r="AE1268" i="2" s="1"/>
  <c r="AF1268" i="2" s="1"/>
  <c r="N1269" i="2"/>
  <c r="N1270" i="2"/>
  <c r="N1271" i="2"/>
  <c r="N1272" i="2"/>
  <c r="AE1272" i="2" s="1"/>
  <c r="N1273" i="2"/>
  <c r="AE1273" i="2" s="1"/>
  <c r="N1274" i="2"/>
  <c r="N1275" i="2"/>
  <c r="N1276" i="2"/>
  <c r="N1277" i="2"/>
  <c r="N1278" i="2"/>
  <c r="N1279" i="2"/>
  <c r="N1280" i="2"/>
  <c r="N1281" i="2"/>
  <c r="AE1281" i="2" s="1"/>
  <c r="AF1281" i="2" s="1"/>
  <c r="N1282" i="2"/>
  <c r="N1283" i="2"/>
  <c r="AE1283" i="2" s="1"/>
  <c r="N1284" i="2"/>
  <c r="N1285" i="2"/>
  <c r="N1286" i="2"/>
  <c r="AE1286" i="2" s="1"/>
  <c r="N1287" i="2"/>
  <c r="AE1287" i="2" s="1"/>
  <c r="AF1287" i="2" s="1"/>
  <c r="N1288" i="2"/>
  <c r="N1289" i="2"/>
  <c r="AE1289" i="2" s="1"/>
  <c r="AF1289" i="2" s="1"/>
  <c r="N1290" i="2"/>
  <c r="AE1290" i="2" s="1"/>
  <c r="AF1290" i="2" s="1"/>
  <c r="N1291" i="2"/>
  <c r="N1292" i="2"/>
  <c r="N1293" i="2"/>
  <c r="N1294" i="2"/>
  <c r="AE1294" i="2" s="1"/>
  <c r="N1295" i="2"/>
  <c r="AE1295" i="2" s="1"/>
  <c r="N1296" i="2"/>
  <c r="N1297" i="2"/>
  <c r="AE1297" i="2" s="1"/>
  <c r="N1298" i="2"/>
  <c r="AE1298" i="2" s="1"/>
  <c r="AF1298" i="2" s="1"/>
  <c r="N1299" i="2"/>
  <c r="AE1299" i="2" s="1"/>
  <c r="AF1299" i="2" s="1"/>
  <c r="N1300" i="2"/>
  <c r="N1301" i="2"/>
  <c r="AE1301" i="2" s="1"/>
  <c r="N1302" i="2"/>
  <c r="N1303" i="2"/>
  <c r="AE1303" i="2" s="1"/>
  <c r="N1304" i="2"/>
  <c r="AE1304" i="2" s="1"/>
  <c r="N1305" i="2"/>
  <c r="AE1305" i="2" s="1"/>
  <c r="N1306" i="2"/>
  <c r="N1307" i="2"/>
  <c r="N1308" i="2"/>
  <c r="AE1308" i="2" s="1"/>
  <c r="N1309" i="2"/>
  <c r="AE1309" i="2" s="1"/>
  <c r="N1310" i="2"/>
  <c r="N1311" i="2"/>
  <c r="N1312" i="2"/>
  <c r="N1313" i="2"/>
  <c r="AE1313" i="2" s="1"/>
  <c r="AF1313" i="2" s="1"/>
  <c r="N1314" i="2"/>
  <c r="AE1314" i="2" s="1"/>
  <c r="AF1314" i="2" s="1"/>
  <c r="N1315" i="2"/>
  <c r="N1316" i="2"/>
  <c r="N1317" i="2"/>
  <c r="N1318" i="2"/>
  <c r="N1319" i="2"/>
  <c r="N1320" i="2"/>
  <c r="AE1320" i="2" s="1"/>
  <c r="AF1320" i="2" s="1"/>
  <c r="N1321" i="2"/>
  <c r="N1322" i="2"/>
  <c r="AE1322" i="2" s="1"/>
  <c r="AF1322" i="2" s="1"/>
  <c r="N1323" i="2"/>
  <c r="AE1323" i="2" s="1"/>
  <c r="AF1323" i="2" s="1"/>
  <c r="N1324" i="2"/>
  <c r="AE1324" i="2" s="1"/>
  <c r="N1325" i="2"/>
  <c r="AE1325" i="2" s="1"/>
  <c r="AF1325" i="2" s="1"/>
  <c r="N1326" i="2"/>
  <c r="N1327" i="2"/>
  <c r="AE1327" i="2" s="1"/>
  <c r="N1328" i="2"/>
  <c r="N1329" i="2"/>
  <c r="AE1329" i="2" s="1"/>
  <c r="N1330" i="2"/>
  <c r="AE1330" i="2" s="1"/>
  <c r="AF1330" i="2" s="1"/>
  <c r="N1331" i="2"/>
  <c r="N1332" i="2"/>
  <c r="AE1332" i="2" s="1"/>
  <c r="N1333" i="2"/>
  <c r="N1334" i="2"/>
  <c r="AE1334" i="2" s="1"/>
  <c r="AF1334" i="2" s="1"/>
  <c r="N1335" i="2"/>
  <c r="N1336" i="2"/>
  <c r="N1337" i="2"/>
  <c r="N1338" i="2"/>
  <c r="N1339" i="2"/>
  <c r="N1340" i="2"/>
  <c r="N1341" i="2"/>
  <c r="N1342" i="2"/>
  <c r="N1343" i="2"/>
  <c r="N1344" i="2"/>
  <c r="AE1344" i="2" s="1"/>
  <c r="N1345" i="2"/>
  <c r="AE1345" i="2" s="1"/>
  <c r="N1346" i="2"/>
  <c r="AE1346" i="2" s="1"/>
  <c r="N1347" i="2"/>
  <c r="N1348" i="2"/>
  <c r="AE1348" i="2" s="1"/>
  <c r="AF1348" i="2" s="1"/>
  <c r="N1349" i="2"/>
  <c r="AE1349" i="2" s="1"/>
  <c r="AF1349" i="2" s="1"/>
  <c r="N1350" i="2"/>
  <c r="AE1350" i="2" s="1"/>
  <c r="AF1350" i="2" s="1"/>
  <c r="N1351" i="2"/>
  <c r="AE1351" i="2" s="1"/>
  <c r="N1352" i="2"/>
  <c r="N1353" i="2"/>
  <c r="AE1353" i="2" s="1"/>
  <c r="AF1353" i="2" s="1"/>
  <c r="N1354" i="2"/>
  <c r="AE1354" i="2" s="1"/>
  <c r="AF1354" i="2" s="1"/>
  <c r="N1355" i="2"/>
  <c r="N1356" i="2"/>
  <c r="N1357" i="2"/>
  <c r="AE1357" i="2" s="1"/>
  <c r="N1358" i="2"/>
  <c r="N1359" i="2"/>
  <c r="N1360" i="2"/>
  <c r="AE1360" i="2" s="1"/>
  <c r="AF1360" i="2" s="1"/>
  <c r="N1361" i="2"/>
  <c r="N1362" i="2"/>
  <c r="AE1362" i="2" s="1"/>
  <c r="AF1362" i="2" s="1"/>
  <c r="N1363" i="2"/>
  <c r="AE1363" i="2" s="1"/>
  <c r="N1364" i="2"/>
  <c r="N1365" i="2"/>
  <c r="AE1365" i="2" s="1"/>
  <c r="N1366" i="2"/>
  <c r="N1367" i="2"/>
  <c r="N1368" i="2"/>
  <c r="AE1368" i="2" s="1"/>
  <c r="N1369" i="2"/>
  <c r="AE1369" i="2" s="1"/>
  <c r="N1370" i="2"/>
  <c r="AE1370" i="2" s="1"/>
  <c r="N1371" i="2"/>
  <c r="N1372" i="2"/>
  <c r="N1373" i="2"/>
  <c r="N1374" i="2"/>
  <c r="N1375" i="2"/>
  <c r="AE1375" i="2" s="1"/>
  <c r="N1376" i="2"/>
  <c r="AE1376" i="2" s="1"/>
  <c r="AF1376" i="2" s="1"/>
  <c r="N1377" i="2"/>
  <c r="N1378" i="2"/>
  <c r="N1379" i="2"/>
  <c r="AE1379" i="2" s="1"/>
  <c r="AF1379" i="2" s="1"/>
  <c r="N1380" i="2"/>
  <c r="AE1380" i="2" s="1"/>
  <c r="N1381" i="2"/>
  <c r="N1382" i="2"/>
  <c r="N1383" i="2"/>
  <c r="AE1383" i="2" s="1"/>
  <c r="AF1383" i="2" s="1"/>
  <c r="N1384" i="2"/>
  <c r="AE1384" i="2" s="1"/>
  <c r="N1385" i="2"/>
  <c r="N1386" i="2"/>
  <c r="N1387" i="2"/>
  <c r="N1388" i="2"/>
  <c r="N1389" i="2"/>
  <c r="N1390" i="2"/>
  <c r="N1391" i="2"/>
  <c r="AE1391" i="2" s="1"/>
  <c r="N1392" i="2"/>
  <c r="AE1392" i="2" s="1"/>
  <c r="N1393" i="2"/>
  <c r="N1394" i="2"/>
  <c r="N1395" i="2"/>
  <c r="AE1395" i="2" s="1"/>
  <c r="N1396" i="2"/>
  <c r="AE1396" i="2" s="1"/>
  <c r="N1397" i="2"/>
  <c r="AE1397" i="2" s="1"/>
  <c r="N1398" i="2"/>
  <c r="AE1398" i="2" s="1"/>
  <c r="AF1398" i="2" s="1"/>
  <c r="N1399" i="2"/>
  <c r="N1400" i="2"/>
  <c r="AE1400" i="2" s="1"/>
  <c r="N1401" i="2"/>
  <c r="AE1401" i="2" s="1"/>
  <c r="AF1401" i="2" s="1"/>
  <c r="N1402" i="2"/>
  <c r="AE1402" i="2" s="1"/>
  <c r="N1403" i="2"/>
  <c r="N1404" i="2"/>
  <c r="N1405" i="2"/>
  <c r="AE1405" i="2" s="1"/>
  <c r="AF1405" i="2" s="1"/>
  <c r="N1406" i="2"/>
  <c r="N1407" i="2"/>
  <c r="N1408" i="2"/>
  <c r="N1409" i="2"/>
  <c r="N1410" i="2"/>
  <c r="N1411" i="2"/>
  <c r="N1412" i="2"/>
  <c r="AE1412" i="2" s="1"/>
  <c r="N1413" i="2"/>
  <c r="AE1413" i="2" s="1"/>
  <c r="AF1413" i="2" s="1"/>
  <c r="N1414" i="2"/>
  <c r="AE1414" i="2" s="1"/>
  <c r="AF1414" i="2" s="1"/>
  <c r="N1415" i="2"/>
  <c r="N1416" i="2"/>
  <c r="AE1416" i="2" s="1"/>
  <c r="N1417" i="2"/>
  <c r="N1418" i="2"/>
  <c r="N1419" i="2"/>
  <c r="N1420" i="2"/>
  <c r="N1421" i="2"/>
  <c r="AE1421" i="2" s="1"/>
  <c r="N1422" i="2"/>
  <c r="N1423" i="2"/>
  <c r="AE1423" i="2" s="1"/>
  <c r="AF1423" i="2" s="1"/>
  <c r="N1424" i="2"/>
  <c r="AE1424" i="2" s="1"/>
  <c r="N1425" i="2"/>
  <c r="N1426" i="2"/>
  <c r="AE1426" i="2" s="1"/>
  <c r="AF1426" i="2" s="1"/>
  <c r="N1427" i="2"/>
  <c r="N1428" i="2"/>
  <c r="N1429" i="2"/>
  <c r="N1430" i="2"/>
  <c r="AE1430" i="2" s="1"/>
  <c r="N1431" i="2"/>
  <c r="AE1431" i="2" s="1"/>
  <c r="N1432" i="2"/>
  <c r="N1433" i="2"/>
  <c r="N1434" i="2"/>
  <c r="AE1434" i="2" s="1"/>
  <c r="AF1434" i="2" s="1"/>
  <c r="N1435" i="2"/>
  <c r="N1436" i="2"/>
  <c r="N1437" i="2"/>
  <c r="AE1437" i="2" s="1"/>
  <c r="N1438" i="2"/>
  <c r="AE1438" i="2" s="1"/>
  <c r="N1439" i="2"/>
  <c r="N1440" i="2"/>
  <c r="AE1440" i="2" s="1"/>
  <c r="AF1440" i="2" s="1"/>
  <c r="N1441" i="2"/>
  <c r="AE1441" i="2" s="1"/>
  <c r="AF1441" i="2" s="1"/>
  <c r="N1442" i="2"/>
  <c r="AE1442" i="2" s="1"/>
  <c r="AF1442" i="2" s="1"/>
  <c r="N1443" i="2"/>
  <c r="AE1443" i="2" s="1"/>
  <c r="AF1443" i="2" s="1"/>
  <c r="N1444" i="2"/>
  <c r="AE1444" i="2" s="1"/>
  <c r="AF1444" i="2" s="1"/>
  <c r="N1445" i="2"/>
  <c r="AE1445" i="2" s="1"/>
  <c r="AF1445" i="2" s="1"/>
  <c r="N1446" i="2"/>
  <c r="AE1446" i="2" s="1"/>
  <c r="AF1446" i="2" s="1"/>
  <c r="N1447" i="2"/>
  <c r="N1448" i="2"/>
  <c r="AE1448" i="2" s="1"/>
  <c r="N1449" i="2"/>
  <c r="AE1449" i="2" s="1"/>
  <c r="AF1449" i="2" s="1"/>
  <c r="N1450" i="2"/>
  <c r="N1451" i="2"/>
  <c r="AE1451" i="2" s="1"/>
  <c r="N1452" i="2"/>
  <c r="N1453" i="2"/>
  <c r="N1454" i="2"/>
  <c r="N1455" i="2"/>
  <c r="N1456" i="2"/>
  <c r="AE1456" i="2" s="1"/>
  <c r="AF1456" i="2" s="1"/>
  <c r="N1457" i="2"/>
  <c r="AE1457" i="2" s="1"/>
  <c r="N1458" i="2"/>
  <c r="AE1458" i="2" s="1"/>
  <c r="AF1458" i="2" s="1"/>
  <c r="N1459" i="2"/>
  <c r="N1460" i="2"/>
  <c r="N1461" i="2"/>
  <c r="N1462" i="2"/>
  <c r="N1463" i="2"/>
  <c r="N1464" i="2"/>
  <c r="N1465" i="2"/>
  <c r="N1466" i="2"/>
  <c r="AE1466" i="2" s="1"/>
  <c r="N1467" i="2"/>
  <c r="N1468" i="2"/>
  <c r="N1469" i="2"/>
  <c r="N1470" i="2"/>
  <c r="N1471" i="2"/>
  <c r="AE1471" i="2" s="1"/>
  <c r="N1472" i="2"/>
  <c r="AE1472" i="2" s="1"/>
  <c r="N1473" i="2"/>
  <c r="AE1473" i="2" s="1"/>
  <c r="N1474" i="2"/>
  <c r="N1475" i="2"/>
  <c r="N1476" i="2"/>
  <c r="N1477" i="2"/>
  <c r="AE1477" i="2" s="1"/>
  <c r="AF1477" i="2" s="1"/>
  <c r="N1478" i="2"/>
  <c r="AE1478" i="2" s="1"/>
  <c r="AF1478" i="2" s="1"/>
  <c r="N1479" i="2"/>
  <c r="N1480" i="2"/>
  <c r="AE1480" i="2" s="1"/>
  <c r="N1481" i="2"/>
  <c r="AE1481" i="2" s="1"/>
  <c r="AF1481" i="2" s="1"/>
  <c r="N1482" i="2"/>
  <c r="N1483" i="2"/>
  <c r="AE1483" i="2" s="1"/>
  <c r="AF1483" i="2" s="1"/>
  <c r="N1484" i="2"/>
  <c r="AE1484" i="2" s="1"/>
  <c r="N1485" i="2"/>
  <c r="N1486" i="2"/>
  <c r="AE1486" i="2" s="1"/>
  <c r="AF1486" i="2" s="1"/>
  <c r="N1487" i="2"/>
  <c r="AE1487" i="2" s="1"/>
  <c r="N1488" i="2"/>
  <c r="AE1488" i="2" s="1"/>
  <c r="N1489" i="2"/>
  <c r="AE1489" i="2" s="1"/>
  <c r="N1490" i="2"/>
  <c r="N1491" i="2"/>
  <c r="AE1491" i="2" s="1"/>
  <c r="N1492" i="2"/>
  <c r="AE1492" i="2" s="1"/>
  <c r="AF1492" i="2" s="1"/>
  <c r="N1493" i="2"/>
  <c r="AE1493" i="2" s="1"/>
  <c r="N1494" i="2"/>
  <c r="N1495" i="2"/>
  <c r="N1496" i="2"/>
  <c r="N1497" i="2"/>
  <c r="N1498" i="2"/>
  <c r="N1499" i="2"/>
  <c r="N1500" i="2"/>
  <c r="N1501" i="2"/>
  <c r="N1502" i="2"/>
  <c r="N1503" i="2"/>
  <c r="N1504" i="2"/>
  <c r="AE1504" i="2" s="1"/>
  <c r="N1505" i="2"/>
  <c r="AE1505" i="2" s="1"/>
  <c r="N1506" i="2"/>
  <c r="AE1506" i="2" s="1"/>
  <c r="N1507" i="2"/>
  <c r="AE1507" i="2" s="1"/>
  <c r="AF1507" i="2" s="1"/>
  <c r="N1508" i="2"/>
  <c r="AE1508" i="2" s="1"/>
  <c r="AF1508" i="2" s="1"/>
  <c r="N1509" i="2"/>
  <c r="AE1509" i="2" s="1"/>
  <c r="N1510" i="2"/>
  <c r="AE1510" i="2" s="1"/>
  <c r="N1511" i="2"/>
  <c r="N1512" i="2"/>
  <c r="AE1512" i="2" s="1"/>
  <c r="N1513" i="2"/>
  <c r="AE1513" i="2" s="1"/>
  <c r="AF1513" i="2" s="1"/>
  <c r="N1514" i="2"/>
  <c r="N1515" i="2"/>
  <c r="AE1515" i="2" s="1"/>
  <c r="AF1515" i="2" s="1"/>
  <c r="N1516" i="2"/>
  <c r="AE1516" i="2" s="1"/>
  <c r="AF1516" i="2" s="1"/>
  <c r="N1517" i="2"/>
  <c r="N1518" i="2"/>
  <c r="N1519" i="2"/>
  <c r="N1520" i="2"/>
  <c r="AE1520" i="2" s="1"/>
  <c r="AF1520" i="2" s="1"/>
  <c r="N1521" i="2"/>
  <c r="N1522" i="2"/>
  <c r="N1523" i="2"/>
  <c r="N1524" i="2"/>
  <c r="N1525" i="2"/>
  <c r="AE1525" i="2" s="1"/>
  <c r="AF1525" i="2" s="1"/>
  <c r="N1526" i="2"/>
  <c r="N1527" i="2"/>
  <c r="N1528" i="2"/>
  <c r="N1529" i="2"/>
  <c r="AE1529" i="2" s="1"/>
  <c r="AF1529" i="2" s="1"/>
  <c r="N1530" i="2"/>
  <c r="N1531" i="2"/>
  <c r="N1532" i="2"/>
  <c r="N1533" i="2"/>
  <c r="AE1533" i="2" s="1"/>
  <c r="AF1533" i="2" s="1"/>
  <c r="N1534" i="2"/>
  <c r="N1535" i="2"/>
  <c r="N1536" i="2"/>
  <c r="AE1536" i="2" s="1"/>
  <c r="N1537" i="2"/>
  <c r="N1538" i="2"/>
  <c r="N1539" i="2"/>
  <c r="AE1539" i="2" s="1"/>
  <c r="N1540" i="2"/>
  <c r="AE1540" i="2" s="1"/>
  <c r="N1541" i="2"/>
  <c r="AE1541" i="2" s="1"/>
  <c r="N1542" i="2"/>
  <c r="N1543" i="2"/>
  <c r="N1544" i="2"/>
  <c r="N1545" i="2"/>
  <c r="AE1545" i="2" s="1"/>
  <c r="AF1545" i="2" s="1"/>
  <c r="N1546" i="2"/>
  <c r="N1547" i="2"/>
  <c r="N1548" i="2"/>
  <c r="N1549" i="2"/>
  <c r="N1550" i="2"/>
  <c r="AE1550" i="2" s="1"/>
  <c r="N1551" i="2"/>
  <c r="AE1551" i="2" s="1"/>
  <c r="N1552" i="2"/>
  <c r="AE1552" i="2" s="1"/>
  <c r="N1553" i="2"/>
  <c r="N1554" i="2"/>
  <c r="AE1554" i="2" s="1"/>
  <c r="AF1554" i="2" s="1"/>
  <c r="N1555" i="2"/>
  <c r="N1556" i="2"/>
  <c r="AE1556" i="2" s="1"/>
  <c r="N1557" i="2"/>
  <c r="N1558" i="2"/>
  <c r="N1559" i="2"/>
  <c r="AE1559" i="2" s="1"/>
  <c r="AF1559" i="2" s="1"/>
  <c r="N1560" i="2"/>
  <c r="AE1560" i="2" s="1"/>
  <c r="N1561" i="2"/>
  <c r="N1562" i="2"/>
  <c r="N1563" i="2"/>
  <c r="N1564" i="2"/>
  <c r="AE1564" i="2" s="1"/>
  <c r="N1565" i="2"/>
  <c r="AE1565" i="2" s="1"/>
  <c r="N1566" i="2"/>
  <c r="N1567" i="2"/>
  <c r="N1568" i="2"/>
  <c r="AE1568" i="2" s="1"/>
  <c r="N1569" i="2"/>
  <c r="AE1569" i="2" s="1"/>
  <c r="AF1569" i="2" s="1"/>
  <c r="N1570" i="2"/>
  <c r="AE1570" i="2" s="1"/>
  <c r="AF1570" i="2" s="1"/>
  <c r="N1571" i="2"/>
  <c r="N1572" i="2"/>
  <c r="N1573" i="2"/>
  <c r="AE1573" i="2" s="1"/>
  <c r="AF1573" i="2" s="1"/>
  <c r="N1574" i="2"/>
  <c r="AE1574" i="2" s="1"/>
  <c r="N1575" i="2"/>
  <c r="N1576" i="2"/>
  <c r="AE1576" i="2" s="1"/>
  <c r="N1577" i="2"/>
  <c r="N1578" i="2"/>
  <c r="N1579" i="2"/>
  <c r="N1580" i="2"/>
  <c r="AE1580" i="2" s="1"/>
  <c r="AF1580" i="2" s="1"/>
  <c r="N1581" i="2"/>
  <c r="AE1581" i="2" s="1"/>
  <c r="AF1581" i="2" s="1"/>
  <c r="N1582" i="2"/>
  <c r="AE1582" i="2" s="1"/>
  <c r="N1583" i="2"/>
  <c r="N1584" i="2"/>
  <c r="AE1584" i="2" s="1"/>
  <c r="N1585" i="2"/>
  <c r="N1586" i="2"/>
  <c r="N1587" i="2"/>
  <c r="AE1587" i="2" s="1"/>
  <c r="AF1587" i="2" s="1"/>
  <c r="N1588" i="2"/>
  <c r="AE1588" i="2" s="1"/>
  <c r="N1589" i="2"/>
  <c r="AE1589" i="2" s="1"/>
  <c r="N1590" i="2"/>
  <c r="N1591" i="2"/>
  <c r="N1592" i="2"/>
  <c r="N1593" i="2"/>
  <c r="N1594" i="2"/>
  <c r="N1595" i="2"/>
  <c r="N1596" i="2"/>
  <c r="N1597" i="2"/>
  <c r="N1598" i="2"/>
  <c r="AE1598" i="2" s="1"/>
  <c r="N1599" i="2"/>
  <c r="N1600" i="2"/>
  <c r="N1601" i="2"/>
  <c r="N1602" i="2"/>
  <c r="AE1602" i="2" s="1"/>
  <c r="AF1602" i="2" s="1"/>
  <c r="N1603" i="2"/>
  <c r="N1604" i="2"/>
  <c r="AE1604" i="2" s="1"/>
  <c r="N1605" i="2"/>
  <c r="N1606" i="2"/>
  <c r="AE1606" i="2" s="1"/>
  <c r="N1607" i="2"/>
  <c r="N1608" i="2"/>
  <c r="AE1608" i="2" s="1"/>
  <c r="AF1608" i="2" s="1"/>
  <c r="N1609" i="2"/>
  <c r="N1610" i="2"/>
  <c r="AE1610" i="2" s="1"/>
  <c r="AF1610" i="2" s="1"/>
  <c r="N1611" i="2"/>
  <c r="N1612" i="2"/>
  <c r="N1613" i="2"/>
  <c r="N1614" i="2"/>
  <c r="N1615" i="2"/>
  <c r="AE1615" i="2" s="1"/>
  <c r="N1616" i="2"/>
  <c r="AE1616" i="2" s="1"/>
  <c r="AF1616" i="2" s="1"/>
  <c r="N1617" i="2"/>
  <c r="AE1617" i="2" s="1"/>
  <c r="N1618" i="2"/>
  <c r="N1619" i="2"/>
  <c r="N1620" i="2"/>
  <c r="N1621" i="2"/>
  <c r="AE1621" i="2" s="1"/>
  <c r="N1622" i="2"/>
  <c r="N1623" i="2"/>
  <c r="AE1623" i="2" s="1"/>
  <c r="AF1623" i="2" s="1"/>
  <c r="N1624" i="2"/>
  <c r="AE1624" i="2" s="1"/>
  <c r="AF1624" i="2" s="1"/>
  <c r="N1625" i="2"/>
  <c r="N1626" i="2"/>
  <c r="N1627" i="2"/>
  <c r="AE1627" i="2" s="1"/>
  <c r="N1628" i="2"/>
  <c r="N1629" i="2"/>
  <c r="AE1629" i="2" s="1"/>
  <c r="AF1629" i="2" s="1"/>
  <c r="N1630" i="2"/>
  <c r="AE1630" i="2" s="1"/>
  <c r="N1631" i="2"/>
  <c r="AE1631" i="2" s="1"/>
  <c r="N1632" i="2"/>
  <c r="AE1632" i="2" s="1"/>
  <c r="N1633" i="2"/>
  <c r="AE1633" i="2" s="1"/>
  <c r="N1634" i="2"/>
  <c r="AE1634" i="2" s="1"/>
  <c r="N1635" i="2"/>
  <c r="AE1635" i="2" s="1"/>
  <c r="N1636" i="2"/>
  <c r="N1637" i="2"/>
  <c r="N1638" i="2"/>
  <c r="AE1638" i="2" s="1"/>
  <c r="N1639" i="2"/>
  <c r="AE1639" i="2" s="1"/>
  <c r="AF1639" i="2" s="1"/>
  <c r="N1640" i="2"/>
  <c r="AE1640" i="2" s="1"/>
  <c r="AF1640" i="2" s="1"/>
  <c r="N1641" i="2"/>
  <c r="N1642" i="2"/>
  <c r="AE1642" i="2" s="1"/>
  <c r="N1643" i="2"/>
  <c r="AE1643" i="2" s="1"/>
  <c r="AF1643" i="2" s="1"/>
  <c r="N1644" i="2"/>
  <c r="N1645" i="2"/>
  <c r="N1646" i="2"/>
  <c r="N1647" i="2"/>
  <c r="N1648" i="2"/>
  <c r="N1649" i="2"/>
  <c r="AE1649" i="2" s="1"/>
  <c r="AF1649" i="2" s="1"/>
  <c r="N1650" i="2"/>
  <c r="AE1650" i="2" s="1"/>
  <c r="N1651" i="2"/>
  <c r="N1652" i="2"/>
  <c r="AE1652" i="2" s="1"/>
  <c r="N1653" i="2"/>
  <c r="AE1653" i="2" s="1"/>
  <c r="N1654" i="2"/>
  <c r="AE1654" i="2" s="1"/>
  <c r="N1655" i="2"/>
  <c r="AE1655" i="2" s="1"/>
  <c r="N1656" i="2"/>
  <c r="N1657" i="2"/>
  <c r="AE1657" i="2" s="1"/>
  <c r="N1658" i="2"/>
  <c r="AE1658" i="2" s="1"/>
  <c r="N1659" i="2"/>
  <c r="AE1659" i="2" s="1"/>
  <c r="N1660" i="2"/>
  <c r="AE1660" i="2" s="1"/>
  <c r="N1661" i="2"/>
  <c r="N1662" i="2"/>
  <c r="AE1662" i="2" s="1"/>
  <c r="N1663" i="2"/>
  <c r="N1664" i="2"/>
  <c r="N1665" i="2"/>
  <c r="AE1665" i="2" s="1"/>
  <c r="N1666" i="2"/>
  <c r="AE1666" i="2" s="1"/>
  <c r="AF1666" i="2" s="1"/>
  <c r="N1667" i="2"/>
  <c r="AE1667" i="2" s="1"/>
  <c r="AF1667" i="2" s="1"/>
  <c r="N1668" i="2"/>
  <c r="AE1668" i="2" s="1"/>
  <c r="AF1668" i="2" s="1"/>
  <c r="N1669" i="2"/>
  <c r="AE1669" i="2" s="1"/>
  <c r="N1670" i="2"/>
  <c r="AE1670" i="2" s="1"/>
  <c r="N1671" i="2"/>
  <c r="N1672" i="2"/>
  <c r="AE1672" i="2" s="1"/>
  <c r="AF1672" i="2" s="1"/>
  <c r="N1673" i="2"/>
  <c r="AE1673" i="2" s="1"/>
  <c r="N1674" i="2"/>
  <c r="N1675" i="2"/>
  <c r="AE1675" i="2" s="1"/>
  <c r="AF1675" i="2" s="1"/>
  <c r="N1676" i="2"/>
  <c r="N1677" i="2"/>
  <c r="N1678" i="2"/>
  <c r="N1679" i="2"/>
  <c r="N1680" i="2"/>
  <c r="N1681" i="2"/>
  <c r="N1682" i="2"/>
  <c r="AE1682" i="2" s="1"/>
  <c r="N1683" i="2"/>
  <c r="AE1683" i="2" s="1"/>
  <c r="N1684" i="2"/>
  <c r="N1685" i="2"/>
  <c r="N1686" i="2"/>
  <c r="N1687" i="2"/>
  <c r="AE1687" i="2" s="1"/>
  <c r="AF1687" i="2" s="1"/>
  <c r="N1688" i="2"/>
  <c r="N1689" i="2"/>
  <c r="N1690" i="2"/>
  <c r="N1691" i="2"/>
  <c r="N1692" i="2"/>
  <c r="N1693" i="2"/>
  <c r="AE1693" i="2" s="1"/>
  <c r="AF1693" i="2" s="1"/>
  <c r="N1694" i="2"/>
  <c r="N1695" i="2"/>
  <c r="N1696" i="2"/>
  <c r="N1697" i="2"/>
  <c r="N1698" i="2"/>
  <c r="N1699" i="2"/>
  <c r="N1700" i="2"/>
  <c r="N1701" i="2"/>
  <c r="N1702" i="2"/>
  <c r="N1703" i="2"/>
  <c r="AE1703" i="2" s="1"/>
  <c r="N1704" i="2"/>
  <c r="N1705" i="2"/>
  <c r="N1706" i="2"/>
  <c r="N1707" i="2"/>
  <c r="N1708" i="2"/>
  <c r="AE1708" i="2" s="1"/>
  <c r="N1709" i="2"/>
  <c r="AE1709" i="2" s="1"/>
  <c r="N1710" i="2"/>
  <c r="AE1710" i="2" s="1"/>
  <c r="N1711" i="2"/>
  <c r="N1712" i="2"/>
  <c r="N1713" i="2"/>
  <c r="AE1713" i="2" s="1"/>
  <c r="N1714" i="2"/>
  <c r="N1715" i="2"/>
  <c r="AE1715" i="2" s="1"/>
  <c r="AF1715" i="2" s="1"/>
  <c r="N1716" i="2"/>
  <c r="AE1716" i="2" s="1"/>
  <c r="AF1716" i="2" s="1"/>
  <c r="N1717" i="2"/>
  <c r="AE1717" i="2" s="1"/>
  <c r="N1718" i="2"/>
  <c r="AE1718" i="2" s="1"/>
  <c r="N1719" i="2"/>
  <c r="AE1719" i="2" s="1"/>
  <c r="N1720" i="2"/>
  <c r="AE1720" i="2" s="1"/>
  <c r="N1721" i="2"/>
  <c r="AE1721" i="2" s="1"/>
  <c r="N1722" i="2"/>
  <c r="AE1722" i="2" s="1"/>
  <c r="N1723" i="2"/>
  <c r="N1724" i="2"/>
  <c r="N1725" i="2"/>
  <c r="AE1725" i="2" s="1"/>
  <c r="N1726" i="2"/>
  <c r="AE1726" i="2" s="1"/>
  <c r="N1727" i="2"/>
  <c r="AE1727" i="2" s="1"/>
  <c r="AF1727" i="2" s="1"/>
  <c r="N1728" i="2"/>
  <c r="AE1728" i="2" s="1"/>
  <c r="AF1728" i="2" s="1"/>
  <c r="N1729" i="2"/>
  <c r="N1730" i="2"/>
  <c r="N1731" i="2"/>
  <c r="N1732" i="2"/>
  <c r="AE1732" i="2" s="1"/>
  <c r="AF1732" i="2" s="1"/>
  <c r="N1733" i="2"/>
  <c r="N1734" i="2"/>
  <c r="N1735" i="2"/>
  <c r="N1736" i="2"/>
  <c r="AE1736" i="2" s="1"/>
  <c r="AF1736" i="2" s="1"/>
  <c r="N1737" i="2"/>
  <c r="AE1737" i="2" s="1"/>
  <c r="N1738" i="2"/>
  <c r="N1739" i="2"/>
  <c r="N1740" i="2"/>
  <c r="AE1740" i="2" s="1"/>
  <c r="N1741" i="2"/>
  <c r="AE1741" i="2" s="1"/>
  <c r="AF1741" i="2" s="1"/>
  <c r="N1742" i="2"/>
  <c r="AE1742" i="2" s="1"/>
  <c r="N1743" i="2"/>
  <c r="AE1743" i="2" s="1"/>
  <c r="N1744" i="2"/>
  <c r="AE1744" i="2" s="1"/>
  <c r="AF1744" i="2" s="1"/>
  <c r="N1745" i="2"/>
  <c r="AE1745" i="2" s="1"/>
  <c r="AF1745" i="2" s="1"/>
  <c r="N1746" i="2"/>
  <c r="N1747" i="2"/>
  <c r="N1748" i="2"/>
  <c r="AE1748" i="2" s="1"/>
  <c r="N1749" i="2"/>
  <c r="AE1749" i="2" s="1"/>
  <c r="AF1749" i="2" s="1"/>
  <c r="N1750" i="2"/>
  <c r="N1751" i="2"/>
  <c r="AE1751" i="2" s="1"/>
  <c r="N1752" i="2"/>
  <c r="AE1752" i="2" s="1"/>
  <c r="N1753" i="2"/>
  <c r="N1754" i="2"/>
  <c r="N1755" i="2"/>
  <c r="N1756" i="2"/>
  <c r="AE1756" i="2" s="1"/>
  <c r="AF1756" i="2" s="1"/>
  <c r="N1757" i="2"/>
  <c r="AE1757" i="2" s="1"/>
  <c r="N1758" i="2"/>
  <c r="N1759" i="2"/>
  <c r="N1760" i="2"/>
  <c r="AE1760" i="2" s="1"/>
  <c r="AF1760" i="2" s="1"/>
  <c r="N1761" i="2"/>
  <c r="N1762" i="2"/>
  <c r="N1763" i="2"/>
  <c r="N1764" i="2"/>
  <c r="N1765" i="2"/>
  <c r="AE1765" i="2" s="1"/>
  <c r="AF1765" i="2" s="1"/>
  <c r="N1766" i="2"/>
  <c r="N1767" i="2"/>
  <c r="AE1767" i="2" s="1"/>
  <c r="AF1767" i="2" s="1"/>
  <c r="N1768" i="2"/>
  <c r="AE1768" i="2" s="1"/>
  <c r="N1769" i="2"/>
  <c r="N1770" i="2"/>
  <c r="N1771" i="2"/>
  <c r="AE1771" i="2" s="1"/>
  <c r="N1772" i="2"/>
  <c r="AE1772" i="2" s="1"/>
  <c r="N1773" i="2"/>
  <c r="N1774" i="2"/>
  <c r="N1775" i="2"/>
  <c r="AE1775" i="2" s="1"/>
  <c r="AF1775" i="2" s="1"/>
  <c r="N1776" i="2"/>
  <c r="N1777" i="2"/>
  <c r="N1778" i="2"/>
  <c r="N1779" i="2"/>
  <c r="AE1779" i="2" s="1"/>
  <c r="N1780" i="2"/>
  <c r="AE1780" i="2" s="1"/>
  <c r="N1781" i="2"/>
  <c r="N1782" i="2"/>
  <c r="N1783" i="2"/>
  <c r="N1784" i="2"/>
  <c r="N1785" i="2"/>
  <c r="N1786" i="2"/>
  <c r="N1787" i="2"/>
  <c r="N1788" i="2"/>
  <c r="AE1788" i="2" s="1"/>
  <c r="AF1788" i="2" s="1"/>
  <c r="N1789" i="2"/>
  <c r="AE1789" i="2" s="1"/>
  <c r="AF1789" i="2" s="1"/>
  <c r="N1790" i="2"/>
  <c r="AE1790" i="2" s="1"/>
  <c r="N1791" i="2"/>
  <c r="AE1791" i="2" s="1"/>
  <c r="N1792" i="2"/>
  <c r="N1793" i="2"/>
  <c r="AE1793" i="2" s="1"/>
  <c r="N1794" i="2"/>
  <c r="N1795" i="2"/>
  <c r="N1796" i="2"/>
  <c r="AE1796" i="2" s="1"/>
  <c r="N1797" i="2"/>
  <c r="AE1797" i="2" s="1"/>
  <c r="AF1797" i="2" s="1"/>
  <c r="N1798" i="2"/>
  <c r="AE1798" i="2" s="1"/>
  <c r="N1799" i="2"/>
  <c r="N1800" i="2"/>
  <c r="N1801" i="2"/>
  <c r="AE1801" i="2" s="1"/>
  <c r="N1802" i="2"/>
  <c r="AE1802" i="2" s="1"/>
  <c r="N1803" i="2"/>
  <c r="AE1803" i="2" s="1"/>
  <c r="N1804" i="2"/>
  <c r="AE1804" i="2" s="1"/>
  <c r="N1805" i="2"/>
  <c r="AE1805" i="2" s="1"/>
  <c r="AF1805" i="2" s="1"/>
  <c r="N1806" i="2"/>
  <c r="AE1806" i="2" s="1"/>
  <c r="AF1806" i="2" s="1"/>
  <c r="N1807" i="2"/>
  <c r="N1808" i="2"/>
  <c r="AE1808" i="2" s="1"/>
  <c r="AF1808" i="2" s="1"/>
  <c r="N1809" i="2"/>
  <c r="AE1809" i="2" s="1"/>
  <c r="N1810" i="2"/>
  <c r="AE1810" i="2" s="1"/>
  <c r="N1811" i="2"/>
  <c r="AE1811" i="2" s="1"/>
  <c r="N1812" i="2"/>
  <c r="AE1812" i="2" s="1"/>
  <c r="AF1812" i="2" s="1"/>
  <c r="N1813" i="2"/>
  <c r="AE1813" i="2" s="1"/>
  <c r="N1814" i="2"/>
  <c r="N1815" i="2"/>
  <c r="AE1815" i="2" s="1"/>
  <c r="N1816" i="2"/>
  <c r="N1817" i="2"/>
  <c r="N1818" i="2"/>
  <c r="N1819" i="2"/>
  <c r="AE1819" i="2" s="1"/>
  <c r="N1820" i="2"/>
  <c r="N1821" i="2"/>
  <c r="AE1821" i="2" s="1"/>
  <c r="AF1821" i="2" s="1"/>
  <c r="N1822" i="2"/>
  <c r="N1823" i="2"/>
  <c r="AE1823" i="2" s="1"/>
  <c r="N1824" i="2"/>
  <c r="N1825" i="2"/>
  <c r="AE1825" i="2" s="1"/>
  <c r="AF1825" i="2" s="1"/>
  <c r="N1826" i="2"/>
  <c r="N1827" i="2"/>
  <c r="N1828" i="2"/>
  <c r="N1829" i="2"/>
  <c r="AE1829" i="2" s="1"/>
  <c r="N1830" i="2"/>
  <c r="N1831" i="2"/>
  <c r="AE1831" i="2" s="1"/>
  <c r="N1832" i="2"/>
  <c r="AE1832" i="2" s="1"/>
  <c r="N1833" i="2"/>
  <c r="N1834" i="2"/>
  <c r="N1835" i="2"/>
  <c r="N1836" i="2"/>
  <c r="AE1836" i="2" s="1"/>
  <c r="N1837" i="2"/>
  <c r="AE1837" i="2" s="1"/>
  <c r="N1838" i="2"/>
  <c r="AE1838" i="2" s="1"/>
  <c r="N1839" i="2"/>
  <c r="AE1839" i="2" s="1"/>
  <c r="N1840" i="2"/>
  <c r="AE1840" i="2" s="1"/>
  <c r="N1841" i="2"/>
  <c r="N1842" i="2"/>
  <c r="N1843" i="2"/>
  <c r="N1844" i="2"/>
  <c r="N1845" i="2"/>
  <c r="N1846" i="2"/>
  <c r="AE1846" i="2" s="1"/>
  <c r="N1847" i="2"/>
  <c r="AE1847" i="2" s="1"/>
  <c r="N1848" i="2"/>
  <c r="N1849" i="2"/>
  <c r="AE1849" i="2" s="1"/>
  <c r="N1850" i="2"/>
  <c r="AE1850" i="2" s="1"/>
  <c r="N1851" i="2"/>
  <c r="AE1851" i="2" s="1"/>
  <c r="N1852" i="2"/>
  <c r="AE1852" i="2" s="1"/>
  <c r="N1853" i="2"/>
  <c r="AE1853" i="2" s="1"/>
  <c r="N1854" i="2"/>
  <c r="N1855" i="2"/>
  <c r="N1856" i="2"/>
  <c r="N1857" i="2"/>
  <c r="AE1857" i="2" s="1"/>
  <c r="N1858" i="2"/>
  <c r="AE1858" i="2" s="1"/>
  <c r="AF1858" i="2" s="1"/>
  <c r="N1859" i="2"/>
  <c r="AE1859" i="2" s="1"/>
  <c r="N1860" i="2"/>
  <c r="N1861" i="2"/>
  <c r="N1862" i="2"/>
  <c r="N1863" i="2"/>
  <c r="AE1863" i="2" s="1"/>
  <c r="N1864" i="2"/>
  <c r="AE1864" i="2" s="1"/>
  <c r="N1865" i="2"/>
  <c r="N1866" i="2"/>
  <c r="N1867" i="2"/>
  <c r="N1868" i="2"/>
  <c r="AE1868" i="2" s="1"/>
  <c r="N1869" i="2"/>
  <c r="AE1869" i="2" s="1"/>
  <c r="N1870" i="2"/>
  <c r="N1871" i="2"/>
  <c r="N1872" i="2"/>
  <c r="AE1872" i="2" s="1"/>
  <c r="AF1872" i="2" s="1"/>
  <c r="N1873" i="2"/>
  <c r="N1874" i="2"/>
  <c r="AE1874" i="2" s="1"/>
  <c r="AF1874" i="2" s="1"/>
  <c r="N1875" i="2"/>
  <c r="AE1875" i="2" s="1"/>
  <c r="N1876" i="2"/>
  <c r="AE1876" i="2" s="1"/>
  <c r="N1877" i="2"/>
  <c r="AE1877" i="2" s="1"/>
  <c r="N1878" i="2"/>
  <c r="AE1878" i="2" s="1"/>
  <c r="N1879" i="2"/>
  <c r="N1880" i="2"/>
  <c r="N1881" i="2"/>
  <c r="AE1881" i="2" s="1"/>
  <c r="N1882" i="2"/>
  <c r="AE1882" i="2" s="1"/>
  <c r="N1883" i="2"/>
  <c r="AE1883" i="2" s="1"/>
  <c r="AF1883" i="2" s="1"/>
  <c r="N1884" i="2"/>
  <c r="AE1884" i="2" s="1"/>
  <c r="N1885" i="2"/>
  <c r="AE1885" i="2" s="1"/>
  <c r="N1886" i="2"/>
  <c r="AE1886" i="2" s="1"/>
  <c r="N1887" i="2"/>
  <c r="N1888" i="2"/>
  <c r="N1889" i="2"/>
  <c r="N1890" i="2"/>
  <c r="AE1890" i="2" s="1"/>
  <c r="AF1890" i="2" s="1"/>
  <c r="N1891" i="2"/>
  <c r="N1892" i="2"/>
  <c r="AE1892" i="2" s="1"/>
  <c r="N1893" i="2"/>
  <c r="N1894" i="2"/>
  <c r="N1895" i="2"/>
  <c r="AE1895" i="2" s="1"/>
  <c r="N1896" i="2"/>
  <c r="N1897" i="2"/>
  <c r="AE1897" i="2" s="1"/>
  <c r="N1898" i="2"/>
  <c r="N1899" i="2"/>
  <c r="AE1899" i="2" s="1"/>
  <c r="AF1899" i="2" s="1"/>
  <c r="N1900" i="2"/>
  <c r="N1901" i="2"/>
  <c r="N1902" i="2"/>
  <c r="AE1902" i="2" s="1"/>
  <c r="N1903" i="2"/>
  <c r="N1904" i="2"/>
  <c r="N1905" i="2"/>
  <c r="N1906" i="2"/>
  <c r="N1907" i="2"/>
  <c r="N1908" i="2"/>
  <c r="N1909" i="2"/>
  <c r="AE1909" i="2" s="1"/>
  <c r="N1910" i="2"/>
  <c r="AE1910" i="2" s="1"/>
  <c r="N1911" i="2"/>
  <c r="N1912" i="2"/>
  <c r="N1913" i="2"/>
  <c r="N1914" i="2"/>
  <c r="AE1914" i="2" s="1"/>
  <c r="N1915" i="2"/>
  <c r="N1916" i="2"/>
  <c r="N1917" i="2"/>
  <c r="N1918" i="2"/>
  <c r="N1919" i="2"/>
  <c r="AE1919" i="2" s="1"/>
  <c r="N1920" i="2"/>
  <c r="N1921" i="2"/>
  <c r="AE1921" i="2" s="1"/>
  <c r="N1922" i="2"/>
  <c r="AE1922" i="2" s="1"/>
  <c r="N1923" i="2"/>
  <c r="AE1923" i="2" s="1"/>
  <c r="AF1923" i="2" s="1"/>
  <c r="N1924" i="2"/>
  <c r="N1925" i="2"/>
  <c r="N1926" i="2"/>
  <c r="AE1926" i="2" s="1"/>
  <c r="N1927" i="2"/>
  <c r="AE1927" i="2" s="1"/>
  <c r="N1928" i="2"/>
  <c r="N1929" i="2"/>
  <c r="AE1929" i="2" s="1"/>
  <c r="N1930" i="2"/>
  <c r="N1931" i="2"/>
  <c r="N1932" i="2"/>
  <c r="N1933" i="2"/>
  <c r="N1934" i="2"/>
  <c r="N1935" i="2"/>
  <c r="N1936" i="2"/>
  <c r="N1937" i="2"/>
  <c r="N1938" i="2"/>
  <c r="AE1938" i="2" s="1"/>
  <c r="N1939" i="2"/>
  <c r="AE1939" i="2" s="1"/>
  <c r="N1940" i="2"/>
  <c r="AE1940" i="2" s="1"/>
  <c r="N1941" i="2"/>
  <c r="AE1941" i="2" s="1"/>
  <c r="N1942" i="2"/>
  <c r="N1943" i="2"/>
  <c r="AE1943" i="2" s="1"/>
  <c r="N1944" i="2"/>
  <c r="N1945" i="2"/>
  <c r="N1946" i="2"/>
  <c r="N1947" i="2"/>
  <c r="AE1947" i="2" s="1"/>
  <c r="AF1947" i="2" s="1"/>
  <c r="N1948" i="2"/>
  <c r="AE1948" i="2" s="1"/>
  <c r="N1949" i="2"/>
  <c r="N1950" i="2"/>
  <c r="AE1950" i="2" s="1"/>
  <c r="AF1950" i="2" s="1"/>
  <c r="N1951" i="2"/>
  <c r="AE1951" i="2" s="1"/>
  <c r="N1952" i="2"/>
  <c r="N1953" i="2"/>
  <c r="AE1953" i="2" s="1"/>
  <c r="N1954" i="2"/>
  <c r="N1955" i="2"/>
  <c r="N1956" i="2"/>
  <c r="AE1956" i="2" s="1"/>
  <c r="AF1956" i="2" s="1"/>
  <c r="N1957" i="2"/>
  <c r="N1958" i="2"/>
  <c r="N1959" i="2"/>
  <c r="N1960" i="2"/>
  <c r="AE1960" i="2" s="1"/>
  <c r="AF1960" i="2" s="1"/>
  <c r="N1961" i="2"/>
  <c r="AE1961" i="2" s="1"/>
  <c r="N1962" i="2"/>
  <c r="AE1962" i="2" s="1"/>
  <c r="AF1962" i="2" s="1"/>
  <c r="N1963" i="2"/>
  <c r="AE1963" i="2" s="1"/>
  <c r="N1964" i="2"/>
  <c r="AE1964" i="2" s="1"/>
  <c r="N1965" i="2"/>
  <c r="N1966" i="2"/>
  <c r="N1967" i="2"/>
  <c r="AE1967" i="2" s="1"/>
  <c r="N1968" i="2"/>
  <c r="AE1968" i="2" s="1"/>
  <c r="N1969" i="2"/>
  <c r="AE1969" i="2" s="1"/>
  <c r="AF1969" i="2" s="1"/>
  <c r="N1970" i="2"/>
  <c r="AE1970" i="2" s="1"/>
  <c r="AF1970" i="2" s="1"/>
  <c r="N1971" i="2"/>
  <c r="AE1971" i="2" s="1"/>
  <c r="N1972" i="2"/>
  <c r="AE1972" i="2" s="1"/>
  <c r="AF1972" i="2" s="1"/>
  <c r="N1973" i="2"/>
  <c r="N1974" i="2"/>
  <c r="N1975" i="2"/>
  <c r="AE1975" i="2" s="1"/>
  <c r="AF1975" i="2" s="1"/>
  <c r="N1976" i="2"/>
  <c r="AE1976" i="2" s="1"/>
  <c r="N1977" i="2"/>
  <c r="N1978" i="2"/>
  <c r="AE1978" i="2" s="1"/>
  <c r="N1979" i="2"/>
  <c r="AE1979" i="2" s="1"/>
  <c r="N1980" i="2"/>
  <c r="AE1980" i="2" s="1"/>
  <c r="AF1980" i="2" s="1"/>
  <c r="N1981" i="2"/>
  <c r="AE1981" i="2" s="1"/>
  <c r="N1982" i="2"/>
  <c r="AE1982" i="2" s="1"/>
  <c r="AF1982" i="2" s="1"/>
  <c r="N1983" i="2"/>
  <c r="AE1983" i="2" s="1"/>
  <c r="N1984" i="2"/>
  <c r="AE1984" i="2" s="1"/>
  <c r="N1985" i="2"/>
  <c r="AE1985" i="2" s="1"/>
  <c r="N1986" i="2"/>
  <c r="N1987" i="2"/>
  <c r="AE1987" i="2" s="1"/>
  <c r="N1988" i="2"/>
  <c r="N1989" i="2"/>
  <c r="AW2" i="2"/>
  <c r="AU2" i="2"/>
  <c r="AV2" i="2" s="1"/>
  <c r="AF1752" i="2" l="1"/>
  <c r="AF765" i="2"/>
  <c r="AF1864" i="2"/>
  <c r="AE174" i="2"/>
  <c r="AF174" i="2" s="1"/>
  <c r="AE1585" i="2"/>
  <c r="AF1585" i="2" s="1"/>
  <c r="AE728" i="2"/>
  <c r="AF728" i="2" s="1"/>
  <c r="AE427" i="2"/>
  <c r="AF427" i="2" s="1"/>
  <c r="AE1023" i="2"/>
  <c r="AF97" i="2"/>
  <c r="AE554" i="2"/>
  <c r="AF554" i="2" s="1"/>
  <c r="AE209" i="2"/>
  <c r="AF209" i="2" s="1"/>
  <c r="AE819" i="2"/>
  <c r="AF819" i="2" s="1"/>
  <c r="AF793" i="2"/>
  <c r="AF1655" i="2"/>
  <c r="AE681" i="2"/>
  <c r="AF681" i="2" s="1"/>
  <c r="AE329" i="2"/>
  <c r="AF329" i="2" s="1"/>
  <c r="AF1863" i="2"/>
  <c r="AE9" i="2"/>
  <c r="AF9" i="2" s="1"/>
  <c r="AF1737" i="2"/>
  <c r="AE1543" i="2"/>
  <c r="AF1543" i="2" s="1"/>
  <c r="AF1793" i="2"/>
  <c r="AF1621" i="2"/>
  <c r="AE826" i="2"/>
  <c r="AF826" i="2" s="1"/>
  <c r="AE776" i="2"/>
  <c r="AF776" i="2" s="1"/>
  <c r="AE146" i="2"/>
  <c r="AF146" i="2" s="1"/>
  <c r="AE1388" i="2"/>
  <c r="AF1388" i="2" s="1"/>
  <c r="AE1104" i="2"/>
  <c r="AF1104" i="2" s="1"/>
  <c r="AE635" i="2"/>
  <c r="AF635" i="2" s="1"/>
  <c r="AF457" i="2"/>
  <c r="AE422" i="2"/>
  <c r="AF422" i="2" s="1"/>
  <c r="AE1912" i="2"/>
  <c r="AF1912" i="2" s="1"/>
  <c r="AF911" i="2"/>
  <c r="AF585" i="2"/>
  <c r="AF1654" i="2"/>
  <c r="AF290" i="2"/>
  <c r="AE1119" i="2"/>
  <c r="AF1119" i="2" s="1"/>
  <c r="AE1311" i="2"/>
  <c r="AF1311" i="2" s="1"/>
  <c r="AE822" i="2"/>
  <c r="AF822" i="2" s="1"/>
  <c r="AE1012" i="2"/>
  <c r="AF1012" i="2" s="1"/>
  <c r="AE896" i="2"/>
  <c r="AF896" i="2" s="1"/>
  <c r="AE1132" i="2"/>
  <c r="AF1132" i="2" s="1"/>
  <c r="AE1035" i="2"/>
  <c r="AF1035" i="2" s="1"/>
  <c r="AE1679" i="2"/>
  <c r="AF1679" i="2" s="1"/>
  <c r="AE592" i="2"/>
  <c r="AF592" i="2" s="1"/>
  <c r="AE1173" i="2"/>
  <c r="AF1173" i="2" s="1"/>
  <c r="AE172" i="2"/>
  <c r="AF172" i="2" s="1"/>
  <c r="AE1215" i="2"/>
  <c r="AF1215" i="2" s="1"/>
  <c r="AE1249" i="2"/>
  <c r="AF1249" i="2" s="1"/>
  <c r="AE836" i="2"/>
  <c r="AF836" i="2" s="1"/>
  <c r="AE544" i="2"/>
  <c r="AF544" i="2" s="1"/>
  <c r="AE753" i="2"/>
  <c r="AF753" i="2" s="1"/>
  <c r="AE1586" i="2"/>
  <c r="AF1586" i="2" s="1"/>
  <c r="AE1095" i="2"/>
  <c r="AF1095" i="2" s="1"/>
  <c r="AE302" i="2"/>
  <c r="AF302" i="2" s="1"/>
  <c r="AE1485" i="2"/>
  <c r="AF1485" i="2" s="1"/>
  <c r="AF1751" i="2"/>
  <c r="AF1295" i="2"/>
  <c r="AF1201" i="2"/>
  <c r="AE646" i="2"/>
  <c r="AF646" i="2" s="1"/>
  <c r="AE229" i="2"/>
  <c r="AF229" i="2" s="1"/>
  <c r="AE135" i="2"/>
  <c r="AF135" i="2" s="1"/>
  <c r="AE1930" i="2"/>
  <c r="AF1930" i="2" s="1"/>
  <c r="AE1265" i="2"/>
  <c r="AF1265" i="2" s="1"/>
  <c r="AE1251" i="2"/>
  <c r="AF1251" i="2" s="1"/>
  <c r="AE562" i="2"/>
  <c r="AF562" i="2" s="1"/>
  <c r="AE860" i="2"/>
  <c r="AF860" i="2" s="1"/>
  <c r="AE429" i="2"/>
  <c r="AF429" i="2" s="1"/>
  <c r="AE191" i="2"/>
  <c r="AF191" i="2" s="1"/>
  <c r="AE13" i="2"/>
  <c r="AF13" i="2" s="1"/>
  <c r="AE1566" i="2"/>
  <c r="AF1566" i="2" s="1"/>
  <c r="AF727" i="2"/>
  <c r="AF770" i="2"/>
  <c r="AF1757" i="2"/>
  <c r="AE1108" i="2"/>
  <c r="AF1108" i="2" s="1"/>
  <c r="AE1034" i="2"/>
  <c r="AF1034" i="2" s="1"/>
  <c r="AF811" i="2"/>
  <c r="AE456" i="2"/>
  <c r="AF456" i="2" s="1"/>
  <c r="AE558" i="2"/>
  <c r="AF558" i="2" s="1"/>
  <c r="AF1839" i="2"/>
  <c r="AE1144" i="2"/>
  <c r="AF1144" i="2" s="1"/>
  <c r="AE1039" i="2"/>
  <c r="AF1039" i="2" s="1"/>
  <c r="AE1361" i="2"/>
  <c r="AF1361" i="2" s="1"/>
  <c r="AF1014" i="2"/>
  <c r="AE150" i="2"/>
  <c r="AF150" i="2" s="1"/>
  <c r="AF1652" i="2"/>
  <c r="AE200" i="2"/>
  <c r="AF200" i="2" s="1"/>
  <c r="AE1237" i="2"/>
  <c r="AF1237" i="2" s="1"/>
  <c r="AF1627" i="2"/>
  <c r="AF1617" i="2"/>
  <c r="AF1437" i="2"/>
  <c r="AF1283" i="2"/>
  <c r="AF1272" i="2"/>
  <c r="AF1000" i="2"/>
  <c r="AE729" i="2"/>
  <c r="AF729" i="2" s="1"/>
  <c r="AE912" i="2"/>
  <c r="AF912" i="2" s="1"/>
  <c r="AF249" i="2"/>
  <c r="AE192" i="2"/>
  <c r="AF192" i="2" s="1"/>
  <c r="AF35" i="2"/>
  <c r="AE487" i="2"/>
  <c r="AF487" i="2" s="1"/>
  <c r="AF1424" i="2"/>
  <c r="AF1301" i="2"/>
  <c r="AE1936" i="2"/>
  <c r="AF1936" i="2" s="1"/>
  <c r="AE1593" i="2"/>
  <c r="AF1593" i="2" s="1"/>
  <c r="AE1406" i="2"/>
  <c r="AF1406" i="2" s="1"/>
  <c r="AE1335" i="2"/>
  <c r="AF1335" i="2" s="1"/>
  <c r="AE327" i="2"/>
  <c r="AF327" i="2" s="1"/>
  <c r="AF90" i="2"/>
  <c r="AE1463" i="2"/>
  <c r="AF1463" i="2" s="1"/>
  <c r="AF1167" i="2"/>
  <c r="AE968" i="2"/>
  <c r="AF968" i="2" s="1"/>
  <c r="AF1938" i="2"/>
  <c r="AF1927" i="2"/>
  <c r="AF1892" i="2"/>
  <c r="AE1827" i="2"/>
  <c r="AF1827" i="2" s="1"/>
  <c r="AE1200" i="2"/>
  <c r="AF1200" i="2" s="1"/>
  <c r="AE950" i="2"/>
  <c r="AF950" i="2" s="1"/>
  <c r="AE938" i="2"/>
  <c r="AF938" i="2" s="1"/>
  <c r="AE1042" i="2"/>
  <c r="AF1042" i="2" s="1"/>
  <c r="AE799" i="2"/>
  <c r="AF799" i="2" s="1"/>
  <c r="AE605" i="2"/>
  <c r="AF605" i="2" s="1"/>
  <c r="AE20" i="2"/>
  <c r="AF20" i="2" s="1"/>
  <c r="AF133" i="2"/>
  <c r="AE453" i="2"/>
  <c r="AF453" i="2" s="1"/>
  <c r="AF1840" i="2"/>
  <c r="AF1801" i="2"/>
  <c r="AF1421" i="2"/>
  <c r="AE782" i="2"/>
  <c r="AF782" i="2" s="1"/>
  <c r="AE699" i="2"/>
  <c r="AF699" i="2" s="1"/>
  <c r="AE195" i="2"/>
  <c r="AF195" i="2" s="1"/>
  <c r="AF39" i="2"/>
  <c r="AF116" i="2"/>
  <c r="AE563" i="2"/>
  <c r="AF563" i="2" s="1"/>
  <c r="AE573" i="2"/>
  <c r="AF573" i="2" s="1"/>
  <c r="AE767" i="2"/>
  <c r="AF767" i="2" s="1"/>
  <c r="AF961" i="2"/>
  <c r="AF1303" i="2"/>
  <c r="AF1719" i="2"/>
  <c r="AE161" i="2"/>
  <c r="AF161" i="2" s="1"/>
  <c r="AE1001" i="2"/>
  <c r="AF1001" i="2" s="1"/>
  <c r="AE638" i="2"/>
  <c r="AF638" i="2" s="1"/>
  <c r="AE1057" i="2"/>
  <c r="AF1057" i="2" s="1"/>
  <c r="AE1814" i="2"/>
  <c r="AF1814" i="2" s="1"/>
  <c r="AE933" i="2"/>
  <c r="AF933" i="2" s="1"/>
  <c r="AE1047" i="2"/>
  <c r="AF1047" i="2" s="1"/>
  <c r="AE650" i="2"/>
  <c r="AF650" i="2" s="1"/>
  <c r="AE667" i="2"/>
  <c r="AF667" i="2" s="1"/>
  <c r="AE1359" i="2"/>
  <c r="AF1359" i="2" s="1"/>
  <c r="AF1851" i="2"/>
  <c r="AE820" i="2"/>
  <c r="AF820" i="2" s="1"/>
  <c r="AF10" i="2"/>
  <c r="AF1028" i="2"/>
  <c r="AE586" i="2"/>
  <c r="AF586" i="2" s="1"/>
  <c r="AF481" i="2"/>
  <c r="AE1253" i="2"/>
  <c r="AF1253" i="2" s="1"/>
  <c r="AE988" i="2"/>
  <c r="AF988" i="2" s="1"/>
  <c r="AE1558" i="2"/>
  <c r="AF1558" i="2" s="1"/>
  <c r="AE875" i="2"/>
  <c r="AF875" i="2" s="1"/>
  <c r="AE674" i="2"/>
  <c r="AF674" i="2" s="1"/>
  <c r="AF1155" i="2"/>
  <c r="AE800" i="2"/>
  <c r="AF800" i="2" s="1"/>
  <c r="AE284" i="2"/>
  <c r="AF284" i="2" s="1"/>
  <c r="AF1099" i="2"/>
  <c r="AF1921" i="2"/>
  <c r="AE1733" i="2"/>
  <c r="AF1733" i="2" s="1"/>
  <c r="AF1505" i="2"/>
  <c r="AF1471" i="2"/>
  <c r="AE1460" i="2"/>
  <c r="AF1460" i="2" s="1"/>
  <c r="AE1188" i="2"/>
  <c r="AF1188" i="2" s="1"/>
  <c r="AF1123" i="2"/>
  <c r="AF1019" i="2"/>
  <c r="AE713" i="2"/>
  <c r="AF713" i="2" s="1"/>
  <c r="AF439" i="2"/>
  <c r="AF312" i="2"/>
  <c r="AF1909" i="2"/>
  <c r="AE1848" i="2"/>
  <c r="AF1848" i="2" s="1"/>
  <c r="AF1582" i="2"/>
  <c r="AE1429" i="2"/>
  <c r="AF1429" i="2" s="1"/>
  <c r="AE1089" i="2"/>
  <c r="AF1089" i="2" s="1"/>
  <c r="AE1013" i="2"/>
  <c r="AF1013" i="2" s="1"/>
  <c r="AF1121" i="2"/>
  <c r="AE1842" i="2"/>
  <c r="AF1842" i="2" s="1"/>
  <c r="AE1209" i="2"/>
  <c r="AF1209" i="2" s="1"/>
  <c r="AF1346" i="2"/>
  <c r="AE1918" i="2"/>
  <c r="AF1918" i="2" s="1"/>
  <c r="AF1829" i="2"/>
  <c r="AF1803" i="2"/>
  <c r="AE1343" i="2"/>
  <c r="AF1343" i="2" s="1"/>
  <c r="AF1332" i="2"/>
  <c r="AE946" i="2"/>
  <c r="AF946" i="2" s="1"/>
  <c r="AF855" i="2"/>
  <c r="AE599" i="2"/>
  <c r="AF599" i="2" s="1"/>
  <c r="AF303" i="2"/>
  <c r="AF211" i="2"/>
  <c r="AF26" i="2"/>
  <c r="AE455" i="2"/>
  <c r="AF455" i="2" s="1"/>
  <c r="AE1781" i="2"/>
  <c r="AF1781" i="2" s="1"/>
  <c r="AE744" i="2"/>
  <c r="AF744" i="2" s="1"/>
  <c r="AE89" i="2"/>
  <c r="AF89" i="2" s="1"/>
  <c r="AE1527" i="2"/>
  <c r="AF1527" i="2" s="1"/>
  <c r="AE1873" i="2"/>
  <c r="AF1873" i="2" s="1"/>
  <c r="AE866" i="2"/>
  <c r="AF866" i="2" s="1"/>
  <c r="AE233" i="2"/>
  <c r="AF233" i="2" s="1"/>
  <c r="AE175" i="2"/>
  <c r="AF175" i="2" s="1"/>
  <c r="AE1590" i="2"/>
  <c r="AF1590" i="2" s="1"/>
  <c r="AF1743" i="2"/>
  <c r="AE1681" i="2"/>
  <c r="AF1681" i="2" s="1"/>
  <c r="AE452" i="2"/>
  <c r="AF452" i="2" s="1"/>
  <c r="AF801" i="2"/>
  <c r="AE775" i="2"/>
  <c r="AF775" i="2" s="1"/>
  <c r="AF613" i="2"/>
  <c r="AF371" i="2"/>
  <c r="AF118" i="2"/>
  <c r="AE716" i="2"/>
  <c r="AF716" i="2" s="1"/>
  <c r="AF662" i="2"/>
  <c r="AE553" i="2"/>
  <c r="AF553" i="2" s="1"/>
  <c r="AE1321" i="2"/>
  <c r="AF1321" i="2" s="1"/>
  <c r="AE1557" i="2"/>
  <c r="AF1557" i="2" s="1"/>
  <c r="AE1083" i="2"/>
  <c r="AF1083" i="2" s="1"/>
  <c r="AE23" i="2"/>
  <c r="AF23" i="2" s="1"/>
  <c r="AE1038" i="2"/>
  <c r="AF1038" i="2" s="1"/>
  <c r="AF1304" i="2"/>
  <c r="AE346" i="2"/>
  <c r="AF346" i="2" s="1"/>
  <c r="AF1852" i="2"/>
  <c r="AF1791" i="2"/>
  <c r="AF1772" i="2"/>
  <c r="AF1598" i="2"/>
  <c r="AF1402" i="2"/>
  <c r="AF1213" i="2"/>
  <c r="AE1193" i="2"/>
  <c r="AF1193" i="2" s="1"/>
  <c r="AE1235" i="2"/>
  <c r="AF1235" i="2" s="1"/>
  <c r="AF1101" i="2"/>
  <c r="AE1091" i="2"/>
  <c r="AF1091" i="2" s="1"/>
  <c r="AF1072" i="2"/>
  <c r="AF996" i="2"/>
  <c r="AE791" i="2"/>
  <c r="AF791" i="2" s="1"/>
  <c r="AF590" i="2"/>
  <c r="AE808" i="2"/>
  <c r="AF808" i="2" s="1"/>
  <c r="AF349" i="2"/>
  <c r="AF339" i="2"/>
  <c r="AE194" i="2"/>
  <c r="AF194" i="2" s="1"/>
  <c r="AE198" i="2"/>
  <c r="AF198" i="2" s="1"/>
  <c r="AF117" i="2"/>
  <c r="AE12" i="2"/>
  <c r="AF12" i="2" s="1"/>
  <c r="AE432" i="2"/>
  <c r="AF432" i="2" s="1"/>
  <c r="AF1509" i="2"/>
  <c r="AF575" i="2"/>
  <c r="AE925" i="2"/>
  <c r="AF925" i="2" s="1"/>
  <c r="AE1459" i="2"/>
  <c r="AF1459" i="2" s="1"/>
  <c r="AF1963" i="2"/>
  <c r="AE1917" i="2"/>
  <c r="AF1917" i="2" s="1"/>
  <c r="AF1868" i="2"/>
  <c r="AF1634" i="2"/>
  <c r="AF1576" i="2"/>
  <c r="AF1484" i="2"/>
  <c r="AE1258" i="2"/>
  <c r="AF1258" i="2" s="1"/>
  <c r="AF1081" i="2"/>
  <c r="AF430" i="2"/>
  <c r="AF420" i="2"/>
  <c r="AF409" i="2"/>
  <c r="AF246" i="2"/>
  <c r="AF134" i="2"/>
  <c r="AF125" i="2"/>
  <c r="AE96" i="2"/>
  <c r="AF96" i="2" s="1"/>
  <c r="AF32" i="2"/>
  <c r="AE398" i="2"/>
  <c r="AF398" i="2" s="1"/>
  <c r="AE1894" i="2"/>
  <c r="AF1894" i="2" s="1"/>
  <c r="AF1859" i="2"/>
  <c r="AF1662" i="2"/>
  <c r="AF1565" i="2"/>
  <c r="AF1222" i="2"/>
  <c r="AE1293" i="2"/>
  <c r="AF1293" i="2" s="1"/>
  <c r="AF1060" i="2"/>
  <c r="AF1004" i="2"/>
  <c r="AF917" i="2"/>
  <c r="AE388" i="2"/>
  <c r="AF388" i="2" s="1"/>
  <c r="AF151" i="2"/>
  <c r="AE21" i="2"/>
  <c r="AF21" i="2" s="1"/>
  <c r="AF1430" i="2"/>
  <c r="AF1796" i="2"/>
  <c r="AE1461" i="2"/>
  <c r="AF1461" i="2" s="1"/>
  <c r="AE216" i="2"/>
  <c r="AF216" i="2" s="1"/>
  <c r="AE317" i="2"/>
  <c r="AF317" i="2" s="1"/>
  <c r="AF58" i="2"/>
  <c r="AE162" i="2"/>
  <c r="AF162" i="2" s="1"/>
  <c r="AE1553" i="2"/>
  <c r="AF1553" i="2" s="1"/>
  <c r="AF1961" i="2"/>
  <c r="AF1953" i="2"/>
  <c r="AE707" i="2"/>
  <c r="AF707" i="2" s="1"/>
  <c r="AF1875" i="2"/>
  <c r="AF1857" i="2"/>
  <c r="AF1768" i="2"/>
  <c r="AE1774" i="2"/>
  <c r="AF1774" i="2" s="1"/>
  <c r="AF1660" i="2"/>
  <c r="AF1088" i="2"/>
  <c r="AE1086" i="2"/>
  <c r="AF1086" i="2" s="1"/>
  <c r="AE982" i="2"/>
  <c r="AF982" i="2" s="1"/>
  <c r="AE868" i="2"/>
  <c r="AF868" i="2" s="1"/>
  <c r="AE730" i="2"/>
  <c r="AF730" i="2" s="1"/>
  <c r="AF596" i="2"/>
  <c r="AF565" i="2"/>
  <c r="AF139" i="2"/>
  <c r="AE1067" i="2"/>
  <c r="AF1067" i="2" s="1"/>
  <c r="AF754" i="2"/>
  <c r="AF702" i="2"/>
  <c r="AF405" i="2"/>
  <c r="AF296" i="2"/>
  <c r="AF82" i="2"/>
  <c r="AE16" i="2"/>
  <c r="AF16" i="2" s="1"/>
  <c r="AE922" i="2"/>
  <c r="AF922" i="2" s="1"/>
  <c r="AE1105" i="2"/>
  <c r="AF1105" i="2" s="1"/>
  <c r="AE977" i="2"/>
  <c r="AF977" i="2" s="1"/>
  <c r="AE551" i="2"/>
  <c r="AF551" i="2" s="1"/>
  <c r="AE1074" i="2"/>
  <c r="AF1074" i="2" s="1"/>
  <c r="AE1663" i="2"/>
  <c r="AF1663" i="2" s="1"/>
  <c r="AE1224" i="2"/>
  <c r="AF1224" i="2" s="1"/>
  <c r="AE1229" i="2"/>
  <c r="AF1229" i="2" s="1"/>
  <c r="AE1130" i="2"/>
  <c r="AF1130" i="2" s="1"/>
  <c r="AE1087" i="2"/>
  <c r="AF1087" i="2" s="1"/>
  <c r="AE956" i="2"/>
  <c r="AF956" i="2" s="1"/>
  <c r="AF220" i="2"/>
  <c r="AE1988" i="2"/>
  <c r="AF1988" i="2" s="1"/>
  <c r="AE1692" i="2"/>
  <c r="AF1692" i="2" s="1"/>
  <c r="AE1381" i="2"/>
  <c r="AF1381" i="2" s="1"/>
  <c r="AE872" i="2"/>
  <c r="AF872" i="2" s="1"/>
  <c r="AF1978" i="2"/>
  <c r="AE792" i="2"/>
  <c r="AF792" i="2" s="1"/>
  <c r="AE1390" i="2"/>
  <c r="AF1390" i="2" s="1"/>
  <c r="AE1822" i="2"/>
  <c r="AF1822" i="2" s="1"/>
  <c r="AF1669" i="2"/>
  <c r="AE158" i="2"/>
  <c r="AF158" i="2" s="1"/>
  <c r="AE715" i="2"/>
  <c r="AF715" i="2" s="1"/>
  <c r="AE694" i="2"/>
  <c r="AF694" i="2" s="1"/>
  <c r="AE438" i="2"/>
  <c r="AF438" i="2" s="1"/>
  <c r="AE285" i="2"/>
  <c r="AF285" i="2" s="1"/>
  <c r="AE173" i="2"/>
  <c r="AF173" i="2" s="1"/>
  <c r="AE1189" i="2"/>
  <c r="AF1189" i="2" s="1"/>
  <c r="AE940" i="2"/>
  <c r="AF940" i="2" s="1"/>
  <c r="AE1603" i="2"/>
  <c r="AF1603" i="2" s="1"/>
  <c r="AF1431" i="2"/>
  <c r="AE1377" i="2"/>
  <c r="AF1377" i="2" s="1"/>
  <c r="AE1835" i="2"/>
  <c r="AE1228" i="2"/>
  <c r="AF1228" i="2" s="1"/>
  <c r="AE1254" i="2"/>
  <c r="AF1254" i="2" s="1"/>
  <c r="AE755" i="2"/>
  <c r="AF755" i="2" s="1"/>
  <c r="AE607" i="2"/>
  <c r="AF607" i="2" s="1"/>
  <c r="AE1656" i="2"/>
  <c r="AF1656" i="2" s="1"/>
  <c r="AE1646" i="2"/>
  <c r="AF1646" i="2" s="1"/>
  <c r="AE147" i="2"/>
  <c r="AF147" i="2" s="1"/>
  <c r="AE1502" i="2"/>
  <c r="AF1502" i="2" s="1"/>
  <c r="AE1182" i="2"/>
  <c r="AF1182" i="2" s="1"/>
  <c r="AE1935" i="2"/>
  <c r="AF1935" i="2" s="1"/>
  <c r="AE1934" i="2"/>
  <c r="AF1934" i="2" s="1"/>
  <c r="AE1908" i="2"/>
  <c r="AF1908" i="2" s="1"/>
  <c r="AE1924" i="2"/>
  <c r="AF1924" i="2" s="1"/>
  <c r="AE897" i="2"/>
  <c r="AF897" i="2" s="1"/>
  <c r="AE1731" i="2"/>
  <c r="AF1731" i="2" s="1"/>
  <c r="AE1833" i="2"/>
  <c r="AF1833" i="2" s="1"/>
  <c r="AE1952" i="2"/>
  <c r="AF1952" i="2" s="1"/>
  <c r="AE1913" i="2"/>
  <c r="AF1913" i="2" s="1"/>
  <c r="AE1661" i="2"/>
  <c r="AF1661" i="2" s="1"/>
  <c r="AE1411" i="2"/>
  <c r="AF1411" i="2" s="1"/>
  <c r="AE746" i="2"/>
  <c r="AF746" i="2" s="1"/>
  <c r="AE829" i="2"/>
  <c r="AF829" i="2" s="1"/>
  <c r="AE1247" i="2"/>
  <c r="AF1247" i="2" s="1"/>
  <c r="AE972" i="2"/>
  <c r="AF972" i="2" s="1"/>
  <c r="AE983" i="2"/>
  <c r="AF983" i="2" s="1"/>
  <c r="AE785" i="2"/>
  <c r="AF785" i="2" s="1"/>
  <c r="AE1018" i="2"/>
  <c r="AF1018" i="2" s="1"/>
  <c r="AE1738" i="2"/>
  <c r="AF1738" i="2" s="1"/>
  <c r="AF1929" i="2"/>
  <c r="AE1518" i="2"/>
  <c r="AF1518" i="2" s="1"/>
  <c r="AE1567" i="2"/>
  <c r="AF1567" i="2" s="1"/>
  <c r="AE1439" i="2"/>
  <c r="AF1439" i="2" s="1"/>
  <c r="AE1210" i="2"/>
  <c r="AF1210" i="2" s="1"/>
  <c r="AE733" i="2"/>
  <c r="AF733" i="2" s="1"/>
  <c r="AE297" i="2"/>
  <c r="AF297" i="2" s="1"/>
  <c r="AE286" i="2"/>
  <c r="AF286" i="2" s="1"/>
  <c r="AE169" i="2"/>
  <c r="AF169" i="2" s="1"/>
  <c r="AE1907" i="2"/>
  <c r="AF1907" i="2" s="1"/>
  <c r="AE189" i="2"/>
  <c r="AF189" i="2" s="1"/>
  <c r="AE618" i="2"/>
  <c r="AF618" i="2" s="1"/>
  <c r="AE15" i="2"/>
  <c r="AF15" i="2" s="1"/>
  <c r="AE14" i="2"/>
  <c r="AF14" i="2" s="1"/>
  <c r="AF403" i="2"/>
  <c r="AE953" i="2"/>
  <c r="AF953" i="2" s="1"/>
  <c r="AE962" i="2"/>
  <c r="AF962" i="2" s="1"/>
  <c r="AE483" i="2"/>
  <c r="AF483" i="2" s="1"/>
  <c r="AE112" i="2"/>
  <c r="AF112" i="2" s="1"/>
  <c r="AE1256" i="2"/>
  <c r="AF1256" i="2" s="1"/>
  <c r="AE50" i="2"/>
  <c r="AF50" i="2" s="1"/>
  <c r="AE115" i="2"/>
  <c r="AF115" i="2" s="1"/>
  <c r="AE706" i="2"/>
  <c r="AF706" i="2" s="1"/>
  <c r="AF1131" i="2"/>
  <c r="AE343" i="2"/>
  <c r="AF343" i="2" s="1"/>
  <c r="AE278" i="2"/>
  <c r="AF278" i="2" s="1"/>
  <c r="AF1191" i="2"/>
  <c r="AF1102" i="2"/>
  <c r="AE1073" i="2"/>
  <c r="AF1073" i="2" s="1"/>
  <c r="AF640" i="2"/>
  <c r="AE1887" i="2"/>
  <c r="AF1887" i="2" s="1"/>
  <c r="AE1786" i="2"/>
  <c r="AF1786" i="2" s="1"/>
  <c r="AE1528" i="2"/>
  <c r="AF1528" i="2" s="1"/>
  <c r="AE1572" i="2"/>
  <c r="AF1572" i="2" s="1"/>
  <c r="AF1365" i="2"/>
  <c r="AE886" i="2"/>
  <c r="AF886" i="2" s="1"/>
  <c r="AE923" i="2"/>
  <c r="AF923" i="2" s="1"/>
  <c r="AE879" i="2"/>
  <c r="AF879" i="2" s="1"/>
  <c r="AE748" i="2"/>
  <c r="AF748" i="2" s="1"/>
  <c r="AE355" i="2"/>
  <c r="AF355" i="2" s="1"/>
  <c r="AE1705" i="2"/>
  <c r="AF1705" i="2" s="1"/>
  <c r="AE1626" i="2"/>
  <c r="AF1626" i="2" s="1"/>
  <c r="AE1465" i="2"/>
  <c r="AF1465" i="2" s="1"/>
  <c r="AE1217" i="2"/>
  <c r="AF1217" i="2" s="1"/>
  <c r="AE1142" i="2"/>
  <c r="AF1142" i="2" s="1"/>
  <c r="AE1202" i="2"/>
  <c r="AF1202" i="2" s="1"/>
  <c r="AE931" i="2"/>
  <c r="AF931" i="2" s="1"/>
  <c r="AE1027" i="2"/>
  <c r="AF1027" i="2" s="1"/>
  <c r="AE1046" i="2"/>
  <c r="AF1046" i="2" s="1"/>
  <c r="AE433" i="2"/>
  <c r="AF433" i="2" s="1"/>
  <c r="AE1954" i="2"/>
  <c r="AF1954" i="2" s="1"/>
  <c r="AE1714" i="2"/>
  <c r="AF1714" i="2" s="1"/>
  <c r="AE1181" i="2"/>
  <c r="AF1181" i="2" s="1"/>
  <c r="AE1494" i="2"/>
  <c r="AF1494" i="2" s="1"/>
  <c r="AE1050" i="2"/>
  <c r="AF1050" i="2" s="1"/>
  <c r="AE641" i="2"/>
  <c r="AF641" i="2" s="1"/>
  <c r="AE884" i="2"/>
  <c r="AF884" i="2" s="1"/>
  <c r="AF1653" i="2"/>
  <c r="AE428" i="2"/>
  <c r="AF428" i="2" s="1"/>
  <c r="AE22" i="2"/>
  <c r="AF22" i="2" s="1"/>
  <c r="AE969" i="2"/>
  <c r="AF969" i="2" s="1"/>
  <c r="AF1720" i="2"/>
  <c r="AE906" i="2"/>
  <c r="AF906" i="2" s="1"/>
  <c r="AE907" i="2"/>
  <c r="AF907" i="2" s="1"/>
  <c r="AE838" i="2"/>
  <c r="AF838" i="2" s="1"/>
  <c r="AF289" i="2"/>
  <c r="AE301" i="2"/>
  <c r="AF301" i="2" s="1"/>
  <c r="AE163" i="2"/>
  <c r="AF163" i="2" s="1"/>
  <c r="AE1896" i="2"/>
  <c r="AF1896" i="2" s="1"/>
  <c r="AF932" i="2"/>
  <c r="AE1425" i="2"/>
  <c r="AF1425" i="2" s="1"/>
  <c r="AE1356" i="2"/>
  <c r="AF1356" i="2" s="1"/>
  <c r="AE451" i="2"/>
  <c r="AF451" i="2" s="1"/>
  <c r="AE307" i="2"/>
  <c r="AF307" i="2" s="1"/>
  <c r="AE1945" i="2"/>
  <c r="AF1945" i="2" s="1"/>
  <c r="AF62" i="2"/>
  <c r="AF42" i="2"/>
  <c r="AE128" i="2"/>
  <c r="AF128" i="2" s="1"/>
  <c r="AE533" i="2"/>
  <c r="AF533" i="2" s="1"/>
  <c r="AE864" i="2"/>
  <c r="AF864" i="2" s="1"/>
  <c r="AE1227" i="2"/>
  <c r="AF1227" i="2" s="1"/>
  <c r="AE1475" i="2"/>
  <c r="AF1475" i="2" s="1"/>
  <c r="AE889" i="2"/>
  <c r="AF889" i="2" s="1"/>
  <c r="AE384" i="2"/>
  <c r="AF384" i="2" s="1"/>
  <c r="AE876" i="2"/>
  <c r="AF876" i="2" s="1"/>
  <c r="AE877" i="2"/>
  <c r="AF877" i="2" s="1"/>
  <c r="AE763" i="2"/>
  <c r="AF763" i="2" s="1"/>
  <c r="AE959" i="2"/>
  <c r="AF959" i="2" s="1"/>
  <c r="AE415" i="2"/>
  <c r="AF415" i="2" s="1"/>
  <c r="AE601" i="2"/>
  <c r="AF601" i="2" s="1"/>
  <c r="AE714" i="2"/>
  <c r="AF714" i="2" s="1"/>
  <c r="AF1615" i="2"/>
  <c r="AE1117" i="2"/>
  <c r="AF1117" i="2" s="1"/>
  <c r="AE731" i="2"/>
  <c r="AF731" i="2" s="1"/>
  <c r="AE517" i="2"/>
  <c r="AF517" i="2" s="1"/>
  <c r="AE958" i="2"/>
  <c r="AF958" i="2" s="1"/>
  <c r="AE1866" i="2"/>
  <c r="AF1866" i="2" s="1"/>
  <c r="AE1079" i="2"/>
  <c r="AF1079" i="2" s="1"/>
  <c r="AE1078" i="2"/>
  <c r="AF1078" i="2" s="1"/>
  <c r="AE893" i="2"/>
  <c r="AF893" i="2" s="1"/>
  <c r="AE949" i="2"/>
  <c r="AF949" i="2" s="1"/>
  <c r="AE1234" i="2"/>
  <c r="AF1234" i="2" s="1"/>
  <c r="AE894" i="2"/>
  <c r="AF894" i="2" s="1"/>
  <c r="AE1865" i="2"/>
  <c r="AF1865" i="2" s="1"/>
  <c r="AE1816" i="2"/>
  <c r="AF1816" i="2" s="1"/>
  <c r="AE1706" i="2"/>
  <c r="AF1706" i="2" s="1"/>
  <c r="AE1596" i="2"/>
  <c r="AF1596" i="2" s="1"/>
  <c r="AE1394" i="2"/>
  <c r="AF1394" i="2" s="1"/>
  <c r="AE1093" i="2"/>
  <c r="AF1093" i="2" s="1"/>
  <c r="AE1021" i="2"/>
  <c r="AF1021" i="2" s="1"/>
  <c r="AE903" i="2"/>
  <c r="AF903" i="2" s="1"/>
  <c r="AE869" i="2"/>
  <c r="AF869" i="2" s="1"/>
  <c r="AF850" i="2"/>
  <c r="AE739" i="2"/>
  <c r="AF739" i="2" s="1"/>
  <c r="AE708" i="2"/>
  <c r="AF708" i="2" s="1"/>
  <c r="AE560" i="2"/>
  <c r="AF560" i="2" s="1"/>
  <c r="AF407" i="2"/>
  <c r="AE1435" i="2"/>
  <c r="AF1435" i="2" s="1"/>
  <c r="AE1404" i="2"/>
  <c r="AF1404" i="2" s="1"/>
  <c r="AE1186" i="2"/>
  <c r="AF1186" i="2" s="1"/>
  <c r="AF679" i="2"/>
  <c r="AE1800" i="2"/>
  <c r="AF1800" i="2" s="1"/>
  <c r="AE1534" i="2"/>
  <c r="AF1534" i="2" s="1"/>
  <c r="AF1493" i="2"/>
  <c r="AE1261" i="2"/>
  <c r="AF1261" i="2" s="1"/>
  <c r="AE1328" i="2"/>
  <c r="AF1328" i="2" s="1"/>
  <c r="AE1340" i="2"/>
  <c r="AF1340" i="2" s="1"/>
  <c r="AE871" i="2"/>
  <c r="AF871" i="2" s="1"/>
  <c r="AE1025" i="2"/>
  <c r="AF1025" i="2" s="1"/>
  <c r="AE970" i="2"/>
  <c r="AF970" i="2" s="1"/>
  <c r="AF904" i="2"/>
  <c r="AE1856" i="2"/>
  <c r="AF1856" i="2" s="1"/>
  <c r="AF1658" i="2"/>
  <c r="AF1630" i="2"/>
  <c r="AE1153" i="2"/>
  <c r="AF1153" i="2" s="1"/>
  <c r="AE719" i="2"/>
  <c r="AF719" i="2" s="1"/>
  <c r="AF425" i="2"/>
  <c r="AE980" i="2"/>
  <c r="AF980" i="2" s="1"/>
  <c r="AE717" i="2"/>
  <c r="AF717" i="2" s="1"/>
  <c r="AE1641" i="2"/>
  <c r="AE1464" i="2"/>
  <c r="AF1464" i="2" s="1"/>
  <c r="AE1198" i="2"/>
  <c r="AF1198" i="2" s="1"/>
  <c r="AF1023" i="2"/>
  <c r="AF771" i="2"/>
  <c r="AE1644" i="2"/>
  <c r="AF1644" i="2" s="1"/>
  <c r="AF1835" i="2"/>
  <c r="AE1678" i="2"/>
  <c r="AF1678" i="2" s="1"/>
  <c r="AE1274" i="2"/>
  <c r="AF1274" i="2" s="1"/>
  <c r="AE1070" i="2"/>
  <c r="AF1070" i="2" s="1"/>
  <c r="AF1780" i="2"/>
  <c r="AE1531" i="2"/>
  <c r="AF1531" i="2" s="1"/>
  <c r="AE1511" i="2"/>
  <c r="AF1511" i="2" s="1"/>
  <c r="AF1183" i="2"/>
  <c r="AF1103" i="2"/>
  <c r="AE989" i="2"/>
  <c r="AF989" i="2" s="1"/>
  <c r="AE878" i="2"/>
  <c r="AF878" i="2" s="1"/>
  <c r="AE718" i="2"/>
  <c r="AF718" i="2" s="1"/>
  <c r="AF584" i="2"/>
  <c r="AE7" i="2"/>
  <c r="AF7" i="2" s="1"/>
  <c r="AE1036" i="2"/>
  <c r="AF1036" i="2" s="1"/>
  <c r="AE898" i="2"/>
  <c r="AF898" i="2" s="1"/>
  <c r="AE888" i="2"/>
  <c r="AF888" i="2" s="1"/>
  <c r="AE1785" i="2"/>
  <c r="AF1785" i="2" s="1"/>
  <c r="AE1571" i="2"/>
  <c r="AF1571" i="2" s="1"/>
  <c r="AE1355" i="2"/>
  <c r="AF1355" i="2" s="1"/>
  <c r="AE1270" i="2"/>
  <c r="AF1270" i="2" s="1"/>
  <c r="AE1135" i="2"/>
  <c r="AF1135" i="2" s="1"/>
  <c r="AE1100" i="2"/>
  <c r="AF1100" i="2" s="1"/>
  <c r="AF619" i="2"/>
  <c r="AE548" i="2"/>
  <c r="AF548" i="2" s="1"/>
  <c r="AE168" i="2"/>
  <c r="AF168" i="2" s="1"/>
  <c r="AE709" i="2"/>
  <c r="AF709" i="2" s="1"/>
  <c r="AE81" i="2"/>
  <c r="AF81" i="2" s="1"/>
  <c r="AE8" i="2"/>
  <c r="AF8" i="2" s="1"/>
  <c r="AE1799" i="2"/>
  <c r="AF1799" i="2" s="1"/>
  <c r="AE1561" i="2"/>
  <c r="AF1561" i="2" s="1"/>
  <c r="AE1784" i="2"/>
  <c r="AF1784" i="2" s="1"/>
  <c r="AE1671" i="2"/>
  <c r="AF1671" i="2" s="1"/>
  <c r="AE1408" i="2"/>
  <c r="AF1408" i="2" s="1"/>
  <c r="AE625" i="2"/>
  <c r="AF625" i="2" s="1"/>
  <c r="AE166" i="2"/>
  <c r="AF166" i="2" s="1"/>
  <c r="AE111" i="2"/>
  <c r="AF111" i="2" s="1"/>
  <c r="AF1948" i="2"/>
  <c r="AE1724" i="2"/>
  <c r="AF1724" i="2" s="1"/>
  <c r="AE1141" i="2"/>
  <c r="AF1141" i="2" s="1"/>
  <c r="AF998" i="2"/>
  <c r="AE443" i="2"/>
  <c r="AF443" i="2" s="1"/>
  <c r="AE914" i="2"/>
  <c r="AF914" i="2" s="1"/>
  <c r="AE818" i="2"/>
  <c r="AF818" i="2" s="1"/>
  <c r="AF701" i="2"/>
  <c r="AE576" i="2"/>
  <c r="AF576" i="2" s="1"/>
  <c r="AE152" i="2"/>
  <c r="AF152" i="2" s="1"/>
  <c r="AF491" i="2"/>
  <c r="AF365" i="2"/>
  <c r="AF311" i="2"/>
  <c r="AE262" i="2"/>
  <c r="AF262" i="2" s="1"/>
  <c r="AE126" i="2"/>
  <c r="AF126" i="2" s="1"/>
  <c r="AE34" i="2"/>
  <c r="AF34" i="2" s="1"/>
  <c r="AE1739" i="2"/>
  <c r="AF1739" i="2" s="1"/>
  <c r="AE1729" i="2"/>
  <c r="AF1729" i="2" s="1"/>
  <c r="AE1648" i="2"/>
  <c r="AF1648" i="2" s="1"/>
  <c r="AE1517" i="2"/>
  <c r="AF1517" i="2" s="1"/>
  <c r="AE1257" i="2"/>
  <c r="AF1257" i="2" s="1"/>
  <c r="AE621" i="2"/>
  <c r="AF621" i="2" s="1"/>
  <c r="AE725" i="2"/>
  <c r="AF725" i="2" s="1"/>
  <c r="AE534" i="2"/>
  <c r="AF534" i="2" s="1"/>
  <c r="AE402" i="2"/>
  <c r="AF402" i="2" s="1"/>
  <c r="AE261" i="2"/>
  <c r="AF261" i="2" s="1"/>
  <c r="AF251" i="2"/>
  <c r="AF1804" i="2"/>
  <c r="AF1116" i="2"/>
  <c r="AE299" i="2"/>
  <c r="AF299" i="2" s="1"/>
  <c r="AE291" i="2"/>
  <c r="AF291" i="2" s="1"/>
  <c r="AE340" i="2"/>
  <c r="AF340" i="2" s="1"/>
  <c r="AE1080" i="2"/>
  <c r="AF1080" i="2" s="1"/>
  <c r="AE1521" i="2"/>
  <c r="AF1521" i="2" s="1"/>
  <c r="AE1548" i="2"/>
  <c r="AF1548" i="2" s="1"/>
  <c r="AE1238" i="2"/>
  <c r="AF1238" i="2" s="1"/>
  <c r="AE1931" i="2"/>
  <c r="AF1931" i="2" s="1"/>
  <c r="AE1925" i="2"/>
  <c r="AF1925" i="2" s="1"/>
  <c r="AE1730" i="2"/>
  <c r="AF1730" i="2" s="1"/>
  <c r="AE1685" i="2"/>
  <c r="AF1685" i="2" s="1"/>
  <c r="AE1523" i="2"/>
  <c r="AF1523" i="2" s="1"/>
  <c r="AE1433" i="2"/>
  <c r="AF1433" i="2" s="1"/>
  <c r="AE1399" i="2"/>
  <c r="AF1399" i="2" s="1"/>
  <c r="AE1382" i="2"/>
  <c r="AF1382" i="2" s="1"/>
  <c r="AE1364" i="2"/>
  <c r="AF1364" i="2" s="1"/>
  <c r="AE1280" i="2"/>
  <c r="AF1280" i="2" s="1"/>
  <c r="AE825" i="2"/>
  <c r="AF825" i="2" s="1"/>
  <c r="AE741" i="2"/>
  <c r="AF741" i="2" s="1"/>
  <c r="AE882" i="2"/>
  <c r="AF882" i="2" s="1"/>
  <c r="AE711" i="2"/>
  <c r="AF711" i="2" s="1"/>
  <c r="AE160" i="2"/>
  <c r="AF160" i="2" s="1"/>
  <c r="AE109" i="2"/>
  <c r="AF109" i="2" s="1"/>
  <c r="AE272" i="2"/>
  <c r="AF272" i="2" s="1"/>
  <c r="AE252" i="2"/>
  <c r="AF252" i="2" s="1"/>
  <c r="AE1244" i="2"/>
  <c r="AF1244" i="2" s="1"/>
  <c r="AE539" i="2"/>
  <c r="AF539" i="2" s="1"/>
  <c r="AE615" i="2"/>
  <c r="AF615" i="2" s="1"/>
  <c r="AF178" i="2"/>
  <c r="AE46" i="2"/>
  <c r="AF46" i="2" s="1"/>
  <c r="AF4" i="2"/>
  <c r="AE778" i="2"/>
  <c r="AF778" i="2" s="1"/>
  <c r="AE824" i="2"/>
  <c r="AF824" i="2" s="1"/>
  <c r="AE760" i="2"/>
  <c r="AF760" i="2" s="1"/>
  <c r="AE363" i="2"/>
  <c r="AF363" i="2" s="1"/>
  <c r="AE325" i="2"/>
  <c r="AF325" i="2" s="1"/>
  <c r="AE170" i="2"/>
  <c r="AF170" i="2" s="1"/>
  <c r="AE282" i="2"/>
  <c r="AF282" i="2" s="1"/>
  <c r="AE617" i="2"/>
  <c r="AF617" i="2" s="1"/>
  <c r="AE271" i="2"/>
  <c r="AF271" i="2" s="1"/>
  <c r="AE616" i="2"/>
  <c r="AF616" i="2" s="1"/>
  <c r="AE710" i="2"/>
  <c r="AF710" i="2" s="1"/>
  <c r="AE475" i="2"/>
  <c r="AF475" i="2" s="1"/>
  <c r="AE648" i="2"/>
  <c r="AF648" i="2" s="1"/>
  <c r="AE156" i="2"/>
  <c r="AF156" i="2" s="1"/>
  <c r="AE550" i="2"/>
  <c r="AF550" i="2" s="1"/>
  <c r="AE269" i="2"/>
  <c r="AF269" i="2" s="1"/>
  <c r="AE197" i="2"/>
  <c r="AF197" i="2" s="1"/>
  <c r="AE357" i="2"/>
  <c r="AF357" i="2" s="1"/>
  <c r="AE1432" i="2"/>
  <c r="AF1432" i="2" s="1"/>
  <c r="AE1030" i="2"/>
  <c r="AF1030" i="2" s="1"/>
  <c r="AE1043" i="2"/>
  <c r="AF1043" i="2" s="1"/>
  <c r="AE1020" i="2"/>
  <c r="AF1020" i="2" s="1"/>
  <c r="AE360" i="2"/>
  <c r="AF360" i="2" s="1"/>
  <c r="AE225" i="2"/>
  <c r="AF225" i="2" s="1"/>
  <c r="AF1708" i="2"/>
  <c r="AE611" i="2"/>
  <c r="AF611" i="2" s="1"/>
  <c r="AE394" i="2"/>
  <c r="AF394" i="2" s="1"/>
  <c r="AE239" i="2"/>
  <c r="AF239" i="2" s="1"/>
  <c r="AF1983" i="2"/>
  <c r="AE614" i="2"/>
  <c r="AF614" i="2" s="1"/>
  <c r="AF606" i="2"/>
  <c r="AE31" i="2"/>
  <c r="AF31" i="2" s="1"/>
  <c r="AF1850" i="2"/>
  <c r="AE1245" i="2"/>
  <c r="AF1245" i="2" s="1"/>
  <c r="AE1318" i="2"/>
  <c r="AF1318" i="2"/>
  <c r="AE1233" i="2"/>
  <c r="AF1233" i="2" s="1"/>
  <c r="AE1243" i="2"/>
  <c r="AF1243" i="2" s="1"/>
  <c r="AE1223" i="2"/>
  <c r="AF1223" i="2" s="1"/>
  <c r="AE1165" i="2"/>
  <c r="AF1165" i="2" s="1"/>
  <c r="AE921" i="2"/>
  <c r="AF921" i="2" s="1"/>
  <c r="AE863" i="2"/>
  <c r="AF863" i="2" s="1"/>
  <c r="AE845" i="2"/>
  <c r="AF845" i="2" s="1"/>
  <c r="AE536" i="2"/>
  <c r="AF536" i="2" s="1"/>
  <c r="AE393" i="2"/>
  <c r="AF393" i="2" s="1"/>
  <c r="AE1468" i="2"/>
  <c r="AF1468" i="2" s="1"/>
  <c r="AE1476" i="2"/>
  <c r="AF1476" i="2" s="1"/>
  <c r="AF113" i="2"/>
  <c r="AE1620" i="2"/>
  <c r="AF1620" i="2" s="1"/>
  <c r="AE102" i="2"/>
  <c r="AF102" i="2" s="1"/>
  <c r="AE675" i="2"/>
  <c r="AF675" i="2" s="1"/>
  <c r="AF3" i="2"/>
  <c r="AE471" i="2"/>
  <c r="AF471" i="2" s="1"/>
  <c r="AE1905" i="2"/>
  <c r="AF1905" i="2" s="1"/>
  <c r="AF1846" i="2"/>
  <c r="AF1837" i="2"/>
  <c r="AE1787" i="2"/>
  <c r="AF1787" i="2" s="1"/>
  <c r="AE1861" i="2"/>
  <c r="AF1861" i="2" s="1"/>
  <c r="AE1770" i="2"/>
  <c r="AF1770" i="2" s="1"/>
  <c r="AE1694" i="2"/>
  <c r="AF1694" i="2" s="1"/>
  <c r="AE1614" i="2"/>
  <c r="AF1614" i="2" s="1"/>
  <c r="AE1611" i="2"/>
  <c r="AF1611" i="2" s="1"/>
  <c r="AE1428" i="2"/>
  <c r="AF1428" i="2" s="1"/>
  <c r="AE1594" i="2"/>
  <c r="AF1594" i="2" s="1"/>
  <c r="AE1206" i="2"/>
  <c r="AF1206" i="2" s="1"/>
  <c r="AF1133" i="2"/>
  <c r="AF67" i="2"/>
  <c r="AE1125" i="2"/>
  <c r="AF1125" i="2" s="1"/>
  <c r="AE1904" i="2"/>
  <c r="AF1904" i="2" s="1"/>
  <c r="AE1916" i="2"/>
  <c r="AF1916" i="2" s="1"/>
  <c r="AE1893" i="2"/>
  <c r="AF1893" i="2" s="1"/>
  <c r="AE1818" i="2"/>
  <c r="AF1818" i="2" s="1"/>
  <c r="AE1547" i="2"/>
  <c r="AF1547" i="2" s="1"/>
  <c r="AE579" i="2"/>
  <c r="AF579" i="2" s="1"/>
  <c r="AE538" i="2"/>
  <c r="AF538" i="2" s="1"/>
  <c r="AE145" i="2"/>
  <c r="AF145" i="2" s="1"/>
  <c r="AE472" i="2"/>
  <c r="AF472" i="2" s="1"/>
  <c r="AE1695" i="2"/>
  <c r="AF1695" i="2" s="1"/>
  <c r="AE610" i="2"/>
  <c r="AF610" i="2" s="1"/>
  <c r="AE1575" i="2"/>
  <c r="AF1575" i="2" s="1"/>
  <c r="AE1674" i="2"/>
  <c r="AF1674" i="2" s="1"/>
  <c r="AE1592" i="2"/>
  <c r="AF1592" i="2" s="1"/>
  <c r="AE1140" i="2"/>
  <c r="AF1140" i="2" s="1"/>
  <c r="AE1068" i="2"/>
  <c r="AF1068" i="2" s="1"/>
  <c r="AE501" i="2"/>
  <c r="AF501" i="2" s="1"/>
  <c r="AF1790" i="2"/>
  <c r="AE1920" i="2"/>
  <c r="AF1920" i="2" s="1"/>
  <c r="AF1910" i="2"/>
  <c r="AF1878" i="2"/>
  <c r="AF1725" i="2"/>
  <c r="AE1453" i="2"/>
  <c r="AF1453" i="2" s="1"/>
  <c r="AE1366" i="2"/>
  <c r="AF1366" i="2" s="1"/>
  <c r="AF1536" i="2"/>
  <c r="AE1230" i="2"/>
  <c r="AF1230" i="2" s="1"/>
  <c r="AE1769" i="2"/>
  <c r="AF1769" i="2" s="1"/>
  <c r="AE1393" i="2"/>
  <c r="AF1393" i="2" s="1"/>
  <c r="AE1194" i="2"/>
  <c r="AF1194" i="2" s="1"/>
  <c r="AE1208" i="2"/>
  <c r="AF1208" i="2" s="1"/>
  <c r="AE781" i="2"/>
  <c r="AF781" i="2" s="1"/>
  <c r="AE809" i="2"/>
  <c r="AF809" i="2" s="1"/>
  <c r="AF764" i="2"/>
  <c r="AE344" i="2"/>
  <c r="AF344" i="2" s="1"/>
  <c r="AF633" i="2"/>
  <c r="AE647" i="2"/>
  <c r="AF647" i="2" s="1"/>
  <c r="AE159" i="2"/>
  <c r="AF159" i="2" s="1"/>
  <c r="AE545" i="2"/>
  <c r="AF545" i="2" s="1"/>
  <c r="AE535" i="2"/>
  <c r="AF535" i="2" s="1"/>
  <c r="AE1754" i="2"/>
  <c r="AF1754" i="2" s="1"/>
  <c r="AF1345" i="2"/>
  <c r="AE1052" i="2"/>
  <c r="AF1052" i="2" s="1"/>
  <c r="AE1763" i="2"/>
  <c r="AF1763" i="2" s="1"/>
  <c r="AE1645" i="2"/>
  <c r="AF1645" i="2" s="1"/>
  <c r="AE1597" i="2"/>
  <c r="AF1597" i="2" s="1"/>
  <c r="AE1462" i="2"/>
  <c r="AF1462" i="2" s="1"/>
  <c r="AE1578" i="2"/>
  <c r="AF1578" i="2" s="1"/>
  <c r="AE333" i="2"/>
  <c r="AF333" i="2" s="1"/>
  <c r="AE315" i="2"/>
  <c r="AF315" i="2" s="1"/>
  <c r="AE215" i="2"/>
  <c r="AF215" i="2" s="1"/>
  <c r="AE1636" i="2"/>
  <c r="AF1636" i="2" s="1"/>
  <c r="AE1619" i="2"/>
  <c r="AF1619" i="2" s="1"/>
  <c r="AE1612" i="2"/>
  <c r="AF1612" i="2" s="1"/>
  <c r="AE413" i="2"/>
  <c r="AF413" i="2" s="1"/>
  <c r="AE396" i="2"/>
  <c r="AF396" i="2" s="1"/>
  <c r="AE1880" i="2"/>
  <c r="AF1880" i="2" s="1"/>
  <c r="AE597" i="2"/>
  <c r="AF597" i="2" s="1"/>
  <c r="AE1048" i="2"/>
  <c r="AF1048" i="2" s="1"/>
  <c r="AE1702" i="2"/>
  <c r="AF1702" i="2" s="1"/>
  <c r="AE928" i="2"/>
  <c r="AF928" i="2" s="1"/>
  <c r="AE944" i="2"/>
  <c r="AF944" i="2" s="1"/>
  <c r="AE1269" i="2"/>
  <c r="AF1269" i="2" s="1"/>
  <c r="AE1824" i="2"/>
  <c r="AF1824" i="2" s="1"/>
  <c r="AF1902" i="2"/>
  <c r="AE1747" i="2"/>
  <c r="AF1747" i="2" s="1"/>
  <c r="AF1657" i="2"/>
  <c r="AE1500" i="2"/>
  <c r="AF1500" i="2" s="1"/>
  <c r="AE1490" i="2"/>
  <c r="AF1490" i="2" s="1"/>
  <c r="AF1392" i="2"/>
  <c r="AF1308" i="2"/>
  <c r="AE1300" i="2"/>
  <c r="AF1300" i="2" s="1"/>
  <c r="AF1231" i="2"/>
  <c r="AE843" i="2"/>
  <c r="AF843" i="2" s="1"/>
  <c r="AE780" i="2"/>
  <c r="AF780" i="2" s="1"/>
  <c r="AF720" i="2"/>
  <c r="AF688" i="2"/>
  <c r="AF632" i="2"/>
  <c r="AE1479" i="2"/>
  <c r="AF1479" i="2" s="1"/>
  <c r="AF1987" i="2"/>
  <c r="AE54" i="2"/>
  <c r="AF54" i="2" s="1"/>
  <c r="AE11" i="2"/>
  <c r="AF11" i="2" s="1"/>
  <c r="AE978" i="2"/>
  <c r="AF978" i="2" s="1"/>
  <c r="AE971" i="2"/>
  <c r="AF971" i="2" s="1"/>
  <c r="AE167" i="2"/>
  <c r="AF167" i="2" s="1"/>
  <c r="AE1761" i="2"/>
  <c r="AF1761" i="2" s="1"/>
  <c r="AE1762" i="2"/>
  <c r="AF1762" i="2" s="1"/>
  <c r="AE1686" i="2"/>
  <c r="AF1686" i="2" s="1"/>
  <c r="AE449" i="2"/>
  <c r="AF449" i="2" s="1"/>
  <c r="AE1420" i="2"/>
  <c r="AF1420" i="2" s="1"/>
  <c r="AE1151" i="2"/>
  <c r="AF1151" i="2" s="1"/>
  <c r="AE1097" i="2"/>
  <c r="AF1097" i="2" s="1"/>
  <c r="AE1017" i="2"/>
  <c r="AF1017" i="2" s="1"/>
  <c r="AE1704" i="2"/>
  <c r="AF1704" i="2" s="1"/>
  <c r="AF1149" i="2"/>
  <c r="AE287" i="2"/>
  <c r="AF287" i="2" s="1"/>
  <c r="AE1145" i="2"/>
  <c r="AF1145" i="2" s="1"/>
  <c r="AF1211" i="2"/>
  <c r="AE1871" i="2"/>
  <c r="AF1871" i="2" s="1"/>
  <c r="AF1641" i="2"/>
  <c r="AE649" i="2"/>
  <c r="AF649" i="2" s="1"/>
  <c r="AE566" i="2"/>
  <c r="AF566" i="2" s="1"/>
  <c r="AE375" i="2"/>
  <c r="AF375" i="2" s="1"/>
  <c r="AE368" i="2"/>
  <c r="AF368" i="2" s="1"/>
  <c r="AE274" i="2"/>
  <c r="AF274" i="2" s="1"/>
  <c r="AF1703" i="2"/>
  <c r="AF1683" i="2"/>
  <c r="AE477" i="2"/>
  <c r="AF477" i="2" s="1"/>
  <c r="AE157" i="2"/>
  <c r="AF157" i="2" s="1"/>
  <c r="AE1870" i="2"/>
  <c r="AF1870" i="2" s="1"/>
  <c r="AE485" i="2"/>
  <c r="AF485" i="2" s="1"/>
  <c r="AE1942" i="2"/>
  <c r="AF1942" i="2" s="1"/>
  <c r="AE1901" i="2"/>
  <c r="AF1901" i="2" s="1"/>
  <c r="AF1740" i="2"/>
  <c r="AE1595" i="2"/>
  <c r="AF1595" i="2" s="1"/>
  <c r="AE1452" i="2"/>
  <c r="AF1452" i="2" s="1"/>
  <c r="AF1309" i="2"/>
  <c r="AE199" i="2"/>
  <c r="AF199" i="2" s="1"/>
  <c r="AF1718" i="2"/>
  <c r="AE1059" i="2"/>
  <c r="AF1059" i="2" s="1"/>
  <c r="AE1583" i="2"/>
  <c r="AF1583" i="2" s="1"/>
  <c r="AE188" i="2"/>
  <c r="AF188" i="2" s="1"/>
  <c r="AE1651" i="2"/>
  <c r="AF1651" i="2" s="1"/>
  <c r="AF1836" i="2"/>
  <c r="AE1084" i="2"/>
  <c r="AF1084" i="2" s="1"/>
  <c r="AE1845" i="2"/>
  <c r="AF1845" i="2" s="1"/>
  <c r="AF1964" i="2"/>
  <c r="AE1949" i="2"/>
  <c r="AF1949" i="2" s="1"/>
  <c r="AE1766" i="2"/>
  <c r="AF1766" i="2" s="1"/>
  <c r="AE1292" i="2"/>
  <c r="AF1292" i="2" s="1"/>
  <c r="AE1158" i="2"/>
  <c r="AF1158" i="2" s="1"/>
  <c r="AE1166" i="2"/>
  <c r="AF1166" i="2" s="1"/>
  <c r="AE1260" i="2"/>
  <c r="AF1260" i="2" s="1"/>
  <c r="AE1221" i="2"/>
  <c r="AF1221" i="2" s="1"/>
  <c r="AE1118" i="2"/>
  <c r="AF1118" i="2" s="1"/>
  <c r="AE995" i="2"/>
  <c r="AF995" i="2" s="1"/>
  <c r="AE842" i="2"/>
  <c r="AF842" i="2" s="1"/>
  <c r="AE807" i="2"/>
  <c r="AF807" i="2" s="1"/>
  <c r="AE682" i="2"/>
  <c r="AF682" i="2" s="1"/>
  <c r="AE600" i="2"/>
  <c r="AF600" i="2" s="1"/>
  <c r="AE712" i="2"/>
  <c r="AF712" i="2" s="1"/>
  <c r="AE345" i="2"/>
  <c r="AF345" i="2" s="1"/>
  <c r="AE342" i="2"/>
  <c r="AF342" i="2" s="1"/>
  <c r="AE1002" i="2"/>
  <c r="AF1002" i="2" s="1"/>
  <c r="AE1854" i="2"/>
  <c r="AF1854" i="2" s="1"/>
  <c r="AE1316" i="2"/>
  <c r="AF1316" i="2" s="1"/>
  <c r="AE1250" i="2"/>
  <c r="AF1250" i="2" s="1"/>
  <c r="AE221" i="2"/>
  <c r="AF221" i="2" s="1"/>
  <c r="AE1647" i="2"/>
  <c r="AF1647" i="2" s="1"/>
  <c r="AE1622" i="2"/>
  <c r="AF1622" i="2" s="1"/>
  <c r="AE1127" i="2"/>
  <c r="AF1127" i="2" s="1"/>
  <c r="AF304" i="2"/>
  <c r="AE40" i="2"/>
  <c r="AF40" i="2" s="1"/>
  <c r="AE124" i="2"/>
  <c r="AF124" i="2" s="1"/>
  <c r="AE288" i="2"/>
  <c r="AF288" i="2" s="1"/>
  <c r="AE936" i="2"/>
  <c r="AF936" i="2" s="1"/>
  <c r="AE895" i="2"/>
  <c r="AF895" i="2" s="1"/>
  <c r="AE1563" i="2"/>
  <c r="AF1563" i="2" s="1"/>
  <c r="AE1315" i="2"/>
  <c r="AF1315" i="2" s="1"/>
  <c r="AE1342" i="2"/>
  <c r="AF1342" i="2" s="1"/>
  <c r="AF856" i="2"/>
  <c r="AF766" i="2"/>
  <c r="AF181" i="2"/>
  <c r="AE171" i="2"/>
  <c r="AF171" i="2" s="1"/>
  <c r="AE283" i="2"/>
  <c r="AF283" i="2" s="1"/>
  <c r="AE49" i="2"/>
  <c r="AF49" i="2" s="1"/>
  <c r="AE1841" i="2"/>
  <c r="AF1841" i="2" s="1"/>
  <c r="AF298" i="2"/>
  <c r="AE1192" i="2"/>
  <c r="AF1192" i="2" s="1"/>
  <c r="AF1466" i="2"/>
  <c r="AE1817" i="2"/>
  <c r="AF1817" i="2" s="1"/>
  <c r="AF408" i="2"/>
  <c r="AE887" i="2"/>
  <c r="AF887" i="2" s="1"/>
  <c r="AE1680" i="2"/>
  <c r="AF1680" i="2" s="1"/>
  <c r="AE1555" i="2"/>
  <c r="AF1555" i="2" s="1"/>
  <c r="AF1136" i="2"/>
  <c r="AF1045" i="2"/>
  <c r="AE947" i="2"/>
  <c r="AF947" i="2" s="1"/>
  <c r="AE602" i="2"/>
  <c r="AF602" i="2" s="1"/>
  <c r="AE1076" i="2"/>
  <c r="AF1076" i="2" s="1"/>
  <c r="AE1526" i="2"/>
  <c r="AF1526" i="2" s="1"/>
  <c r="AF1853" i="2"/>
  <c r="AE1830" i="2"/>
  <c r="AF1830" i="2" s="1"/>
  <c r="AF1813" i="2"/>
  <c r="AE1199" i="2"/>
  <c r="AF1199" i="2" s="1"/>
  <c r="AF75" i="2"/>
  <c r="AE143" i="2"/>
  <c r="AF143" i="2" s="1"/>
  <c r="AE697" i="2"/>
  <c r="AF697" i="2" s="1"/>
  <c r="AE1056" i="2"/>
  <c r="AF1056" i="2" s="1"/>
  <c r="AE1542" i="2"/>
  <c r="AF1542" i="2" s="1"/>
  <c r="AF1815" i="2"/>
  <c r="AF1979" i="2"/>
  <c r="AE1944" i="2"/>
  <c r="AF1944" i="2" s="1"/>
  <c r="AE1911" i="2"/>
  <c r="AF1911" i="2" s="1"/>
  <c r="AF1742" i="2"/>
  <c r="AE1562" i="2"/>
  <c r="AF1562" i="2" s="1"/>
  <c r="AE1579" i="2"/>
  <c r="AF1579" i="2" s="1"/>
  <c r="AE1285" i="2"/>
  <c r="AF1285" i="2" s="1"/>
  <c r="AE1022" i="2"/>
  <c r="AF1022" i="2" s="1"/>
  <c r="AE966" i="2"/>
  <c r="AF966" i="2" s="1"/>
  <c r="AE955" i="2"/>
  <c r="AF955" i="2" s="1"/>
  <c r="AE336" i="2"/>
  <c r="AF336" i="2" s="1"/>
  <c r="AF238" i="2"/>
  <c r="AE180" i="2"/>
  <c r="AF180" i="2" s="1"/>
  <c r="AE106" i="2"/>
  <c r="AF106" i="2" s="1"/>
  <c r="AE1723" i="2"/>
  <c r="AF1723" i="2" s="1"/>
  <c r="AE1707" i="2"/>
  <c r="AF1707" i="2" s="1"/>
  <c r="AE1609" i="2"/>
  <c r="AF1609" i="2" s="1"/>
  <c r="AE1495" i="2"/>
  <c r="AF1495" i="2" s="1"/>
  <c r="AE1306" i="2"/>
  <c r="AF1306" i="2" s="1"/>
  <c r="AE861" i="2"/>
  <c r="AF861" i="2" s="1"/>
  <c r="AE212" i="2"/>
  <c r="AF212" i="2" s="1"/>
  <c r="AF110" i="2"/>
  <c r="AE1888" i="2"/>
  <c r="AF1888" i="2" s="1"/>
  <c r="AF1397" i="2"/>
  <c r="AE1190" i="2"/>
  <c r="AF1190" i="2" s="1"/>
  <c r="AE1436" i="2"/>
  <c r="AF1436" i="2" s="1"/>
  <c r="AE979" i="2"/>
  <c r="AF979" i="2" s="1"/>
  <c r="AE1867" i="2"/>
  <c r="AF1867" i="2" s="1"/>
  <c r="AE1524" i="2"/>
  <c r="AF1524" i="2" s="1"/>
  <c r="AE232" i="2"/>
  <c r="AF232" i="2" s="1"/>
  <c r="AE1371" i="2"/>
  <c r="AF1371" i="2" s="1"/>
  <c r="AE1296" i="2"/>
  <c r="AF1296" i="2" s="1"/>
  <c r="AF1847" i="2"/>
  <c r="AF1838" i="2"/>
  <c r="AE1712" i="2"/>
  <c r="AF1712" i="2" s="1"/>
  <c r="AE1264" i="2"/>
  <c r="AF1264" i="2" s="1"/>
  <c r="AE929" i="2"/>
  <c r="AF929" i="2" s="1"/>
  <c r="AE990" i="2"/>
  <c r="AF990" i="2" s="1"/>
  <c r="AF468" i="2"/>
  <c r="AE504" i="2"/>
  <c r="AF504" i="2" s="1"/>
  <c r="AE263" i="2"/>
  <c r="AF263" i="2" s="1"/>
  <c r="AE873" i="2"/>
  <c r="AF873" i="2" s="1"/>
  <c r="AF943" i="2"/>
  <c r="AF1726" i="2"/>
  <c r="AF1489" i="2"/>
  <c r="AE1419" i="2"/>
  <c r="AF1419" i="2" s="1"/>
  <c r="AE1385" i="2"/>
  <c r="AF1385" i="2" s="1"/>
  <c r="AF1267" i="2"/>
  <c r="AF1147" i="2"/>
  <c r="AE1082" i="2"/>
  <c r="AF1082" i="2" s="1"/>
  <c r="AF1069" i="2"/>
  <c r="AF783" i="2"/>
  <c r="AE1906" i="2"/>
  <c r="AF1906" i="2" s="1"/>
  <c r="AF1849" i="2"/>
  <c r="AE1358" i="2"/>
  <c r="AF1358" i="2" s="1"/>
  <c r="AE1319" i="2"/>
  <c r="AF1319" i="2" s="1"/>
  <c r="AE1094" i="2"/>
  <c r="AF1094" i="2" s="1"/>
  <c r="AE1058" i="2"/>
  <c r="AF1058" i="2" s="1"/>
  <c r="AE789" i="2"/>
  <c r="AF789" i="2" s="1"/>
  <c r="AF531" i="2"/>
  <c r="AE1900" i="2"/>
  <c r="AF1900" i="2" s="1"/>
  <c r="AE1417" i="2"/>
  <c r="AF1417" i="2" s="1"/>
  <c r="AF1026" i="2"/>
  <c r="AF994" i="2"/>
  <c r="AF810" i="2"/>
  <c r="AF658" i="2"/>
  <c r="AF511" i="2"/>
  <c r="AF361" i="2"/>
  <c r="AF347" i="2"/>
  <c r="AF337" i="2"/>
  <c r="AF259" i="2"/>
  <c r="AF155" i="2"/>
  <c r="AE1232" i="2"/>
  <c r="AF1232" i="2" s="1"/>
  <c r="AE1537" i="2"/>
  <c r="AF1537" i="2" s="1"/>
  <c r="AF1416" i="2"/>
  <c r="AE1291" i="2"/>
  <c r="AF1291" i="2" s="1"/>
  <c r="AE1496" i="2"/>
  <c r="AF1496" i="2" s="1"/>
  <c r="AF891" i="2"/>
  <c r="AF839" i="2"/>
  <c r="AF665" i="2"/>
  <c r="AF587" i="2"/>
  <c r="AF331" i="2"/>
  <c r="AF91" i="2"/>
  <c r="AF1370" i="2"/>
  <c r="AE1216" i="2"/>
  <c r="AF1216" i="2" s="1"/>
  <c r="AF1184" i="2"/>
  <c r="AE1174" i="2"/>
  <c r="AF1174" i="2" s="1"/>
  <c r="AF1005" i="2"/>
  <c r="AF984" i="2"/>
  <c r="AE571" i="2"/>
  <c r="AF571" i="2" s="1"/>
  <c r="AE1139" i="2"/>
  <c r="AF1139" i="2" s="1"/>
  <c r="AE1310" i="2"/>
  <c r="AF1310" i="2" s="1"/>
  <c r="AE47" i="2"/>
  <c r="AF47" i="2" s="1"/>
  <c r="AE1764" i="2"/>
  <c r="AF1764" i="2" s="1"/>
  <c r="AF1967" i="2"/>
  <c r="AE1031" i="2"/>
  <c r="AF1031" i="2" s="1"/>
  <c r="AE1338" i="2"/>
  <c r="AF1338" i="2" s="1"/>
  <c r="AE1407" i="2"/>
  <c r="AF1407" i="2" s="1"/>
  <c r="AE1826" i="2"/>
  <c r="AF1826" i="2" s="1"/>
  <c r="AF448" i="2"/>
  <c r="AE356" i="2"/>
  <c r="AF356" i="2" s="1"/>
  <c r="AE326" i="2"/>
  <c r="AF326" i="2" s="1"/>
  <c r="AE305" i="2"/>
  <c r="AF305" i="2" s="1"/>
  <c r="AE1973" i="2"/>
  <c r="AF1973" i="2" s="1"/>
  <c r="AE1352" i="2"/>
  <c r="AF1352" i="2" s="1"/>
  <c r="AE1032" i="2"/>
  <c r="AF1032" i="2" s="1"/>
  <c r="AE1957" i="2"/>
  <c r="AF1957" i="2" s="1"/>
  <c r="AE1755" i="2"/>
  <c r="AF1755" i="2" s="1"/>
  <c r="AE1374" i="2"/>
  <c r="AF1374" i="2" s="1"/>
  <c r="AF1344" i="2"/>
  <c r="AE182" i="2"/>
  <c r="AF182" i="2" s="1"/>
  <c r="AE1530" i="2"/>
  <c r="AF1530" i="2" s="1"/>
  <c r="AE1792" i="2"/>
  <c r="AF1792" i="2" s="1"/>
  <c r="AE1834" i="2"/>
  <c r="AF1834" i="2" s="1"/>
  <c r="AF1810" i="2"/>
  <c r="AE73" i="2"/>
  <c r="AF73" i="2" s="1"/>
  <c r="AE52" i="2"/>
  <c r="AF52" i="2" s="1"/>
  <c r="AF1884" i="2"/>
  <c r="AF1968" i="2"/>
  <c r="AE1326" i="2"/>
  <c r="AF1326" i="2" s="1"/>
  <c r="AE1262" i="2"/>
  <c r="AF1262" i="2" s="1"/>
  <c r="AE1225" i="2"/>
  <c r="AF1225" i="2" s="1"/>
  <c r="AE48" i="2"/>
  <c r="AF48" i="2" s="1"/>
  <c r="AE184" i="2"/>
  <c r="AF184" i="2" s="1"/>
  <c r="AE1701" i="2"/>
  <c r="AF1701" i="2" s="1"/>
  <c r="AE1958" i="2"/>
  <c r="AF1958" i="2" s="1"/>
  <c r="AE1955" i="2"/>
  <c r="AF1955" i="2" s="1"/>
  <c r="AE1637" i="2"/>
  <c r="AF1637" i="2" s="1"/>
  <c r="AE1546" i="2"/>
  <c r="AF1546" i="2" s="1"/>
  <c r="AE1843" i="2"/>
  <c r="AF1843" i="2" s="1"/>
  <c r="AE1427" i="2"/>
  <c r="AF1427" i="2" s="1"/>
  <c r="AF642" i="2"/>
  <c r="AE574" i="2"/>
  <c r="AF574" i="2" s="1"/>
  <c r="AE671" i="2"/>
  <c r="AF671" i="2" s="1"/>
  <c r="AF27" i="2"/>
  <c r="AE1778" i="2"/>
  <c r="AF1778" i="2" s="1"/>
  <c r="AE957" i="2"/>
  <c r="AF957" i="2" s="1"/>
  <c r="AE859" i="2"/>
  <c r="AF859" i="2" s="1"/>
  <c r="AE1418" i="2"/>
  <c r="AF1418" i="2" s="1"/>
  <c r="AE33" i="2"/>
  <c r="AF33" i="2" s="1"/>
  <c r="AE470" i="2"/>
  <c r="AF470" i="2" s="1"/>
  <c r="AF1798" i="2"/>
  <c r="AE1110" i="2"/>
  <c r="AF1110" i="2" s="1"/>
  <c r="AF1985" i="2"/>
  <c r="AF1294" i="2"/>
  <c r="AE846" i="2"/>
  <c r="AF846" i="2" s="1"/>
  <c r="AE1275" i="2"/>
  <c r="AF1275" i="2" s="1"/>
  <c r="AE465" i="2"/>
  <c r="AF465" i="2" s="1"/>
  <c r="AE59" i="2"/>
  <c r="AF59" i="2" s="1"/>
  <c r="AE379" i="2"/>
  <c r="AF379" i="2" s="1"/>
  <c r="AE1454" i="2"/>
  <c r="AF1454" i="2" s="1"/>
  <c r="AE1750" i="2"/>
  <c r="AF1750" i="2" s="1"/>
  <c r="AE1164" i="2"/>
  <c r="AF1164" i="2" s="1"/>
  <c r="AE1625" i="2"/>
  <c r="AF1625" i="2" s="1"/>
  <c r="AF1971" i="2"/>
  <c r="AF1877" i="2"/>
  <c r="AF1809" i="2"/>
  <c r="AE1782" i="2"/>
  <c r="AF1782" i="2" s="1"/>
  <c r="AE1577" i="2"/>
  <c r="AF1577" i="2" s="1"/>
  <c r="AE1482" i="2"/>
  <c r="AF1482" i="2" s="1"/>
  <c r="AE1474" i="2"/>
  <c r="AF1474" i="2" s="1"/>
  <c r="AE1447" i="2"/>
  <c r="AF1447" i="2" s="1"/>
  <c r="AE1372" i="2"/>
  <c r="AF1372" i="2" s="1"/>
  <c r="AE1386" i="2"/>
  <c r="AF1386" i="2" s="1"/>
  <c r="AE1331" i="2"/>
  <c r="AF1331" i="2" s="1"/>
  <c r="AE1284" i="2"/>
  <c r="AF1284" i="2" s="1"/>
  <c r="AE935" i="2"/>
  <c r="AF935" i="2" s="1"/>
  <c r="AE881" i="2"/>
  <c r="AF881" i="2" s="1"/>
  <c r="AE870" i="2"/>
  <c r="AF870" i="2" s="1"/>
  <c r="AE927" i="2"/>
  <c r="AF927" i="2" s="1"/>
  <c r="AE1986" i="2"/>
  <c r="AF1986" i="2" s="1"/>
  <c r="AE1522" i="2"/>
  <c r="AF1522" i="2" s="1"/>
  <c r="AE1044" i="2"/>
  <c r="AF1044" i="2" s="1"/>
  <c r="AE99" i="2"/>
  <c r="AF99" i="2" s="1"/>
  <c r="AE55" i="2"/>
  <c r="AF55" i="2" s="1"/>
  <c r="AF119" i="2"/>
  <c r="AF1491" i="2"/>
  <c r="AF1062" i="2"/>
  <c r="AE523" i="2"/>
  <c r="AF523" i="2" s="1"/>
  <c r="AE459" i="2"/>
  <c r="AF459" i="2" s="1"/>
  <c r="AE572" i="2"/>
  <c r="AF572" i="2" s="1"/>
  <c r="AE1179" i="2"/>
  <c r="AF1179" i="2" s="1"/>
  <c r="AF1914" i="2"/>
  <c r="AF1604" i="2"/>
  <c r="AE1450" i="2"/>
  <c r="AF1450" i="2" s="1"/>
  <c r="AE939" i="2"/>
  <c r="AF939" i="2" s="1"/>
  <c r="AE441" i="2"/>
  <c r="AF441" i="2" s="1"/>
  <c r="AE255" i="2"/>
  <c r="AF255" i="2" s="1"/>
  <c r="AE1691" i="2"/>
  <c r="AF1691" i="2" s="1"/>
  <c r="AE276" i="2"/>
  <c r="AF276" i="2" s="1"/>
  <c r="AE1302" i="2"/>
  <c r="AF1302" i="2" s="1"/>
  <c r="AE1410" i="2"/>
  <c r="AF1410" i="2" s="1"/>
  <c r="AE555" i="2"/>
  <c r="AF555" i="2" s="1"/>
  <c r="AE1677" i="2"/>
  <c r="AF1677" i="2" s="1"/>
  <c r="AE1828" i="2"/>
  <c r="AF1828" i="2" s="1"/>
  <c r="AE381" i="2"/>
  <c r="AF381" i="2" s="1"/>
  <c r="AE1498" i="2"/>
  <c r="AF1498" i="2" s="1"/>
  <c r="AE273" i="2"/>
  <c r="AF273" i="2" s="1"/>
  <c r="AE666" i="2"/>
  <c r="AF666" i="2" s="1"/>
  <c r="AE1690" i="2"/>
  <c r="AF1690" i="2" s="1"/>
  <c r="AE1698" i="2"/>
  <c r="AF1698" i="2" s="1"/>
  <c r="AE1239" i="2"/>
  <c r="AF1239" i="2" s="1"/>
  <c r="AE1113" i="2"/>
  <c r="AF1113" i="2" s="1"/>
  <c r="AE1389" i="2"/>
  <c r="AF1389" i="2" s="1"/>
  <c r="AE1773" i="2"/>
  <c r="AF1773" i="2" s="1"/>
  <c r="AE1974" i="2"/>
  <c r="AF1974" i="2" s="1"/>
  <c r="AF1506" i="2"/>
  <c r="AF25" i="2"/>
  <c r="AE1337" i="2"/>
  <c r="AF1337" i="2" s="1"/>
  <c r="AE1699" i="2"/>
  <c r="AF1699" i="2" s="1"/>
  <c r="AF1984" i="2"/>
  <c r="AE1977" i="2"/>
  <c r="AF1977" i="2" s="1"/>
  <c r="AE1946" i="2"/>
  <c r="AF1946" i="2" s="1"/>
  <c r="AF1919" i="2"/>
  <c r="AE1862" i="2"/>
  <c r="AF1862" i="2" s="1"/>
  <c r="AF1832" i="2"/>
  <c r="AE1844" i="2"/>
  <c r="AF1844" i="2" s="1"/>
  <c r="AF1551" i="2"/>
  <c r="AE705" i="2"/>
  <c r="AF705" i="2" s="1"/>
  <c r="AE639" i="2"/>
  <c r="AF639" i="2" s="1"/>
  <c r="AE630" i="2"/>
  <c r="AF630" i="2" s="1"/>
  <c r="AE503" i="2"/>
  <c r="AF503" i="2" s="1"/>
  <c r="AE338" i="2"/>
  <c r="AF338" i="2" s="1"/>
  <c r="AE1937" i="2"/>
  <c r="AF1937" i="2" s="1"/>
  <c r="AE802" i="2"/>
  <c r="AF802" i="2" s="1"/>
  <c r="AE1697" i="2"/>
  <c r="AF1697" i="2" s="1"/>
  <c r="AE1783" i="2"/>
  <c r="AF1783" i="2" s="1"/>
  <c r="AE1966" i="2"/>
  <c r="AF1966" i="2" s="1"/>
  <c r="AE1499" i="2"/>
  <c r="AF1499" i="2" s="1"/>
  <c r="AE1277" i="2"/>
  <c r="AF1277" i="2" s="1"/>
  <c r="AE1469" i="2"/>
  <c r="AF1469" i="2" s="1"/>
  <c r="AF1635" i="2"/>
  <c r="AE1628" i="2"/>
  <c r="AF1628" i="2" s="1"/>
  <c r="AE1387" i="2"/>
  <c r="AF1387" i="2" s="1"/>
  <c r="AE692" i="2"/>
  <c r="AF692" i="2" s="1"/>
  <c r="AE659" i="2"/>
  <c r="AF659" i="2" s="1"/>
  <c r="AF464" i="2"/>
  <c r="AE1278" i="2"/>
  <c r="AF1278" i="2" s="1"/>
  <c r="AE1177" i="2"/>
  <c r="AF1177" i="2" s="1"/>
  <c r="AE1959" i="2"/>
  <c r="AF1959" i="2" s="1"/>
  <c r="AE1180" i="2"/>
  <c r="AF1180" i="2" s="1"/>
  <c r="AE1176" i="2"/>
  <c r="AF1176" i="2" s="1"/>
  <c r="AE1178" i="2"/>
  <c r="AF1178" i="2" s="1"/>
  <c r="AE1111" i="2"/>
  <c r="AF1111" i="2" s="1"/>
  <c r="AE275" i="2"/>
  <c r="AF275" i="2" s="1"/>
  <c r="AE1599" i="2"/>
  <c r="AF1599" i="2" s="1"/>
  <c r="AF440" i="2"/>
  <c r="AE1024" i="2"/>
  <c r="AF1024" i="2" s="1"/>
  <c r="AE1928" i="2"/>
  <c r="AF1928" i="2" s="1"/>
  <c r="AE883" i="2"/>
  <c r="AF883" i="2" s="1"/>
  <c r="AE1214" i="2"/>
  <c r="AF1214" i="2" s="1"/>
  <c r="AF1075" i="2"/>
  <c r="AE1339" i="2"/>
  <c r="AF1339" i="2" s="1"/>
  <c r="AF1869" i="2"/>
  <c r="AE1700" i="2"/>
  <c r="AF1700" i="2" s="1"/>
  <c r="AE1373" i="2"/>
  <c r="AF1373" i="2" s="1"/>
  <c r="AE1605" i="2"/>
  <c r="AF1605" i="2" s="1"/>
  <c r="AE1989" i="2"/>
  <c r="AF1989" i="2" s="1"/>
  <c r="AF1976" i="2"/>
  <c r="AE1855" i="2"/>
  <c r="AF1855" i="2" s="1"/>
  <c r="AF1831" i="2"/>
  <c r="AF1823" i="2"/>
  <c r="AE1795" i="2"/>
  <c r="AF1795" i="2" s="1"/>
  <c r="AF1673" i="2"/>
  <c r="AE1591" i="2"/>
  <c r="AF1591" i="2" s="1"/>
  <c r="AF1550" i="2"/>
  <c r="AF1541" i="2"/>
  <c r="AE1415" i="2"/>
  <c r="AF1415" i="2" s="1"/>
  <c r="AE1307" i="2"/>
  <c r="AF1307" i="2" s="1"/>
  <c r="AE759" i="2"/>
  <c r="AF759" i="2" s="1"/>
  <c r="AF751" i="2"/>
  <c r="AE76" i="2"/>
  <c r="AF76" i="2" s="1"/>
  <c r="AE910" i="2"/>
  <c r="AF910" i="2" s="1"/>
  <c r="AE41" i="2"/>
  <c r="AF41" i="2" s="1"/>
  <c r="AE248" i="2"/>
  <c r="AF248" i="2" s="1"/>
  <c r="AF986" i="2"/>
  <c r="AE684" i="2"/>
  <c r="AF684" i="2" s="1"/>
  <c r="AE1317" i="2"/>
  <c r="AF1317" i="2" s="1"/>
  <c r="AE1242" i="2"/>
  <c r="AF1242" i="2" s="1"/>
  <c r="AF835" i="2"/>
  <c r="AF556" i="2"/>
  <c r="AF1939" i="2"/>
  <c r="AF1895" i="2"/>
  <c r="AE1860" i="2"/>
  <c r="AF1860" i="2" s="1"/>
  <c r="AE1794" i="2"/>
  <c r="AF1794" i="2" s="1"/>
  <c r="AE1711" i="2"/>
  <c r="AF1711" i="2" s="1"/>
  <c r="AE1532" i="2"/>
  <c r="AF1532" i="2" s="1"/>
  <c r="AF1472" i="2"/>
  <c r="AE1159" i="2"/>
  <c r="AF1159" i="2" s="1"/>
  <c r="AE823" i="2"/>
  <c r="AF823" i="2" s="1"/>
  <c r="AE773" i="2"/>
  <c r="AF773" i="2" s="1"/>
  <c r="AE689" i="2"/>
  <c r="AF689" i="2" s="1"/>
  <c r="AF680" i="2"/>
  <c r="AE419" i="2"/>
  <c r="AF419" i="2" s="1"/>
  <c r="AE1367" i="2"/>
  <c r="AF1367" i="2" s="1"/>
  <c r="AE1219" i="2"/>
  <c r="AF1219" i="2" s="1"/>
  <c r="AE942" i="2"/>
  <c r="AF942" i="2" s="1"/>
  <c r="AE1066" i="2"/>
  <c r="AF1066" i="2" s="1"/>
  <c r="AE909" i="2"/>
  <c r="AF909" i="2" s="1"/>
  <c r="AE434" i="2"/>
  <c r="AF434" i="2" s="1"/>
  <c r="AE217" i="2"/>
  <c r="AF217" i="2" s="1"/>
  <c r="AF976" i="2"/>
  <c r="AE1820" i="2"/>
  <c r="AF1820" i="2" s="1"/>
  <c r="AE1734" i="2"/>
  <c r="AF1734" i="2" s="1"/>
  <c r="AF1709" i="2"/>
  <c r="AF17" i="2"/>
  <c r="AE1336" i="2"/>
  <c r="AF1336" i="2" s="1"/>
  <c r="AE1053" i="2"/>
  <c r="AF1053" i="2" s="1"/>
  <c r="AE1891" i="2"/>
  <c r="AF1891" i="2" s="1"/>
  <c r="AE183" i="2"/>
  <c r="AF183" i="2" s="1"/>
  <c r="AF1512" i="2"/>
  <c r="AE213" i="2"/>
  <c r="AF213" i="2" s="1"/>
  <c r="AE1085" i="2"/>
  <c r="AF1085" i="2" s="1"/>
  <c r="AE1932" i="2"/>
  <c r="AF1932" i="2" s="1"/>
  <c r="AF1926" i="2"/>
  <c r="AE1898" i="2"/>
  <c r="AF1898" i="2" s="1"/>
  <c r="AE1889" i="2"/>
  <c r="AF1889" i="2" s="1"/>
  <c r="AE683" i="2"/>
  <c r="AF683" i="2" s="1"/>
  <c r="AE512" i="2"/>
  <c r="AF512" i="2" s="1"/>
  <c r="AF88" i="2"/>
  <c r="AE1175" i="2"/>
  <c r="AF1175" i="2" s="1"/>
  <c r="AE960" i="2"/>
  <c r="AF960" i="2" s="1"/>
  <c r="AE277" i="2"/>
  <c r="AF277" i="2" s="1"/>
  <c r="AE1689" i="2"/>
  <c r="AF1689" i="2" s="1"/>
  <c r="AF1040" i="2"/>
  <c r="AE1965" i="2"/>
  <c r="AF1965" i="2" s="1"/>
  <c r="AE1777" i="2"/>
  <c r="AF1777" i="2" s="1"/>
  <c r="AE797" i="2"/>
  <c r="AF797" i="2" s="1"/>
  <c r="AE862" i="2"/>
  <c r="AF862" i="2" s="1"/>
  <c r="AE1403" i="2"/>
  <c r="AF1403" i="2" s="1"/>
  <c r="AF1943" i="2"/>
  <c r="AE1903" i="2"/>
  <c r="AF1903" i="2" s="1"/>
  <c r="AE1807" i="2"/>
  <c r="AF1807" i="2" s="1"/>
  <c r="AF1771" i="2"/>
  <c r="AF1682" i="2"/>
  <c r="AF1665" i="2"/>
  <c r="AF1659" i="2"/>
  <c r="AF1556" i="2"/>
  <c r="AF1480" i="2"/>
  <c r="AE1347" i="2"/>
  <c r="AF1347" i="2" s="1"/>
  <c r="AF1129" i="2"/>
  <c r="AE902" i="2"/>
  <c r="AF902" i="2" s="1"/>
  <c r="AF867" i="2"/>
  <c r="AE857" i="2"/>
  <c r="AF857" i="2" s="1"/>
  <c r="AE804" i="2"/>
  <c r="AF804" i="2" s="1"/>
  <c r="AF787" i="2"/>
  <c r="AF758" i="2"/>
  <c r="AE525" i="2"/>
  <c r="AF525" i="2" s="1"/>
  <c r="AE387" i="2"/>
  <c r="AF387" i="2" s="1"/>
  <c r="AE967" i="2"/>
  <c r="AF967" i="2" s="1"/>
  <c r="AE1065" i="2"/>
  <c r="AF1065" i="2" s="1"/>
  <c r="AE1279" i="2"/>
  <c r="AF1279" i="2" s="1"/>
  <c r="AF779" i="2"/>
  <c r="AE591" i="2"/>
  <c r="AF591" i="2" s="1"/>
  <c r="AE1276" i="2"/>
  <c r="AF1276" i="2" s="1"/>
  <c r="AE466" i="2"/>
  <c r="AF466" i="2" s="1"/>
  <c r="AE1114" i="2"/>
  <c r="AF1114" i="2" s="1"/>
  <c r="AE1879" i="2"/>
  <c r="AF1879" i="2" s="1"/>
  <c r="AE1759" i="2"/>
  <c r="AF1759" i="2" s="1"/>
  <c r="AE1746" i="2"/>
  <c r="AF1746" i="2" s="1"/>
  <c r="AE66" i="2"/>
  <c r="AF66" i="2" s="1"/>
  <c r="AF1811" i="2"/>
  <c r="AF1286" i="2"/>
  <c r="AE1549" i="2"/>
  <c r="AF1549" i="2" s="1"/>
  <c r="AE1126" i="2"/>
  <c r="AF1126" i="2" s="1"/>
  <c r="AF1109" i="2"/>
  <c r="AF1077" i="2"/>
  <c r="AE341" i="2"/>
  <c r="AF341" i="2" s="1"/>
  <c r="AE306" i="2"/>
  <c r="AF306" i="2" s="1"/>
  <c r="AE1497" i="2"/>
  <c r="AF1497" i="2" s="1"/>
  <c r="AE1776" i="2"/>
  <c r="AF1776" i="2" s="1"/>
  <c r="AE1933" i="2"/>
  <c r="AF1933" i="2" s="1"/>
  <c r="AE1535" i="2"/>
  <c r="AF1535" i="2" s="1"/>
  <c r="AE1519" i="2"/>
  <c r="AF1519" i="2" s="1"/>
  <c r="AE1092" i="2"/>
  <c r="AF1092" i="2" s="1"/>
  <c r="AE1600" i="2"/>
  <c r="AF1600" i="2" s="1"/>
  <c r="AE1696" i="2"/>
  <c r="AF1696" i="2" s="1"/>
  <c r="AE1112" i="2"/>
  <c r="AF1112" i="2" s="1"/>
  <c r="AE670" i="2"/>
  <c r="AF670" i="2" s="1"/>
  <c r="AE1409" i="2"/>
  <c r="AF1409" i="2" s="1"/>
  <c r="AE1601" i="2"/>
  <c r="AF1601" i="2" s="1"/>
  <c r="AE1544" i="2"/>
  <c r="AF1544" i="2" s="1"/>
  <c r="AE1915" i="2"/>
  <c r="AF1915" i="2" s="1"/>
  <c r="AF1779" i="2"/>
  <c r="AE1735" i="2"/>
  <c r="AF1735" i="2" s="1"/>
  <c r="AF1721" i="2"/>
  <c r="AF1710" i="2"/>
  <c r="AE1664" i="2"/>
  <c r="AF1664" i="2" s="1"/>
  <c r="AE1613" i="2"/>
  <c r="AF1613" i="2" s="1"/>
  <c r="AF1589" i="2"/>
  <c r="AF1564" i="2"/>
  <c r="AF1327" i="2"/>
  <c r="AE1157" i="2"/>
  <c r="AF1157" i="2" s="1"/>
  <c r="AE1054" i="2"/>
  <c r="AF1054" i="2" s="1"/>
  <c r="AF1006" i="2"/>
  <c r="AE987" i="2"/>
  <c r="AF987" i="2" s="1"/>
  <c r="AE930" i="2"/>
  <c r="AF930" i="2" s="1"/>
  <c r="AE803" i="2"/>
  <c r="AF803" i="2" s="1"/>
  <c r="AF794" i="2"/>
  <c r="AE426" i="2"/>
  <c r="AF426" i="2" s="1"/>
  <c r="AF1882" i="2"/>
  <c r="AF1876" i="2"/>
  <c r="AF1632" i="2"/>
  <c r="AF1451" i="2"/>
  <c r="AF1438" i="2"/>
  <c r="AF1305" i="2"/>
  <c r="AF1240" i="2"/>
  <c r="AF1205" i="2"/>
  <c r="AF1197" i="2"/>
  <c r="AE1163" i="2"/>
  <c r="AF1163" i="2" s="1"/>
  <c r="AF1128" i="2"/>
  <c r="AF1122" i="2"/>
  <c r="AE926" i="2"/>
  <c r="AF926" i="2" s="1"/>
  <c r="AF908" i="2"/>
  <c r="AE900" i="2"/>
  <c r="AF900" i="2" s="1"/>
  <c r="AE849" i="2"/>
  <c r="AF849" i="2" s="1"/>
  <c r="AE769" i="2"/>
  <c r="AF769" i="2" s="1"/>
  <c r="AE645" i="2"/>
  <c r="AF645" i="2" s="1"/>
  <c r="AF622" i="2"/>
  <c r="AE589" i="2"/>
  <c r="AF589" i="2" s="1"/>
  <c r="AF583" i="2"/>
  <c r="AE509" i="2"/>
  <c r="AF509" i="2" s="1"/>
  <c r="AF502" i="2"/>
  <c r="AE437" i="2"/>
  <c r="AF437" i="2" s="1"/>
  <c r="AE196" i="2"/>
  <c r="AF196" i="2" s="1"/>
  <c r="AF1981" i="2"/>
  <c r="AF1802" i="2"/>
  <c r="AE1676" i="2"/>
  <c r="AF1676" i="2" s="1"/>
  <c r="AE1607" i="2"/>
  <c r="AF1607" i="2" s="1"/>
  <c r="AF1584" i="2"/>
  <c r="AF1539" i="2"/>
  <c r="AF1504" i="2"/>
  <c r="AF1457" i="2"/>
  <c r="AE1312" i="2"/>
  <c r="AF1312" i="2" s="1"/>
  <c r="AE1282" i="2"/>
  <c r="AF1282" i="2" s="1"/>
  <c r="AF1273" i="2"/>
  <c r="AF1212" i="2"/>
  <c r="AE1162" i="2"/>
  <c r="AF1162" i="2" s="1"/>
  <c r="AF1143" i="2"/>
  <c r="AF816" i="2"/>
  <c r="AE655" i="2"/>
  <c r="AF655" i="2" s="1"/>
  <c r="AE582" i="2"/>
  <c r="AF582" i="2" s="1"/>
  <c r="AE479" i="2"/>
  <c r="AF479" i="2" s="1"/>
  <c r="AE385" i="2"/>
  <c r="AF385" i="2" s="1"/>
  <c r="AE204" i="2"/>
  <c r="AF204" i="2" s="1"/>
  <c r="AE177" i="2"/>
  <c r="AF177" i="2" s="1"/>
  <c r="AF1941" i="2"/>
  <c r="AF1922" i="2"/>
  <c r="AF1886" i="2"/>
  <c r="AF1881" i="2"/>
  <c r="AE1753" i="2"/>
  <c r="AF1753" i="2" s="1"/>
  <c r="AF1713" i="2"/>
  <c r="AE1684" i="2"/>
  <c r="AF1684" i="2" s="1"/>
  <c r="AF1631" i="2"/>
  <c r="AE1538" i="2"/>
  <c r="AF1538" i="2" s="1"/>
  <c r="AE1422" i="2"/>
  <c r="AF1422" i="2" s="1"/>
  <c r="AE1341" i="2"/>
  <c r="AF1341" i="2" s="1"/>
  <c r="AF1204" i="2"/>
  <c r="AE1049" i="2"/>
  <c r="AF1049" i="2" s="1"/>
  <c r="AE924" i="2"/>
  <c r="AF924" i="2" s="1"/>
  <c r="AE695" i="2"/>
  <c r="AF695" i="2" s="1"/>
  <c r="AF628" i="2"/>
  <c r="AE401" i="2"/>
  <c r="AF401" i="2" s="1"/>
  <c r="AE258" i="2"/>
  <c r="AF258" i="2" s="1"/>
  <c r="AE653" i="2"/>
  <c r="AF653" i="2" s="1"/>
  <c r="AF620" i="2"/>
  <c r="AF414" i="2"/>
  <c r="AE241" i="2"/>
  <c r="AF241" i="2" s="1"/>
  <c r="AF219" i="2"/>
  <c r="AE1688" i="2"/>
  <c r="AF1688" i="2" s="1"/>
  <c r="AF1951" i="2"/>
  <c r="AF1940" i="2"/>
  <c r="AF1897" i="2"/>
  <c r="AF1885" i="2"/>
  <c r="AF1819" i="2"/>
  <c r="AE1758" i="2"/>
  <c r="AF1758" i="2" s="1"/>
  <c r="AF1717" i="2"/>
  <c r="AF1642" i="2"/>
  <c r="AF1574" i="2"/>
  <c r="AE1501" i="2"/>
  <c r="AF1501" i="2" s="1"/>
  <c r="AF1473" i="2"/>
  <c r="AF1412" i="2"/>
  <c r="AE1378" i="2"/>
  <c r="AF1378" i="2" s="1"/>
  <c r="AF1369" i="2"/>
  <c r="AE1288" i="2"/>
  <c r="AF1288" i="2" s="1"/>
  <c r="AF1263" i="2"/>
  <c r="AF1255" i="2"/>
  <c r="AF1169" i="2"/>
  <c r="AF1160" i="2"/>
  <c r="AF1096" i="2"/>
  <c r="AE1071" i="2"/>
  <c r="AF1071" i="2" s="1"/>
  <c r="AF954" i="2"/>
  <c r="AF847" i="2"/>
  <c r="AF752" i="2"/>
  <c r="AE686" i="2"/>
  <c r="AF686" i="2" s="1"/>
  <c r="AE661" i="2"/>
  <c r="AF661" i="2" s="1"/>
  <c r="AE559" i="2"/>
  <c r="AF559" i="2" s="1"/>
  <c r="AF519" i="2"/>
  <c r="AE476" i="2"/>
  <c r="AF476" i="2" s="1"/>
  <c r="AE435" i="2"/>
  <c r="AF435" i="2" s="1"/>
  <c r="AE391" i="2"/>
  <c r="AF391" i="2" s="1"/>
  <c r="AE308" i="2"/>
  <c r="AF308" i="2" s="1"/>
  <c r="AE247" i="2"/>
  <c r="AF247" i="2" s="1"/>
  <c r="AE231" i="2"/>
  <c r="AF231" i="2" s="1"/>
  <c r="AE210" i="2"/>
  <c r="AF210" i="2" s="1"/>
  <c r="AE114" i="2"/>
  <c r="AF114" i="2" s="1"/>
  <c r="AF1650" i="2"/>
  <c r="AE1618" i="2"/>
  <c r="AF1618" i="2" s="1"/>
  <c r="AF1552" i="2"/>
  <c r="AF1487" i="2"/>
  <c r="AE1455" i="2"/>
  <c r="AF1455" i="2" s="1"/>
  <c r="AE1271" i="2"/>
  <c r="AF1271" i="2" s="1"/>
  <c r="AE1120" i="2"/>
  <c r="AF1120" i="2" s="1"/>
  <c r="AF834" i="2"/>
  <c r="AF652" i="2"/>
  <c r="AE567" i="2"/>
  <c r="AF567" i="2" s="1"/>
  <c r="AF549" i="2"/>
  <c r="AE328" i="2"/>
  <c r="AF328" i="2" s="1"/>
  <c r="AF1722" i="2"/>
  <c r="AF1633" i="2"/>
  <c r="AF1568" i="2"/>
  <c r="AF1560" i="2"/>
  <c r="AE1503" i="2"/>
  <c r="AF1503" i="2" s="1"/>
  <c r="AF1351" i="2"/>
  <c r="AF1252" i="2"/>
  <c r="AF1218" i="2"/>
  <c r="AF1171" i="2"/>
  <c r="AF1098" i="2"/>
  <c r="AF1090" i="2"/>
  <c r="AF1061" i="2"/>
  <c r="AF992" i="2"/>
  <c r="AE941" i="2"/>
  <c r="AF941" i="2" s="1"/>
  <c r="AE915" i="2"/>
  <c r="AF915" i="2" s="1"/>
  <c r="AE905" i="2"/>
  <c r="AF905" i="2" s="1"/>
  <c r="AE865" i="2"/>
  <c r="AF865" i="2" s="1"/>
  <c r="AF749" i="2"/>
  <c r="AE735" i="2"/>
  <c r="AF735" i="2" s="1"/>
  <c r="AF693" i="2"/>
  <c r="AF581" i="2"/>
  <c r="AF546" i="2"/>
  <c r="AE493" i="2"/>
  <c r="AF493" i="2" s="1"/>
  <c r="AF486" i="2"/>
  <c r="AE478" i="2"/>
  <c r="AF478" i="2" s="1"/>
  <c r="AF469" i="2"/>
  <c r="AF463" i="2"/>
  <c r="AF359" i="2"/>
  <c r="AE207" i="2"/>
  <c r="AF207" i="2" s="1"/>
  <c r="AF201" i="2"/>
  <c r="AE121" i="2"/>
  <c r="AF121" i="2" s="1"/>
  <c r="AF1588" i="2"/>
  <c r="AF1540" i="2"/>
  <c r="AF1203" i="2"/>
  <c r="AE1170" i="2"/>
  <c r="AF1170" i="2" s="1"/>
  <c r="AF1106" i="2"/>
  <c r="AE805" i="2"/>
  <c r="AF805" i="2" s="1"/>
  <c r="AE570" i="2"/>
  <c r="AF570" i="2" s="1"/>
  <c r="AE552" i="2"/>
  <c r="AF552" i="2" s="1"/>
  <c r="AE537" i="2"/>
  <c r="AF537" i="2" s="1"/>
  <c r="AE423" i="2"/>
  <c r="AF423" i="2" s="1"/>
  <c r="AE268" i="2"/>
  <c r="AF268" i="2" s="1"/>
  <c r="AF253" i="2"/>
  <c r="AE137" i="2"/>
  <c r="AF137" i="2" s="1"/>
  <c r="AE71" i="2"/>
  <c r="AF71" i="2" s="1"/>
  <c r="AF1748" i="2"/>
  <c r="AE1514" i="2"/>
  <c r="AF1514" i="2" s="1"/>
  <c r="AF1488" i="2"/>
  <c r="AE1470" i="2"/>
  <c r="AF1470" i="2" s="1"/>
  <c r="AE1051" i="2"/>
  <c r="AF1051" i="2" s="1"/>
  <c r="AE1041" i="2"/>
  <c r="AF1041" i="2" s="1"/>
  <c r="AE948" i="2"/>
  <c r="AF948" i="2" s="1"/>
  <c r="AF734" i="2"/>
  <c r="AF700" i="2"/>
  <c r="AF656" i="2"/>
  <c r="AF529" i="2"/>
  <c r="AE484" i="2"/>
  <c r="AF484" i="2" s="1"/>
  <c r="AE316" i="2"/>
  <c r="AF316" i="2" s="1"/>
  <c r="AE136" i="2"/>
  <c r="AF136" i="2" s="1"/>
  <c r="AF120" i="2"/>
  <c r="AF1207" i="2"/>
  <c r="AF973" i="2"/>
  <c r="AF964" i="2"/>
  <c r="AE831" i="2"/>
  <c r="AF831" i="2" s="1"/>
  <c r="AF747" i="2"/>
  <c r="AF726" i="2"/>
  <c r="AE654" i="2"/>
  <c r="AF654" i="2" s="1"/>
  <c r="AF543" i="2"/>
  <c r="AE445" i="2"/>
  <c r="AF445" i="2" s="1"/>
  <c r="AF322" i="2"/>
  <c r="AF295" i="2"/>
  <c r="AF244" i="2"/>
  <c r="AE68" i="2"/>
  <c r="AF68" i="2" s="1"/>
  <c r="AE19" i="2"/>
  <c r="AF19" i="2" s="1"/>
  <c r="AF1670" i="2"/>
  <c r="AF1606" i="2"/>
  <c r="AE1467" i="2"/>
  <c r="AF1467" i="2" s="1"/>
  <c r="AF1395" i="2"/>
  <c r="AE1333" i="2"/>
  <c r="AF1333" i="2" s="1"/>
  <c r="AF1241" i="2"/>
  <c r="AF1185" i="2"/>
  <c r="AE1007" i="2"/>
  <c r="AF1007" i="2" s="1"/>
  <c r="AE981" i="2"/>
  <c r="AF981" i="2" s="1"/>
  <c r="AE963" i="2"/>
  <c r="AF963" i="2" s="1"/>
  <c r="AE795" i="2"/>
  <c r="AF795" i="2" s="1"/>
  <c r="AF704" i="2"/>
  <c r="AF698" i="2"/>
  <c r="AE623" i="2"/>
  <c r="AF623" i="2" s="1"/>
  <c r="AE542" i="2"/>
  <c r="AF542" i="2" s="1"/>
  <c r="AE490" i="2"/>
  <c r="AF490" i="2" s="1"/>
  <c r="AE444" i="2"/>
  <c r="AF444" i="2" s="1"/>
  <c r="AE350" i="2"/>
  <c r="AF350" i="2" s="1"/>
  <c r="AE321" i="2"/>
  <c r="AF321" i="2" s="1"/>
  <c r="AE250" i="2"/>
  <c r="AF250" i="2" s="1"/>
  <c r="AE226" i="2"/>
  <c r="AF226" i="2" s="1"/>
  <c r="AF1510" i="2"/>
  <c r="AF1396" i="2"/>
  <c r="AF1384" i="2"/>
  <c r="AF1380" i="2"/>
  <c r="AF1375" i="2"/>
  <c r="AF1368" i="2"/>
  <c r="AF1363" i="2"/>
  <c r="AF1357" i="2"/>
  <c r="AF1329" i="2"/>
  <c r="AF1324" i="2"/>
  <c r="AF1297" i="2"/>
  <c r="AF1220" i="2"/>
  <c r="AF1195" i="2"/>
  <c r="AF1187" i="2"/>
  <c r="AF1161" i="2"/>
  <c r="AF993" i="2"/>
  <c r="AF945" i="2"/>
  <c r="AE920" i="2"/>
  <c r="AF920" i="2" s="1"/>
  <c r="AF913" i="2"/>
  <c r="AE813" i="2"/>
  <c r="AF813" i="2" s="1"/>
  <c r="AF786" i="2"/>
  <c r="AF762" i="2"/>
  <c r="AF756" i="2"/>
  <c r="AF750" i="2"/>
  <c r="AF703" i="2"/>
  <c r="AE685" i="2"/>
  <c r="AF685" i="2" s="1"/>
  <c r="AF657" i="2"/>
  <c r="AF651" i="2"/>
  <c r="AF631" i="2"/>
  <c r="AF522" i="2"/>
  <c r="AE505" i="2"/>
  <c r="AF505" i="2" s="1"/>
  <c r="AF499" i="2"/>
  <c r="AE454" i="2"/>
  <c r="AF454" i="2" s="1"/>
  <c r="AE406" i="2"/>
  <c r="AF406" i="2" s="1"/>
  <c r="AF380" i="2"/>
  <c r="AF185" i="2"/>
  <c r="AF85" i="2"/>
  <c r="AF79" i="2"/>
  <c r="AE70" i="2"/>
  <c r="AF70" i="2" s="1"/>
  <c r="AF51" i="2"/>
  <c r="AF1400" i="2"/>
  <c r="AF1391" i="2"/>
  <c r="AF1259" i="2"/>
  <c r="AF1107" i="2"/>
  <c r="AF1015" i="2"/>
  <c r="AF1008" i="2"/>
  <c r="AF997" i="2"/>
  <c r="AF974" i="2"/>
  <c r="AF951" i="2"/>
  <c r="AF919" i="2"/>
  <c r="AF768" i="2"/>
  <c r="AF595" i="2"/>
  <c r="AF578" i="2"/>
  <c r="AF561" i="2"/>
  <c r="AF488" i="2"/>
  <c r="AF431" i="2"/>
  <c r="AF418" i="2"/>
  <c r="AE411" i="2"/>
  <c r="AF411" i="2" s="1"/>
  <c r="AF399" i="2"/>
  <c r="AE351" i="2"/>
  <c r="AF351" i="2" s="1"/>
  <c r="AE318" i="2"/>
  <c r="AF318" i="2" s="1"/>
  <c r="AE264" i="2"/>
  <c r="AF264" i="2" s="1"/>
  <c r="AF235" i="2"/>
  <c r="AE214" i="2"/>
  <c r="AF214" i="2" s="1"/>
  <c r="AF1115" i="2"/>
  <c r="AF854" i="2"/>
  <c r="AE669" i="2"/>
  <c r="AF669" i="2" s="1"/>
  <c r="AF663" i="2"/>
  <c r="AE609" i="2"/>
  <c r="AF609" i="2" s="1"/>
  <c r="AF603" i="2"/>
  <c r="AE568" i="2"/>
  <c r="AF568" i="2" s="1"/>
  <c r="AF193" i="2"/>
  <c r="AF57" i="2"/>
  <c r="AF1638" i="2"/>
  <c r="AF1448" i="2"/>
  <c r="AF852" i="2"/>
  <c r="AF588" i="2"/>
  <c r="AE530" i="2"/>
  <c r="AF530" i="2" s="1"/>
  <c r="AF508" i="2"/>
  <c r="AF492" i="2"/>
  <c r="AF450" i="2"/>
  <c r="AE421" i="2"/>
  <c r="AF421" i="2" s="1"/>
  <c r="AF176" i="2"/>
  <c r="AE131" i="2"/>
  <c r="AF131" i="2" s="1"/>
  <c r="AF123" i="2"/>
  <c r="AE103" i="2"/>
  <c r="AF103" i="2" s="1"/>
  <c r="AF98" i="2"/>
  <c r="AF858" i="2"/>
  <c r="AF696" i="2"/>
  <c r="AF690" i="2"/>
  <c r="AF660" i="2"/>
  <c r="AE629" i="2"/>
  <c r="AF629" i="2" s="1"/>
  <c r="AF604" i="2"/>
  <c r="AE467" i="2"/>
  <c r="AF467" i="2" s="1"/>
  <c r="AF461" i="2"/>
  <c r="AF447" i="2"/>
  <c r="AF417" i="2"/>
  <c r="AF395" i="2"/>
  <c r="AF390" i="2"/>
  <c r="AF378" i="2"/>
  <c r="AF334" i="2"/>
  <c r="AF330" i="2"/>
  <c r="AF323" i="2"/>
  <c r="AF313" i="2"/>
  <c r="AF280" i="2"/>
  <c r="AF243" i="2"/>
  <c r="AF190" i="2"/>
  <c r="AE94" i="2"/>
  <c r="AF94" i="2" s="1"/>
  <c r="AF74" i="2"/>
  <c r="AF1033" i="2"/>
  <c r="AF874" i="2"/>
  <c r="AF740" i="2"/>
  <c r="AF557" i="2"/>
  <c r="AF526" i="2"/>
  <c r="AF520" i="2"/>
  <c r="AF495" i="2"/>
  <c r="AF473" i="2"/>
  <c r="AF389" i="2"/>
  <c r="AF358" i="2"/>
  <c r="AE279" i="2"/>
  <c r="AF279" i="2" s="1"/>
  <c r="AF223" i="2"/>
  <c r="AF218" i="2"/>
  <c r="AE164" i="2"/>
  <c r="AF164" i="2" s="1"/>
  <c r="AE132" i="2"/>
  <c r="AF132" i="2" s="1"/>
  <c r="AF93" i="2"/>
  <c r="AF87" i="2"/>
  <c r="AF61" i="2"/>
  <c r="AF56" i="2"/>
  <c r="AF460" i="2"/>
  <c r="AE86" i="2"/>
  <c r="AF86" i="2" s="1"/>
  <c r="AF366" i="2"/>
  <c r="AE294" i="2"/>
  <c r="AF294" i="2" s="1"/>
  <c r="AF260" i="2"/>
  <c r="AF254" i="2"/>
  <c r="AE208" i="2"/>
  <c r="AF208" i="2" s="1"/>
  <c r="AF203" i="2"/>
  <c r="AF222" i="2"/>
  <c r="AF205" i="2"/>
  <c r="AE142" i="2"/>
  <c r="AF142" i="2" s="1"/>
  <c r="AF65" i="2"/>
  <c r="AF724" i="2"/>
  <c r="AF496" i="2"/>
  <c r="AF410" i="2"/>
  <c r="AF362" i="2"/>
  <c r="AF245" i="2"/>
  <c r="AF240" i="2"/>
  <c r="AF2" i="2"/>
</calcChain>
</file>

<file path=xl/sharedStrings.xml><?xml version="1.0" encoding="utf-8"?>
<sst xmlns="http://schemas.openxmlformats.org/spreadsheetml/2006/main" count="25359" uniqueCount="3165">
  <si>
    <t>SR</t>
  </si>
  <si>
    <t>SR-FAC</t>
  </si>
  <si>
    <t>OPERATION WISE-LOSS &amp; GAIN NEW</t>
  </si>
  <si>
    <t xml:space="preserve">WC Group Type :- 
WC Group :- GOLD-FILLING
Worker :- 
Item Group :- 
Metal Karat :- 
Batch No :- 
Operation :- 
From Date :- 01/06/2026
To Date :- 30/06/2026
Lot No :-
</t>
  </si>
  <si>
    <t>Created By</t>
  </si>
  <si>
    <t>Trans Date</t>
  </si>
  <si>
    <t>Doc No</t>
  </si>
  <si>
    <t>Batch No</t>
  </si>
  <si>
    <t>Operation</t>
  </si>
  <si>
    <t>Wc Name</t>
  </si>
  <si>
    <t>Variant Name</t>
  </si>
  <si>
    <t>Issue Gms Wt</t>
  </si>
  <si>
    <t>Issue Pg</t>
  </si>
  <si>
    <t>Issue Fineness</t>
  </si>
  <si>
    <t>Return Gms Wt</t>
  </si>
  <si>
    <t>Return Pg</t>
  </si>
  <si>
    <t>Return Fineness</t>
  </si>
  <si>
    <t>Unutilized Gms Wt</t>
  </si>
  <si>
    <t>Unutilized Pg</t>
  </si>
  <si>
    <t>Unutilized Fineness</t>
  </si>
  <si>
    <t>Unutilized Scrap</t>
  </si>
  <si>
    <t>Unutilized Scrap Pg</t>
  </si>
  <si>
    <t>Unutilized Scrap Fineness</t>
  </si>
  <si>
    <t>Unutilized Sample</t>
  </si>
  <si>
    <t>Unutilized Sample Pg</t>
  </si>
  <si>
    <t>Unutilized Sample Fineness</t>
  </si>
  <si>
    <t>Loss Gms Wt</t>
  </si>
  <si>
    <t>Loss Pg Wt</t>
  </si>
  <si>
    <t>Loss Fineness</t>
  </si>
  <si>
    <t>BAL</t>
  </si>
  <si>
    <t>GAIN</t>
  </si>
  <si>
    <t>AJEET KUMAR</t>
  </si>
  <si>
    <t>RTN-8626688</t>
  </si>
  <si>
    <t>SR-41698</t>
  </si>
  <si>
    <t>CAST-FILLING</t>
  </si>
  <si>
    <t>GOLD-FILLING-WK</t>
  </si>
  <si>
    <t>G-NA-91.70-YG</t>
  </si>
  <si>
    <t>RTN-8626718</t>
  </si>
  <si>
    <t>SR-41696</t>
  </si>
  <si>
    <t>RTN-8633132</t>
  </si>
  <si>
    <t>SR-41436</t>
  </si>
  <si>
    <t>G-NA-75.00-YG</t>
  </si>
  <si>
    <t>RTN-8633256</t>
  </si>
  <si>
    <t>SR-41439</t>
  </si>
  <si>
    <t>RTN-8637299</t>
  </si>
  <si>
    <t>SR-41444</t>
  </si>
  <si>
    <t>RTN-8637976</t>
  </si>
  <si>
    <t>SR-41313/1</t>
  </si>
  <si>
    <t>G-NA-75.00-RG</t>
  </si>
  <si>
    <t>SR-RTN/26-27/29843</t>
  </si>
  <si>
    <t>B-291026</t>
  </si>
  <si>
    <t>B-GOLD-FILING</t>
  </si>
  <si>
    <t>B-292396</t>
  </si>
  <si>
    <t>B-292951</t>
  </si>
  <si>
    <t>B-293190</t>
  </si>
  <si>
    <t>B-294242</t>
  </si>
  <si>
    <t>B-294249</t>
  </si>
  <si>
    <t>SR-RTN/26-27/29896</t>
  </si>
  <si>
    <t>B-291415</t>
  </si>
  <si>
    <t>B-293180</t>
  </si>
  <si>
    <t>B-294504</t>
  </si>
  <si>
    <t>B-294546</t>
  </si>
  <si>
    <t>B-294578</t>
  </si>
  <si>
    <t>B-295636</t>
  </si>
  <si>
    <t>B-295637</t>
  </si>
  <si>
    <t>B-295641</t>
  </si>
  <si>
    <t>B-295642</t>
  </si>
  <si>
    <t>B-295643</t>
  </si>
  <si>
    <t>SR-RTN/26-27/29934</t>
  </si>
  <si>
    <t>B-295594</t>
  </si>
  <si>
    <t>SR-RTN/26-27/29987</t>
  </si>
  <si>
    <t>B-293264</t>
  </si>
  <si>
    <t>B-293435</t>
  </si>
  <si>
    <t>B-295673</t>
  </si>
  <si>
    <t>B-295900</t>
  </si>
  <si>
    <t>SR-RTN/26-27/30020</t>
  </si>
  <si>
    <t>B-293532</t>
  </si>
  <si>
    <t>SR-RTN/26-27/30061</t>
  </si>
  <si>
    <t>B-293166</t>
  </si>
  <si>
    <t>SR-RTN/26-27/30062</t>
  </si>
  <si>
    <t>B-293227</t>
  </si>
  <si>
    <t>SR-RTN/26-27/30063</t>
  </si>
  <si>
    <t>B-293206</t>
  </si>
  <si>
    <t>SR-RTN/26-27/30064</t>
  </si>
  <si>
    <t>B-293201</t>
  </si>
  <si>
    <t>SR-RTN/26-27/30066</t>
  </si>
  <si>
    <t>B-293191</t>
  </si>
  <si>
    <t>SR-RTN/26-27/30067</t>
  </si>
  <si>
    <t>B-294985</t>
  </si>
  <si>
    <t>SR-RTN/26-27/30068</t>
  </si>
  <si>
    <t>B-295555</t>
  </si>
  <si>
    <t>SR-RTN/26-27/30069</t>
  </si>
  <si>
    <t>B-293259</t>
  </si>
  <si>
    <t>SR-RTN/26-27/30070</t>
  </si>
  <si>
    <t>B-293297</t>
  </si>
  <si>
    <t>SR-RTN/26-27/30072</t>
  </si>
  <si>
    <t>B-293446</t>
  </si>
  <si>
    <t>SR-RTN/26-27/30076</t>
  </si>
  <si>
    <t>B-295626</t>
  </si>
  <si>
    <t>B-296056</t>
  </si>
  <si>
    <t>SR-RTN/26-27/30078</t>
  </si>
  <si>
    <t>B-293132</t>
  </si>
  <si>
    <t>SR-RTN/26-27/30088</t>
  </si>
  <si>
    <t>B-294019</t>
  </si>
  <si>
    <t>SR-RTN/26-27/30106</t>
  </si>
  <si>
    <t>B-293242</t>
  </si>
  <si>
    <t>SR-RTN/26-27/30108</t>
  </si>
  <si>
    <t>B-293142</t>
  </si>
  <si>
    <t>B-295630</t>
  </si>
  <si>
    <t>SR-RTN/26-27/30109</t>
  </si>
  <si>
    <t>B-295597</t>
  </si>
  <si>
    <t>SR-RTN/26-27/30110</t>
  </si>
  <si>
    <t>B-293167</t>
  </si>
  <si>
    <t>SR-RTN/26-27/30111</t>
  </si>
  <si>
    <t>B-294988</t>
  </si>
  <si>
    <t>SR-RTN/26-27/30112</t>
  </si>
  <si>
    <t>B-295645</t>
  </si>
  <si>
    <t>SR-RTN/26-27/30116</t>
  </si>
  <si>
    <t>B-293239</t>
  </si>
  <si>
    <t>SR-RTN/26-27/30118</t>
  </si>
  <si>
    <t>B-293243</t>
  </si>
  <si>
    <t>SR-RTN/26-27/30119</t>
  </si>
  <si>
    <t>B-293144</t>
  </si>
  <si>
    <t>SR-RTN/26-27/30124</t>
  </si>
  <si>
    <t>B-293290</t>
  </si>
  <si>
    <t>SR-RTN/26-27/30131</t>
  </si>
  <si>
    <t>B-293268</t>
  </si>
  <si>
    <t>SR-RTN/26-27/30146</t>
  </si>
  <si>
    <t>B-293249</t>
  </si>
  <si>
    <t>SR-RTN/26-27/30149</t>
  </si>
  <si>
    <t>B-294965</t>
  </si>
  <si>
    <t>SR-RTN/26-27/30194</t>
  </si>
  <si>
    <t>B-291414</t>
  </si>
  <si>
    <t>REP-GOLD-FILLING-WK</t>
  </si>
  <si>
    <t>SR-RTN/26-27/30196</t>
  </si>
  <si>
    <t>B-293252</t>
  </si>
  <si>
    <t>SR-RTN/26-27/30301</t>
  </si>
  <si>
    <t>B-293246</t>
  </si>
  <si>
    <t>SR-RTN/26-27/30303</t>
  </si>
  <si>
    <t>B-293266</t>
  </si>
  <si>
    <t>SR-RTN/26-27/30306</t>
  </si>
  <si>
    <t>B-293284</t>
  </si>
  <si>
    <t>SR-RTN/26-27/30308</t>
  </si>
  <si>
    <t>B-293146</t>
  </si>
  <si>
    <t>SR-RTN/26-27/30310</t>
  </si>
  <si>
    <t>B-293247</t>
  </si>
  <si>
    <t>SR-RTN/26-27/30313</t>
  </si>
  <si>
    <t>B-293258</t>
  </si>
  <si>
    <t>SR-RTN/26-27/30315</t>
  </si>
  <si>
    <t>B-293275</t>
  </si>
  <si>
    <t>SR-RTN/26-27/30317</t>
  </si>
  <si>
    <t>B-293257</t>
  </si>
  <si>
    <t>SR-RTN/26-27/30324</t>
  </si>
  <si>
    <t>B-291886</t>
  </si>
  <si>
    <t>SR-RTN/26-27/30351</t>
  </si>
  <si>
    <t>B-293240</t>
  </si>
  <si>
    <t>SR-RTN/26-27/30388</t>
  </si>
  <si>
    <t>B-293289</t>
  </si>
  <si>
    <t>SR-RTN/26-27/30391</t>
  </si>
  <si>
    <t>B-293143</t>
  </si>
  <si>
    <t>B-293207</t>
  </si>
  <si>
    <t>B-293287</t>
  </si>
  <si>
    <t>B-293288</t>
  </si>
  <si>
    <t>B-293295</t>
  </si>
  <si>
    <t>B-293298</t>
  </si>
  <si>
    <t>B-293430</t>
  </si>
  <si>
    <t>B-295015</t>
  </si>
  <si>
    <t>B-295596</t>
  </si>
  <si>
    <t>SR-RTN/26-27/30396</t>
  </si>
  <si>
    <t>B-293270</t>
  </si>
  <si>
    <t>SR-RTN/26-27/30437</t>
  </si>
  <si>
    <t>B-293279</t>
  </si>
  <si>
    <t>B-295544</t>
  </si>
  <si>
    <t>B-295976</t>
  </si>
  <si>
    <t>B-296204</t>
  </si>
  <si>
    <t>SR-RTN/26-27/30441</t>
  </si>
  <si>
    <t>B-293299</t>
  </si>
  <si>
    <t>SR-RTN/26-27/30443</t>
  </si>
  <si>
    <t>B-293272</t>
  </si>
  <si>
    <t>RTN-8645776</t>
  </si>
  <si>
    <t>SR-41474/1</t>
  </si>
  <si>
    <t>RTN-8646522</t>
  </si>
  <si>
    <t>SR-41472/1</t>
  </si>
  <si>
    <t>RTN-8650325</t>
  </si>
  <si>
    <t>SR-41791</t>
  </si>
  <si>
    <t>RTN-8654823</t>
  </si>
  <si>
    <t>SR-41572</t>
  </si>
  <si>
    <t>RTN-8655372</t>
  </si>
  <si>
    <t>SR-41571</t>
  </si>
  <si>
    <t>SR-RTN/26-27/30593</t>
  </si>
  <si>
    <t>B-293273</t>
  </si>
  <si>
    <t>SR-RTN/26-27/30594</t>
  </si>
  <si>
    <t>B-293241</t>
  </si>
  <si>
    <t>SR-RTN/26-27/30595</t>
  </si>
  <si>
    <t>B-293251</t>
  </si>
  <si>
    <t>SR-RTN/26-27/30596</t>
  </si>
  <si>
    <t>B-293262</t>
  </si>
  <si>
    <t>SR-RTN/26-27/30601</t>
  </si>
  <si>
    <t>B-291379/1</t>
  </si>
  <si>
    <t>SR-RTN/26-27/30603</t>
  </si>
  <si>
    <t>B-293267</t>
  </si>
  <si>
    <t>SR-RTN/26-27/30604</t>
  </si>
  <si>
    <t>B-293283</t>
  </si>
  <si>
    <t>SR-RTN/26-27/30606</t>
  </si>
  <si>
    <t>B-293281</t>
  </si>
  <si>
    <t>SR-RTN/26-27/30607</t>
  </si>
  <si>
    <t>B-293286</t>
  </si>
  <si>
    <t>SR-RTN/26-27/30619</t>
  </si>
  <si>
    <t>B-291427</t>
  </si>
  <si>
    <t>SR-RTN/26-27/30629</t>
  </si>
  <si>
    <t>B-295674</t>
  </si>
  <si>
    <t>SR-RTN/26-27/30668</t>
  </si>
  <si>
    <t>B-293285</t>
  </si>
  <si>
    <t>B-295535</t>
  </si>
  <si>
    <t>B-295541</t>
  </si>
  <si>
    <t>SR-RTN/26-27/30670</t>
  </si>
  <si>
    <t>B-293245</t>
  </si>
  <si>
    <t>B-293260</t>
  </si>
  <si>
    <t>SR-RTN/26-27/30718</t>
  </si>
  <si>
    <t>B-293254</t>
  </si>
  <si>
    <t>SR-RTN/26-27/30719</t>
  </si>
  <si>
    <t>B-295595</t>
  </si>
  <si>
    <t>SR-RTN/26-27/30721</t>
  </si>
  <si>
    <t>B-295532</t>
  </si>
  <si>
    <t>SR-RTN/26-27/30745</t>
  </si>
  <si>
    <t>B-291345</t>
  </si>
  <si>
    <t>SR-RTN/26-27/30749</t>
  </si>
  <si>
    <t>SR-RTN/26-27/30757</t>
  </si>
  <si>
    <t>B-293292</t>
  </si>
  <si>
    <t>SR-RTN/26-27/30769</t>
  </si>
  <si>
    <t>B-293248</t>
  </si>
  <si>
    <t>B-295537</t>
  </si>
  <si>
    <t>B-295554</t>
  </si>
  <si>
    <t>SR-RTN/26-27/30773</t>
  </si>
  <si>
    <t>B-291363</t>
  </si>
  <si>
    <t>B-291375</t>
  </si>
  <si>
    <t>B-293780</t>
  </si>
  <si>
    <t>SR-RTN/26-27/30784</t>
  </si>
  <si>
    <t>B-293250</t>
  </si>
  <si>
    <t>B-293296</t>
  </si>
  <si>
    <t>B-295661</t>
  </si>
  <si>
    <t>B-296054</t>
  </si>
  <si>
    <t>SR-RTN/26-27/30786</t>
  </si>
  <si>
    <t>SR-RTN/26-27/30801</t>
  </si>
  <si>
    <t>B-296059</t>
  </si>
  <si>
    <t>SR-RTN/26-27/30802</t>
  </si>
  <si>
    <t>SR-RTN/26-27/30820</t>
  </si>
  <si>
    <t>B-295660</t>
  </si>
  <si>
    <t>SR-RTN/26-27/30822</t>
  </si>
  <si>
    <t>B-295677</t>
  </si>
  <si>
    <t>SR-RTN/26-27/30823</t>
  </si>
  <si>
    <t>B-295662</t>
  </si>
  <si>
    <t>SR-RTN/26-27/30826</t>
  </si>
  <si>
    <t>B-295534</t>
  </si>
  <si>
    <t>SR-RTN/26-27/30828</t>
  </si>
  <si>
    <t>B-295540</t>
  </si>
  <si>
    <t>SR-RTN/26-27/30851</t>
  </si>
  <si>
    <t>B-293280</t>
  </si>
  <si>
    <t>B-295533</t>
  </si>
  <si>
    <t>B-295536</t>
  </si>
  <si>
    <t>B-295538</t>
  </si>
  <si>
    <t>B-295539</t>
  </si>
  <si>
    <t>SR-RTN/26-27/30896</t>
  </si>
  <si>
    <t>B-295805</t>
  </si>
  <si>
    <t>SR-RTN/26-27/30898</t>
  </si>
  <si>
    <t>B-295899</t>
  </si>
  <si>
    <t>B-295909</t>
  </si>
  <si>
    <t>SR-RTN/26-27/30899</t>
  </si>
  <si>
    <t>B-292434</t>
  </si>
  <si>
    <t>SR-RTN/26-27/30910</t>
  </si>
  <si>
    <t>B-295648</t>
  </si>
  <si>
    <t>B-295676</t>
  </si>
  <si>
    <t>B-296046</t>
  </si>
  <si>
    <t>SR-RTN/26-27/30918</t>
  </si>
  <si>
    <t>B-286424/1</t>
  </si>
  <si>
    <t>B-291343</t>
  </si>
  <si>
    <t>B-291356</t>
  </si>
  <si>
    <t>B-291397</t>
  </si>
  <si>
    <t>B-296119</t>
  </si>
  <si>
    <t>SR-RTN/26-27/30920</t>
  </si>
  <si>
    <t>B-291352</t>
  </si>
  <si>
    <t>B-291389</t>
  </si>
  <si>
    <t>B-291409</t>
  </si>
  <si>
    <t>SR-RTN/26-27/30934</t>
  </si>
  <si>
    <t>B-291415/1</t>
  </si>
  <si>
    <t>SR-RTN/26-27/30950</t>
  </si>
  <si>
    <t>B-291009</t>
  </si>
  <si>
    <t>B-295653</t>
  </si>
  <si>
    <t>B-296896</t>
  </si>
  <si>
    <t>SR-RTN/26-27/30980</t>
  </si>
  <si>
    <t>B-291320</t>
  </si>
  <si>
    <t>B-291327/1</t>
  </si>
  <si>
    <t>B-291408/1</t>
  </si>
  <si>
    <t>B-291411</t>
  </si>
  <si>
    <t>SR-RTN/26-27/31010</t>
  </si>
  <si>
    <t>B-291387/1/1</t>
  </si>
  <si>
    <t>SR-RTN/26-27/31052</t>
  </si>
  <si>
    <t>B-295910</t>
  </si>
  <si>
    <t>SR-RTN/26-27/31107</t>
  </si>
  <si>
    <t>B-295902</t>
  </si>
  <si>
    <t>SR-RTN/26-27/31108</t>
  </si>
  <si>
    <t>B-295913</t>
  </si>
  <si>
    <t>SR-RTN/26-27/31111</t>
  </si>
  <si>
    <t>B-295629</t>
  </si>
  <si>
    <t>SR-RTN/26-27/31112</t>
  </si>
  <si>
    <t>B-296058</t>
  </si>
  <si>
    <t>SR-RTN/26-27/31113</t>
  </si>
  <si>
    <t>B-296356</t>
  </si>
  <si>
    <t>SR-RTN/26-27/31116</t>
  </si>
  <si>
    <t>SR-RTN/26-27/31117</t>
  </si>
  <si>
    <t>B-295896</t>
  </si>
  <si>
    <t>SR-RTN/26-27/31131</t>
  </si>
  <si>
    <t>B-295624</t>
  </si>
  <si>
    <t>SR-RTN/26-27/31133</t>
  </si>
  <si>
    <t>B-295620</t>
  </si>
  <si>
    <t>SR-RTN/26-27/31134</t>
  </si>
  <si>
    <t>B-295621</t>
  </si>
  <si>
    <t>SR-RTN/26-27/31135</t>
  </si>
  <si>
    <t>B-295622</t>
  </si>
  <si>
    <t>SR-RTN/26-27/31136</t>
  </si>
  <si>
    <t>B-295623</t>
  </si>
  <si>
    <t>SR-RTN/26-27/31138</t>
  </si>
  <si>
    <t>B-295650</t>
  </si>
  <si>
    <t>SR-RTN/26-27/31139</t>
  </si>
  <si>
    <t>B-296664</t>
  </si>
  <si>
    <t>SR-RTN/26-27/31169</t>
  </si>
  <si>
    <t>B-294241</t>
  </si>
  <si>
    <t>SR-RTN/26-27/31170</t>
  </si>
  <si>
    <t>B-293294</t>
  </si>
  <si>
    <t>SR-RTN/26-27/31173</t>
  </si>
  <si>
    <t>B-291319</t>
  </si>
  <si>
    <t>SR-RTN/26-27/31177</t>
  </si>
  <si>
    <t>B-291427/1</t>
  </si>
  <si>
    <t>SR-RTN/26-27/31179</t>
  </si>
  <si>
    <t>B-295574</t>
  </si>
  <si>
    <t>SR-RTN/26-27/31220</t>
  </si>
  <si>
    <t>B-296082</t>
  </si>
  <si>
    <t>SR-W/O-RTN/26-27/2293</t>
  </si>
  <si>
    <t>NONE</t>
  </si>
  <si>
    <t>RTN-8657368</t>
  </si>
  <si>
    <t>SR-41573</t>
  </si>
  <si>
    <t>RTN-8657380</t>
  </si>
  <si>
    <t>SR-41570</t>
  </si>
  <si>
    <t>RTN-8664694</t>
  </si>
  <si>
    <t>SR-41330/1</t>
  </si>
  <si>
    <t>SR-RTN/26-27/31269</t>
  </si>
  <si>
    <t>B-291337/1</t>
  </si>
  <si>
    <t>SR-RTN/26-27/31271</t>
  </si>
  <si>
    <t>B-291380</t>
  </si>
  <si>
    <t>SR-RTN/26-27/31272</t>
  </si>
  <si>
    <t>B-294981</t>
  </si>
  <si>
    <t>SR-RTN/26-27/31274</t>
  </si>
  <si>
    <t>B-291400</t>
  </si>
  <si>
    <t>SR-RTN/26-27/31275</t>
  </si>
  <si>
    <t>SR-RTN/26-27/31280</t>
  </si>
  <si>
    <t>B-296188</t>
  </si>
  <si>
    <t>SR-RTN/26-27/31283</t>
  </si>
  <si>
    <t>B-296041</t>
  </si>
  <si>
    <t>SR-RTN/26-27/31294</t>
  </si>
  <si>
    <t>B-294277</t>
  </si>
  <si>
    <t>SR-RTN/26-27/31326</t>
  </si>
  <si>
    <t>B-295892</t>
  </si>
  <si>
    <t>SR-RTN/26-27/31362</t>
  </si>
  <si>
    <t>B-295908</t>
  </si>
  <si>
    <t>SR-RTN/26-27/31364</t>
  </si>
  <si>
    <t>SR-RTN/26-27/31401</t>
  </si>
  <si>
    <t>SR-RTN/26-27/31402</t>
  </si>
  <si>
    <t>SR-RTN/26-27/31406</t>
  </si>
  <si>
    <t>B-295895</t>
  </si>
  <si>
    <t>SR-RTN/26-27/31407</t>
  </si>
  <si>
    <t>B-295893</t>
  </si>
  <si>
    <t>SR-RTN/26-27/31465</t>
  </si>
  <si>
    <t>B-294250</t>
  </si>
  <si>
    <t>SR-RTN/26-27/31473</t>
  </si>
  <si>
    <t>B-295640</t>
  </si>
  <si>
    <t>SR-RTN/26-27/31474</t>
  </si>
  <si>
    <t>B-296088</t>
  </si>
  <si>
    <t>SR-RTN/26-27/31477</t>
  </si>
  <si>
    <t>B-296355</t>
  </si>
  <si>
    <t>SR-RTN/26-27/31488</t>
  </si>
  <si>
    <t>B-296271</t>
  </si>
  <si>
    <t>SR-RTN/26-27/31498</t>
  </si>
  <si>
    <t>B-293220</t>
  </si>
  <si>
    <t>SR-RTN/26-27/31501</t>
  </si>
  <si>
    <t>B-296927</t>
  </si>
  <si>
    <t>SR-RTN/26-27/31513</t>
  </si>
  <si>
    <t>B-295922</t>
  </si>
  <si>
    <t>B-296294</t>
  </si>
  <si>
    <t>B-296306</t>
  </si>
  <si>
    <t>SR-RTN/26-27/31515</t>
  </si>
  <si>
    <t>B-294245</t>
  </si>
  <si>
    <t>SR-RTN/26-27/31518</t>
  </si>
  <si>
    <t>B-291394</t>
  </si>
  <si>
    <t>SR-RTN/26-27/31520</t>
  </si>
  <si>
    <t>SR-RTN/26-27/31537</t>
  </si>
  <si>
    <t>B-293224</t>
  </si>
  <si>
    <t>SR-RTN/26-27/31570</t>
  </si>
  <si>
    <t>B-294982</t>
  </si>
  <si>
    <t>B-295664</t>
  </si>
  <si>
    <t>B-295806</t>
  </si>
  <si>
    <t>B-295807</t>
  </si>
  <si>
    <t>B-296076</t>
  </si>
  <si>
    <t>B-296339</t>
  </si>
  <si>
    <t>SR-RTN/26-27/31572</t>
  </si>
  <si>
    <t>B-297144</t>
  </si>
  <si>
    <t>SR-RTN/26-27/31586</t>
  </si>
  <si>
    <t>SR-RTN/26-27/31595</t>
  </si>
  <si>
    <t>B-291412</t>
  </si>
  <si>
    <t>B-296898</t>
  </si>
  <si>
    <t>SR-RTN/26-27/31605</t>
  </si>
  <si>
    <t>B-295891</t>
  </si>
  <si>
    <t>SR-RTN/26-27/31618</t>
  </si>
  <si>
    <t>B-295897</t>
  </si>
  <si>
    <t>B-296914</t>
  </si>
  <si>
    <t>SR-RTN/26-27/31619</t>
  </si>
  <si>
    <t>SR-RTN/26-27/31626</t>
  </si>
  <si>
    <t>B-295886</t>
  </si>
  <si>
    <t>SR-RTN/26-27/31665</t>
  </si>
  <si>
    <t>B-295787</t>
  </si>
  <si>
    <t>B-295789</t>
  </si>
  <si>
    <t>B-295798</t>
  </si>
  <si>
    <t>B-295800</t>
  </si>
  <si>
    <t>B-295801</t>
  </si>
  <si>
    <t>B-297105</t>
  </si>
  <si>
    <t>SR-RTN/26-27/31668</t>
  </si>
  <si>
    <t>B-295678</t>
  </si>
  <si>
    <t>SR-RTN/26-27/31671</t>
  </si>
  <si>
    <t>B-293455</t>
  </si>
  <si>
    <t>B-295825</t>
  </si>
  <si>
    <t>B-296665</t>
  </si>
  <si>
    <t>SR-RTN/26-27/31700</t>
  </si>
  <si>
    <t>B-295558</t>
  </si>
  <si>
    <t>SR-RTN/26-27/31737</t>
  </si>
  <si>
    <t>B-297103</t>
  </si>
  <si>
    <t>SR-RTN/26-27/31738</t>
  </si>
  <si>
    <t>B-295651</t>
  </si>
  <si>
    <t>SR-RTN/26-27/31740</t>
  </si>
  <si>
    <t>SR-RTN/26-27/31741</t>
  </si>
  <si>
    <t>B-295513</t>
  </si>
  <si>
    <t>SR-RTN/26-27/31742</t>
  </si>
  <si>
    <t>B-295512</t>
  </si>
  <si>
    <t>SR-RTN/26-27/31744</t>
  </si>
  <si>
    <t>B-295923</t>
  </si>
  <si>
    <t>SR-RTN/26-27/31747</t>
  </si>
  <si>
    <t>B-295894</t>
  </si>
  <si>
    <t>SR-RTN/26-27/31749</t>
  </si>
  <si>
    <t>B-296077</t>
  </si>
  <si>
    <t>SR-RTN/26-27/31750</t>
  </si>
  <si>
    <t>B-293229</t>
  </si>
  <si>
    <t>SR-RTN/26-27/31780</t>
  </si>
  <si>
    <t>B-286162</t>
  </si>
  <si>
    <t>B-286163</t>
  </si>
  <si>
    <t>B-286164</t>
  </si>
  <si>
    <t>B-286166</t>
  </si>
  <si>
    <t>SR-RTN/26-27/31788</t>
  </si>
  <si>
    <t>B-297097</t>
  </si>
  <si>
    <t>SR-RTN/26-27/31798</t>
  </si>
  <si>
    <t>B-295911</t>
  </si>
  <si>
    <t>SR-RTN/26-27/31805</t>
  </si>
  <si>
    <t>B-296345</t>
  </si>
  <si>
    <t>B-296907</t>
  </si>
  <si>
    <t>SR-RTN/26-27/31806</t>
  </si>
  <si>
    <t>B-296081</t>
  </si>
  <si>
    <t>SR-RTN/26-27/31807</t>
  </si>
  <si>
    <t>B-295890</t>
  </si>
  <si>
    <t>SR-RTN/26-27/31808</t>
  </si>
  <si>
    <t>B-295647</t>
  </si>
  <si>
    <t>SR-RTN/26-27/31844</t>
  </si>
  <si>
    <t>B-295799</t>
  </si>
  <si>
    <t>SR-RTN/26-27/31846</t>
  </si>
  <si>
    <t>B-295883</t>
  </si>
  <si>
    <t>SR-RTN/26-27/31849</t>
  </si>
  <si>
    <t>B-296270</t>
  </si>
  <si>
    <t>SR-RTN/26-27/31852</t>
  </si>
  <si>
    <t>SR-RTN/26-27/31857</t>
  </si>
  <si>
    <t>B-295654</t>
  </si>
  <si>
    <t>SR-RTN/26-27/31882</t>
  </si>
  <si>
    <t>B-295882</t>
  </si>
  <si>
    <t>SR-RTN/26-27/31913</t>
  </si>
  <si>
    <t>SR-W/O-RTN/26-27/2304</t>
  </si>
  <si>
    <t>SR-W/O-RTN/26-27/2319</t>
  </si>
  <si>
    <t>G-NA-75.00-WG</t>
  </si>
  <si>
    <t>RTN-8672094</t>
  </si>
  <si>
    <t>SR-41783</t>
  </si>
  <si>
    <t>RTN-8678159</t>
  </si>
  <si>
    <t>SR-41862</t>
  </si>
  <si>
    <t>RTN-8680061</t>
  </si>
  <si>
    <t>SR-41739</t>
  </si>
  <si>
    <t>RTN-8684410</t>
  </si>
  <si>
    <t>SR-41789</t>
  </si>
  <si>
    <t>SR-RTN/26-27/31939</t>
  </si>
  <si>
    <t>B-296371</t>
  </si>
  <si>
    <t>B-296897</t>
  </si>
  <si>
    <t>B-296929</t>
  </si>
  <si>
    <t>SR-RTN/26-27/31943</t>
  </si>
  <si>
    <t>B-291362</t>
  </si>
  <si>
    <t>SR-RTN/26-27/32057</t>
  </si>
  <si>
    <t>B-295884</t>
  </si>
  <si>
    <t>SR-RTN/26-27/32060</t>
  </si>
  <si>
    <t>B-295649</t>
  </si>
  <si>
    <t>SR-RTN/26-27/32062</t>
  </si>
  <si>
    <t>B-295889</t>
  </si>
  <si>
    <t>SR-RTN/26-27/32064</t>
  </si>
  <si>
    <t>B-295652</t>
  </si>
  <si>
    <t>SR-RTN/26-27/32065</t>
  </si>
  <si>
    <t>SR-RTN/26-27/32066</t>
  </si>
  <si>
    <t>B-296084</t>
  </si>
  <si>
    <t>SR-RTN/26-27/32068</t>
  </si>
  <si>
    <t>B-296329</t>
  </si>
  <si>
    <t>SR-RTN/26-27/32069</t>
  </si>
  <si>
    <t>B-295888</t>
  </si>
  <si>
    <t>SR-RTN/26-27/32137</t>
  </si>
  <si>
    <t>SR-RTN/26-27/32139</t>
  </si>
  <si>
    <t>B-291337</t>
  </si>
  <si>
    <t>B-296042/1</t>
  </si>
  <si>
    <t>B-296370</t>
  </si>
  <si>
    <t>B-296844</t>
  </si>
  <si>
    <t>SR-RTN/26-27/32144</t>
  </si>
  <si>
    <t>B-296879</t>
  </si>
  <si>
    <t>SR-RTN/26-27/32145</t>
  </si>
  <si>
    <t>B-296301</t>
  </si>
  <si>
    <t>SR-RTN/26-27/32164</t>
  </si>
  <si>
    <t>B-295598</t>
  </si>
  <si>
    <t>B-295788</t>
  </si>
  <si>
    <t>SR-RTN/26-27/32165</t>
  </si>
  <si>
    <t>B-296073</t>
  </si>
  <si>
    <t>SR-RTN/26-27/32166</t>
  </si>
  <si>
    <t>B-296299</t>
  </si>
  <si>
    <t>SR-RTN/26-27/32168</t>
  </si>
  <si>
    <t>B-296354</t>
  </si>
  <si>
    <t>SR-RTN/26-27/32169</t>
  </si>
  <si>
    <t>B-296315</t>
  </si>
  <si>
    <t>SR-RTN/26-27/32170</t>
  </si>
  <si>
    <t>B-293406</t>
  </si>
  <si>
    <t>SR-RTN/26-27/32171</t>
  </si>
  <si>
    <t>B-293387</t>
  </si>
  <si>
    <t>SR-RTN/26-27/32172</t>
  </si>
  <si>
    <t>B-293410</t>
  </si>
  <si>
    <t>SR-RTN/26-27/32184</t>
  </si>
  <si>
    <t>SR-RTN/26-27/32248</t>
  </si>
  <si>
    <t>B-296338</t>
  </si>
  <si>
    <t>B-297124</t>
  </si>
  <si>
    <t>SR-RTN/26-27/32252</t>
  </si>
  <si>
    <t>B-291392</t>
  </si>
  <si>
    <t>B-291413</t>
  </si>
  <si>
    <t>SR-RTN/26-27/32273</t>
  </si>
  <si>
    <t>B-291358</t>
  </si>
  <si>
    <t>B-291422</t>
  </si>
  <si>
    <t>B-295655</t>
  </si>
  <si>
    <t>SR-RTN/26-27/32277</t>
  </si>
  <si>
    <t>B-296352</t>
  </si>
  <si>
    <t>B-296369</t>
  </si>
  <si>
    <t>B-296919</t>
  </si>
  <si>
    <t>SR-RTN/26-27/32284</t>
  </si>
  <si>
    <t>B-296351</t>
  </si>
  <si>
    <t>SR-RTN/26-27/32286</t>
  </si>
  <si>
    <t>SR-RTN/26-27/32287</t>
  </si>
  <si>
    <t>B-296307</t>
  </si>
  <si>
    <t>SR-RTN/26-27/32288</t>
  </si>
  <si>
    <t>B-289481</t>
  </si>
  <si>
    <t>SR-RTN/26-27/32290</t>
  </si>
  <si>
    <t>B-296062</t>
  </si>
  <si>
    <t>SR-RTN/26-27/32298</t>
  </si>
  <si>
    <t>B-297318</t>
  </si>
  <si>
    <t>SR-RTN/26-27/32299</t>
  </si>
  <si>
    <t>B-297329</t>
  </si>
  <si>
    <t>SR-RTN/26-27/32300</t>
  </si>
  <si>
    <t>B-296337</t>
  </si>
  <si>
    <t>SR-RTN/26-27/32302</t>
  </si>
  <si>
    <t>B-295901</t>
  </si>
  <si>
    <t>SR-RTN/26-27/32303</t>
  </si>
  <si>
    <t>B-296118</t>
  </si>
  <si>
    <t>SR-RTN/26-27/32304</t>
  </si>
  <si>
    <t>B-296287</t>
  </si>
  <si>
    <t>SR-RTN/26-27/32305</t>
  </si>
  <si>
    <t>B-296920</t>
  </si>
  <si>
    <t>SR-RTN/26-27/32318</t>
  </si>
  <si>
    <t>SR-RTN/26-27/32324</t>
  </si>
  <si>
    <t>B-290130</t>
  </si>
  <si>
    <t>SR-RTN/26-27/32328</t>
  </si>
  <si>
    <t>SR-RTN/26-27/32340</t>
  </si>
  <si>
    <t>B-296068</t>
  </si>
  <si>
    <t>SR-RTN/26-27/32343</t>
  </si>
  <si>
    <t>B-291382</t>
  </si>
  <si>
    <t>SR-RTN/26-27/32345</t>
  </si>
  <si>
    <t>B-291342/1</t>
  </si>
  <si>
    <t>SR-RTN/26-27/32392</t>
  </si>
  <si>
    <t>SR-RTN/26-27/32430</t>
  </si>
  <si>
    <t>B-295665</t>
  </si>
  <si>
    <t>SR-RTN/26-27/32431</t>
  </si>
  <si>
    <t>B-295666</t>
  </si>
  <si>
    <t>SR-RTN/26-27/32432</t>
  </si>
  <si>
    <t>B-295885</t>
  </si>
  <si>
    <t>SR-RTN/26-27/32433</t>
  </si>
  <si>
    <t>B-296064</t>
  </si>
  <si>
    <t>SR-RTN/26-27/32435</t>
  </si>
  <si>
    <t>B-296913</t>
  </si>
  <si>
    <t>SR-RTN/26-27/32436</t>
  </si>
  <si>
    <t>B-296282</t>
  </si>
  <si>
    <t>SR-RTN/26-27/32443</t>
  </si>
  <si>
    <t>B-291327</t>
  </si>
  <si>
    <t>B-291361</t>
  </si>
  <si>
    <t>B-291386</t>
  </si>
  <si>
    <t>B-291426</t>
  </si>
  <si>
    <t>SR-RTN/26-27/32458</t>
  </si>
  <si>
    <t>B-296061</t>
  </si>
  <si>
    <t>B-296340</t>
  </si>
  <si>
    <t>B-296348</t>
  </si>
  <si>
    <t>B-296901</t>
  </si>
  <si>
    <t>SR-RTN/26-27/32510</t>
  </si>
  <si>
    <t>B-296317</t>
  </si>
  <si>
    <t>SR-RTN/26-27/32511</t>
  </si>
  <si>
    <t>B-297799</t>
  </si>
  <si>
    <t>SR-RTN/26-27/32514</t>
  </si>
  <si>
    <t>B-297800</t>
  </si>
  <si>
    <t>SR-RTN/26-27/32515</t>
  </si>
  <si>
    <t>B-296286</t>
  </si>
  <si>
    <t>SR-RTN/26-27/32517</t>
  </si>
  <si>
    <t>B-296079</t>
  </si>
  <si>
    <t>SR-RTN/26-27/32518</t>
  </si>
  <si>
    <t>B-295663</t>
  </si>
  <si>
    <t>SR-RTN/26-27/32519</t>
  </si>
  <si>
    <t>B-297798</t>
  </si>
  <si>
    <t>SR-RTN/26-27/32520</t>
  </si>
  <si>
    <t>B-291969</t>
  </si>
  <si>
    <t>SR-RTN/26-27/32521</t>
  </si>
  <si>
    <t>B-291355</t>
  </si>
  <si>
    <t>B-291406</t>
  </si>
  <si>
    <t>SR-RTN/26-27/32525</t>
  </si>
  <si>
    <t>B-296043</t>
  </si>
  <si>
    <t>SR-RTN/26-27/32529</t>
  </si>
  <si>
    <t>B-296861</t>
  </si>
  <si>
    <t>SR-RTN/26-27/32530</t>
  </si>
  <si>
    <t>B-289415</t>
  </si>
  <si>
    <t>RTN-8686761</t>
  </si>
  <si>
    <t>SR-41771</t>
  </si>
  <si>
    <t>RTN-8686765</t>
  </si>
  <si>
    <t>SR-41855</t>
  </si>
  <si>
    <t>RTN-8689072</t>
  </si>
  <si>
    <t>SR-41835</t>
  </si>
  <si>
    <t>RTN-8693928</t>
  </si>
  <si>
    <t>SR-41736</t>
  </si>
  <si>
    <t>RTN-8696901</t>
  </si>
  <si>
    <t>SR-41905</t>
  </si>
  <si>
    <t>RTN-8699007</t>
  </si>
  <si>
    <t>SR-41839</t>
  </si>
  <si>
    <t>SR-ROA/26-27/973</t>
  </si>
  <si>
    <t>SR-RTN/26-27/32604</t>
  </si>
  <si>
    <t>B-296083</t>
  </si>
  <si>
    <t>SR-RTN/26-27/32605</t>
  </si>
  <si>
    <t>B-296353</t>
  </si>
  <si>
    <t>SR-RTN/26-27/32606</t>
  </si>
  <si>
    <t>B-295658</t>
  </si>
  <si>
    <t>SR-RTN/26-27/32607</t>
  </si>
  <si>
    <t>B-297048</t>
  </si>
  <si>
    <t>SR-RTN/26-27/32609</t>
  </si>
  <si>
    <t>B-295657</t>
  </si>
  <si>
    <t>SR-RTN/26-27/32610</t>
  </si>
  <si>
    <t>B-296080</t>
  </si>
  <si>
    <t>SR-RTN/26-27/32612</t>
  </si>
  <si>
    <t>B-296912</t>
  </si>
  <si>
    <t>SR-RTN/26-27/32613</t>
  </si>
  <si>
    <t>B-297290</t>
  </si>
  <si>
    <t>SR-RTN/26-27/32634</t>
  </si>
  <si>
    <t>B-296042</t>
  </si>
  <si>
    <t>SR-RTN/26-27/32686</t>
  </si>
  <si>
    <t>B-293176</t>
  </si>
  <si>
    <t>SR-RTN/26-27/32687</t>
  </si>
  <si>
    <t>B-293172</t>
  </si>
  <si>
    <t>SR-RTN/26-27/32716</t>
  </si>
  <si>
    <t>B-296847</t>
  </si>
  <si>
    <t>B-296909</t>
  </si>
  <si>
    <t>B-297104</t>
  </si>
  <si>
    <t>B-297320</t>
  </si>
  <si>
    <t>SR-RTN/26-27/32717</t>
  </si>
  <si>
    <t>B-291396</t>
  </si>
  <si>
    <t>SR-RTN/26-27/32779</t>
  </si>
  <si>
    <t>B-295904</t>
  </si>
  <si>
    <t>B-296320</t>
  </si>
  <si>
    <t>B-296930</t>
  </si>
  <si>
    <t>B-297090</t>
  </si>
  <si>
    <t>SR-RTN/26-27/32784</t>
  </si>
  <si>
    <t>B-291379</t>
  </si>
  <si>
    <t>SR-RTN/26-27/32797</t>
  </si>
  <si>
    <t>B-296081/1</t>
  </si>
  <si>
    <t>SR-RTN/26-27/32799</t>
  </si>
  <si>
    <t>B-295549</t>
  </si>
  <si>
    <t>SR-RTN/26-27/32827</t>
  </si>
  <si>
    <t>B-295906</t>
  </si>
  <si>
    <t>B-296915</t>
  </si>
  <si>
    <t>B-296916</t>
  </si>
  <si>
    <t>B-297101</t>
  </si>
  <si>
    <t>B-297123</t>
  </si>
  <si>
    <t>SR-RTN/26-27/32829</t>
  </si>
  <si>
    <t>B-291426/1</t>
  </si>
  <si>
    <t>B-295864</t>
  </si>
  <si>
    <t>SR-RTN/26-27/32889</t>
  </si>
  <si>
    <t>B-296069</t>
  </si>
  <si>
    <t>SR-RTN/26-27/32890</t>
  </si>
  <si>
    <t>B-297716</t>
  </si>
  <si>
    <t>SR-RTN/26-27/32892</t>
  </si>
  <si>
    <t>B-296044</t>
  </si>
  <si>
    <t>SR-RTN/26-27/32894</t>
  </si>
  <si>
    <t>B-296078</t>
  </si>
  <si>
    <t>SR-RTN/26-27/32895</t>
  </si>
  <si>
    <t>B-297715</t>
  </si>
  <si>
    <t>SR-RTN/26-27/32897</t>
  </si>
  <si>
    <t>B-296295</t>
  </si>
  <si>
    <t>SR-RTN/26-27/32921</t>
  </si>
  <si>
    <t>B-293642</t>
  </si>
  <si>
    <t>SR-RTN/26-27/32923</t>
  </si>
  <si>
    <t>B-293638</t>
  </si>
  <si>
    <t>SR-RTN/26-27/32924</t>
  </si>
  <si>
    <t>B-293645</t>
  </si>
  <si>
    <t>SR-RTN/26-27/32925</t>
  </si>
  <si>
    <t>B-293643</t>
  </si>
  <si>
    <t>SR-RTN/26-27/32929</t>
  </si>
  <si>
    <t>B-297102</t>
  </si>
  <si>
    <t>SR-RTN/26-27/32938</t>
  </si>
  <si>
    <t>B-296884</t>
  </si>
  <si>
    <t>SR-RTN/26-27/32950</t>
  </si>
  <si>
    <t>B-295639</t>
  </si>
  <si>
    <t>SR-RTN/26-27/32961</t>
  </si>
  <si>
    <t>B-293635</t>
  </si>
  <si>
    <t>B-293639</t>
  </si>
  <si>
    <t>SR-RTN/26-27/32962</t>
  </si>
  <si>
    <t>SR-RTN/26-27/32985</t>
  </si>
  <si>
    <t>B-295644</t>
  </si>
  <si>
    <t>SR-RTN/26-27/32987</t>
  </si>
  <si>
    <t>B-297122</t>
  </si>
  <si>
    <t>SR-RTN/26-27/32989</t>
  </si>
  <si>
    <t>SR-RTN/26-27/32991</t>
  </si>
  <si>
    <t>B-296925</t>
  </si>
  <si>
    <t>SR-RTN/26-27/33000</t>
  </si>
  <si>
    <t>B-291372/1</t>
  </si>
  <si>
    <t>SR-RTN/26-27/33001</t>
  </si>
  <si>
    <t>B-291401</t>
  </si>
  <si>
    <t>SR-RTN/26-27/33002</t>
  </si>
  <si>
    <t>B-291317</t>
  </si>
  <si>
    <t>SR-RTN/26-27/33003</t>
  </si>
  <si>
    <t>B-291421/1</t>
  </si>
  <si>
    <t>SR-RTN/26-27/33004</t>
  </si>
  <si>
    <t>SR-RTN/26-27/33006</t>
  </si>
  <si>
    <t>B-293637</t>
  </si>
  <si>
    <t>SR-RTN/26-27/33007</t>
  </si>
  <si>
    <t>B-293640</t>
  </si>
  <si>
    <t>SR-RTN/26-27/33008</t>
  </si>
  <si>
    <t>B-293641</t>
  </si>
  <si>
    <t>SR-RTN/26-27/33009</t>
  </si>
  <si>
    <t>B-293634</t>
  </si>
  <si>
    <t>SR-RTN/26-27/33025</t>
  </si>
  <si>
    <t>B-295903</t>
  </si>
  <si>
    <t>B-296922</t>
  </si>
  <si>
    <t>B-297092</t>
  </si>
  <si>
    <t>B-297128</t>
  </si>
  <si>
    <t>B-297133</t>
  </si>
  <si>
    <t>SR-RTN/26-27/33033</t>
  </si>
  <si>
    <t>B-297336</t>
  </si>
  <si>
    <t>SR-RTN/26-27/33035</t>
  </si>
  <si>
    <t>B-291401/1</t>
  </si>
  <si>
    <t>SR-RTN/26-27/33052</t>
  </si>
  <si>
    <t>B-292217</t>
  </si>
  <si>
    <t>SR-RTN/26-27/33053</t>
  </si>
  <si>
    <t>B-297091</t>
  </si>
  <si>
    <t>SR-RTN/26-27/33072</t>
  </si>
  <si>
    <t>B-296904</t>
  </si>
  <si>
    <t>SR-RTN/26-27/33081</t>
  </si>
  <si>
    <t>B-291341</t>
  </si>
  <si>
    <t>SR-RTN/26-27/33095</t>
  </si>
  <si>
    <t>B-297877</t>
  </si>
  <si>
    <t>B-297878</t>
  </si>
  <si>
    <t>SR-RTN/26-27/33140</t>
  </si>
  <si>
    <t>B-296057</t>
  </si>
  <si>
    <t>B-296303</t>
  </si>
  <si>
    <t>B-296840</t>
  </si>
  <si>
    <t>B-296965</t>
  </si>
  <si>
    <t>B-297130</t>
  </si>
  <si>
    <t>SR-RTN/26-27/33156</t>
  </si>
  <si>
    <t>B-296330</t>
  </si>
  <si>
    <t>B-297126</t>
  </si>
  <si>
    <t>B-297134</t>
  </si>
  <si>
    <t>SR-W/O-RTN/26-27/2383</t>
  </si>
  <si>
    <t>RTN-8700982</t>
  </si>
  <si>
    <t>SR-41841</t>
  </si>
  <si>
    <t>RTN-8704782</t>
  </si>
  <si>
    <t>SR-42013</t>
  </si>
  <si>
    <t>RTN-8708386</t>
  </si>
  <si>
    <t>SR-41846</t>
  </si>
  <si>
    <t>RTN-8712681</t>
  </si>
  <si>
    <t>RTN-8712704</t>
  </si>
  <si>
    <t>SR-ROA/26-27/982</t>
  </si>
  <si>
    <t>SR-RTN/26-27/33214</t>
  </si>
  <si>
    <t>B-296952</t>
  </si>
  <si>
    <t>SR-RTN/26-27/33215</t>
  </si>
  <si>
    <t>B-295907</t>
  </si>
  <si>
    <t>SR-RTN/26-27/33216</t>
  </si>
  <si>
    <t>SR-RTN/26-27/33217</t>
  </si>
  <si>
    <t>B-295638</t>
  </si>
  <si>
    <t>SR-RTN/26-27/33218</t>
  </si>
  <si>
    <t>SR-RTN/26-27/33219</t>
  </si>
  <si>
    <t>B-297093</t>
  </si>
  <si>
    <t>SR-RTN/26-27/33220</t>
  </si>
  <si>
    <t>B-297292</t>
  </si>
  <si>
    <t>SR-RTN/26-27/33221</t>
  </si>
  <si>
    <t>B-296290</t>
  </si>
  <si>
    <t>SR-RTN/26-27/33222</t>
  </si>
  <si>
    <t>B-296323</t>
  </si>
  <si>
    <t>SR-RTN/26-27/33224</t>
  </si>
  <si>
    <t>B-297811</t>
  </si>
  <si>
    <t>SR-RTN/26-27/33225</t>
  </si>
  <si>
    <t>B-296974</t>
  </si>
  <si>
    <t>SR-RTN/26-27/33226</t>
  </si>
  <si>
    <t>B-296313</t>
  </si>
  <si>
    <t>SR-RTN/26-27/33227</t>
  </si>
  <si>
    <t>B-297317</t>
  </si>
  <si>
    <t>SR-RTN/26-27/33228</t>
  </si>
  <si>
    <t>B-296060</t>
  </si>
  <si>
    <t>SR-RTN/26-27/33230</t>
  </si>
  <si>
    <t>B-292248</t>
  </si>
  <si>
    <t>B-295510</t>
  </si>
  <si>
    <t>SR-RTN/26-27/33276</t>
  </si>
  <si>
    <t>B-296887</t>
  </si>
  <si>
    <t>SR-RTN/26-27/33306</t>
  </si>
  <si>
    <t>B-296972</t>
  </si>
  <si>
    <t>SR-RTN/26-27/33322</t>
  </si>
  <si>
    <t>B-296970</t>
  </si>
  <si>
    <t>B-297131</t>
  </si>
  <si>
    <t>SR-RTN/26-27/33325</t>
  </si>
  <si>
    <t>B-295667</t>
  </si>
  <si>
    <t>B-297322</t>
  </si>
  <si>
    <t>SR-RTN/26-27/33331</t>
  </si>
  <si>
    <t>B-296973</t>
  </si>
  <si>
    <t>SR-RTN/26-27/33334</t>
  </si>
  <si>
    <t>B-296342</t>
  </si>
  <si>
    <t>SR-RTN/26-27/33365</t>
  </si>
  <si>
    <t>B-296045</t>
  </si>
  <si>
    <t>B-296923</t>
  </si>
  <si>
    <t>B-296926</t>
  </si>
  <si>
    <t>SR-RTN/26-27/33397</t>
  </si>
  <si>
    <t>B-296332</t>
  </si>
  <si>
    <t>B-296921</t>
  </si>
  <si>
    <t>B-297321</t>
  </si>
  <si>
    <t>SR-RTN/26-27/33399</t>
  </si>
  <si>
    <t>SR-RTN/26-27/33408</t>
  </si>
  <si>
    <t>B-296300</t>
  </si>
  <si>
    <t>SR-RTN/26-27/33428</t>
  </si>
  <si>
    <t>B-295887</t>
  </si>
  <si>
    <t>B-295905</t>
  </si>
  <si>
    <t>SR-RTN/26-27/33485</t>
  </si>
  <si>
    <t>B-295659</t>
  </si>
  <si>
    <t>B-296334</t>
  </si>
  <si>
    <t>B-296343</t>
  </si>
  <si>
    <t>B-296855</t>
  </si>
  <si>
    <t>B-296893</t>
  </si>
  <si>
    <t>B-297127</t>
  </si>
  <si>
    <t>SR-RTN/26-27/33564</t>
  </si>
  <si>
    <t>B-296841</t>
  </si>
  <si>
    <t>B-296865</t>
  </si>
  <si>
    <t>B-296873</t>
  </si>
  <si>
    <t>B-296875</t>
  </si>
  <si>
    <t>B-296877</t>
  </si>
  <si>
    <t>B-296885</t>
  </si>
  <si>
    <t>B-297643</t>
  </si>
  <si>
    <t>B-297649</t>
  </si>
  <si>
    <t>B-297673</t>
  </si>
  <si>
    <t>SR-RTN/26-27/33567</t>
  </si>
  <si>
    <t>B-290138</t>
  </si>
  <si>
    <t>SR-RTN/26-27/33575</t>
  </si>
  <si>
    <t>B-298162</t>
  </si>
  <si>
    <t>SR-RTN/26-27/33576</t>
  </si>
  <si>
    <t>B-297725</t>
  </si>
  <si>
    <t>SR-RTN/26-27/33578</t>
  </si>
  <si>
    <t>B-296314</t>
  </si>
  <si>
    <t>SR-RTN/26-27/33579</t>
  </si>
  <si>
    <t>B-297379</t>
  </si>
  <si>
    <t>SR-RTN/26-27/33580</t>
  </si>
  <si>
    <t>B-297319</t>
  </si>
  <si>
    <t>SR-RTN/26-27/33581</t>
  </si>
  <si>
    <t>B-296318</t>
  </si>
  <si>
    <t>SR-RTN/26-27/33583</t>
  </si>
  <si>
    <t>B-297135</t>
  </si>
  <si>
    <t>SR-RTN/26-27/33584</t>
  </si>
  <si>
    <t>B-296911</t>
  </si>
  <si>
    <t>SR-RTN/26-27/33585</t>
  </si>
  <si>
    <t>B-296899</t>
  </si>
  <si>
    <t>SR-RTN/26-27/33593</t>
  </si>
  <si>
    <t>B-297717</t>
  </si>
  <si>
    <t>SR-RTN/26-27/33594</t>
  </si>
  <si>
    <t>B-297293</t>
  </si>
  <si>
    <t>SR-RTN/26-27/33598</t>
  </si>
  <si>
    <t>SR-RTN/26-27/33608</t>
  </si>
  <si>
    <t>B-294736</t>
  </si>
  <si>
    <t>SR-RTN/26-27/33633</t>
  </si>
  <si>
    <t>B-298560</t>
  </si>
  <si>
    <t>SR-RTN/26-27/33639</t>
  </si>
  <si>
    <t>B-296834</t>
  </si>
  <si>
    <t>B-296928</t>
  </si>
  <si>
    <t>SR-RTN/26-27/33662</t>
  </si>
  <si>
    <t>B-297726</t>
  </si>
  <si>
    <t>SR-RTN/26-27/33665</t>
  </si>
  <si>
    <t>SR-RTN/26-27/33668</t>
  </si>
  <si>
    <t>SR-RTN/26-27/33717</t>
  </si>
  <si>
    <t>B-293814</t>
  </si>
  <si>
    <t>B-296924</t>
  </si>
  <si>
    <t>B-297631</t>
  </si>
  <si>
    <t>SR-RTN/26-27/33767</t>
  </si>
  <si>
    <t>B-291326</t>
  </si>
  <si>
    <t>B-291342</t>
  </si>
  <si>
    <t>B-291429</t>
  </si>
  <si>
    <t>SR-RTN/26-27/33770</t>
  </si>
  <si>
    <t>B-297132</t>
  </si>
  <si>
    <t>SR-RTN/26-27/33800</t>
  </si>
  <si>
    <t>B-296288</t>
  </si>
  <si>
    <t>B-296964</t>
  </si>
  <si>
    <t>B-298161</t>
  </si>
  <si>
    <t>SR-RTN/26-27/33802</t>
  </si>
  <si>
    <t>B-296349</t>
  </si>
  <si>
    <t>SR-RTN/26-27/33803</t>
  </si>
  <si>
    <t>B-297699</t>
  </si>
  <si>
    <t>SR-RTN/26-27/33847</t>
  </si>
  <si>
    <t>B-297129</t>
  </si>
  <si>
    <t>B-297324</t>
  </si>
  <si>
    <t>SR-RTN/26-27/33848</t>
  </si>
  <si>
    <t>B-296880</t>
  </si>
  <si>
    <t>SR-RTN/26-27/33860</t>
  </si>
  <si>
    <t>B-291325</t>
  </si>
  <si>
    <t>SR-RTN/26-27/33861</t>
  </si>
  <si>
    <t>B-291374</t>
  </si>
  <si>
    <t>SR-RTN/26-27/33862</t>
  </si>
  <si>
    <t>B-291421</t>
  </si>
  <si>
    <t>SR-W/O-RTN/26-27/2405</t>
  </si>
  <si>
    <t>RTN-8715805</t>
  </si>
  <si>
    <t>RTN-8715809</t>
  </si>
  <si>
    <t>SR-41884</t>
  </si>
  <si>
    <t>RTN-8716725</t>
  </si>
  <si>
    <t>SR-41767</t>
  </si>
  <si>
    <t>RTN-8717151</t>
  </si>
  <si>
    <t>RTN-8717503</t>
  </si>
  <si>
    <t>SR-41885</t>
  </si>
  <si>
    <t>RTN-8718751</t>
  </si>
  <si>
    <t>SR-41784</t>
  </si>
  <si>
    <t>RTN-8720948</t>
  </si>
  <si>
    <t>SR-41904</t>
  </si>
  <si>
    <t>RTN-8721727</t>
  </si>
  <si>
    <t>SR-41828</t>
  </si>
  <si>
    <t>RTN-8721731</t>
  </si>
  <si>
    <t>SR-41883</t>
  </si>
  <si>
    <t>RTN-8723141</t>
  </si>
  <si>
    <t>SR-41881</t>
  </si>
  <si>
    <t>RTN-8723155</t>
  </si>
  <si>
    <t>SR-41997</t>
  </si>
  <si>
    <t>RTN-8723166</t>
  </si>
  <si>
    <t>SR-42036</t>
  </si>
  <si>
    <t>RTN-8724025</t>
  </si>
  <si>
    <t>SR-41902</t>
  </si>
  <si>
    <t>RTN-8724633</t>
  </si>
  <si>
    <t>SR-41995</t>
  </si>
  <si>
    <t>RTN-8724786</t>
  </si>
  <si>
    <t>SR-42043</t>
  </si>
  <si>
    <t>RTN-8726566</t>
  </si>
  <si>
    <t>SR-41882</t>
  </si>
  <si>
    <t>RTN-8726593</t>
  </si>
  <si>
    <t>SR-42057</t>
  </si>
  <si>
    <t>RTN-8727357</t>
  </si>
  <si>
    <t>SR-42075</t>
  </si>
  <si>
    <t>RTN-8727481</t>
  </si>
  <si>
    <t>SR-42034</t>
  </si>
  <si>
    <t>RTN-8728018</t>
  </si>
  <si>
    <t>SR-RTN/26-27/33912</t>
  </si>
  <si>
    <t>B-297801</t>
  </si>
  <si>
    <t>SR-RTN/26-27/33913</t>
  </si>
  <si>
    <t>B-296900</t>
  </si>
  <si>
    <t>SR-RTN/26-27/33914</t>
  </si>
  <si>
    <t>B-297136</t>
  </si>
  <si>
    <t>SR-RTN/26-27/33915</t>
  </si>
  <si>
    <t>B-296864</t>
  </si>
  <si>
    <t>SR-RTN/26-27/33916</t>
  </si>
  <si>
    <t>B-296835</t>
  </si>
  <si>
    <t>SR-RTN/26-27/33917</t>
  </si>
  <si>
    <t>B-295548</t>
  </si>
  <si>
    <t>SR-RTN/26-27/33960</t>
  </si>
  <si>
    <t>SR-RTN/26-27/33961</t>
  </si>
  <si>
    <t>SR-RTN/26-27/33962</t>
  </si>
  <si>
    <t>SR-RTN/26-27/33963</t>
  </si>
  <si>
    <t>B-296296</t>
  </si>
  <si>
    <t>SR-RTN/26-27/33965</t>
  </si>
  <si>
    <t>B-296341</t>
  </si>
  <si>
    <t>SR-RTN/26-27/33967</t>
  </si>
  <si>
    <t>SR-RTN/26-27/33968</t>
  </si>
  <si>
    <t>B-296866</t>
  </si>
  <si>
    <t>SR-RTN/26-27/33984</t>
  </si>
  <si>
    <t>B-296845</t>
  </si>
  <si>
    <t>SR-RTN/26-27/34013</t>
  </si>
  <si>
    <t>B-296237</t>
  </si>
  <si>
    <t>B-298145</t>
  </si>
  <si>
    <t>SR-RTN/26-27/34016</t>
  </si>
  <si>
    <t>B-297724</t>
  </si>
  <si>
    <t>B-298115</t>
  </si>
  <si>
    <t>SR-RTN/26-27/34065</t>
  </si>
  <si>
    <t>B-296836</t>
  </si>
  <si>
    <t>SR-RTN/26-27/34080</t>
  </si>
  <si>
    <t>SR-RTN/26-27/34085</t>
  </si>
  <si>
    <t>SR-RTN/26-27/34088</t>
  </si>
  <si>
    <t>SR-RTN/26-27/34089</t>
  </si>
  <si>
    <t>SR-RTN/26-27/34158</t>
  </si>
  <si>
    <t>B-296238</t>
  </si>
  <si>
    <t>SR-RTN/26-27/34159</t>
  </si>
  <si>
    <t>B-298139</t>
  </si>
  <si>
    <t>SR-RTN/26-27/34160</t>
  </si>
  <si>
    <t>B-296859</t>
  </si>
  <si>
    <t>SR-RTN/26-27/34162</t>
  </si>
  <si>
    <t>B-297685</t>
  </si>
  <si>
    <t>SR-RTN/26-27/34163</t>
  </si>
  <si>
    <t>B-297669</t>
  </si>
  <si>
    <t>SR-RTN/26-27/34164</t>
  </si>
  <si>
    <t>B-297657</t>
  </si>
  <si>
    <t>SR-RTN/26-27/34165</t>
  </si>
  <si>
    <t>SR-RTN/26-27/34166</t>
  </si>
  <si>
    <t>B-297664</t>
  </si>
  <si>
    <t>SR-RTN/26-27/34171</t>
  </si>
  <si>
    <t>B-296236</t>
  </si>
  <si>
    <t>SR-RTN/26-27/34205</t>
  </si>
  <si>
    <t>B-297653</t>
  </si>
  <si>
    <t>SR-RTN/26-27/34207</t>
  </si>
  <si>
    <t>B-297859</t>
  </si>
  <si>
    <t>SR-RTN/26-27/34208</t>
  </si>
  <si>
    <t>B-297853</t>
  </si>
  <si>
    <t>SR-RTN/26-27/34209</t>
  </si>
  <si>
    <t>B-297825</t>
  </si>
  <si>
    <t>SR-RTN/26-27/34210</t>
  </si>
  <si>
    <t>B-297855</t>
  </si>
  <si>
    <t>SR-RTN/26-27/34211</t>
  </si>
  <si>
    <t>B-296331</t>
  </si>
  <si>
    <t>SR-RTN/26-27/34215</t>
  </si>
  <si>
    <t>B-297840</t>
  </si>
  <si>
    <t>SR-RTN/26-27/34217</t>
  </si>
  <si>
    <t>B-297824</t>
  </si>
  <si>
    <t>SR-RTN/26-27/34220</t>
  </si>
  <si>
    <t>B-297650</t>
  </si>
  <si>
    <t>SR-RTN/26-27/34221</t>
  </si>
  <si>
    <t>B-297857</t>
  </si>
  <si>
    <t>SR-RTN/26-27/34223</t>
  </si>
  <si>
    <t>SR-RTN/26-27/34299</t>
  </si>
  <si>
    <t>B-296280</t>
  </si>
  <si>
    <t>B-297641</t>
  </si>
  <si>
    <t>B-297822</t>
  </si>
  <si>
    <t>B-297849</t>
  </si>
  <si>
    <t>B-297965</t>
  </si>
  <si>
    <t>B-297966</t>
  </si>
  <si>
    <t>B-297969</t>
  </si>
  <si>
    <t>SR-RTN/26-27/34308</t>
  </si>
  <si>
    <t>B-291408</t>
  </si>
  <si>
    <t>SR-RTN/26-27/34314</t>
  </si>
  <si>
    <t>SR-RTN/26-27/34344</t>
  </si>
  <si>
    <t>B-297834</t>
  </si>
  <si>
    <t>B-297846</t>
  </si>
  <si>
    <t>B-297851</t>
  </si>
  <si>
    <t>B-297964</t>
  </si>
  <si>
    <t>B-297968</t>
  </si>
  <si>
    <t>SR-RTN/26-27/34351</t>
  </si>
  <si>
    <t>B-296871</t>
  </si>
  <si>
    <t>SR-RTN/26-27/34352</t>
  </si>
  <si>
    <t>B-297797</t>
  </si>
  <si>
    <t>SR-RTN/26-27/34384</t>
  </si>
  <si>
    <t>B-297632</t>
  </si>
  <si>
    <t>SR-RTN/26-27/34420</t>
  </si>
  <si>
    <t>B-297961</t>
  </si>
  <si>
    <t>B-297962</t>
  </si>
  <si>
    <t>SR-RTN/26-27/34426</t>
  </si>
  <si>
    <t>B-297803</t>
  </si>
  <si>
    <t>SR-RTN/26-27/34435</t>
  </si>
  <si>
    <t>B-296906</t>
  </si>
  <si>
    <t>SR-RTN/26-27/34441</t>
  </si>
  <si>
    <t>B-298322</t>
  </si>
  <si>
    <t>SR-RTN/26-27/34484</t>
  </si>
  <si>
    <t>B-297810</t>
  </si>
  <si>
    <t>SR-RTN/26-27/34485</t>
  </si>
  <si>
    <t>B-297967</t>
  </si>
  <si>
    <t>SR-RTN/26-27/34489</t>
  </si>
  <si>
    <t>SR-RTN/26-27/34521</t>
  </si>
  <si>
    <t>SR-RTN/26-27/34529</t>
  </si>
  <si>
    <t>B-297679</t>
  </si>
  <si>
    <t>SR-RTN/26-27/34531</t>
  </si>
  <si>
    <t>B-296846</t>
  </si>
  <si>
    <t>SR-W/O-RTN/26-27/2437</t>
  </si>
  <si>
    <t>RTN-8729778</t>
  </si>
  <si>
    <t>SR-42067</t>
  </si>
  <si>
    <t>RTN-8730253</t>
  </si>
  <si>
    <t>SR-42066</t>
  </si>
  <si>
    <t>RTN-8731367</t>
  </si>
  <si>
    <t>RTN-8731379</t>
  </si>
  <si>
    <t>RTN-8733848</t>
  </si>
  <si>
    <t>SR-41971</t>
  </si>
  <si>
    <t>RTN-8738030</t>
  </si>
  <si>
    <t>SR-42004</t>
  </si>
  <si>
    <t>RTN-8738034</t>
  </si>
  <si>
    <t>SR-42115</t>
  </si>
  <si>
    <t>RTN-8739656</t>
  </si>
  <si>
    <t>SR-42011</t>
  </si>
  <si>
    <t>RTN-8741523</t>
  </si>
  <si>
    <t>SR-42068</t>
  </si>
  <si>
    <t>SR-RTN/26-27/34571</t>
  </si>
  <si>
    <t>B-298318</t>
  </si>
  <si>
    <t>B-298894</t>
  </si>
  <si>
    <t>SR-RTN/26-27/34603</t>
  </si>
  <si>
    <t>SR-RTN/26-27/34615</t>
  </si>
  <si>
    <t>B-296239</t>
  </si>
  <si>
    <t>SR-RTN/26-27/34633</t>
  </si>
  <si>
    <t>B-298364</t>
  </si>
  <si>
    <t>SR-RTN/26-27/34635</t>
  </si>
  <si>
    <t>B-298365</t>
  </si>
  <si>
    <t>SR-RTN/26-27/34637</t>
  </si>
  <si>
    <t>B-298369</t>
  </si>
  <si>
    <t>SR-RTN/26-27/34642</t>
  </si>
  <si>
    <t>B-298368</t>
  </si>
  <si>
    <t>SR-RTN/26-27/34643</t>
  </si>
  <si>
    <t>B-298367</t>
  </si>
  <si>
    <t>SR-RTN/26-27/34644</t>
  </si>
  <si>
    <t>B-298362</t>
  </si>
  <si>
    <t>SR-RTN/26-27/34706</t>
  </si>
  <si>
    <t>B-296234</t>
  </si>
  <si>
    <t>B-298164</t>
  </si>
  <si>
    <t>SR-RTN/26-27/34726</t>
  </si>
  <si>
    <t>B-296235</t>
  </si>
  <si>
    <t>SR-RTN/26-27/34730</t>
  </si>
  <si>
    <t>B-291348</t>
  </si>
  <si>
    <t>B-291354</t>
  </si>
  <si>
    <t>SR-RTN/26-27/34738</t>
  </si>
  <si>
    <t>B-295886/1</t>
  </si>
  <si>
    <t>SR-RTN/26-27/34743</t>
  </si>
  <si>
    <t>B-298363</t>
  </si>
  <si>
    <t>SR-RTN/26-27/34744</t>
  </si>
  <si>
    <t>B-296233</t>
  </si>
  <si>
    <t>SR-RTN/26-27/34745</t>
  </si>
  <si>
    <t>B-298186</t>
  </si>
  <si>
    <t>SR-RTN/26-27/34749</t>
  </si>
  <si>
    <t>B-298185</t>
  </si>
  <si>
    <t>SR-RTN/26-27/34755</t>
  </si>
  <si>
    <t>B-291315</t>
  </si>
  <si>
    <t>B-297998</t>
  </si>
  <si>
    <t>SR-RTN/26-27/34783</t>
  </si>
  <si>
    <t>B-298157</t>
  </si>
  <si>
    <t>B-298159</t>
  </si>
  <si>
    <t>SR-RTN/26-27/34808</t>
  </si>
  <si>
    <t>B-298323</t>
  </si>
  <si>
    <t>SR-RTN/26-27/34816</t>
  </si>
  <si>
    <t>SR-RTN/26-27/34820</t>
  </si>
  <si>
    <t>SR-RTN/26-27/34891</t>
  </si>
  <si>
    <t>B-297804</t>
  </si>
  <si>
    <t>B-297963</t>
  </si>
  <si>
    <t>SR-RTN/26-27/34892</t>
  </si>
  <si>
    <t>B-298352</t>
  </si>
  <si>
    <t>SR-RTN/26-27/34893</t>
  </si>
  <si>
    <t>B-298356</t>
  </si>
  <si>
    <t>SR-RTN/26-27/34894</t>
  </si>
  <si>
    <t>B-298354</t>
  </si>
  <si>
    <t>SR-RTN/26-27/34895</t>
  </si>
  <si>
    <t>B-298374</t>
  </si>
  <si>
    <t>SR-RTN/26-27/34896</t>
  </si>
  <si>
    <t>B-298347</t>
  </si>
  <si>
    <t>SR-RTN/26-27/34897</t>
  </si>
  <si>
    <t>B-298321</t>
  </si>
  <si>
    <t>SR-RTN/26-27/34898</t>
  </si>
  <si>
    <t>B-297636</t>
  </si>
  <si>
    <t>SR-RTN/26-27/34899</t>
  </si>
  <si>
    <t>B-298320</t>
  </si>
  <si>
    <t>SR-RTN/26-27/34900</t>
  </si>
  <si>
    <t>SR-RTN/26-27/34901</t>
  </si>
  <si>
    <t>B-298404</t>
  </si>
  <si>
    <t>SR-RTN/26-27/34903</t>
  </si>
  <si>
    <t>B-297997</t>
  </si>
  <si>
    <t>SR-RTN/26-27/34905</t>
  </si>
  <si>
    <t>B-296969</t>
  </si>
  <si>
    <t>SR-RTN/26-27/34917</t>
  </si>
  <si>
    <t>B-286461</t>
  </si>
  <si>
    <t>SR-RTN/26-27/34918</t>
  </si>
  <si>
    <t>B-286463</t>
  </si>
  <si>
    <t>SR-RTN/26-27/34919</t>
  </si>
  <si>
    <t>B-286455</t>
  </si>
  <si>
    <t>SR-RTN/26-27/34920</t>
  </si>
  <si>
    <t>B-286465</t>
  </si>
  <si>
    <t>SR-RTN/26-27/34971</t>
  </si>
  <si>
    <t>B-298355</t>
  </si>
  <si>
    <t>SR-RTN/26-27/34972</t>
  </si>
  <si>
    <t>B-297291</t>
  </si>
  <si>
    <t>SR-RTN/26-27/34973</t>
  </si>
  <si>
    <t>B-297635</t>
  </si>
  <si>
    <t>SR-RTN/26-27/34974</t>
  </si>
  <si>
    <t>B-298403</t>
  </si>
  <si>
    <t>SR-RTN/26-27/34975</t>
  </si>
  <si>
    <t>B-297676</t>
  </si>
  <si>
    <t>SR-RTN/26-27/34976</t>
  </si>
  <si>
    <t>B-297802</t>
  </si>
  <si>
    <t>SR-RTN/26-27/34977</t>
  </si>
  <si>
    <t>B-298351</t>
  </si>
  <si>
    <t>SR-RTN/26-27/34979</t>
  </si>
  <si>
    <t>B-298319</t>
  </si>
  <si>
    <t>SR-RTN/26-27/34980</t>
  </si>
  <si>
    <t>SR-RTN/26-27/34992</t>
  </si>
  <si>
    <t>B-298349</t>
  </si>
  <si>
    <t>SR-RTN/26-27/35011</t>
  </si>
  <si>
    <t>B-297330</t>
  </si>
  <si>
    <t>SR-RTN/26-27/35041</t>
  </si>
  <si>
    <t>B-298402</t>
  </si>
  <si>
    <t>SR-RTN/26-27/35062</t>
  </si>
  <si>
    <t>SR-RTN/26-27/35095</t>
  </si>
  <si>
    <t>B-298353</t>
  </si>
  <si>
    <t>SR-RTN/26-27/35157</t>
  </si>
  <si>
    <t>B-298184</t>
  </si>
  <si>
    <t>B-298350</t>
  </si>
  <si>
    <t>B-298691</t>
  </si>
  <si>
    <t>B-298807</t>
  </si>
  <si>
    <t>SR-RTN/26-27/35169</t>
  </si>
  <si>
    <t>B-298706</t>
  </si>
  <si>
    <t>SR-RTN/26-27/35170</t>
  </si>
  <si>
    <t>B-298697</t>
  </si>
  <si>
    <t>B-298701</t>
  </si>
  <si>
    <t>RTN-8750634</t>
  </si>
  <si>
    <t>SR-42148</t>
  </si>
  <si>
    <t>RTN-8751830</t>
  </si>
  <si>
    <t>SR-42150</t>
  </si>
  <si>
    <t>RTN-8757284</t>
  </si>
  <si>
    <t>SR-42153</t>
  </si>
  <si>
    <t>SR-RTN/26-27/35208</t>
  </si>
  <si>
    <t>B-298376</t>
  </si>
  <si>
    <t>B-298670</t>
  </si>
  <si>
    <t>B-298692</t>
  </si>
  <si>
    <t>B-298693</t>
  </si>
  <si>
    <t>B-298694</t>
  </si>
  <si>
    <t>B-298695</t>
  </si>
  <si>
    <t>B-298696</t>
  </si>
  <si>
    <t>B-298698</t>
  </si>
  <si>
    <t>B-298699</t>
  </si>
  <si>
    <t>B-298700</t>
  </si>
  <si>
    <t>B-298704</t>
  </si>
  <si>
    <t>B-298705</t>
  </si>
  <si>
    <t>SR-RTN/26-27/35210</t>
  </si>
  <si>
    <t>B-298665</t>
  </si>
  <si>
    <t>B-298671</t>
  </si>
  <si>
    <t>B-298703</t>
  </si>
  <si>
    <t>SR-RTN/26-27/35211</t>
  </si>
  <si>
    <t>SR-RTN/26-27/35218</t>
  </si>
  <si>
    <t>B-298610</t>
  </si>
  <si>
    <t>SR-RTN/26-27/35220</t>
  </si>
  <si>
    <t>B-298667</t>
  </si>
  <si>
    <t>SR-RTN/26-27/35221</t>
  </si>
  <si>
    <t>B-298609</t>
  </si>
  <si>
    <t>SR-RTN/26-27/35222</t>
  </si>
  <si>
    <t>B-298668</t>
  </si>
  <si>
    <t>SR-RTN/26-27/35223</t>
  </si>
  <si>
    <t>B-298642</t>
  </si>
  <si>
    <t>SR-RTN/26-27/35225</t>
  </si>
  <si>
    <t>B-298623</t>
  </si>
  <si>
    <t>SR-RTN/26-27/35226</t>
  </si>
  <si>
    <t>B-298644</t>
  </si>
  <si>
    <t>SR-RTN/26-27/35228</t>
  </si>
  <si>
    <t>B-298666</t>
  </si>
  <si>
    <t>SR-RTN/26-27/35229</t>
  </si>
  <si>
    <t>B-298669</t>
  </si>
  <si>
    <t>SR-RTN/26-27/35251</t>
  </si>
  <si>
    <t>B-298079</t>
  </si>
  <si>
    <t>SR-RTN/26-27/35254</t>
  </si>
  <si>
    <t>B-298673</t>
  </si>
  <si>
    <t>SR-RTN/26-27/35255</t>
  </si>
  <si>
    <t>B-298672</t>
  </si>
  <si>
    <t>SR-RTN/26-27/35256</t>
  </si>
  <si>
    <t>B-298806</t>
  </si>
  <si>
    <t>SR-RTN/26-27/35258</t>
  </si>
  <si>
    <t>B-298702</t>
  </si>
  <si>
    <t>SR-RTN/26-27/35260</t>
  </si>
  <si>
    <t>B-298664</t>
  </si>
  <si>
    <t>SR-RTN/26-27/35390</t>
  </si>
  <si>
    <t>B-298155</t>
  </si>
  <si>
    <t>B-298796</t>
  </si>
  <si>
    <t>SR-RTN/26-27/35403</t>
  </si>
  <si>
    <t>B-298800</t>
  </si>
  <si>
    <t>B-298820</t>
  </si>
  <si>
    <t>B-298821</t>
  </si>
  <si>
    <t>SR-RTN/26-27/35418</t>
  </si>
  <si>
    <t>SR-RTN/26-27/35420</t>
  </si>
  <si>
    <t>B-298799</t>
  </si>
  <si>
    <t>SR-RTN/26-27/35437</t>
  </si>
  <si>
    <t>B-291825</t>
  </si>
  <si>
    <t>B-291835</t>
  </si>
  <si>
    <t>B-298278</t>
  </si>
  <si>
    <t>SR-RTN/26-27/35480</t>
  </si>
  <si>
    <t>B-298798</t>
  </si>
  <si>
    <t>SR-RTN/26-27/35481</t>
  </si>
  <si>
    <t>B-297827</t>
  </si>
  <si>
    <t>SR-RTN/26-27/35482</t>
  </si>
  <si>
    <t>B-298366</t>
  </si>
  <si>
    <t>SR-RTN/26-27/35483</t>
  </si>
  <si>
    <t>B-298658</t>
  </si>
  <si>
    <t>SR-RTN/26-27/35495</t>
  </si>
  <si>
    <t>B-298795</t>
  </si>
  <si>
    <t>SR-RTN/26-27/35503</t>
  </si>
  <si>
    <t>SR-RTN/26-27/35526</t>
  </si>
  <si>
    <t>SR-RTN/26-27/35540</t>
  </si>
  <si>
    <t>B-298279</t>
  </si>
  <si>
    <t>SR-RTN/26-27/35580</t>
  </si>
  <si>
    <t>B-298626</t>
  </si>
  <si>
    <t>SR-RTN/26-27/35598</t>
  </si>
  <si>
    <t>B-297988</t>
  </si>
  <si>
    <t>B-297996</t>
  </si>
  <si>
    <t>SR-RTN/26-27/35618</t>
  </si>
  <si>
    <t>B-297985</t>
  </si>
  <si>
    <t>SR-RTN/26-27/35666</t>
  </si>
  <si>
    <t>B-297984</t>
  </si>
  <si>
    <t>B-297987</t>
  </si>
  <si>
    <t>B-297991</t>
  </si>
  <si>
    <t>SR-RTN/26-27/35690</t>
  </si>
  <si>
    <t>B-297809</t>
  </si>
  <si>
    <t>SR-RTN/26-27/35694</t>
  </si>
  <si>
    <t>SR-RTN/26-27/35697</t>
  </si>
  <si>
    <t>B-298797</t>
  </si>
  <si>
    <t>SR-RTN/26-27/35703</t>
  </si>
  <si>
    <t>SR-RTN/26-27/35706</t>
  </si>
  <si>
    <t>B-292459</t>
  </si>
  <si>
    <t>SR-RTN/26-27/35730</t>
  </si>
  <si>
    <t>B-298659</t>
  </si>
  <si>
    <t>SR-RTN/26-27/35731</t>
  </si>
  <si>
    <t>B-297989</t>
  </si>
  <si>
    <t>SR-RTN/26-27/35732</t>
  </si>
  <si>
    <t>B-298154</t>
  </si>
  <si>
    <t>SR-RTN/26-27/35735</t>
  </si>
  <si>
    <t>SR-RTN/26-27/35750</t>
  </si>
  <si>
    <t>B-297735</t>
  </si>
  <si>
    <t>B-298707</t>
  </si>
  <si>
    <t>SR-RTN/26-27/35754</t>
  </si>
  <si>
    <t>B-298384</t>
  </si>
  <si>
    <t>SR-RTN/26-27/35770</t>
  </si>
  <si>
    <t>B-298070</t>
  </si>
  <si>
    <t>B-298071</t>
  </si>
  <si>
    <t>B-298073</t>
  </si>
  <si>
    <t>B-298708</t>
  </si>
  <si>
    <t>SR-RTN/26-27/35778</t>
  </si>
  <si>
    <t>B-293636</t>
  </si>
  <si>
    <t>B-293644</t>
  </si>
  <si>
    <t>SR-RTN/26-27/35779</t>
  </si>
  <si>
    <t>B-297734</t>
  </si>
  <si>
    <t>SR-RTN/26-27/35786</t>
  </si>
  <si>
    <t>B-298348</t>
  </si>
  <si>
    <t>SR-RTN/26-27/35793</t>
  </si>
  <si>
    <t>B-297819</t>
  </si>
  <si>
    <t>B-297842</t>
  </si>
  <si>
    <t>B-297854</t>
  </si>
  <si>
    <t>RTN-8761424</t>
  </si>
  <si>
    <t>SR-42161/1</t>
  </si>
  <si>
    <t>RTN-8766945</t>
  </si>
  <si>
    <t>SR-42161</t>
  </si>
  <si>
    <t>RTN-8773900</t>
  </si>
  <si>
    <t>SR-42192</t>
  </si>
  <si>
    <t>SR-RTN/26-27/35902</t>
  </si>
  <si>
    <t>B-298683</t>
  </si>
  <si>
    <t>SR-RTN/26-27/35903</t>
  </si>
  <si>
    <t>B-297994</t>
  </si>
  <si>
    <t>SR-RTN/26-27/35936</t>
  </si>
  <si>
    <t>B-297986</t>
  </si>
  <si>
    <t>B-297995</t>
  </si>
  <si>
    <t>B-298444</t>
  </si>
  <si>
    <t>SR-RTN/26-27/35960</t>
  </si>
  <si>
    <t>B-293263/1</t>
  </si>
  <si>
    <t>B-298421</t>
  </si>
  <si>
    <t>SR-RTN/26-27/35985</t>
  </si>
  <si>
    <t>B-298582</t>
  </si>
  <si>
    <t>B-298688</t>
  </si>
  <si>
    <t>B-298916</t>
  </si>
  <si>
    <t>SR-RTN/26-27/35992</t>
  </si>
  <si>
    <t>B-298386</t>
  </si>
  <si>
    <t>SR-RTN/26-27/36009</t>
  </si>
  <si>
    <t>B-298160</t>
  </si>
  <si>
    <t>SR-RTN/26-27/36010</t>
  </si>
  <si>
    <t>SR-RTN/26-27/36025</t>
  </si>
  <si>
    <t>SR-RTN/26-27/36027</t>
  </si>
  <si>
    <t>B-291387/1</t>
  </si>
  <si>
    <t>SR-RTN/26-27/36035</t>
  </si>
  <si>
    <t>B-297128/1</t>
  </si>
  <si>
    <t>SR-RTN/26-27/36073</t>
  </si>
  <si>
    <t>B-298452</t>
  </si>
  <si>
    <t>B-298681</t>
  </si>
  <si>
    <t>SR-RTN/26-27/36075</t>
  </si>
  <si>
    <t>B-298638</t>
  </si>
  <si>
    <t>B-298801</t>
  </si>
  <si>
    <t>SR-RTN/26-27/36123</t>
  </si>
  <si>
    <t>SR-RTN/26-27/36126</t>
  </si>
  <si>
    <t>B-298448</t>
  </si>
  <si>
    <t>B-298921</t>
  </si>
  <si>
    <t>SR-RTN/26-27/36131</t>
  </si>
  <si>
    <t>SR-RTN/26-27/36201</t>
  </si>
  <si>
    <t>SR-RTN/26-27/36213</t>
  </si>
  <si>
    <t>B-297891</t>
  </si>
  <si>
    <t>SR-RTN/26-27/36224</t>
  </si>
  <si>
    <t>SR-42121</t>
  </si>
  <si>
    <t>SR-RTN/26-27/36233</t>
  </si>
  <si>
    <t>SR-RTN/26-27/36237</t>
  </si>
  <si>
    <t>SR-RTN/26-27/36242</t>
  </si>
  <si>
    <t>B-291799</t>
  </si>
  <si>
    <t>G-NA-91.80-YG</t>
  </si>
  <si>
    <t>SR-RTN/26-27/36269</t>
  </si>
  <si>
    <t>B-298385</t>
  </si>
  <si>
    <t>B-298918</t>
  </si>
  <si>
    <t>SR-RTN/26-27/36283</t>
  </si>
  <si>
    <t>SR-RTN/26-27/36321</t>
  </si>
  <si>
    <t>SR-RTN/26-27/36327</t>
  </si>
  <si>
    <t>B-298324</t>
  </si>
  <si>
    <t>B-299492</t>
  </si>
  <si>
    <t>SR-RTN/26-27/36378</t>
  </si>
  <si>
    <t>SR-RTN/26-27/36390</t>
  </si>
  <si>
    <t>SR-RTN/26-27/36391</t>
  </si>
  <si>
    <t>SR-RTN/26-27/36404</t>
  </si>
  <si>
    <t>B-298883</t>
  </si>
  <si>
    <t>B-298884</t>
  </si>
  <si>
    <t>B-298885</t>
  </si>
  <si>
    <t>SR-RTN/26-27/36426</t>
  </si>
  <si>
    <t>B-298156</t>
  </si>
  <si>
    <t>SR-RTN/26-27/36434</t>
  </si>
  <si>
    <t>SR-RTN/26-27/36436</t>
  </si>
  <si>
    <t>SR-RTN/26-27/36476</t>
  </si>
  <si>
    <t>SR-RTN/26-27/36482</t>
  </si>
  <si>
    <t>B-298888</t>
  </si>
  <si>
    <t>SR-RTN/26-27/36504</t>
  </si>
  <si>
    <t>B-298158</t>
  </si>
  <si>
    <t>B-299304</t>
  </si>
  <si>
    <t>SR-RTN/26-27/36514</t>
  </si>
  <si>
    <t>B-298887</t>
  </si>
  <si>
    <t>B-298889</t>
  </si>
  <si>
    <t>SR-RTN/26-27/36522</t>
  </si>
  <si>
    <t>B-298399</t>
  </si>
  <si>
    <t>SR-RTN/26-27/36528</t>
  </si>
  <si>
    <t>B-298388</t>
  </si>
  <si>
    <t>RTN-8776366</t>
  </si>
  <si>
    <t>SR-42189</t>
  </si>
  <si>
    <t>RTN-8777212</t>
  </si>
  <si>
    <t>SR-42199</t>
  </si>
  <si>
    <t>RTN-8779413</t>
  </si>
  <si>
    <t>SR-42193/1</t>
  </si>
  <si>
    <t>RTN-8784049</t>
  </si>
  <si>
    <t>RTN-8785336</t>
  </si>
  <si>
    <t>SR-42239</t>
  </si>
  <si>
    <t>RTN-8787379</t>
  </si>
  <si>
    <t>SR-42193</t>
  </si>
  <si>
    <t>SR-ROA/26-27/1052</t>
  </si>
  <si>
    <t>SR-RTN/26-27/36557</t>
  </si>
  <si>
    <t>B-297960</t>
  </si>
  <si>
    <t>SR-RTN/26-27/36558</t>
  </si>
  <si>
    <t>B-298949</t>
  </si>
  <si>
    <t>SR-RTN/26-27/36559</t>
  </si>
  <si>
    <t>B-298595</t>
  </si>
  <si>
    <t>SR-RTN/26-27/36608</t>
  </si>
  <si>
    <t>B-296872</t>
  </si>
  <si>
    <t>B-298913</t>
  </si>
  <si>
    <t>B-298920</t>
  </si>
  <si>
    <t>SR-RTN/26-27/36620</t>
  </si>
  <si>
    <t>B-299255</t>
  </si>
  <si>
    <t>B-299329</t>
  </si>
  <si>
    <t>SR-RTN/26-27/36649</t>
  </si>
  <si>
    <t>B-298420</t>
  </si>
  <si>
    <t>B-298441</t>
  </si>
  <si>
    <t>SR-RTN/26-27/36654</t>
  </si>
  <si>
    <t>B-298593</t>
  </si>
  <si>
    <t>SR-RTN/26-27/36682</t>
  </si>
  <si>
    <t>SR-RTN/26-27/36693</t>
  </si>
  <si>
    <t>B-298687</t>
  </si>
  <si>
    <t>SR-RTN/26-27/36739</t>
  </si>
  <si>
    <t>B-298453</t>
  </si>
  <si>
    <t>B-299305</t>
  </si>
  <si>
    <t>SR-RTN/26-27/36743</t>
  </si>
  <si>
    <t>SR-RTN/26-27/36757</t>
  </si>
  <si>
    <t>SR-RTN/26-27/36758</t>
  </si>
  <si>
    <t>SR-RTN/26-27/36821</t>
  </si>
  <si>
    <t>B-299236</t>
  </si>
  <si>
    <t>SR-RTN/26-27/36825</t>
  </si>
  <si>
    <t>B-298455</t>
  </si>
  <si>
    <t>SR-RTN/26-27/36840</t>
  </si>
  <si>
    <t>B-298583</t>
  </si>
  <si>
    <t>SR-RTN/26-27/36845</t>
  </si>
  <si>
    <t>SR-RTN/26-27/36854</t>
  </si>
  <si>
    <t>B-298881</t>
  </si>
  <si>
    <t>B-298950</t>
  </si>
  <si>
    <t>SR-RTN/26-27/36889</t>
  </si>
  <si>
    <t>SR-RTN/26-27/36907</t>
  </si>
  <si>
    <t>B-298953</t>
  </si>
  <si>
    <t>SR-RTN/26-27/36908</t>
  </si>
  <si>
    <t>B-297985/1</t>
  </si>
  <si>
    <t>SR-RTN/26-27/36934</t>
  </si>
  <si>
    <t>B-298559</t>
  </si>
  <si>
    <t>SR-RTN/26-27/36945</t>
  </si>
  <si>
    <t>B-298911</t>
  </si>
  <si>
    <t>SR-RTN/26-27/36951</t>
  </si>
  <si>
    <t>B-298584</t>
  </si>
  <si>
    <t>B-298893</t>
  </si>
  <si>
    <t>SR-RTN/26-27/36966</t>
  </si>
  <si>
    <t>B-298912</t>
  </si>
  <si>
    <t>SR-RTN/26-27/37021</t>
  </si>
  <si>
    <t>SR-RTN/26-27/37073</t>
  </si>
  <si>
    <t>B-298954</t>
  </si>
  <si>
    <t>SR-RTN/26-27/37074</t>
  </si>
  <si>
    <t>SR-RTN/26-27/37075</t>
  </si>
  <si>
    <t>B-297992</t>
  </si>
  <si>
    <t>SR-RTN/26-27/37091</t>
  </si>
  <si>
    <t>B-297796</t>
  </si>
  <si>
    <t>SR-RTN/26-27/37093</t>
  </si>
  <si>
    <t>B-298408</t>
  </si>
  <si>
    <t>SR-RTN/26-27/37097</t>
  </si>
  <si>
    <t>B-293181</t>
  </si>
  <si>
    <t>SR-RTN/26-27/37104</t>
  </si>
  <si>
    <t>B-298919</t>
  </si>
  <si>
    <t>SR-RTN/26-27/37125</t>
  </si>
  <si>
    <t>SR-RTN/26-27/37127</t>
  </si>
  <si>
    <t>B-298140</t>
  </si>
  <si>
    <t>SR-RTN/26-27/37146</t>
  </si>
  <si>
    <t>B-298605</t>
  </si>
  <si>
    <t>SR-RTN/26-27/37155</t>
  </si>
  <si>
    <t>B-298457</t>
  </si>
  <si>
    <t>SR-RTN/26-27/37177</t>
  </si>
  <si>
    <t>B-298142</t>
  </si>
  <si>
    <t>SR-W/O-RTN/26-27/2599</t>
  </si>
  <si>
    <t>SR-W/O-RTN/26-27/2600</t>
  </si>
  <si>
    <t>SR-W/O-RTN/26-27/2601</t>
  </si>
  <si>
    <t>RTN-8803331</t>
  </si>
  <si>
    <t>SR-42250</t>
  </si>
  <si>
    <t>SR-RTN/26-27/37216</t>
  </si>
  <si>
    <t>B-298458</t>
  </si>
  <si>
    <t>B-298915</t>
  </si>
  <si>
    <t>B-298951</t>
  </si>
  <si>
    <t>B-299293</t>
  </si>
  <si>
    <t>B-299330</t>
  </si>
  <si>
    <t>SR-RTN/26-27/37222</t>
  </si>
  <si>
    <t>B-299474</t>
  </si>
  <si>
    <t>SR-RTN/26-27/37225</t>
  </si>
  <si>
    <t>SR-RTN/26-27/37248</t>
  </si>
  <si>
    <t>SR-RTN/26-27/37288</t>
  </si>
  <si>
    <t>B-291420/1</t>
  </si>
  <si>
    <t>SR-RTN/26-27/37293</t>
  </si>
  <si>
    <t>B-291423</t>
  </si>
  <si>
    <t>SR-RTN/26-27/37299</t>
  </si>
  <si>
    <t>B-299317</t>
  </si>
  <si>
    <t>SR-RTN/26-27/37300</t>
  </si>
  <si>
    <t>B-298952</t>
  </si>
  <si>
    <t>SR-RTN/26-27/37336</t>
  </si>
  <si>
    <t>B-298641</t>
  </si>
  <si>
    <t>B-299307</t>
  </si>
  <si>
    <t>SR-RTN/26-27/37350</t>
  </si>
  <si>
    <t>B-298450</t>
  </si>
  <si>
    <t>SR-RTN/26-27/37351</t>
  </si>
  <si>
    <t>SR-RTN/26-27/37369</t>
  </si>
  <si>
    <t>SR-RTN/26-27/37376</t>
  </si>
  <si>
    <t>SR-RTN/26-27/37381</t>
  </si>
  <si>
    <t>B-299302</t>
  </si>
  <si>
    <t>SR-RTN/26-27/37423</t>
  </si>
  <si>
    <t>B-298456</t>
  </si>
  <si>
    <t>SR-RTN/26-27/37488</t>
  </si>
  <si>
    <t>SR-RTN/26-27/37491</t>
  </si>
  <si>
    <t>B-298375</t>
  </si>
  <si>
    <t>B-299310</t>
  </si>
  <si>
    <t>B-299316</t>
  </si>
  <si>
    <t>B-299481</t>
  </si>
  <si>
    <t>SR-RTN/26-27/37496</t>
  </si>
  <si>
    <t>B-298922</t>
  </si>
  <si>
    <t>SR-RTN/26-27/37505</t>
  </si>
  <si>
    <t>SR-RTN/26-27/37514</t>
  </si>
  <si>
    <t>B-298635</t>
  </si>
  <si>
    <t>B-299578</t>
  </si>
  <si>
    <t>SR-RTN/26-27/37527</t>
  </si>
  <si>
    <t>B-299593</t>
  </si>
  <si>
    <t>SR-RTN/26-27/37552</t>
  </si>
  <si>
    <t>B-299592</t>
  </si>
  <si>
    <t>SR-RTN/26-27/37576</t>
  </si>
  <si>
    <t>B-299866</t>
  </si>
  <si>
    <t>B-299869</t>
  </si>
  <si>
    <t>B-299871</t>
  </si>
  <si>
    <t>SR-RTN/26-27/37598</t>
  </si>
  <si>
    <t>B-298890</t>
  </si>
  <si>
    <t>B-298891</t>
  </si>
  <si>
    <t>B-298892</t>
  </si>
  <si>
    <t>SR-RTN/26-27/37599</t>
  </si>
  <si>
    <t>B-298917</t>
  </si>
  <si>
    <t>SR-RTN/26-27/37618</t>
  </si>
  <si>
    <t>SR-RTN/26-27/37708</t>
  </si>
  <si>
    <t>SR-RTN/26-27/37712</t>
  </si>
  <si>
    <t>B-299303</t>
  </si>
  <si>
    <t>SR-RTN/26-27/37727</t>
  </si>
  <si>
    <t>B-298677</t>
  </si>
  <si>
    <t>SR-RTN/26-27/37731</t>
  </si>
  <si>
    <t>B-299918</t>
  </si>
  <si>
    <t>SR-RTN/26-27/37732</t>
  </si>
  <si>
    <t>B-299870</t>
  </si>
  <si>
    <t>SR-RTN/26-27/37733</t>
  </si>
  <si>
    <t>B-299311</t>
  </si>
  <si>
    <t>SR-RTN/26-27/37734</t>
  </si>
  <si>
    <t>B-298677/1</t>
  </si>
  <si>
    <t>SR-RTN/26-27/37735</t>
  </si>
  <si>
    <t>B-299476</t>
  </si>
  <si>
    <t>SR-RTN/26-27/37736</t>
  </si>
  <si>
    <t>B-299594</t>
  </si>
  <si>
    <t>SR-RTN/26-27/37737</t>
  </si>
  <si>
    <t>B-299477</t>
  </si>
  <si>
    <t>SR-RTN/26-27/37738</t>
  </si>
  <si>
    <t>SR-RTN/26-27/37739</t>
  </si>
  <si>
    <t>SR-RTN/26-27/37741</t>
  </si>
  <si>
    <t>B-299563</t>
  </si>
  <si>
    <t>SR-RTN/26-27/37742</t>
  </si>
  <si>
    <t>B-299597</t>
  </si>
  <si>
    <t>SR-RTN/26-27/37743</t>
  </si>
  <si>
    <t>B-299868</t>
  </si>
  <si>
    <t>SR-RTN/26-27/37744</t>
  </si>
  <si>
    <t>B-299312</t>
  </si>
  <si>
    <t>SR-RTN/26-27/37747</t>
  </si>
  <si>
    <t>B-299306</t>
  </si>
  <si>
    <t>SR-RTN/26-27/37751</t>
  </si>
  <si>
    <t>B-297990</t>
  </si>
  <si>
    <t>SR-RTN/26-27/37836</t>
  </si>
  <si>
    <t>B-299739</t>
  </si>
  <si>
    <t>SR-RTN/26-27/37837</t>
  </si>
  <si>
    <t>B-299546</t>
  </si>
  <si>
    <t>RTN-8814783</t>
  </si>
  <si>
    <t>SR-42057/1</t>
  </si>
  <si>
    <t>RTN-8817220</t>
  </si>
  <si>
    <t>SR-42280</t>
  </si>
  <si>
    <t>SR-RTN/26-27/37861</t>
  </si>
  <si>
    <t>SR-RTN/26-27/37868</t>
  </si>
  <si>
    <t>B-299582</t>
  </si>
  <si>
    <t>SR-RTN/26-27/37903</t>
  </si>
  <si>
    <t>B-299649</t>
  </si>
  <si>
    <t>SR-RTN/26-27/37914</t>
  </si>
  <si>
    <t>B-299577</t>
  </si>
  <si>
    <t>B-299660</t>
  </si>
  <si>
    <t>SR-RTN/26-27/37929</t>
  </si>
  <si>
    <t>B-298615</t>
  </si>
  <si>
    <t>SR-RTN/26-27/37936</t>
  </si>
  <si>
    <t>B-299663</t>
  </si>
  <si>
    <t>SR-RTN/26-27/37996</t>
  </si>
  <si>
    <t>B-299313</t>
  </si>
  <si>
    <t>B-299478</t>
  </si>
  <si>
    <t>SR-RTN/26-27/37998</t>
  </si>
  <si>
    <t>B-299654</t>
  </si>
  <si>
    <t>SR-RTN/26-27/38026</t>
  </si>
  <si>
    <t>B-299314</t>
  </si>
  <si>
    <t>SR-RTN/26-27/38033</t>
  </si>
  <si>
    <t>B-299480</t>
  </si>
  <si>
    <t>SR-RTN/26-27/38050</t>
  </si>
  <si>
    <t>B-299479</t>
  </si>
  <si>
    <t>SR-RTN/26-27/38069</t>
  </si>
  <si>
    <t>B-298454</t>
  </si>
  <si>
    <t>SR-RTN/26-27/38096</t>
  </si>
  <si>
    <t>B-299687</t>
  </si>
  <si>
    <t>SR-RTN/26-27/38170</t>
  </si>
  <si>
    <t>B-297993</t>
  </si>
  <si>
    <t>SR-RTN/26-27/38178</t>
  </si>
  <si>
    <t>SR-RTN/26-27/38194</t>
  </si>
  <si>
    <t>B-299914</t>
  </si>
  <si>
    <t>B-299915</t>
  </si>
  <si>
    <t>SR-RTN/26-27/38195</t>
  </si>
  <si>
    <t>SR-RTN/26-27/38205</t>
  </si>
  <si>
    <t>B-291826</t>
  </si>
  <si>
    <t>B-299723</t>
  </si>
  <si>
    <t>SR-RTN/26-27/38230</t>
  </si>
  <si>
    <t>B-299652</t>
  </si>
  <si>
    <t>SR-RTN/26-27/38249</t>
  </si>
  <si>
    <t>B-299931</t>
  </si>
  <si>
    <t>SR-RTN/26-27/38314</t>
  </si>
  <si>
    <t>B-298678</t>
  </si>
  <si>
    <t>SR-RTN/26-27/38320</t>
  </si>
  <si>
    <t>B-299650</t>
  </si>
  <si>
    <t>SR-RTN/26-27/38326</t>
  </si>
  <si>
    <t>SR-RTN/26-27/38344</t>
  </si>
  <si>
    <t>B-299642</t>
  </si>
  <si>
    <t>SR-RTN/26-27/38350</t>
  </si>
  <si>
    <t>B-299580</t>
  </si>
  <si>
    <t>SR-RTN/26-27/38358</t>
  </si>
  <si>
    <t>B-299581</t>
  </si>
  <si>
    <t>SR-RTN/26-27/38369</t>
  </si>
  <si>
    <t>B-300305</t>
  </si>
  <si>
    <t>SR-RTN/26-27/38392</t>
  </si>
  <si>
    <t>B-299884</t>
  </si>
  <si>
    <t>B-299885</t>
  </si>
  <si>
    <t>SR-RTN/26-27/38396</t>
  </si>
  <si>
    <t>B-297766</t>
  </si>
  <si>
    <t>SR-RTN/26-27/38407</t>
  </si>
  <si>
    <t>B-299579</t>
  </si>
  <si>
    <t>B-299724</t>
  </si>
  <si>
    <t>B-299733</t>
  </si>
  <si>
    <t>SR-RTN/26-27/38414</t>
  </si>
  <si>
    <t>B-298914</t>
  </si>
  <si>
    <t>SR-RTN/26-27/38421</t>
  </si>
  <si>
    <t>SR-RTN/26-27/38422</t>
  </si>
  <si>
    <t>SR-RTN/26-27/38425</t>
  </si>
  <si>
    <t>SR-RTN/26-27/38427</t>
  </si>
  <si>
    <t>B-299648</t>
  </si>
  <si>
    <t>SR-RTN/26-27/38445</t>
  </si>
  <si>
    <t>B-299482</t>
  </si>
  <si>
    <t>RTN-8825512</t>
  </si>
  <si>
    <t>SR-RTN/26-27/38479</t>
  </si>
  <si>
    <t>B-299573</t>
  </si>
  <si>
    <t>B-299643</t>
  </si>
  <si>
    <t>B-299659</t>
  </si>
  <si>
    <t>B-299761</t>
  </si>
  <si>
    <t>B-299981</t>
  </si>
  <si>
    <t>SR-RTN/26-27/38480</t>
  </si>
  <si>
    <t>B-299980</t>
  </si>
  <si>
    <t>SR-RTN/26-27/38547</t>
  </si>
  <si>
    <t>SR-RTN/26-27/38566</t>
  </si>
  <si>
    <t>SR-RTN/26-27/38636</t>
  </si>
  <si>
    <t>SR-RTN/26-27/38637</t>
  </si>
  <si>
    <t>B-299576</t>
  </si>
  <si>
    <t>SR-RTN/26-27/38647</t>
  </si>
  <si>
    <t>SR-RTN/26-27/38665</t>
  </si>
  <si>
    <t>SR-RTN/26-27/38684</t>
  </si>
  <si>
    <t>B-298451</t>
  </si>
  <si>
    <t>SR-RTN/26-27/38696</t>
  </si>
  <si>
    <t>B-299595</t>
  </si>
  <si>
    <t>SR-RTN/26-27/38718</t>
  </si>
  <si>
    <t>SR-RTN/26-27/38738</t>
  </si>
  <si>
    <t>SR-RTN/26-27/38790</t>
  </si>
  <si>
    <t>B-299727</t>
  </si>
  <si>
    <t>B-299734</t>
  </si>
  <si>
    <t>SR-RTN/26-27/38798</t>
  </si>
  <si>
    <t>B-299721</t>
  </si>
  <si>
    <t>SR-RTN/26-27/38815</t>
  </si>
  <si>
    <t>B-299732</t>
  </si>
  <si>
    <t>SR-RTN/26-27/38817</t>
  </si>
  <si>
    <t>B-299720</t>
  </si>
  <si>
    <t>SR-RTN/26-27/38830</t>
  </si>
  <si>
    <t>B-300333</t>
  </si>
  <si>
    <t>SR-RTN/26-27/38832</t>
  </si>
  <si>
    <t>B-298449</t>
  </si>
  <si>
    <t>SR-RTN/26-27/38835</t>
  </si>
  <si>
    <t>B-299653</t>
  </si>
  <si>
    <t>B-299725</t>
  </si>
  <si>
    <t>SR-RTN/26-27/38864</t>
  </si>
  <si>
    <t>B-299475</t>
  </si>
  <si>
    <t>B-299979</t>
  </si>
  <si>
    <t>SR-RTN/26-27/38866</t>
  </si>
  <si>
    <t>B-291829</t>
  </si>
  <si>
    <t>SR-RTN/26-27/38888</t>
  </si>
  <si>
    <t>B-299711</t>
  </si>
  <si>
    <t>SR-RTN/26-27/38927</t>
  </si>
  <si>
    <t>B-299658</t>
  </si>
  <si>
    <t>SR-RTN/26-27/38991</t>
  </si>
  <si>
    <t>SR-RTN/26-27/38992</t>
  </si>
  <si>
    <t>SR-RTN/26-27/38996</t>
  </si>
  <si>
    <t>B-299887</t>
  </si>
  <si>
    <t>SR-RTN/26-27/39014</t>
  </si>
  <si>
    <t>B-299596</t>
  </si>
  <si>
    <t>B-299746</t>
  </si>
  <si>
    <t>SR-RTN/26-27/39029</t>
  </si>
  <si>
    <t>B-299745</t>
  </si>
  <si>
    <t>SR-RTN/26-27/39113</t>
  </si>
  <si>
    <t>B-299760</t>
  </si>
  <si>
    <t>SR-W/O-RTN/26-27/2743</t>
  </si>
  <si>
    <t>SR-W/O-RTN/26-27/2745</t>
  </si>
  <si>
    <t>RTN-8841389</t>
  </si>
  <si>
    <t>SR-42387</t>
  </si>
  <si>
    <t>RTN-8843702</t>
  </si>
  <si>
    <t>SR-42395</t>
  </si>
  <si>
    <t>SR-RTN/26-27/39151</t>
  </si>
  <si>
    <t>B-299651</t>
  </si>
  <si>
    <t>SR-RTN/26-27/39167</t>
  </si>
  <si>
    <t>B-300303</t>
  </si>
  <si>
    <t>SR-RTN/26-27/39168</t>
  </si>
  <si>
    <t>SR-RTN/26-27/39169</t>
  </si>
  <si>
    <t>B-299706</t>
  </si>
  <si>
    <t>SR-RTN/26-27/39180</t>
  </si>
  <si>
    <t>B-299481/1</t>
  </si>
  <si>
    <t>SR-RTN/26-27/39183</t>
  </si>
  <si>
    <t>B-291828</t>
  </si>
  <si>
    <t>SR-RTN/26-27/39199</t>
  </si>
  <si>
    <t>B-291846</t>
  </si>
  <si>
    <t>SR-RTN/26-27/39202</t>
  </si>
  <si>
    <t>B-299575</t>
  </si>
  <si>
    <t>SR-RTN/26-27/39228</t>
  </si>
  <si>
    <t>SR-RTN/26-27/39238</t>
  </si>
  <si>
    <t>B-295898</t>
  </si>
  <si>
    <t>SR-RTN/26-27/39245</t>
  </si>
  <si>
    <t>B-299655</t>
  </si>
  <si>
    <t>B-299662</t>
  </si>
  <si>
    <t>SR-RTN/26-27/39250</t>
  </si>
  <si>
    <t>B-300342</t>
  </si>
  <si>
    <t>SR-RTN/26-27/39253</t>
  </si>
  <si>
    <t>SR-RTN/26-27/39273</t>
  </si>
  <si>
    <t>B-300090</t>
  </si>
  <si>
    <t>SR-RTN/26-27/39276</t>
  </si>
  <si>
    <t>SR-RTN/26-27/39295</t>
  </si>
  <si>
    <t>B-299718</t>
  </si>
  <si>
    <t>SR-RTN/26-27/39296</t>
  </si>
  <si>
    <t>B-299644</t>
  </si>
  <si>
    <t>SR-RTN/26-27/39297</t>
  </si>
  <si>
    <t>B-299736</t>
  </si>
  <si>
    <t>SR-RTN/26-27/39299</t>
  </si>
  <si>
    <t>B-299719</t>
  </si>
  <si>
    <t>SR-RTN/26-27/39300</t>
  </si>
  <si>
    <t>B-299740</t>
  </si>
  <si>
    <t>SR-RTN/26-27/39307</t>
  </si>
  <si>
    <t>B-299738</t>
  </si>
  <si>
    <t>SR-RTN/26-27/39312</t>
  </si>
  <si>
    <t>SR-RTN/26-27/39361</t>
  </si>
  <si>
    <t>SR-RTN/26-27/39366</t>
  </si>
  <si>
    <t>SR-RTN/26-27/39368</t>
  </si>
  <si>
    <t>B-299728</t>
  </si>
  <si>
    <t>SR-RTN/26-27/39384</t>
  </si>
  <si>
    <t>B-299741</t>
  </si>
  <si>
    <t>SR-RTN/26-27/39387</t>
  </si>
  <si>
    <t>B-299759/1</t>
  </si>
  <si>
    <t>SR-RTN/26-27/39396</t>
  </si>
  <si>
    <t>SR-RTN/26-27/39409</t>
  </si>
  <si>
    <t>B-299888</t>
  </si>
  <si>
    <t>SR-RTN/26-27/39416</t>
  </si>
  <si>
    <t>B-300341</t>
  </si>
  <si>
    <t>SR-RTN/26-27/39417</t>
  </si>
  <si>
    <t>B-299615</t>
  </si>
  <si>
    <t>SR-RTN/26-27/39420</t>
  </si>
  <si>
    <t>B-299701</t>
  </si>
  <si>
    <t>SR-RTN/26-27/39425</t>
  </si>
  <si>
    <t>B-300310</t>
  </si>
  <si>
    <t>SR-RTN/26-27/39435</t>
  </si>
  <si>
    <t>SR-RTN/26-27/39443</t>
  </si>
  <si>
    <t>B-299729</t>
  </si>
  <si>
    <t>SR-RTN/26-27/39455</t>
  </si>
  <si>
    <t>B-299656</t>
  </si>
  <si>
    <t>B-300324</t>
  </si>
  <si>
    <t>SR-RTN/26-27/39473</t>
  </si>
  <si>
    <t>B-299641</t>
  </si>
  <si>
    <t>B-300322</t>
  </si>
  <si>
    <t>SR-RTN/26-27/39490</t>
  </si>
  <si>
    <t>B-301963</t>
  </si>
  <si>
    <t>SR-RTN/26-27/39506</t>
  </si>
  <si>
    <t>B-299747</t>
  </si>
  <si>
    <t>SR-RTN/26-27/39512</t>
  </si>
  <si>
    <t>B-300306</t>
  </si>
  <si>
    <t>B-300309</t>
  </si>
  <si>
    <t>B-300313</t>
  </si>
  <si>
    <t>B-300318</t>
  </si>
  <si>
    <t>SR-RTN/26-27/39574</t>
  </si>
  <si>
    <t>SR-RTN/26-27/39586</t>
  </si>
  <si>
    <t>B-299731</t>
  </si>
  <si>
    <t>SR-RTN/26-27/39588</t>
  </si>
  <si>
    <t>SR-RTN/26-27/39600</t>
  </si>
  <si>
    <t>B-301827</t>
  </si>
  <si>
    <t>SR-RTN/26-27/39601</t>
  </si>
  <si>
    <t>B-301799</t>
  </si>
  <si>
    <t>SR-RTN/26-27/39602</t>
  </si>
  <si>
    <t>B-299697</t>
  </si>
  <si>
    <t>SR-RTN/26-27/39603</t>
  </si>
  <si>
    <t>B-299700</t>
  </si>
  <si>
    <t>SR-RTN/26-27/39606</t>
  </si>
  <si>
    <t>B-299693</t>
  </si>
  <si>
    <t>SR-RTN/26-27/39607</t>
  </si>
  <si>
    <t>B-299689</t>
  </si>
  <si>
    <t>SR-RTN/26-27/39609</t>
  </si>
  <si>
    <t>SR-RTN/26-27/39620</t>
  </si>
  <si>
    <t>SR-W/O-RTN/26-27/2762</t>
  </si>
  <si>
    <t>SR-W/O-RTN/26-27/2817</t>
  </si>
  <si>
    <t>RTN-8851539</t>
  </si>
  <si>
    <t>SR-42512</t>
  </si>
  <si>
    <t>RTN-8859111</t>
  </si>
  <si>
    <t>SR-42501</t>
  </si>
  <si>
    <t>RTN-8860525</t>
  </si>
  <si>
    <t>SR-42493.</t>
  </si>
  <si>
    <t>RTN-8860538</t>
  </si>
  <si>
    <t>SR-42450</t>
  </si>
  <si>
    <t>RTN-8861774</t>
  </si>
  <si>
    <t>SR-42500</t>
  </si>
  <si>
    <t>SR-RTN/26-27/39654</t>
  </si>
  <si>
    <t>B-299709</t>
  </si>
  <si>
    <t>B-299726</t>
  </si>
  <si>
    <t>SR-RTN/26-27/39655</t>
  </si>
  <si>
    <t>B-300299</t>
  </si>
  <si>
    <t>SR-RTN/26-27/39656</t>
  </si>
  <si>
    <t>B-300320</t>
  </si>
  <si>
    <t>SR-RTN/26-27/39675</t>
  </si>
  <si>
    <t>B-298146</t>
  </si>
  <si>
    <t>SR-RTN/26-27/39689</t>
  </si>
  <si>
    <t>B-299647</t>
  </si>
  <si>
    <t>SR-RTN/26-27/39694</t>
  </si>
  <si>
    <t>SR-RTN/26-27/39710</t>
  </si>
  <si>
    <t>B-300759</t>
  </si>
  <si>
    <t>SR-RTN/26-27/39719</t>
  </si>
  <si>
    <t>B-300319</t>
  </si>
  <si>
    <t>SR-RTN/26-27/39720</t>
  </si>
  <si>
    <t>B-300315</t>
  </si>
  <si>
    <t>SR-RTN/26-27/39721</t>
  </si>
  <si>
    <t>B-300314</t>
  </si>
  <si>
    <t>SR-RTN/26-27/39758</t>
  </si>
  <si>
    <t>B-299475/1</t>
  </si>
  <si>
    <t>SR-RTN/26-27/39777</t>
  </si>
  <si>
    <t>B-299705</t>
  </si>
  <si>
    <t>SR-RTN/26-27/39778</t>
  </si>
  <si>
    <t>B-299688</t>
  </si>
  <si>
    <t>SR-RTN/26-27/39780</t>
  </si>
  <si>
    <t>SR-RTN/26-27/39784</t>
  </si>
  <si>
    <t>B-299661</t>
  </si>
  <si>
    <t>SR-RTN/26-27/39791</t>
  </si>
  <si>
    <t>SR-RTN/26-27/39798</t>
  </si>
  <si>
    <t>B-300307</t>
  </si>
  <si>
    <t>SR-RTN/26-27/39799</t>
  </si>
  <si>
    <t>B-299686</t>
  </si>
  <si>
    <t>SR-RTN/26-27/39801</t>
  </si>
  <si>
    <t>B-300089</t>
  </si>
  <si>
    <t>SR-RTN/26-27/39812</t>
  </si>
  <si>
    <t>B-299710</t>
  </si>
  <si>
    <t>SR-RTN/26-27/39813</t>
  </si>
  <si>
    <t>B-300321</t>
  </si>
  <si>
    <t>SR-RTN/26-27/39825</t>
  </si>
  <si>
    <t>SR-RTN/26-27/39893</t>
  </si>
  <si>
    <t>SR-RTN/26-27/39897</t>
  </si>
  <si>
    <t>B-299913</t>
  </si>
  <si>
    <t>SR-RTN/26-27/39902</t>
  </si>
  <si>
    <t>B-299715</t>
  </si>
  <si>
    <t>SR-RTN/26-27/39903</t>
  </si>
  <si>
    <t>B-299695</t>
  </si>
  <si>
    <t>SR-RTN/26-27/39906</t>
  </si>
  <si>
    <t>B-300746</t>
  </si>
  <si>
    <t>SR-RTN/26-27/39907</t>
  </si>
  <si>
    <t>B-300908</t>
  </si>
  <si>
    <t>SR-RTN/26-27/39918</t>
  </si>
  <si>
    <t>B-299645</t>
  </si>
  <si>
    <t>SR-RTN/26-27/39946</t>
  </si>
  <si>
    <t>SR-RTN/26-27/39951</t>
  </si>
  <si>
    <t>SR-RTN/26-27/39958</t>
  </si>
  <si>
    <t>B-299692</t>
  </si>
  <si>
    <t>SR-RTN/26-27/39967</t>
  </si>
  <si>
    <t>B-300896</t>
  </si>
  <si>
    <t>SR-RTN/26-27/39969</t>
  </si>
  <si>
    <t>B-300312</t>
  </si>
  <si>
    <t>SR-RTN/26-27/39972</t>
  </si>
  <si>
    <t>B-300760</t>
  </si>
  <si>
    <t>SR-RTN/26-27/39987</t>
  </si>
  <si>
    <t>B-299759</t>
  </si>
  <si>
    <t>SR-RTN/26-27/40014</t>
  </si>
  <si>
    <t>B-299696</t>
  </si>
  <si>
    <t>B-300740</t>
  </si>
  <si>
    <t>SR-RTN/26-27/40032</t>
  </si>
  <si>
    <t>B-299691</t>
  </si>
  <si>
    <t>SR-RTN/26-27/40036</t>
  </si>
  <si>
    <t>SR-RTN/26-27/40090</t>
  </si>
  <si>
    <t>SR-RTN/26-27/40120</t>
  </si>
  <si>
    <t>B-300301</t>
  </si>
  <si>
    <t>SR-RTN/26-27/40123</t>
  </si>
  <si>
    <t>SR-RTN/26-27/40124</t>
  </si>
  <si>
    <t>B-300347</t>
  </si>
  <si>
    <t>SR-RTN/26-27/40132</t>
  </si>
  <si>
    <t>RTN-8865320</t>
  </si>
  <si>
    <t>RTN-8876453</t>
  </si>
  <si>
    <t>SR-42635</t>
  </si>
  <si>
    <t>SR-RTN/26-27/40139</t>
  </si>
  <si>
    <t>B-300348</t>
  </si>
  <si>
    <t>SR-RTN/26-27/40140</t>
  </si>
  <si>
    <t>B-300916</t>
  </si>
  <si>
    <t>SR-RTN/26-27/40197</t>
  </si>
  <si>
    <t>B-302575</t>
  </si>
  <si>
    <t>SR-RTN/26-27/40201</t>
  </si>
  <si>
    <t>B-300298</t>
  </si>
  <si>
    <t>SR-RTN/26-27/40265</t>
  </si>
  <si>
    <t>B-301760</t>
  </si>
  <si>
    <t>SR-RTN/26-27/40375</t>
  </si>
  <si>
    <t>SR-RTN/26-27/40376</t>
  </si>
  <si>
    <t>SR-RTN/26-27/40381</t>
  </si>
  <si>
    <t>SR-RTN/26-27/40417</t>
  </si>
  <si>
    <t>B-301004</t>
  </si>
  <si>
    <t>SR-RTN/26-27/40423</t>
  </si>
  <si>
    <t>B-300783</t>
  </si>
  <si>
    <t>B-300784</t>
  </si>
  <si>
    <t>B-300787</t>
  </si>
  <si>
    <t>SR-RTN/26-27/40431</t>
  </si>
  <si>
    <t>SR-RTN/26-27/40444</t>
  </si>
  <si>
    <t>B-301840</t>
  </si>
  <si>
    <t>SR-RTN/26-27/40463</t>
  </si>
  <si>
    <t>B-300917</t>
  </si>
  <si>
    <t>SR-RTN/26-27/40465</t>
  </si>
  <si>
    <t>SR-RTN/26-27/40483</t>
  </si>
  <si>
    <t>B-301000</t>
  </si>
  <si>
    <t>SR-RTN/26-27/40495</t>
  </si>
  <si>
    <t>B-301932</t>
  </si>
  <si>
    <t>SR-RTN/26-27/40508</t>
  </si>
  <si>
    <t>SR-RTN/26-27/40511</t>
  </si>
  <si>
    <t>SR-RTN/26-27/40539</t>
  </si>
  <si>
    <t>B-300297</t>
  </si>
  <si>
    <t>B-301002</t>
  </si>
  <si>
    <t>B-301786</t>
  </si>
  <si>
    <t>SR-RTN/26-27/40581</t>
  </si>
  <si>
    <t>B-300785</t>
  </si>
  <si>
    <t>B-300786</t>
  </si>
  <si>
    <t>B-300788</t>
  </si>
  <si>
    <t>SR-RTN/26-27/40621</t>
  </si>
  <si>
    <t>B-300296</t>
  </si>
  <si>
    <t>SR-RTN/26-27/40626</t>
  </si>
  <si>
    <t>B-300304</t>
  </si>
  <si>
    <t>B-300325</t>
  </si>
  <si>
    <t>B-300918</t>
  </si>
  <si>
    <t>B-301930</t>
  </si>
  <si>
    <t>SR-RTN/26-27/40637</t>
  </si>
  <si>
    <t>B-300300</t>
  </si>
  <si>
    <t>B-301847</t>
  </si>
  <si>
    <t>SR-RTN/26-27/40653</t>
  </si>
  <si>
    <t>B-300993</t>
  </si>
  <si>
    <t>SR-RTN/26-27/40666</t>
  </si>
  <si>
    <t>SR-W/O-RTN/26-27/2859</t>
  </si>
  <si>
    <t>SR-W/O-RTN/26-27/2873</t>
  </si>
  <si>
    <t>SR-W/O-RTN/26-27/2884</t>
  </si>
  <si>
    <t>RTN-8879166</t>
  </si>
  <si>
    <t>SR-42517</t>
  </si>
  <si>
    <t>RTN-8879896</t>
  </si>
  <si>
    <t>SR-42545</t>
  </si>
  <si>
    <t>RTN-8882542</t>
  </si>
  <si>
    <t>SR-42562</t>
  </si>
  <si>
    <t>RTN-8885708</t>
  </si>
  <si>
    <t>SR-42634</t>
  </si>
  <si>
    <t>RTN-8886468</t>
  </si>
  <si>
    <t>SR-42549</t>
  </si>
  <si>
    <t>RTN-8886496</t>
  </si>
  <si>
    <t>SR-42604</t>
  </si>
  <si>
    <t>RTN-8887672</t>
  </si>
  <si>
    <t>SR-42630</t>
  </si>
  <si>
    <t>RTN-8887684</t>
  </si>
  <si>
    <t>SR-42627</t>
  </si>
  <si>
    <t>RTN-8888894</t>
  </si>
  <si>
    <t>SR-42631</t>
  </si>
  <si>
    <t>RTN-8890393</t>
  </si>
  <si>
    <t>SR-42564</t>
  </si>
  <si>
    <t>RTN-8890396</t>
  </si>
  <si>
    <t>SR-42616</t>
  </si>
  <si>
    <t>SR-RTN/26-27/40701</t>
  </si>
  <si>
    <t>B-299646</t>
  </si>
  <si>
    <t>SR-RTN/26-27/40714</t>
  </si>
  <si>
    <t>SR-RTN/26-27/40718</t>
  </si>
  <si>
    <t>SR-RTN/26-27/40749</t>
  </si>
  <si>
    <t>B-300758</t>
  </si>
  <si>
    <t>SR-RTN/26-27/40784</t>
  </si>
  <si>
    <t>B-301855</t>
  </si>
  <si>
    <t>SR-RTN/26-27/40822</t>
  </si>
  <si>
    <t>B-300748</t>
  </si>
  <si>
    <t>SR-RTN/26-27/40843</t>
  </si>
  <si>
    <t>B-301868</t>
  </si>
  <si>
    <t>SR-RTN/26-27/40848</t>
  </si>
  <si>
    <t>B-301839</t>
  </si>
  <si>
    <t>SR-RTN/26-27/40849</t>
  </si>
  <si>
    <t>SR-RTN/26-27/40853</t>
  </si>
  <si>
    <t>B-300898</t>
  </si>
  <si>
    <t>SR-RTN/26-27/40854</t>
  </si>
  <si>
    <t>B-300323</t>
  </si>
  <si>
    <t>SR-RTN/26-27/40884</t>
  </si>
  <si>
    <t>B-301870</t>
  </si>
  <si>
    <t>SR-RTN/26-27/40886</t>
  </si>
  <si>
    <t>B-299742</t>
  </si>
  <si>
    <t>SR-RTN/26-27/40887</t>
  </si>
  <si>
    <t>B-299694</t>
  </si>
  <si>
    <t>SR-RTN/26-27/40898</t>
  </si>
  <si>
    <t>B-300913</t>
  </si>
  <si>
    <t>B-300981</t>
  </si>
  <si>
    <t>SR-RTN/26-27/40951</t>
  </si>
  <si>
    <t>B-300771</t>
  </si>
  <si>
    <t>B-301841</t>
  </si>
  <si>
    <t>SR-RTN/26-27/40988</t>
  </si>
  <si>
    <t>B-301759</t>
  </si>
  <si>
    <t>B-301933</t>
  </si>
  <si>
    <t>B-302511</t>
  </si>
  <si>
    <t>B-302512</t>
  </si>
  <si>
    <t>B-302515</t>
  </si>
  <si>
    <t>SR-RTN/26-27/40990</t>
  </si>
  <si>
    <t>B-300980</t>
  </si>
  <si>
    <t>SR-RTN/26-27/40993</t>
  </si>
  <si>
    <t>B-300739</t>
  </si>
  <si>
    <t>B-301931</t>
  </si>
  <si>
    <t>SR-RTN/26-27/40996</t>
  </si>
  <si>
    <t>B-303117</t>
  </si>
  <si>
    <t>B-303152</t>
  </si>
  <si>
    <t>SR-RTN/26-27/40997</t>
  </si>
  <si>
    <t>SR-RTN/26-27/41008</t>
  </si>
  <si>
    <t>B-302577</t>
  </si>
  <si>
    <t>B-302578</t>
  </si>
  <si>
    <t>SR-RTN/26-27/41011</t>
  </si>
  <si>
    <t>B-301838</t>
  </si>
  <si>
    <t>SR-RTN/26-27/41030</t>
  </si>
  <si>
    <t>B-302510</t>
  </si>
  <si>
    <t>SR-RTN/26-27/41033</t>
  </si>
  <si>
    <t>B-302508</t>
  </si>
  <si>
    <t>SR-RTN/26-27/41087</t>
  </si>
  <si>
    <t>B-300317</t>
  </si>
  <si>
    <t>SR-RTN/26-27/41137</t>
  </si>
  <si>
    <t>B-300897</t>
  </si>
  <si>
    <t>B-300906</t>
  </si>
  <si>
    <t>SR-RTN/26-27/41145</t>
  </si>
  <si>
    <t>B-300902</t>
  </si>
  <si>
    <t>SR-RTN/26-27/41184</t>
  </si>
  <si>
    <t>B-300988</t>
  </si>
  <si>
    <t>SR-RTN/26-27/41187</t>
  </si>
  <si>
    <t>B-300989</t>
  </si>
  <si>
    <t>SR-RTN/26-27/41194</t>
  </si>
  <si>
    <t>B-300912</t>
  </si>
  <si>
    <t>SR-RTN/26-27/41196</t>
  </si>
  <si>
    <t>SR-W/O-RTN/26-27/2905</t>
  </si>
  <si>
    <t>SR-W/O-RTN/26-27/2907</t>
  </si>
  <si>
    <t>RTN-8891980</t>
  </si>
  <si>
    <t>SR-42547</t>
  </si>
  <si>
    <t>RTN-8893863</t>
  </si>
  <si>
    <t>SR-42593</t>
  </si>
  <si>
    <t>RTN-8896269</t>
  </si>
  <si>
    <t>RTN-8898181</t>
  </si>
  <si>
    <t>RTN-8898717</t>
  </si>
  <si>
    <t>SR-42617</t>
  </si>
  <si>
    <t>RTN-8899593</t>
  </si>
  <si>
    <t>SR-42682</t>
  </si>
  <si>
    <t>RTN-8902144</t>
  </si>
  <si>
    <t>SR-42622</t>
  </si>
  <si>
    <t>RTN-8903400</t>
  </si>
  <si>
    <t>SR-42629</t>
  </si>
  <si>
    <t>RTN-8903408</t>
  </si>
  <si>
    <t>SR-42633</t>
  </si>
  <si>
    <t>RTN-8903947</t>
  </si>
  <si>
    <t>SR-42516</t>
  </si>
  <si>
    <t>RTN-8903958</t>
  </si>
  <si>
    <t>SR-42620</t>
  </si>
  <si>
    <t>RTN-8903970</t>
  </si>
  <si>
    <t>SR-42623</t>
  </si>
  <si>
    <t>SR-RTN/26-27/41233</t>
  </si>
  <si>
    <t>B-301857</t>
  </si>
  <si>
    <t>SR-RTN/26-27/41234</t>
  </si>
  <si>
    <t>B-300885</t>
  </si>
  <si>
    <t>SR-RTN/26-27/41235</t>
  </si>
  <si>
    <t>B-299657</t>
  </si>
  <si>
    <t>SR-RTN/26-27/41236</t>
  </si>
  <si>
    <t>SR-RTN/26-27/41275</t>
  </si>
  <si>
    <t>B-300302</t>
  </si>
  <si>
    <t>SR-RTN/26-27/41306</t>
  </si>
  <si>
    <t>B-300883</t>
  </si>
  <si>
    <t>SR-RTN/26-27/41308</t>
  </si>
  <si>
    <t>SR-RTN/26-27/41309</t>
  </si>
  <si>
    <t>SR-RTN/26-27/41311</t>
  </si>
  <si>
    <t>B-302845</t>
  </si>
  <si>
    <t>SR-RTN/26-27/41328</t>
  </si>
  <si>
    <t>SR-RTN/26-27/41331</t>
  </si>
  <si>
    <t>B-302810</t>
  </si>
  <si>
    <t>B-302842</t>
  </si>
  <si>
    <t>SR-RTN/26-27/41353</t>
  </si>
  <si>
    <t>B-300752</t>
  </si>
  <si>
    <t>B-302337</t>
  </si>
  <si>
    <t>SR-RTN/26-27/41358</t>
  </si>
  <si>
    <t>B-302527</t>
  </si>
  <si>
    <t>SR-RTN/26-27/41362</t>
  </si>
  <si>
    <t>SR-RTN/26-27/41364</t>
  </si>
  <si>
    <t>B-300999</t>
  </si>
  <si>
    <t>B-302505</t>
  </si>
  <si>
    <t>SR-RTN/26-27/41373</t>
  </si>
  <si>
    <t>B-300890</t>
  </si>
  <si>
    <t>SR-RTN/26-27/41407</t>
  </si>
  <si>
    <t>B-301970</t>
  </si>
  <si>
    <t>SR-RTN/26-27/41411</t>
  </si>
  <si>
    <t>B-301971</t>
  </si>
  <si>
    <t>SR-RTN/26-27/41479</t>
  </si>
  <si>
    <t>B-300750</t>
  </si>
  <si>
    <t>B-300892</t>
  </si>
  <si>
    <t>B-301866</t>
  </si>
  <si>
    <t>B-302849</t>
  </si>
  <si>
    <t>B-302865</t>
  </si>
  <si>
    <t>SR-RTN/26-27/41480</t>
  </si>
  <si>
    <t>B-302525</t>
  </si>
  <si>
    <t>SR-RTN/26-27/41513</t>
  </si>
  <si>
    <t>B-301849</t>
  </si>
  <si>
    <t>SR-RTN/26-27/41514</t>
  </si>
  <si>
    <t>B-301837</t>
  </si>
  <si>
    <t>SR-RTN/26-27/41515</t>
  </si>
  <si>
    <t>B-302843</t>
  </si>
  <si>
    <t>SR-RTN/26-27/41531</t>
  </si>
  <si>
    <t>B-298677/2</t>
  </si>
  <si>
    <t>B-300316</t>
  </si>
  <si>
    <t>SR-RTN/26-27/41535</t>
  </si>
  <si>
    <t>B-300311</t>
  </si>
  <si>
    <t>B-302545</t>
  </si>
  <si>
    <t>SR-RTN/26-27/41552</t>
  </si>
  <si>
    <t>B-302544</t>
  </si>
  <si>
    <t>B-302863</t>
  </si>
  <si>
    <t>B-302864</t>
  </si>
  <si>
    <t>SR-RTN/26-27/41553</t>
  </si>
  <si>
    <t>B-302862</t>
  </si>
  <si>
    <t>SR-RTN/26-27/41604</t>
  </si>
  <si>
    <t>B-300979</t>
  </si>
  <si>
    <t>B-302846</t>
  </si>
  <si>
    <t>SR-RTN/26-27/41614</t>
  </si>
  <si>
    <t>B-300761</t>
  </si>
  <si>
    <t>SR-RTN/26-27/41615</t>
  </si>
  <si>
    <t>B-301972</t>
  </si>
  <si>
    <t>SR-RTN/26-27/41653</t>
  </si>
  <si>
    <t>B-300741</t>
  </si>
  <si>
    <t>B-300976</t>
  </si>
  <si>
    <t>B-301783</t>
  </si>
  <si>
    <t>B-301860</t>
  </si>
  <si>
    <t>B-302850</t>
  </si>
  <si>
    <t>SR-RTN/26-27/41662</t>
  </si>
  <si>
    <t>B-302507</t>
  </si>
  <si>
    <t>B-302509</t>
  </si>
  <si>
    <t>B-302935</t>
  </si>
  <si>
    <t>SR-RTN/26-27/41666</t>
  </si>
  <si>
    <t>SR-RTN/26-27/41736</t>
  </si>
  <si>
    <t>B-299704</t>
  </si>
  <si>
    <t>B-300756</t>
  </si>
  <si>
    <t>SR-RTN/26-27/41770</t>
  </si>
  <si>
    <t>B-299736/1</t>
  </si>
  <si>
    <t>SR-W/O-RTN/26-27/2963</t>
  </si>
  <si>
    <t>SR-W/O-RTN/26-27/2983</t>
  </si>
  <si>
    <t>RTN-8905751</t>
  </si>
  <si>
    <t>SR-42663</t>
  </si>
  <si>
    <t>RTN-8905753</t>
  </si>
  <si>
    <t>SR-42621</t>
  </si>
  <si>
    <t>RTN-8905788</t>
  </si>
  <si>
    <t>SR-42618</t>
  </si>
  <si>
    <t>RTN-8912037</t>
  </si>
  <si>
    <t>SR-42662</t>
  </si>
  <si>
    <t>RTN-8912040</t>
  </si>
  <si>
    <t>SR-42661</t>
  </si>
  <si>
    <t>RTN-8912044</t>
  </si>
  <si>
    <t>SR-42387/1</t>
  </si>
  <si>
    <t>RTN-8912046</t>
  </si>
  <si>
    <t>SR-42626</t>
  </si>
  <si>
    <t>RTN-8913284</t>
  </si>
  <si>
    <t>SR-42688</t>
  </si>
  <si>
    <t>RTN-8913302</t>
  </si>
  <si>
    <t>SR-42654</t>
  </si>
  <si>
    <t>RTN-8915872</t>
  </si>
  <si>
    <t>SR-42818</t>
  </si>
  <si>
    <t>SR-RTN/26-27/41824</t>
  </si>
  <si>
    <t>B-301929</t>
  </si>
  <si>
    <t>SR-RTN/26-27/41825</t>
  </si>
  <si>
    <t>B-302844</t>
  </si>
  <si>
    <t>SR-RTN/26-27/41827</t>
  </si>
  <si>
    <t>B-300308</t>
  </si>
  <si>
    <t>SR-RTN/26-27/41828</t>
  </si>
  <si>
    <t>B-300769</t>
  </si>
  <si>
    <t>SR-RTN/26-27/41830</t>
  </si>
  <si>
    <t>SR-RTN/26-27/41887</t>
  </si>
  <si>
    <t>B-302557</t>
  </si>
  <si>
    <t>SR-RTN/26-27/41892</t>
  </si>
  <si>
    <t>B-303066</t>
  </si>
  <si>
    <t>SR-RTN/26-27/41915</t>
  </si>
  <si>
    <t>B-295816</t>
  </si>
  <si>
    <t>B-295818</t>
  </si>
  <si>
    <t>B-301973</t>
  </si>
  <si>
    <t>B-302841</t>
  </si>
  <si>
    <t>B-302847</t>
  </si>
  <si>
    <t>SR-RTN/26-27/41956</t>
  </si>
  <si>
    <t>B-300749</t>
  </si>
  <si>
    <t>SR-RTN/26-27/41958</t>
  </si>
  <si>
    <t>B-302526</t>
  </si>
  <si>
    <t>SR-RTN/26-27/41990</t>
  </si>
  <si>
    <t>B-295814</t>
  </si>
  <si>
    <t>B-295817</t>
  </si>
  <si>
    <t>B-299726/1</t>
  </si>
  <si>
    <t>B-300764</t>
  </si>
  <si>
    <t>SR-RTN/26-27/41999</t>
  </si>
  <si>
    <t>B-295821</t>
  </si>
  <si>
    <t>B-302853</t>
  </si>
  <si>
    <t>SR-RTN/26-27/42005</t>
  </si>
  <si>
    <t>B-303424</t>
  </si>
  <si>
    <t>B-303453</t>
  </si>
  <si>
    <t>SR-RTN/26-27/42039</t>
  </si>
  <si>
    <t>B-301934</t>
  </si>
  <si>
    <t>B-302534</t>
  </si>
  <si>
    <t>SR-RTN/26-27/42044</t>
  </si>
  <si>
    <t>B-300762</t>
  </si>
  <si>
    <t>B-301941</t>
  </si>
  <si>
    <t>SR-RTN/26-27/42101</t>
  </si>
  <si>
    <t>B-302543</t>
  </si>
  <si>
    <t>SR-RTN/26-27/42102</t>
  </si>
  <si>
    <t>B-301867</t>
  </si>
  <si>
    <t>SR-RTN/26-27/42103</t>
  </si>
  <si>
    <t>B-299702</t>
  </si>
  <si>
    <t>SR-RTN/26-27/42104</t>
  </si>
  <si>
    <t>B-300911</t>
  </si>
  <si>
    <t>SR-RTN/26-27/42107</t>
  </si>
  <si>
    <t>B-302524</t>
  </si>
  <si>
    <t>SR-RTN/26-27/42159</t>
  </si>
  <si>
    <t>B-302567</t>
  </si>
  <si>
    <t>SR-RTN/26-27/42162</t>
  </si>
  <si>
    <t>B-301772</t>
  </si>
  <si>
    <t>SR-RTN/26-27/42164</t>
  </si>
  <si>
    <t>B-303101</t>
  </si>
  <si>
    <t>SR-RTN/26-27/42167</t>
  </si>
  <si>
    <t>B-301843</t>
  </si>
  <si>
    <t>SR-RTN/26-27/42168</t>
  </si>
  <si>
    <t>B-302554</t>
  </si>
  <si>
    <t>SR-RTN/26-27/42169</t>
  </si>
  <si>
    <t>B-300978</t>
  </si>
  <si>
    <t>SR-RTN/26-27/42179</t>
  </si>
  <si>
    <t>B-302517</t>
  </si>
  <si>
    <t>SR-RTN/26-27/42180</t>
  </si>
  <si>
    <t>B-299780</t>
  </si>
  <si>
    <t>SR-RTN/26-27/42182</t>
  </si>
  <si>
    <t>B-299782</t>
  </si>
  <si>
    <t>SR-RTN/26-27/42183</t>
  </si>
  <si>
    <t>B-299783</t>
  </si>
  <si>
    <t>SR-RTN/26-27/42184</t>
  </si>
  <si>
    <t>B-299785</t>
  </si>
  <si>
    <t>SR-RTN/26-27/42185</t>
  </si>
  <si>
    <t>B-303072</t>
  </si>
  <si>
    <t>SR-RTN/26-27/42186</t>
  </si>
  <si>
    <t>B-303070</t>
  </si>
  <si>
    <t>SR-RTN/26-27/42187</t>
  </si>
  <si>
    <t>B-303073</t>
  </si>
  <si>
    <t>SR-RTN/26-27/42189</t>
  </si>
  <si>
    <t>B-302851</t>
  </si>
  <si>
    <t>SR-RTN/26-27/42190</t>
  </si>
  <si>
    <t>B-300775</t>
  </si>
  <si>
    <t>SR-RTN/26-27/42197</t>
  </si>
  <si>
    <t>B-303039</t>
  </si>
  <si>
    <t>SR-RTN/26-27/42200</t>
  </si>
  <si>
    <t>SR-RTN/26-27/42218</t>
  </si>
  <si>
    <t>B-303074</t>
  </si>
  <si>
    <t>SR-RTN/26-27/42234</t>
  </si>
  <si>
    <t>B-300326</t>
  </si>
  <si>
    <t>SR-RTN/26-27/42239</t>
  </si>
  <si>
    <t>B-300744</t>
  </si>
  <si>
    <t>B-302529</t>
  </si>
  <si>
    <t>B-302565</t>
  </si>
  <si>
    <t>SR-RTN/26-27/42276</t>
  </si>
  <si>
    <t>SR-RTN/26-27/42285</t>
  </si>
  <si>
    <t>SR-RTN/26-27/42289</t>
  </si>
  <si>
    <t>B-303071</t>
  </si>
  <si>
    <t>SR-RTN/26-27/42290</t>
  </si>
  <si>
    <t>B-300992</t>
  </si>
  <si>
    <t>SR-RTN/26-27/42291</t>
  </si>
  <si>
    <t>B-301865</t>
  </si>
  <si>
    <t>SR-RTN/26-27/42292</t>
  </si>
  <si>
    <t>B-302552</t>
  </si>
  <si>
    <t>SR-RTN/26-27/42294</t>
  </si>
  <si>
    <t>B-299690</t>
  </si>
  <si>
    <t>SR-RTN/26-27/42296</t>
  </si>
  <si>
    <t>B-302513</t>
  </si>
  <si>
    <t>SR-RTN/26-27/42299</t>
  </si>
  <si>
    <t>B-302528</t>
  </si>
  <si>
    <t>SR-RTN/26-27/42316</t>
  </si>
  <si>
    <t>B-302875</t>
  </si>
  <si>
    <t>SR-RTN/26-27/42317</t>
  </si>
  <si>
    <t>B-302910</t>
  </si>
  <si>
    <t>SR-RTN/26-27/42318</t>
  </si>
  <si>
    <t>B-302551</t>
  </si>
  <si>
    <t>SR-RTN/26-27/42319</t>
  </si>
  <si>
    <t>B-302852</t>
  </si>
  <si>
    <t>SR-RTN/26-27/42351</t>
  </si>
  <si>
    <t>B-303068</t>
  </si>
  <si>
    <t>SR-RTN/26-27/42352</t>
  </si>
  <si>
    <t>B-302553</t>
  </si>
  <si>
    <t>SR-RTN/26-27/42353</t>
  </si>
  <si>
    <t>B-302566</t>
  </si>
  <si>
    <t>SR-RTN/26-27/42354</t>
  </si>
  <si>
    <t>B-302570</t>
  </si>
  <si>
    <t>SR-RTN/26-27/42355</t>
  </si>
  <si>
    <t>B-302906</t>
  </si>
  <si>
    <t>SR-RTN/26-27/42357</t>
  </si>
  <si>
    <t>B-302905</t>
  </si>
  <si>
    <t>SR-RTN/26-27/42363</t>
  </si>
  <si>
    <t>SR-RTN/26-27/42387</t>
  </si>
  <si>
    <t>SR-W/O-RTN/26-27/3008</t>
  </si>
  <si>
    <t>RTN-8922156</t>
  </si>
  <si>
    <t>RTN-8922599</t>
  </si>
  <si>
    <t>SR-42644</t>
  </si>
  <si>
    <t>RTN-8924977</t>
  </si>
  <si>
    <t>SR-42652</t>
  </si>
  <si>
    <t>SR-RTN/26-27/42431</t>
  </si>
  <si>
    <t>SR-RTN/26-27/42442</t>
  </si>
  <si>
    <t>B-300899</t>
  </si>
  <si>
    <t>SR-RTN/26-27/42443</t>
  </si>
  <si>
    <t>B-302899</t>
  </si>
  <si>
    <t>SR-RTN/26-27/42444</t>
  </si>
  <si>
    <t>B-302536</t>
  </si>
  <si>
    <t>SR-RTN/26-27/42445</t>
  </si>
  <si>
    <t>B-299730</t>
  </si>
  <si>
    <t>SR-RTN/26-27/42446</t>
  </si>
  <si>
    <t>B-299786</t>
  </si>
  <si>
    <t>SR-RTN/26-27/42447</t>
  </si>
  <si>
    <t>B-299777</t>
  </si>
  <si>
    <t>SR-RTN/26-27/42448</t>
  </si>
  <si>
    <t>B-301854</t>
  </si>
  <si>
    <t>SR-RTN/26-27/42449</t>
  </si>
  <si>
    <t>B-300977</t>
  </si>
  <si>
    <t>SR-RTN/26-27/42450</t>
  </si>
  <si>
    <t>B-300748/1</t>
  </si>
  <si>
    <t>SR-RTN/26-27/42451</t>
  </si>
  <si>
    <t>B-302523</t>
  </si>
  <si>
    <t>SR-RTN/26-27/42453</t>
  </si>
  <si>
    <t>B-299781</t>
  </si>
  <si>
    <t>SR-RTN/26-27/42455</t>
  </si>
  <si>
    <t>B-302568</t>
  </si>
  <si>
    <t>SR-RTN/26-27/42456</t>
  </si>
  <si>
    <t>B-301974</t>
  </si>
  <si>
    <t>SR-RTN/26-27/42457</t>
  </si>
  <si>
    <t>B-299776</t>
  </si>
  <si>
    <t>SR-RTN/26-27/42458</t>
  </si>
  <si>
    <t>SR-RTN/26-27/42460</t>
  </si>
  <si>
    <t>B-303069</t>
  </si>
  <si>
    <t>SR-RTN/26-27/42461</t>
  </si>
  <si>
    <t>B-302569</t>
  </si>
  <si>
    <t>SR-RTN/26-27/42462</t>
  </si>
  <si>
    <t>B-301845</t>
  </si>
  <si>
    <t>SR-RTN/26-27/42463</t>
  </si>
  <si>
    <t>B-303075</t>
  </si>
  <si>
    <t>SR-RTN/26-27/42467</t>
  </si>
  <si>
    <t>B-299779</t>
  </si>
  <si>
    <t>SR-RTN/26-27/42468</t>
  </si>
  <si>
    <t>B-299787</t>
  </si>
  <si>
    <t>SR-RTN/26-27/42471</t>
  </si>
  <si>
    <t>SR-RTN/26-27/42479</t>
  </si>
  <si>
    <t>B-299784</t>
  </si>
  <si>
    <t>B-300777</t>
  </si>
  <si>
    <t>SR-RTN/26-27/42487</t>
  </si>
  <si>
    <t>B-295820</t>
  </si>
  <si>
    <t>SR-RTN/26-27/42489</t>
  </si>
  <si>
    <t>B-300910</t>
  </si>
  <si>
    <t>SR-RTN/26-27/42493</t>
  </si>
  <si>
    <t>B-300904</t>
  </si>
  <si>
    <t>SR-RTN/26-27/42506</t>
  </si>
  <si>
    <t>B-299778</t>
  </si>
  <si>
    <t>SR-RTN/26-27/42507</t>
  </si>
  <si>
    <t>B-299775</t>
  </si>
  <si>
    <t>SR-RTN/26-27/42510</t>
  </si>
  <si>
    <t>B-300751</t>
  </si>
  <si>
    <t>SR-RTN/26-27/42514</t>
  </si>
  <si>
    <t>B-299735</t>
  </si>
  <si>
    <t>SR-RTN/26-27/42516</t>
  </si>
  <si>
    <t>B-303134</t>
  </si>
  <si>
    <t>SR-RTN/26-27/42518</t>
  </si>
  <si>
    <t>B-303038</t>
  </si>
  <si>
    <t>SR-RTN/26-27/42519</t>
  </si>
  <si>
    <t>B-303456</t>
  </si>
  <si>
    <t>SR-RTN/26-27/42529</t>
  </si>
  <si>
    <t>SR-RTN/26-27/42531</t>
  </si>
  <si>
    <t>B-302872</t>
  </si>
  <si>
    <t>B-303157</t>
  </si>
  <si>
    <t>SR-RTN/26-27/42533</t>
  </si>
  <si>
    <t>B-302901</t>
  </si>
  <si>
    <t>B-302908</t>
  </si>
  <si>
    <t>SR-RTN/26-27/42534</t>
  </si>
  <si>
    <t>SR-RTN/26-27/42541</t>
  </si>
  <si>
    <t>B-302940</t>
  </si>
  <si>
    <t>SR-RTN/26-27/42544</t>
  </si>
  <si>
    <t>B-302934</t>
  </si>
  <si>
    <t>SR-RTN/26-27/42550</t>
  </si>
  <si>
    <t>B-303135</t>
  </si>
  <si>
    <t>B-303141</t>
  </si>
  <si>
    <t>SR-RTN/26-27/42559</t>
  </si>
  <si>
    <t>B-303213</t>
  </si>
  <si>
    <t>SR-RTN/26-27/42561</t>
  </si>
  <si>
    <t>SR-RTN/26-27/42569</t>
  </si>
  <si>
    <t>B-301003</t>
  </si>
  <si>
    <t>SR-RTN/26-27/42588</t>
  </si>
  <si>
    <t>B-302907</t>
  </si>
  <si>
    <t>B-303104</t>
  </si>
  <si>
    <t>B-303534</t>
  </si>
  <si>
    <t>SR-RTN/26-27/42593</t>
  </si>
  <si>
    <t>SR-RTN/26-27/42594</t>
  </si>
  <si>
    <t>B-303333</t>
  </si>
  <si>
    <t>SR-RTN/26-27/42602</t>
  </si>
  <si>
    <t>B-300765</t>
  </si>
  <si>
    <t>B-303540</t>
  </si>
  <si>
    <t>SR-RTN/26-27/42670</t>
  </si>
  <si>
    <t>B-302894</t>
  </si>
  <si>
    <t>B-302896</t>
  </si>
  <si>
    <t>SR-RTN/26-27/42673</t>
  </si>
  <si>
    <t>B-303067</t>
  </si>
  <si>
    <t>B-303108</t>
  </si>
  <si>
    <t>B-303140</t>
  </si>
  <si>
    <t>SR-RTN/26-27/42701</t>
  </si>
  <si>
    <t>SR-RTN/26-27/42703</t>
  </si>
  <si>
    <t>B-302902</t>
  </si>
  <si>
    <t>SR-RTN/26-27/42705</t>
  </si>
  <si>
    <t>B-301001</t>
  </si>
  <si>
    <t>B-302912</t>
  </si>
  <si>
    <t>SR-RTN/26-27/42727</t>
  </si>
  <si>
    <t>SR-RTN/26-27/42730</t>
  </si>
  <si>
    <t>B-302535</t>
  </si>
  <si>
    <t>B-303150</t>
  </si>
  <si>
    <t>SR-RTN/26-27/42736</t>
  </si>
  <si>
    <t>B-303149</t>
  </si>
  <si>
    <t>SR-RTN/26-27/42739</t>
  </si>
  <si>
    <t>B-303503</t>
  </si>
  <si>
    <t>SR-RTN/26-27/42740</t>
  </si>
  <si>
    <t>SR-RTN/26-27/42743</t>
  </si>
  <si>
    <t>B-303142</t>
  </si>
  <si>
    <t>B-303146</t>
  </si>
  <si>
    <t>B-303539</t>
  </si>
  <si>
    <t>SR-RTN/26-27/42752</t>
  </si>
  <si>
    <t>B-302860</t>
  </si>
  <si>
    <t>SR-RTN/26-27/42753</t>
  </si>
  <si>
    <t>SR-RTN/26-27/42754</t>
  </si>
  <si>
    <t>SR-RTN/26-27/42756</t>
  </si>
  <si>
    <t>SR-RTN/26-27/42766</t>
  </si>
  <si>
    <t>B-303102</t>
  </si>
  <si>
    <t>B-303109</t>
  </si>
  <si>
    <t>SR-RTN/26-27/42773</t>
  </si>
  <si>
    <t>B-301940</t>
  </si>
  <si>
    <t>SR-RTN/26-27/42774</t>
  </si>
  <si>
    <t>B-303457</t>
  </si>
  <si>
    <t>SR-RTN/26-27/42778</t>
  </si>
  <si>
    <t>SR-RTN/26-27/42785</t>
  </si>
  <si>
    <t>SR-RTN/26-27/42791</t>
  </si>
  <si>
    <t>B-303106</t>
  </si>
  <si>
    <t>B-303107</t>
  </si>
  <si>
    <t>SR-RTN/26-27/42795</t>
  </si>
  <si>
    <t>B-303122</t>
  </si>
  <si>
    <t>SR-RTN/26-27/42800</t>
  </si>
  <si>
    <t>SR-RTN/26-27/42804</t>
  </si>
  <si>
    <t>B-303757</t>
  </si>
  <si>
    <t>SR-RTN/26-27/42806</t>
  </si>
  <si>
    <t>B-303121</t>
  </si>
  <si>
    <t>SR-RTN/26-27/42822</t>
  </si>
  <si>
    <t>SR-RTN/26-27/42824</t>
  </si>
  <si>
    <t>SR-RTN/26-27/42825</t>
  </si>
  <si>
    <t>SR-RTN/26-27/42828</t>
  </si>
  <si>
    <t>B-303105</t>
  </si>
  <si>
    <t>SR-RTN/26-27/42829</t>
  </si>
  <si>
    <t>B-303502</t>
  </si>
  <si>
    <t>SR-W/O-RTN/26-27/3043</t>
  </si>
  <si>
    <t>RTN-8935093</t>
  </si>
  <si>
    <t>SR-42622/1</t>
  </si>
  <si>
    <t>RTN-8935115</t>
  </si>
  <si>
    <t>SR-42814</t>
  </si>
  <si>
    <t>RTN-8935121</t>
  </si>
  <si>
    <t>SR-42621/1</t>
  </si>
  <si>
    <t>RTN-8935153</t>
  </si>
  <si>
    <t>RTN-8935183</t>
  </si>
  <si>
    <t>SR-42812</t>
  </si>
  <si>
    <t>RTN-8935288</t>
  </si>
  <si>
    <t>SR-42750</t>
  </si>
  <si>
    <t>RTN-8940935</t>
  </si>
  <si>
    <t>SR-42751/1/1</t>
  </si>
  <si>
    <t>RTN-8940979</t>
  </si>
  <si>
    <t>SR-42816</t>
  </si>
  <si>
    <t>RTN-8942291</t>
  </si>
  <si>
    <t>SR-42751</t>
  </si>
  <si>
    <t>RTN-8943321</t>
  </si>
  <si>
    <t>SR-42809</t>
  </si>
  <si>
    <t>RTN-8945456</t>
  </si>
  <si>
    <t>RTN-8946441</t>
  </si>
  <si>
    <t>SR-42819</t>
  </si>
  <si>
    <t>RTN-8946473</t>
  </si>
  <si>
    <t>RTN-8947569</t>
  </si>
  <si>
    <t>SR-42837</t>
  </si>
  <si>
    <t>RTN-8947572</t>
  </si>
  <si>
    <t>SR-42794</t>
  </si>
  <si>
    <t>RTN-8947804</t>
  </si>
  <si>
    <t>SR-42788</t>
  </si>
  <si>
    <t>SR-RTN/26-27/42831</t>
  </si>
  <si>
    <t>B-303394</t>
  </si>
  <si>
    <t>SR-RTN/26-27/42832</t>
  </si>
  <si>
    <t>B-303849</t>
  </si>
  <si>
    <t>SR-RTN/26-27/42834</t>
  </si>
  <si>
    <t>B-302909</t>
  </si>
  <si>
    <t>SR-RTN/26-27/42835</t>
  </si>
  <si>
    <t>B-303137</t>
  </si>
  <si>
    <t>SR-RTN/26-27/42836</t>
  </si>
  <si>
    <t>B-302893</t>
  </si>
  <si>
    <t>SR-RTN/26-27/42840</t>
  </si>
  <si>
    <t>B-302533</t>
  </si>
  <si>
    <t>SR-RTN/26-27/42844</t>
  </si>
  <si>
    <t>B-303923</t>
  </si>
  <si>
    <t>SR-RTN/26-27/42845</t>
  </si>
  <si>
    <t>SR-RTN/26-27/42847</t>
  </si>
  <si>
    <t>B-303928</t>
  </si>
  <si>
    <t>SR-RTN/26-27/42849</t>
  </si>
  <si>
    <t>B-303930</t>
  </si>
  <si>
    <t>SR-RTN/26-27/42851</t>
  </si>
  <si>
    <t>B-303454</t>
  </si>
  <si>
    <t>SR-RTN/26-27/42854</t>
  </si>
  <si>
    <t>B-303931</t>
  </si>
  <si>
    <t>SR-RTN/26-27/42861</t>
  </si>
  <si>
    <t>B-302550</t>
  </si>
  <si>
    <t>SR-RTN/26-27/42864</t>
  </si>
  <si>
    <t>B-302892</t>
  </si>
  <si>
    <t>SR-RTN/26-27/42866</t>
  </si>
  <si>
    <t>B-302911</t>
  </si>
  <si>
    <t>SR-RTN/26-27/42869</t>
  </si>
  <si>
    <t>B-303452</t>
  </si>
  <si>
    <t>SR-RTN/26-27/42872</t>
  </si>
  <si>
    <t>B-300994</t>
  </si>
  <si>
    <t>SR-RTN/26-27/42875</t>
  </si>
  <si>
    <t>B-302900</t>
  </si>
  <si>
    <t>SR-RTN/26-27/42883</t>
  </si>
  <si>
    <t>B-303929</t>
  </si>
  <si>
    <t>SR-RTN/26-27/42895</t>
  </si>
  <si>
    <t>B-303927</t>
  </si>
  <si>
    <t>SR-RTN/26-27/42896</t>
  </si>
  <si>
    <t>B-303926</t>
  </si>
  <si>
    <t>SR-RTN/26-27/42898</t>
  </si>
  <si>
    <t>B-300774</t>
  </si>
  <si>
    <t>SR-RTN/26-27/42900</t>
  </si>
  <si>
    <t>B-302546</t>
  </si>
  <si>
    <t>SR-RTN/26-27/42903</t>
  </si>
  <si>
    <t>SR-RTN/26-27/42906</t>
  </si>
  <si>
    <t>B-303541</t>
  </si>
  <si>
    <t>SR-RTN/26-27/42907</t>
  </si>
  <si>
    <t>B-302859</t>
  </si>
  <si>
    <t>SR-RTN/26-27/42915</t>
  </si>
  <si>
    <t>SR-RTN/26-27/42917</t>
  </si>
  <si>
    <t>B-303139</t>
  </si>
  <si>
    <t>SR-RTN/26-27/42920</t>
  </si>
  <si>
    <t>B-303455</t>
  </si>
  <si>
    <t>SR-RTN/26-27/42921</t>
  </si>
  <si>
    <t>B-302540</t>
  </si>
  <si>
    <t>SR-RTN/26-27/42949</t>
  </si>
  <si>
    <t>B-303199</t>
  </si>
  <si>
    <t>B-303201</t>
  </si>
  <si>
    <t>SR-RTN/26-27/42955</t>
  </si>
  <si>
    <t>B-303544</t>
  </si>
  <si>
    <t>SR-RTN/26-27/42976</t>
  </si>
  <si>
    <t>B-303937</t>
  </si>
  <si>
    <t>SR-RTN/26-27/42978</t>
  </si>
  <si>
    <t>B-302897</t>
  </si>
  <si>
    <t>SR-RTN/26-27/42979</t>
  </si>
  <si>
    <t>B-302898</t>
  </si>
  <si>
    <t>SR-RTN/26-27/42980</t>
  </si>
  <si>
    <t>B-300766</t>
  </si>
  <si>
    <t>SR-RTN/26-27/42983</t>
  </si>
  <si>
    <t>B-300778</t>
  </si>
  <si>
    <t>SR-RTN/26-27/42984</t>
  </si>
  <si>
    <t>B-302895</t>
  </si>
  <si>
    <t>SR-RTN/26-27/42985</t>
  </si>
  <si>
    <t>B-299717</t>
  </si>
  <si>
    <t>SR-RTN/26-27/42986</t>
  </si>
  <si>
    <t>B-301869</t>
  </si>
  <si>
    <t>SR-RTN/26-27/42987</t>
  </si>
  <si>
    <t>B-302532</t>
  </si>
  <si>
    <t>SR-RTN/26-27/43037</t>
  </si>
  <si>
    <t>B-303216</t>
  </si>
  <si>
    <t>SR-RTN/26-27/43135</t>
  </si>
  <si>
    <t>B-303143</t>
  </si>
  <si>
    <t>B-303447</t>
  </si>
  <si>
    <t>SR-RTN/26-27/43143</t>
  </si>
  <si>
    <t>B-300909</t>
  </si>
  <si>
    <t>B-303208</t>
  </si>
  <si>
    <t>B-303850</t>
  </si>
  <si>
    <t>SR-RTN/26-27/43155</t>
  </si>
  <si>
    <t>B-303220</t>
  </si>
  <si>
    <t>B-303939</t>
  </si>
  <si>
    <t>SR-RTN/26-27/43161</t>
  </si>
  <si>
    <t>B-304025</t>
  </si>
  <si>
    <t>SR-RTN/26-27/43242</t>
  </si>
  <si>
    <t>B-305845</t>
  </si>
  <si>
    <t>SR-RTN/26-27/43261</t>
  </si>
  <si>
    <t>SR-RTN/26-27/43262</t>
  </si>
  <si>
    <t>B-291855</t>
  </si>
  <si>
    <t>SR-RTN/26-27/43298</t>
  </si>
  <si>
    <t>B-303144</t>
  </si>
  <si>
    <t>B-303901</t>
  </si>
  <si>
    <t>B-304024</t>
  </si>
  <si>
    <t>SR-RTN/26-27/43309</t>
  </si>
  <si>
    <t>B-304346</t>
  </si>
  <si>
    <t>SR-RTN/26-27/43319</t>
  </si>
  <si>
    <t>SR-RTN/26-27/43343</t>
  </si>
  <si>
    <t>SR-RTN/26-27/43345</t>
  </si>
  <si>
    <t>B-303136</t>
  </si>
  <si>
    <t>SR-RTN/26-27/43385</t>
  </si>
  <si>
    <t>B-303542</t>
  </si>
  <si>
    <t>SR-RTN/26-27/43386</t>
  </si>
  <si>
    <t>B-303488</t>
  </si>
  <si>
    <t>SR-RTN/26-27/43387</t>
  </si>
  <si>
    <t>B-304334</t>
  </si>
  <si>
    <t>SR-RTN/26-27/43388</t>
  </si>
  <si>
    <t>B-304023</t>
  </si>
  <si>
    <t>SR-RTN/26-27/43398</t>
  </si>
  <si>
    <t>B-303103</t>
  </si>
  <si>
    <t>SR-W/O-RTN/26-27/3096</t>
  </si>
  <si>
    <t>RTN-8951360</t>
  </si>
  <si>
    <t>RTN-8954414</t>
  </si>
  <si>
    <t>SR-42793</t>
  </si>
  <si>
    <t>RTN-8955448</t>
  </si>
  <si>
    <t>SR-42818/1</t>
  </si>
  <si>
    <t>RTN-8959380</t>
  </si>
  <si>
    <t>SR-42661/1</t>
  </si>
  <si>
    <t>SR-ROA/26-27/1253</t>
  </si>
  <si>
    <t>SR-ROA/26-27/1254</t>
  </si>
  <si>
    <t>SR-ROA/26-27/1255</t>
  </si>
  <si>
    <t>SR-ROA/26-27/1256</t>
  </si>
  <si>
    <t>SR-ROA/26-27/1258</t>
  </si>
  <si>
    <t>SR-ROA/26-27/1259</t>
  </si>
  <si>
    <t>SR-RTN/26-27/43477</t>
  </si>
  <si>
    <t>B-301946</t>
  </si>
  <si>
    <t>SR-RTN/26-27/43478</t>
  </si>
  <si>
    <t>B-304027</t>
  </si>
  <si>
    <t>SR-RTN/26-27/43480</t>
  </si>
  <si>
    <t>B-304022</t>
  </si>
  <si>
    <t>SR-RTN/26-27/43481</t>
  </si>
  <si>
    <t>B-303851</t>
  </si>
  <si>
    <t>SR-RTN/26-27/43482</t>
  </si>
  <si>
    <t>B-304026</t>
  </si>
  <si>
    <t>SR-RTN/26-27/43501</t>
  </si>
  <si>
    <t>B-303261</t>
  </si>
  <si>
    <t>SR-RTN/26-27/43599</t>
  </si>
  <si>
    <t>B-303388</t>
  </si>
  <si>
    <t>SR-RTN/26-27/43601</t>
  </si>
  <si>
    <t>B-304339</t>
  </si>
  <si>
    <t>SR-RTN/26-27/43603</t>
  </si>
  <si>
    <t>B-303389</t>
  </si>
  <si>
    <t>SR-RTN/26-27/43606</t>
  </si>
  <si>
    <t>B-303848</t>
  </si>
  <si>
    <t>SR-RTN/26-27/43608</t>
  </si>
  <si>
    <t>B-302549</t>
  </si>
  <si>
    <t>SR-RTN/26-27/43609</t>
  </si>
  <si>
    <t>B-304029</t>
  </si>
  <si>
    <t>SR-RTN/26-27/43629</t>
  </si>
  <si>
    <t>B-304345</t>
  </si>
  <si>
    <t>SR-RTN/26-27/43630</t>
  </si>
  <si>
    <t>B-304325</t>
  </si>
  <si>
    <t>SR-RTN/26-27/43633</t>
  </si>
  <si>
    <t>B-303938</t>
  </si>
  <si>
    <t>SR-RTN/26-27/43634</t>
  </si>
  <si>
    <t>B-304343</t>
  </si>
  <si>
    <t>SR-RTN/26-27/43636</t>
  </si>
  <si>
    <t>B-303386</t>
  </si>
  <si>
    <t>SR-RTN/26-27/43639</t>
  </si>
  <si>
    <t>B-304032</t>
  </si>
  <si>
    <t>SR-RTN/26-27/43641</t>
  </si>
  <si>
    <t>B-303390</t>
  </si>
  <si>
    <t>SR-RTN/26-27/43642</t>
  </si>
  <si>
    <t>B-303391</t>
  </si>
  <si>
    <t>SR-RTN/26-27/43644</t>
  </si>
  <si>
    <t>B-303387</t>
  </si>
  <si>
    <t>SR-RTN/26-27/43647</t>
  </si>
  <si>
    <t>B-303595</t>
  </si>
  <si>
    <t>SR-RTN/26-27/43648</t>
  </si>
  <si>
    <t>B-304360</t>
  </si>
  <si>
    <t>SR-RTN/26-27/43653</t>
  </si>
  <si>
    <t>B-304342</t>
  </si>
  <si>
    <t>SR-RTN/26-27/43681</t>
  </si>
  <si>
    <t>B-304031</t>
  </si>
  <si>
    <t>SR-RTN/26-27/43683</t>
  </si>
  <si>
    <t>B-304340</t>
  </si>
  <si>
    <t>SR-RTN/26-27/43684</t>
  </si>
  <si>
    <t>B-304386</t>
  </si>
  <si>
    <t>SR-RTN/26-27/43686</t>
  </si>
  <si>
    <t>SR-RTN/26-27/43745</t>
  </si>
  <si>
    <t>SR-RTN/26-27/43769</t>
  </si>
  <si>
    <t>B-306241</t>
  </si>
  <si>
    <t>SR-RTN/26-27/43816</t>
  </si>
  <si>
    <t>B-303767</t>
  </si>
  <si>
    <t>SR-RTN/26-27/43819</t>
  </si>
  <si>
    <t>SR-RTN/26-27/43821</t>
  </si>
  <si>
    <t>B-303147</t>
  </si>
  <si>
    <t>SR-RTN/26-27/43822</t>
  </si>
  <si>
    <t>B-303743</t>
  </si>
  <si>
    <t>SR-RTN/26-27/43823</t>
  </si>
  <si>
    <t>B-304336</t>
  </si>
  <si>
    <t>SR-RTN/26-27/43824</t>
  </si>
  <si>
    <t>B-303533</t>
  </si>
  <si>
    <t>SR-RTN/26-27/43838</t>
  </si>
  <si>
    <t>SR-RTN/26-27/43843</t>
  </si>
  <si>
    <t>B-303742</t>
  </si>
  <si>
    <t>SR-RTN/26-27/43844</t>
  </si>
  <si>
    <t>B-303706</t>
  </si>
  <si>
    <t>SR-RTN/26-27/43846</t>
  </si>
  <si>
    <t>B-302861</t>
  </si>
  <si>
    <t>SR-RTN/26-27/43847</t>
  </si>
  <si>
    <t>B-304324</t>
  </si>
  <si>
    <t>SR-RTN/26-27/43848</t>
  </si>
  <si>
    <t>B-303821</t>
  </si>
  <si>
    <t>SR-RTN/26-27/43851</t>
  </si>
  <si>
    <t>B-303780</t>
  </si>
  <si>
    <t>SR-RTN/26-27/43852</t>
  </si>
  <si>
    <t>B-303820</t>
  </si>
  <si>
    <t>SR-RTN/26-27/43854</t>
  </si>
  <si>
    <t>B-303211</t>
  </si>
  <si>
    <t>SR-RTN/26-27/43855</t>
  </si>
  <si>
    <t>B-304028</t>
  </si>
  <si>
    <t>SR-RTN/26-27/43856</t>
  </si>
  <si>
    <t>B-304030</t>
  </si>
  <si>
    <t>SR-RTN/26-27/43859</t>
  </si>
  <si>
    <t>B-303596</t>
  </si>
  <si>
    <t>SR-RTN/26-27/43861</t>
  </si>
  <si>
    <t>B-304317</t>
  </si>
  <si>
    <t>SR-RTN/26-27/43862</t>
  </si>
  <si>
    <t>B-305345</t>
  </si>
  <si>
    <t>SR-RTN/26-27/43864</t>
  </si>
  <si>
    <t>B-304355</t>
  </si>
  <si>
    <t>SR-RTN/26-27/43865</t>
  </si>
  <si>
    <t>B-303215</t>
  </si>
  <si>
    <t>SR-RTN/26-27/43876</t>
  </si>
  <si>
    <t>B-300985</t>
  </si>
  <si>
    <t>SR-RTN/26-27/43880</t>
  </si>
  <si>
    <t>B-303758</t>
  </si>
  <si>
    <t>SR-RTN/26-27/43881</t>
  </si>
  <si>
    <t>B-304303</t>
  </si>
  <si>
    <t>SR-RTN/26-27/43883</t>
  </si>
  <si>
    <t>B-303738</t>
  </si>
  <si>
    <t>SR-RTN/26-27/43884</t>
  </si>
  <si>
    <t>B-303814</t>
  </si>
  <si>
    <t>SR-RTN/26-27/43888</t>
  </si>
  <si>
    <t>B-303145</t>
  </si>
  <si>
    <t>SR-RTN/26-27/43905</t>
  </si>
  <si>
    <t>SR-42654/1</t>
  </si>
  <si>
    <t>SR-RTN/26-27/43911</t>
  </si>
  <si>
    <t>SR-RTN/26-27/43914</t>
  </si>
  <si>
    <t>SR-RTN/26-27/43949</t>
  </si>
  <si>
    <t>B-295813</t>
  </si>
  <si>
    <t>SR-RTN/26-27/43950</t>
  </si>
  <si>
    <t>B-304322</t>
  </si>
  <si>
    <t>SR-RTN/26-27/43951</t>
  </si>
  <si>
    <t>B-295819</t>
  </si>
  <si>
    <t>SR-RTN/26-27/43952</t>
  </si>
  <si>
    <t>B-304034</t>
  </si>
  <si>
    <t>SR-RTN/26-27/43953</t>
  </si>
  <si>
    <t>B-304313</t>
  </si>
  <si>
    <t>SR-RTN/26-27/43954</t>
  </si>
  <si>
    <t>SR-RTN/26-27/43955</t>
  </si>
  <si>
    <t>B-306240</t>
  </si>
  <si>
    <t>SR-RTN/26-27/43960</t>
  </si>
  <si>
    <t>B-303736</t>
  </si>
  <si>
    <t>B-304320</t>
  </si>
  <si>
    <t>SR-RTN/26-27/43962</t>
  </si>
  <si>
    <t>B-306239</t>
  </si>
  <si>
    <t>SR-RTN/26-27/43963</t>
  </si>
  <si>
    <t>SR-RTN/26-27/43973</t>
  </si>
  <si>
    <t>B-303802</t>
  </si>
  <si>
    <t>SR-W/O-RTN/26-27/3179</t>
  </si>
  <si>
    <t>RTN-8964835</t>
  </si>
  <si>
    <t>SR-42840</t>
  </si>
  <si>
    <t>RTN-8969501</t>
  </si>
  <si>
    <t>SR-42751/1</t>
  </si>
  <si>
    <t>RTN-8977495</t>
  </si>
  <si>
    <t>SR-42947</t>
  </si>
  <si>
    <t>RTN-8977501</t>
  </si>
  <si>
    <t>SR-42958</t>
  </si>
  <si>
    <t>SR-ROA/26-27/1263</t>
  </si>
  <si>
    <t>SR-RTN/26-27/44013</t>
  </si>
  <si>
    <t>SR-RTN/26-27/44032</t>
  </si>
  <si>
    <t>B-304316</t>
  </si>
  <si>
    <t>SR-RTN/26-27/44033</t>
  </si>
  <si>
    <t>B-304319</t>
  </si>
  <si>
    <t>SR-RTN/26-27/44034</t>
  </si>
  <si>
    <t>B-303786</t>
  </si>
  <si>
    <t>SR-RTN/26-27/44036</t>
  </si>
  <si>
    <t>B-303737</t>
  </si>
  <si>
    <t>SR-RTN/26-27/44038</t>
  </si>
  <si>
    <t>B-304385</t>
  </si>
  <si>
    <t>SR-RTN/26-27/44039</t>
  </si>
  <si>
    <t>B-303790</t>
  </si>
  <si>
    <t>SR-RTN/26-27/44041</t>
  </si>
  <si>
    <t>B-304311</t>
  </si>
  <si>
    <t>SR-RTN/26-27/44043</t>
  </si>
  <si>
    <t>B-303138</t>
  </si>
  <si>
    <t>SR-RTN/26-27/44115</t>
  </si>
  <si>
    <t>B-303403</t>
  </si>
  <si>
    <t>SR-RTN/26-27/44117</t>
  </si>
  <si>
    <t>B-303396</t>
  </si>
  <si>
    <t>SR-RTN/26-27/44120</t>
  </si>
  <si>
    <t>B-303400</t>
  </si>
  <si>
    <t>SR-RTN/26-27/44121</t>
  </si>
  <si>
    <t>B-303774</t>
  </si>
  <si>
    <t>SR-RTN/26-27/44124</t>
  </si>
  <si>
    <t>B-304321</t>
  </si>
  <si>
    <t>SR-RTN/26-27/44125</t>
  </si>
  <si>
    <t>B-303385</t>
  </si>
  <si>
    <t>SR-RTN/26-27/44128</t>
  </si>
  <si>
    <t>B-303423</t>
  </si>
  <si>
    <t>SR-RTN/26-27/44129</t>
  </si>
  <si>
    <t>B-304312</t>
  </si>
  <si>
    <t>SR-RTN/26-27/44165</t>
  </si>
  <si>
    <t>B-303744</t>
  </si>
  <si>
    <t>SR-RTN/26-27/44166</t>
  </si>
  <si>
    <t>B-304304</t>
  </si>
  <si>
    <t>SR-RTN/26-27/44198</t>
  </si>
  <si>
    <t>B-303398</t>
  </si>
  <si>
    <t>B-303481</t>
  </si>
  <si>
    <t>B-303934</t>
  </si>
  <si>
    <t>B-303936</t>
  </si>
  <si>
    <t>B-304315</t>
  </si>
  <si>
    <t>B-304344</t>
  </si>
  <si>
    <t>B-304389</t>
  </si>
  <si>
    <t>SR-RTN/26-27/44205</t>
  </si>
  <si>
    <t>B-305326</t>
  </si>
  <si>
    <t>SR-RTN/26-27/44224</t>
  </si>
  <si>
    <t>B-302855</t>
  </si>
  <si>
    <t>B-303764</t>
  </si>
  <si>
    <t>B-304332</t>
  </si>
  <si>
    <t>B-305353</t>
  </si>
  <si>
    <t>SR-RTN/26-27/44243</t>
  </si>
  <si>
    <t>B-304310</t>
  </si>
  <si>
    <t>B-304314</t>
  </si>
  <si>
    <t>SR-RTN/26-27/44280</t>
  </si>
  <si>
    <t>B-303484</t>
  </si>
  <si>
    <t>B-304302</t>
  </si>
  <si>
    <t>B-305195</t>
  </si>
  <si>
    <t>B-305199</t>
  </si>
  <si>
    <t>SR-RTN/26-27/44289</t>
  </si>
  <si>
    <t>B-303129</t>
  </si>
  <si>
    <t>B-304412</t>
  </si>
  <si>
    <t>B-305325</t>
  </si>
  <si>
    <t>SR-RTN/26-27/44299</t>
  </si>
  <si>
    <t>SR-RTN/26-27/44301</t>
  </si>
  <si>
    <t>SR-RTN/26-27/44307</t>
  </si>
  <si>
    <t>SR-RTN/26-27/44322</t>
  </si>
  <si>
    <t>B-302548</t>
  </si>
  <si>
    <t>B-303127</t>
  </si>
  <si>
    <t>B-303401</t>
  </si>
  <si>
    <t>B-303483</t>
  </si>
  <si>
    <t>SR-RTN/26-27/44359</t>
  </si>
  <si>
    <t>SR-RTN/26-27/44371</t>
  </si>
  <si>
    <t>B-302856</t>
  </si>
  <si>
    <t>B-303399</t>
  </si>
  <si>
    <t>B-304401</t>
  </si>
  <si>
    <t>SR-RTN/26-27/44395</t>
  </si>
  <si>
    <t>B-303128</t>
  </si>
  <si>
    <t>B-303133</t>
  </si>
  <si>
    <t>B-303489</t>
  </si>
  <si>
    <t>B-304305</t>
  </si>
  <si>
    <t>B-305243</t>
  </si>
  <si>
    <t>SR-RTN/26-27/44398</t>
  </si>
  <si>
    <t>B-307112</t>
  </si>
  <si>
    <t>SR-RTN/26-27/44447</t>
  </si>
  <si>
    <t>B-304403</t>
  </si>
  <si>
    <t>SR-RTN/26-27/44448</t>
  </si>
  <si>
    <t>B-304301</t>
  </si>
  <si>
    <t>SR-RTN/26-27/44451</t>
  </si>
  <si>
    <t>B-305219</t>
  </si>
  <si>
    <t>SR-RTN/26-27/44452</t>
  </si>
  <si>
    <t>B-304335</t>
  </si>
  <si>
    <t>SR-RTN/26-27/44453</t>
  </si>
  <si>
    <t>B-303130</t>
  </si>
  <si>
    <t>SR-RTN/26-27/44455</t>
  </si>
  <si>
    <t>B-302858</t>
  </si>
  <si>
    <t>SR-RTN/26-27/44492</t>
  </si>
  <si>
    <t>B-306303</t>
  </si>
  <si>
    <t>SR-RTN/26-27/44494</t>
  </si>
  <si>
    <t>B-303131</t>
  </si>
  <si>
    <t>SR-RTN/26-27/44495</t>
  </si>
  <si>
    <t>B-305245</t>
  </si>
  <si>
    <t>SR-RTN/26-27/44498</t>
  </si>
  <si>
    <t>B-302854</t>
  </si>
  <si>
    <t>SR-RTN/26-27/44500</t>
  </si>
  <si>
    <t>B-304390</t>
  </si>
  <si>
    <t>SR-RTN/26-27/44502</t>
  </si>
  <si>
    <t>B-303132</t>
  </si>
  <si>
    <t>SR-RTN/26-27/44504</t>
  </si>
  <si>
    <t>B-304327</t>
  </si>
  <si>
    <t>SR-RTN/26-27/44506</t>
  </si>
  <si>
    <t>B-302857</t>
  </si>
  <si>
    <t>SR-RTN/26-27/44510</t>
  </si>
  <si>
    <t>SR-RTN/26-27/44513</t>
  </si>
  <si>
    <t>B-304308</t>
  </si>
  <si>
    <t>SR-RTN/26-27/44549</t>
  </si>
  <si>
    <t>B-303953</t>
  </si>
  <si>
    <t>B-305255</t>
  </si>
  <si>
    <t>B-306300</t>
  </si>
  <si>
    <t>SR-RTN/26-27/44553</t>
  </si>
  <si>
    <t>B-305784</t>
  </si>
  <si>
    <t>SR-RTN/26-27/44560</t>
  </si>
  <si>
    <t>SR-RTN/26-27/44564</t>
  </si>
  <si>
    <t>B-289503</t>
  </si>
  <si>
    <t>B-306304</t>
  </si>
  <si>
    <t>SR-RTN/26-27/44567</t>
  </si>
  <si>
    <t>SR-RTN/26-27/44603</t>
  </si>
  <si>
    <t>RTN-8983739</t>
  </si>
  <si>
    <t>SR-42955/1</t>
  </si>
  <si>
    <t>RTN-8983745</t>
  </si>
  <si>
    <t>RTN-8986524</t>
  </si>
  <si>
    <t>SR-42965</t>
  </si>
  <si>
    <t>RTN-8986532</t>
  </si>
  <si>
    <t>SR-42973</t>
  </si>
  <si>
    <t>RTN-8986536</t>
  </si>
  <si>
    <t>SR-42961</t>
  </si>
  <si>
    <t>RTN-8987868</t>
  </si>
  <si>
    <t>SR-42926</t>
  </si>
  <si>
    <t>RTN-8988843</t>
  </si>
  <si>
    <t>SR-42983</t>
  </si>
  <si>
    <t>RTN-8989830</t>
  </si>
  <si>
    <t>SR-43011</t>
  </si>
  <si>
    <t>RTN-8989947</t>
  </si>
  <si>
    <t>SR-43050</t>
  </si>
  <si>
    <t>RTN-8990357</t>
  </si>
  <si>
    <t>SR-42925</t>
  </si>
  <si>
    <t>RTN-8990842</t>
  </si>
  <si>
    <t>SR-42955</t>
  </si>
  <si>
    <t>RTN-8991829</t>
  </si>
  <si>
    <t>SR-42972</t>
  </si>
  <si>
    <t>RTN-8992766</t>
  </si>
  <si>
    <t>SR-42986</t>
  </si>
  <si>
    <t>SR-RTN/26-27/44616</t>
  </si>
  <si>
    <t>B-303573</t>
  </si>
  <si>
    <t>SR-RTN/26-27/44617</t>
  </si>
  <si>
    <t>B-304333</t>
  </si>
  <si>
    <t>SR-RTN/26-27/44618</t>
  </si>
  <si>
    <t>B-303950</t>
  </si>
  <si>
    <t>SR-RTN/26-27/44619</t>
  </si>
  <si>
    <t>B-305244</t>
  </si>
  <si>
    <t>SR-RTN/26-27/44620</t>
  </si>
  <si>
    <t>B-303952</t>
  </si>
  <si>
    <t>SR-RTN/26-27/44651</t>
  </si>
  <si>
    <t>B-305785</t>
  </si>
  <si>
    <t>SR-RTN/26-27/44687</t>
  </si>
  <si>
    <t>B-303946</t>
  </si>
  <si>
    <t>B-305235</t>
  </si>
  <si>
    <t>SR-RTN/26-27/44701</t>
  </si>
  <si>
    <t>B-305343</t>
  </si>
  <si>
    <t>SR-RTN/26-27/44704</t>
  </si>
  <si>
    <t>SR-RTN/26-27/44714</t>
  </si>
  <si>
    <t>B-303954</t>
  </si>
  <si>
    <t>SR-RTN/26-27/44742</t>
  </si>
  <si>
    <t>B-303951</t>
  </si>
  <si>
    <t>SR-RTN/26-27/44747</t>
  </si>
  <si>
    <t>B-305362</t>
  </si>
  <si>
    <t>B-306299</t>
  </si>
  <si>
    <t>SR-RTN/26-27/44753</t>
  </si>
  <si>
    <t>SR-RTN/26-27/44754</t>
  </si>
  <si>
    <t>SR-RTN/26-27/44764</t>
  </si>
  <si>
    <t>B-304411</t>
  </si>
  <si>
    <t>SR-RTN/26-27/44776</t>
  </si>
  <si>
    <t>B-304337</t>
  </si>
  <si>
    <t>SR-RTN/26-27/44786</t>
  </si>
  <si>
    <t>SR-RTN/26-27/44793</t>
  </si>
  <si>
    <t>B-305787</t>
  </si>
  <si>
    <t>SR-RTN/26-27/44799</t>
  </si>
  <si>
    <t>B-305250</t>
  </si>
  <si>
    <t>SR-RTN/26-27/44800</t>
  </si>
  <si>
    <t>B-304033</t>
  </si>
  <si>
    <t>SR-RTN/26-27/44813</t>
  </si>
  <si>
    <t>B-304382</t>
  </si>
  <si>
    <t>SR-RTN/26-27/44825</t>
  </si>
  <si>
    <t>B-305172</t>
  </si>
  <si>
    <t>B-305223</t>
  </si>
  <si>
    <t>B-305247</t>
  </si>
  <si>
    <t>SR-RTN/26-27/44887</t>
  </si>
  <si>
    <t>B-295815</t>
  </si>
  <si>
    <t>SR-RTN/26-27/44897</t>
  </si>
  <si>
    <t>B-305232</t>
  </si>
  <si>
    <t>SR-RTN/26-27/44898</t>
  </si>
  <si>
    <t>B-305228</t>
  </si>
  <si>
    <t>SR-RTN/26-27/44899</t>
  </si>
  <si>
    <t>SR-RTN/26-27/44901</t>
  </si>
  <si>
    <t>SR-RTN/26-27/44902</t>
  </si>
  <si>
    <t>SR-RTN/26-27/44944</t>
  </si>
  <si>
    <t>SR-RTN/26-27/44991</t>
  </si>
  <si>
    <t>B-305178</t>
  </si>
  <si>
    <t>B-305354</t>
  </si>
  <si>
    <t>B-305849</t>
  </si>
  <si>
    <t>SR-RTN/26-27/44999</t>
  </si>
  <si>
    <t>B-305249</t>
  </si>
  <si>
    <t>B-305847</t>
  </si>
  <si>
    <t>SR-RTN/26-27/45002</t>
  </si>
  <si>
    <t>SR-RTN/26-27/45041</t>
  </si>
  <si>
    <t>B-304410</t>
  </si>
  <si>
    <t>B-305181</t>
  </si>
  <si>
    <t>B-305222</t>
  </si>
  <si>
    <t>B-305257</t>
  </si>
  <si>
    <t>SR-RTN/26-27/45045</t>
  </si>
  <si>
    <t>SR-RTN/26-27/45049</t>
  </si>
  <si>
    <t>B-304413</t>
  </si>
  <si>
    <t>SR-RTN/26-27/45055</t>
  </si>
  <si>
    <t>B-306220</t>
  </si>
  <si>
    <t>SR-RTN/26-27/45075</t>
  </si>
  <si>
    <t>B-305356</t>
  </si>
  <si>
    <t>SR-RTN/26-27/45077</t>
  </si>
  <si>
    <t>B-306309</t>
  </si>
  <si>
    <t>SR-RTN/26-27/45090</t>
  </si>
  <si>
    <t>B-303948</t>
  </si>
  <si>
    <t>SR-RTN/26-27/45098</t>
  </si>
  <si>
    <t>B-303947</t>
  </si>
  <si>
    <t>SR-RTN/26-27/45133</t>
  </si>
  <si>
    <t>B-304306</t>
  </si>
  <si>
    <t>B-304309</t>
  </si>
  <si>
    <t>B-305182</t>
  </si>
  <si>
    <t>B-305187</t>
  </si>
  <si>
    <t>B-305359</t>
  </si>
  <si>
    <t>B-305361</t>
  </si>
  <si>
    <t>B-305380</t>
  </si>
  <si>
    <t>SR-RTN/26-27/45134</t>
  </si>
  <si>
    <t>B-303949</t>
  </si>
  <si>
    <t>SR-RTN/26-27/45140</t>
  </si>
  <si>
    <t>B-305231</t>
  </si>
  <si>
    <t>SR-RTN/26-27/45143</t>
  </si>
  <si>
    <t>B-305177</t>
  </si>
  <si>
    <t>B-305357</t>
  </si>
  <si>
    <t>SR-RTN/26-27/45177</t>
  </si>
  <si>
    <t>B-305225</t>
  </si>
  <si>
    <t>SR-RTN/26-27/45180</t>
  </si>
  <si>
    <t>B-305364</t>
  </si>
  <si>
    <t>SR-RTN/26-27/45181</t>
  </si>
  <si>
    <t>B-305189</t>
  </si>
  <si>
    <t>SR-RTN/26-27/45189</t>
  </si>
  <si>
    <t>RTN-8994194</t>
  </si>
  <si>
    <t>SR-43010</t>
  </si>
  <si>
    <t>RTN-8997104</t>
  </si>
  <si>
    <t>SR-43066</t>
  </si>
  <si>
    <t>RTN-8997136</t>
  </si>
  <si>
    <t>RTN-8997147</t>
  </si>
  <si>
    <t>SR-43049</t>
  </si>
  <si>
    <t>SR-ROA/26-27/1325</t>
  </si>
  <si>
    <t>SR-ROA/26-27/1329</t>
  </si>
  <si>
    <t>SR-RTN/26-27/45217</t>
  </si>
  <si>
    <t>B-306438</t>
  </si>
  <si>
    <t>SR-RTN/26-27/45218</t>
  </si>
  <si>
    <t>B-305860</t>
  </si>
  <si>
    <t>SR-RTN/26-27/45219</t>
  </si>
  <si>
    <t>B-306307</t>
  </si>
  <si>
    <t>SR-RTN/26-27/45220</t>
  </si>
  <si>
    <t>B-305368</t>
  </si>
  <si>
    <t>SR-RTN/26-27/45222</t>
  </si>
  <si>
    <t>B-305382</t>
  </si>
  <si>
    <t>SR-RTN/26-27/45223</t>
  </si>
  <si>
    <t>SR-RTN/26-27/45224</t>
  </si>
  <si>
    <t>SR-RTN/26-27/45225</t>
  </si>
  <si>
    <t>B-306003</t>
  </si>
  <si>
    <t>SR-RTN/26-27/45238</t>
  </si>
  <si>
    <t>B-305175</t>
  </si>
  <si>
    <t>SR-RTN/26-27/45274</t>
  </si>
  <si>
    <t>B-306310</t>
  </si>
  <si>
    <t>SR-RTN/26-27/45280</t>
  </si>
  <si>
    <t>B-306305</t>
  </si>
  <si>
    <t>SR-RTN/26-27/45320</t>
  </si>
  <si>
    <t>B-306315</t>
  </si>
  <si>
    <t>SR-RTN/26-27/45322</t>
  </si>
  <si>
    <t>B-306276</t>
  </si>
  <si>
    <t>SR-RTN/26-27/45373</t>
  </si>
  <si>
    <t>B-305176</t>
  </si>
  <si>
    <t>SR-RTN/26-27/45376</t>
  </si>
  <si>
    <t>B-305329</t>
  </si>
  <si>
    <t>B-306317</t>
  </si>
  <si>
    <t>SR-RTN/26-27/45380</t>
  </si>
  <si>
    <t>B-304348</t>
  </si>
  <si>
    <t>B-305253</t>
  </si>
  <si>
    <t>B-306312</t>
  </si>
  <si>
    <t>B-306313</t>
  </si>
  <si>
    <t>B-306314</t>
  </si>
  <si>
    <t>SR-RTN/26-27/45394</t>
  </si>
  <si>
    <t>B-305180</t>
  </si>
  <si>
    <t>SR-RTN/26-27/45395</t>
  </si>
  <si>
    <t>B-305355</t>
  </si>
  <si>
    <t>SR-RTN/26-27/45428</t>
  </si>
  <si>
    <t>B-306306</t>
  </si>
  <si>
    <t>SR-RTN/26-27/45476</t>
  </si>
  <si>
    <t>B-305346</t>
  </si>
  <si>
    <t>SR-W/O-RTN/26-27/3300</t>
  </si>
  <si>
    <t>SURESH DEWASI</t>
  </si>
  <si>
    <t>SR-RTN/26-27/33429</t>
  </si>
  <si>
    <t>B-291059/1</t>
  </si>
  <si>
    <t>SR-RTN/26-27/36560</t>
  </si>
  <si>
    <t>PLAIN-WIRE-NA-18KT-YG-0.25 MM(8.08)/1</t>
  </si>
  <si>
    <t>SR-RTN/26-27/36561</t>
  </si>
  <si>
    <t>3MM-FIU-0.10GM-18KT-YG-0.30 MM(.73)/1</t>
  </si>
  <si>
    <t>Total</t>
  </si>
  <si>
    <t>Karat</t>
  </si>
  <si>
    <t>remark</t>
  </si>
  <si>
    <t>minifs</t>
  </si>
  <si>
    <t>roundup</t>
  </si>
  <si>
    <t>count if</t>
  </si>
  <si>
    <t>FINISH</t>
  </si>
  <si>
    <t>Roundup</t>
  </si>
  <si>
    <t>REP</t>
  </si>
  <si>
    <t>DOUBLE ENTRY</t>
  </si>
  <si>
    <t>Grand Total</t>
  </si>
  <si>
    <t>18KT</t>
  </si>
  <si>
    <t>22KT</t>
  </si>
  <si>
    <t>DOUBLE ENTRY Total</t>
  </si>
  <si>
    <t>FINISH Total</t>
  </si>
  <si>
    <t>REP Total</t>
  </si>
  <si>
    <t>Sum of Issue Gms Wt</t>
  </si>
  <si>
    <t>Data</t>
  </si>
  <si>
    <t>Sum of Issue Pg</t>
  </si>
  <si>
    <t>Sum of Return Gms Wt</t>
  </si>
  <si>
    <t>Sum of Return Pg</t>
  </si>
  <si>
    <t>Sum of Unutilized Gms Wt</t>
  </si>
  <si>
    <t>Sum of Unutilized Pg</t>
  </si>
  <si>
    <t>Sum of Unutilized Scrap</t>
  </si>
  <si>
    <t>Sum of Unutilized Scrap Pg</t>
  </si>
  <si>
    <t>Sum of Unutilized Sample</t>
  </si>
  <si>
    <t>Sum of Unutilized Sample Pg</t>
  </si>
  <si>
    <t>Sum of Loss Gms Wt</t>
  </si>
  <si>
    <t>Sum of Loss Pg Wt</t>
  </si>
  <si>
    <t>FILLING</t>
  </si>
  <si>
    <t>01.06.2026 to 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</si>
</sst>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d/mm/yyyy"/>
    <numFmt numFmtId="165" formatCode="[$-10409]#,##0.000;\(#,##0.000\);&quot;&quot;"/>
    <numFmt numFmtId="166" formatCode="#,##0.000"/>
    <numFmt numFmtId="167" formatCode="0.000"/>
  </numFmts>
  <fonts count="13" x14ac:knownFonts="1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Cambria"/>
      <family val="1"/>
    </font>
    <font>
      <sz val="10"/>
      <color indexed="8"/>
      <name val="Cambria"/>
      <family val="1"/>
    </font>
    <font>
      <b/>
      <sz val="9"/>
      <name val="Cambria"/>
      <family val="1"/>
    </font>
    <font>
      <b/>
      <sz val="9"/>
      <name val="Arial"/>
      <family val="2"/>
    </font>
    <font>
      <sz val="10"/>
      <name val="Cambria"/>
      <family val="1"/>
    </font>
    <font>
      <sz val="10"/>
      <color rgb="FF000000"/>
      <name val="Cambria"/>
      <family val="1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theme="5" tint="0.39997558519241921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0" fontId="11" fillId="0" borderId="0"/>
  </cellStyleXfs>
  <cellXfs count="63">
    <xf numFmtId="0" fontId="0" fillId="0" borderId="0" xfId="0"/>
    <xf numFmtId="0" fontId="0" fillId="0" borderId="1" xfId="0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1" fillId="2" borderId="2" xfId="0" applyFont="1" applyFill="1" applyBorder="1" applyAlignment="1" applyProtection="1">
      <alignment horizontal="center" vertical="center" wrapText="1" readingOrder="1"/>
      <protection locked="0"/>
    </xf>
    <xf numFmtId="0" fontId="3" fillId="2" borderId="2" xfId="0" applyFont="1" applyFill="1" applyBorder="1" applyAlignment="1" applyProtection="1">
      <alignment horizontal="center" vertical="center" wrapText="1" readingOrder="1"/>
      <protection locked="0"/>
    </xf>
    <xf numFmtId="164" fontId="3" fillId="2" borderId="2" xfId="0" applyNumberFormat="1" applyFont="1" applyFill="1" applyBorder="1" applyAlignment="1" applyProtection="1">
      <alignment horizontal="center" vertical="center" wrapText="1" readingOrder="1"/>
      <protection locked="0"/>
    </xf>
    <xf numFmtId="165" fontId="3" fillId="0" borderId="2" xfId="0" applyNumberFormat="1" applyFont="1" applyBorder="1" applyAlignment="1" applyProtection="1">
      <alignment horizontal="right" vertical="center" wrapText="1" readingOrder="1"/>
      <protection locked="0"/>
    </xf>
    <xf numFmtId="165" fontId="1" fillId="3" borderId="2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2" xfId="0" applyFont="1" applyBorder="1" applyAlignment="1" applyProtection="1">
      <alignment vertical="center" wrapText="1" readingOrder="1"/>
      <protection locked="0"/>
    </xf>
    <xf numFmtId="164" fontId="3" fillId="0" borderId="2" xfId="0" applyNumberFormat="1" applyFont="1" applyBorder="1" applyAlignment="1" applyProtection="1">
      <alignment vertical="center" wrapText="1" readingOrder="1"/>
      <protection locked="0"/>
    </xf>
    <xf numFmtId="0" fontId="3" fillId="0" borderId="2" xfId="0" applyFont="1" applyBorder="1" applyAlignment="1" applyProtection="1">
      <alignment horizontal="center" vertical="center" wrapText="1" readingOrder="1"/>
      <protection locked="0"/>
    </xf>
    <xf numFmtId="165" fontId="3" fillId="0" borderId="2" xfId="0" applyNumberFormat="1" applyFont="1" applyBorder="1" applyAlignment="1" applyProtection="1">
      <alignment vertical="center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4" fillId="2" borderId="6" xfId="0" applyFont="1" applyFill="1" applyBorder="1" applyAlignment="1" applyProtection="1">
      <alignment horizontal="center" vertical="center" readingOrder="1"/>
      <protection locked="0"/>
    </xf>
    <xf numFmtId="164" fontId="4" fillId="0" borderId="6" xfId="0" applyNumberFormat="1" applyFont="1" applyBorder="1" applyAlignment="1" applyProtection="1">
      <alignment horizontal="center" vertical="center" readingOrder="1"/>
      <protection locked="0"/>
    </xf>
    <xf numFmtId="0" fontId="4" fillId="4" borderId="6" xfId="0" applyFont="1" applyFill="1" applyBorder="1" applyAlignment="1" applyProtection="1">
      <alignment horizontal="center" vertical="center" readingOrder="1"/>
      <protection locked="0"/>
    </xf>
    <xf numFmtId="0" fontId="4" fillId="5" borderId="6" xfId="0" applyFont="1" applyFill="1" applyBorder="1" applyAlignment="1" applyProtection="1">
      <alignment horizontal="center" vertical="center" readingOrder="1"/>
      <protection locked="0"/>
    </xf>
    <xf numFmtId="0" fontId="5" fillId="5" borderId="6" xfId="0" applyFont="1" applyFill="1" applyBorder="1" applyAlignment="1" applyProtection="1">
      <alignment horizontal="center" vertical="center" readingOrder="1"/>
      <protection locked="0"/>
    </xf>
    <xf numFmtId="0" fontId="6" fillId="6" borderId="6" xfId="0" applyFont="1" applyFill="1" applyBorder="1" applyAlignment="1">
      <alignment horizontal="center"/>
    </xf>
    <xf numFmtId="0" fontId="7" fillId="0" borderId="0" xfId="0" applyFont="1"/>
    <xf numFmtId="165" fontId="5" fillId="0" borderId="6" xfId="0" applyNumberFormat="1" applyFont="1" applyBorder="1" applyAlignment="1" applyProtection="1">
      <alignment horizontal="center" vertical="center" readingOrder="1"/>
      <protection locked="0"/>
    </xf>
    <xf numFmtId="165" fontId="9" fillId="0" borderId="6" xfId="0" applyNumberFormat="1" applyFont="1" applyBorder="1" applyAlignment="1">
      <alignment horizontal="center" vertical="center" readingOrder="1"/>
    </xf>
    <xf numFmtId="0" fontId="8" fillId="0" borderId="6" xfId="0" applyFont="1" applyBorder="1" applyAlignment="1">
      <alignment horizontal="center"/>
    </xf>
    <xf numFmtId="166" fontId="8" fillId="0" borderId="6" xfId="0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5" fontId="0" fillId="0" borderId="7" xfId="0" applyNumberFormat="1" applyBorder="1"/>
    <xf numFmtId="165" fontId="0" fillId="0" borderId="14" xfId="0" applyNumberFormat="1" applyBorder="1"/>
    <xf numFmtId="165" fontId="0" fillId="0" borderId="11" xfId="0" applyNumberFormat="1" applyBorder="1"/>
    <xf numFmtId="165" fontId="0" fillId="0" borderId="15" xfId="0" applyNumberFormat="1" applyBorder="1"/>
    <xf numFmtId="165" fontId="0" fillId="0" borderId="12" xfId="0" applyNumberFormat="1" applyBorder="1"/>
    <xf numFmtId="165" fontId="0" fillId="0" borderId="16" xfId="0" applyNumberFormat="1" applyBorder="1"/>
    <xf numFmtId="0" fontId="0" fillId="0" borderId="17" xfId="0" applyBorder="1"/>
    <xf numFmtId="165" fontId="0" fillId="0" borderId="17" xfId="0" applyNumberFormat="1" applyBorder="1"/>
    <xf numFmtId="165" fontId="0" fillId="0" borderId="0" xfId="0" applyNumberFormat="1"/>
    <xf numFmtId="165" fontId="0" fillId="0" borderId="18" xfId="0" applyNumberFormat="1" applyBorder="1"/>
    <xf numFmtId="0" fontId="10" fillId="0" borderId="0" xfId="0" applyFont="1"/>
    <xf numFmtId="0" fontId="12" fillId="8" borderId="0" xfId="1" applyFont="1" applyFill="1" applyAlignment="1">
      <alignment horizontal="center"/>
    </xf>
    <xf numFmtId="167" fontId="8" fillId="0" borderId="6" xfId="0" applyNumberFormat="1" applyFont="1" applyBorder="1" applyAlignment="1">
      <alignment horizontal="center"/>
    </xf>
    <xf numFmtId="167" fontId="12" fillId="0" borderId="6" xfId="0" applyNumberFormat="1" applyFont="1" applyBorder="1" applyAlignment="1">
      <alignment horizontal="center"/>
    </xf>
    <xf numFmtId="167" fontId="12" fillId="7" borderId="6" xfId="0" applyNumberFormat="1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 vertical="center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165" fontId="1" fillId="3" borderId="2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2" borderId="2" xfId="0" applyFont="1" applyFill="1" applyBorder="1" applyAlignment="1" applyProtection="1">
      <alignment horizontal="center" vertical="center" wrapText="1" readingOrder="1"/>
      <protection locked="0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165" fontId="3" fillId="0" borderId="2" xfId="0" applyNumberFormat="1" applyFont="1" applyBorder="1" applyAlignment="1" applyProtection="1">
      <alignment horizontal="right" vertical="center" wrapText="1" readingOrder="1"/>
      <protection locked="0"/>
    </xf>
    <xf numFmtId="164" fontId="3" fillId="2" borderId="2" xfId="0" applyNumberFormat="1" applyFont="1" applyFill="1" applyBorder="1" applyAlignment="1" applyProtection="1">
      <alignment horizontal="center" vertical="center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center" wrapText="1" readingOrder="1"/>
      <protection locked="0"/>
    </xf>
  </cellXfs>
  <cellStyles count="2">
    <cellStyle name="Normal" xfId="0" builtinId="0"/>
    <cellStyle name="Normal 2" xfId="1" xr:uid="{79C46A12-00CD-4D13-8E81-CEA16DC8C62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13.49058287037" createdVersion="1" refreshedVersion="8" recordCount="1988" upgradeOnRefresh="1" xr:uid="{DAB3C370-E22D-45BD-ADF5-B120C1A1E7BF}">
  <cacheSource type="worksheet">
    <worksheetSource ref="A1:AG1989" sheet="working file"/>
  </cacheSource>
  <cacheFields count="33">
    <cacheField name="Created By" numFmtId="0">
      <sharedItems/>
    </cacheField>
    <cacheField name="Trans Date" numFmtId="164">
      <sharedItems containsSemiMixedTypes="0" containsNonDate="0" containsDate="1" containsString="0" minDate="2026-06-01T00:00:00" maxDate="2026-07-01T00:00:00"/>
    </cacheField>
    <cacheField name="Doc No" numFmtId="0">
      <sharedItems/>
    </cacheField>
    <cacheField name="Batch No" numFmtId="0">
      <sharedItems/>
    </cacheField>
    <cacheField name="Operation" numFmtId="0">
      <sharedItems/>
    </cacheField>
    <cacheField name="Wc Name" numFmtId="0">
      <sharedItems/>
    </cacheField>
    <cacheField name="Karat" numFmtId="0">
      <sharedItems containsBlank="1" count="3">
        <s v="22KT"/>
        <s v="18KT"/>
        <m u="1"/>
      </sharedItems>
    </cacheField>
    <cacheField name="Variant Name" numFmtId="0">
      <sharedItems/>
    </cacheField>
    <cacheField name="Issue Gms Wt" numFmtId="165">
      <sharedItems containsSemiMixedTypes="0" containsString="0" containsNumber="1" minValue="0.01" maxValue="590.16999999999996"/>
    </cacheField>
    <cacheField name="Issue Pg" numFmtId="165">
      <sharedItems containsSemiMixedTypes="0" containsString="0" containsNumber="1" minValue="7.4999999999999997E-3" maxValue="541.18588999999997"/>
    </cacheField>
    <cacheField name="Issue Fineness" numFmtId="165">
      <sharedItems containsSemiMixedTypes="0" containsString="0" containsNumber="1" minValue="0.74999999999999989" maxValue="0.91800000000000004"/>
    </cacheField>
    <cacheField name="Return Gms Wt" numFmtId="165">
      <sharedItems containsSemiMixedTypes="0" containsString="0" containsNumber="1" minValue="0" maxValue="561.4"/>
    </cacheField>
    <cacheField name="Return Pg" numFmtId="165">
      <sharedItems containsSemiMixedTypes="0" containsString="0" containsNumber="1" minValue="0" maxValue="514.80380000000002"/>
    </cacheField>
    <cacheField name="Roundup" numFmtId="165">
      <sharedItems containsSemiMixedTypes="0" containsString="0" containsNumber="1" minValue="0" maxValue="514.80399999999997"/>
    </cacheField>
    <cacheField name="Return Fineness" numFmtId="165">
      <sharedItems containsSemiMixedTypes="0" containsString="0" containsNumber="1" minValue="0" maxValue="0.91800000000000004"/>
    </cacheField>
    <cacheField name="Unutilized Gms Wt" numFmtId="165">
      <sharedItems containsSemiMixedTypes="0" containsString="0" containsNumber="1" minValue="0" maxValue="4.88"/>
    </cacheField>
    <cacheField name="Unutilized Pg" numFmtId="165">
      <sharedItems containsSemiMixedTypes="0" containsString="0" containsNumber="1" minValue="0" maxValue="4.4749600000000003"/>
    </cacheField>
    <cacheField name="Unutilized Fineness" numFmtId="165">
      <sharedItems containsSemiMixedTypes="0" containsString="0" containsNumber="1" minValue="0" maxValue="0.91700000000000004"/>
    </cacheField>
    <cacheField name="Unutilized Scrap" numFmtId="165">
      <sharedItems containsSemiMixedTypes="0" containsString="0" containsNumber="1" containsInteger="1" minValue="0" maxValue="0"/>
    </cacheField>
    <cacheField name="Unutilized Scrap Pg" numFmtId="165">
      <sharedItems containsSemiMixedTypes="0" containsString="0" containsNumber="1" containsInteger="1" minValue="0" maxValue="0"/>
    </cacheField>
    <cacheField name="Unutilized Scrap Fineness" numFmtId="165">
      <sharedItems containsSemiMixedTypes="0" containsString="0" containsNumber="1" containsInteger="1" minValue="0" maxValue="0"/>
    </cacheField>
    <cacheField name="Unutilized Sample" numFmtId="165">
      <sharedItems containsSemiMixedTypes="0" containsString="0" containsNumber="1" containsInteger="1" minValue="0" maxValue="0"/>
    </cacheField>
    <cacheField name="Unutilized Sample Pg" numFmtId="165">
      <sharedItems containsSemiMixedTypes="0" containsString="0" containsNumber="1" containsInteger="1" minValue="0" maxValue="0"/>
    </cacheField>
    <cacheField name="Unutilized Sample Fineness" numFmtId="165">
      <sharedItems containsSemiMixedTypes="0" containsString="0" containsNumber="1" containsInteger="1" minValue="0" maxValue="0"/>
    </cacheField>
    <cacheField name="Loss Gms Wt" numFmtId="165">
      <sharedItems containsSemiMixedTypes="0" containsString="0" containsNumber="1" minValue="0" maxValue="46.57"/>
    </cacheField>
    <cacheField name="Loss Pg Wt" numFmtId="165">
      <sharedItems containsSemiMixedTypes="0" containsString="0" containsNumber="1" minValue="0" maxValue="34.927500000000002"/>
    </cacheField>
    <cacheField name="Loss Fineness" numFmtId="165">
      <sharedItems containsSemiMixedTypes="0" containsString="0" containsNumber="1" minValue="0" maxValue="0.91800000000000004"/>
    </cacheField>
    <cacheField name="BAL" numFmtId="165">
      <sharedItems containsSemiMixedTypes="0" containsString="0" containsNumber="1" minValue="-46.569999999999993" maxValue="0"/>
    </cacheField>
    <cacheField name="GAIN" numFmtId="165">
      <sharedItems containsSemiMixedTypes="0" containsString="0" containsNumber="1" minValue="-4.4408920985006262E-16" maxValue="46.569999999999993"/>
    </cacheField>
    <cacheField name="remark" numFmtId="0">
      <sharedItems count="3">
        <s v="FINISH"/>
        <s v="DOUBLE ENTRY"/>
        <s v="REP"/>
      </sharedItems>
    </cacheField>
    <cacheField name="minifs" numFmtId="0">
      <sharedItems containsSemiMixedTypes="0" containsString="0" containsNumber="1" minValue="0" maxValue="514.80399999999997"/>
    </cacheField>
    <cacheField name="roundup2" numFmtId="166">
      <sharedItems containsSemiMixedTypes="0" containsString="0" containsNumber="1" minValue="0" maxValue="166.56400000000002"/>
    </cacheField>
    <cacheField name="count if" numFmtId="0">
      <sharedItems containsSemiMixedTypes="0" containsString="0" containsNumber="1" containsInteger="1" minValue="1" maxValue="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8">
  <r>
    <s v="AJEET KUMAR"/>
    <d v="2026-06-01T00:00:00"/>
    <s v="RTN-8626688"/>
    <s v="SR-41698"/>
    <s v="CAST-FILLING"/>
    <s v="GOLD-FILLING-WK"/>
    <x v="0"/>
    <s v="G-NA-91.70-YG"/>
    <n v="84.87"/>
    <n v="77.825789999999998"/>
    <n v="0.91699999999999993"/>
    <n v="84.87"/>
    <n v="77.825789999999998"/>
    <n v="77.826000000000008"/>
    <n v="0.91699999999999993"/>
    <n v="0"/>
    <n v="0"/>
    <n v="0"/>
    <n v="0"/>
    <n v="0"/>
    <n v="0"/>
    <n v="0"/>
    <n v="0"/>
    <n v="0"/>
    <n v="0"/>
    <n v="0"/>
    <n v="0"/>
    <n v="0"/>
    <n v="0"/>
    <x v="0"/>
    <n v="77.826000000000008"/>
    <n v="0"/>
    <n v="3"/>
  </r>
  <r>
    <s v="AJEET KUMAR"/>
    <d v="2026-06-01T00:00:00"/>
    <s v="RTN-8626718"/>
    <s v="SR-41696"/>
    <s v="CAST-FILLING"/>
    <s v="GOLD-FILLING-WK"/>
    <x v="0"/>
    <s v="G-NA-91.70-YG"/>
    <n v="20.126000000000001"/>
    <n v="18.455542000000001"/>
    <n v="0.91700000000000004"/>
    <n v="20.126000000000001"/>
    <n v="18.455542000000001"/>
    <n v="18.456"/>
    <n v="0.91700000000000004"/>
    <n v="0"/>
    <n v="0"/>
    <n v="0"/>
    <n v="0"/>
    <n v="0"/>
    <n v="0"/>
    <n v="0"/>
    <n v="0"/>
    <n v="0"/>
    <n v="0"/>
    <n v="0"/>
    <n v="0"/>
    <n v="0"/>
    <n v="0"/>
    <x v="0"/>
    <n v="18.456"/>
    <n v="0"/>
    <n v="3"/>
  </r>
  <r>
    <s v="AJEET KUMAR"/>
    <d v="2026-06-01T00:00:00"/>
    <s v="RTN-8633132"/>
    <s v="SR-41436"/>
    <s v="CAST-FILLING"/>
    <s v="GOLD-FILLING-WK"/>
    <x v="1"/>
    <s v="G-NA-75.00-YG"/>
    <n v="95.38"/>
    <n v="71.534999999999997"/>
    <n v="0.75"/>
    <n v="94.92"/>
    <n v="71.19"/>
    <n v="71.19"/>
    <n v="0.75"/>
    <n v="0"/>
    <n v="0"/>
    <n v="0"/>
    <n v="0"/>
    <n v="0"/>
    <n v="0"/>
    <n v="0"/>
    <n v="0"/>
    <n v="0"/>
    <n v="0.46"/>
    <n v="0.34499999999999997"/>
    <n v="0.74999999999999989"/>
    <n v="-0.45999999999999375"/>
    <n v="0.45999999999999375"/>
    <x v="0"/>
    <n v="71.19"/>
    <n v="0"/>
    <n v="1"/>
  </r>
  <r>
    <s v="AJEET KUMAR"/>
    <d v="2026-06-01T00:00:00"/>
    <s v="RTN-8633256"/>
    <s v="SR-41439"/>
    <s v="CAST-FILLING"/>
    <s v="GOLD-FILLING-WK"/>
    <x v="1"/>
    <s v="G-NA-75.00-YG"/>
    <n v="37.64"/>
    <n v="28.23"/>
    <n v="0.75"/>
    <n v="36.15"/>
    <n v="27.112500000000001"/>
    <n v="27.113"/>
    <n v="0.75"/>
    <n v="0"/>
    <n v="0"/>
    <n v="0"/>
    <n v="0"/>
    <n v="0"/>
    <n v="0"/>
    <n v="0"/>
    <n v="0"/>
    <n v="0"/>
    <n v="1.49"/>
    <n v="1.1174999999999999"/>
    <n v="0.75"/>
    <n v="-1.490000000000002"/>
    <n v="1.490000000000002"/>
    <x v="0"/>
    <n v="27.113"/>
    <n v="0"/>
    <n v="1"/>
  </r>
  <r>
    <s v="AJEET KUMAR"/>
    <d v="2026-06-01T00:00:00"/>
    <s v="RTN-8637299"/>
    <s v="SR-41444"/>
    <s v="CAST-FILLING"/>
    <s v="GOLD-FILLING-WK"/>
    <x v="1"/>
    <s v="G-NA-75.00-YG"/>
    <n v="39.340000000000003"/>
    <n v="29.504999999999999"/>
    <n v="0.74999999999999989"/>
    <n v="35.61"/>
    <n v="26.7075"/>
    <n v="26.708000000000002"/>
    <n v="0.75"/>
    <n v="0"/>
    <n v="0"/>
    <n v="0"/>
    <n v="0"/>
    <n v="0"/>
    <n v="0"/>
    <n v="0"/>
    <n v="0"/>
    <n v="0"/>
    <n v="3.73"/>
    <n v="2.7974999999999999"/>
    <n v="0.75"/>
    <n v="-3.730000000000004"/>
    <n v="3.730000000000004"/>
    <x v="0"/>
    <n v="26.708000000000002"/>
    <n v="0"/>
    <n v="1"/>
  </r>
  <r>
    <s v="AJEET KUMAR"/>
    <d v="2026-06-01T00:00:00"/>
    <s v="RTN-8637976"/>
    <s v="SR-41313/1"/>
    <s v="CAST-FILLING"/>
    <s v="GOLD-FILLING-WK"/>
    <x v="1"/>
    <s v="G-NA-75.00-RG"/>
    <n v="23.33"/>
    <n v="17.497499999999999"/>
    <n v="0.75"/>
    <n v="21.22"/>
    <n v="15.914999999999999"/>
    <n v="15.914999999999999"/>
    <n v="0.75"/>
    <n v="0"/>
    <n v="0"/>
    <n v="0"/>
    <n v="0"/>
    <n v="0"/>
    <n v="0"/>
    <n v="0"/>
    <n v="0"/>
    <n v="0"/>
    <n v="2.11"/>
    <n v="1.5825"/>
    <n v="0.75"/>
    <n v="-2.1099999999999994"/>
    <n v="2.1099999999999994"/>
    <x v="0"/>
    <n v="15.914999999999999"/>
    <n v="0"/>
    <n v="1"/>
  </r>
  <r>
    <s v="AJEET KUMAR"/>
    <d v="2026-06-01T00:00:00"/>
    <s v="SR-RTN/26-27/29843"/>
    <s v="B-291026"/>
    <s v="B-GOLD-FILING"/>
    <s v="GOLD-FILLING-WK"/>
    <x v="1"/>
    <s v="G-NA-75.00-RG"/>
    <n v="34.81"/>
    <n v="26.107500000000002"/>
    <n v="0.75"/>
    <n v="34.81"/>
    <n v="26.107500000000002"/>
    <n v="26.108000000000001"/>
    <n v="0.75"/>
    <n v="0"/>
    <n v="0"/>
    <n v="0"/>
    <n v="0"/>
    <n v="0"/>
    <n v="0"/>
    <n v="0"/>
    <n v="0"/>
    <n v="0"/>
    <n v="0"/>
    <n v="0"/>
    <n v="0"/>
    <n v="0"/>
    <n v="0"/>
    <x v="1"/>
    <n v="25.56"/>
    <n v="0.54800000000000182"/>
    <n v="3"/>
  </r>
  <r>
    <s v="AJEET KUMAR"/>
    <d v="2026-06-01T00:00:00"/>
    <s v="SR-RTN/26-27/29843"/>
    <s v="B-292396"/>
    <s v="B-GOLD-FILING"/>
    <s v="GOLD-FILLING-WK"/>
    <x v="0"/>
    <s v="G-NA-91.70-YG"/>
    <n v="28.38"/>
    <n v="26.024460000000001"/>
    <n v="0.91700000000000004"/>
    <n v="28.38"/>
    <n v="26.024460000000001"/>
    <n v="26.025000000000002"/>
    <n v="0.91700000000000004"/>
    <n v="0"/>
    <n v="0"/>
    <n v="0"/>
    <n v="0"/>
    <n v="0"/>
    <n v="0"/>
    <n v="0"/>
    <n v="0"/>
    <n v="0"/>
    <n v="0"/>
    <n v="0"/>
    <n v="0"/>
    <n v="0"/>
    <n v="0"/>
    <x v="1"/>
    <n v="25.053000000000001"/>
    <n v="0.97200000000000131"/>
    <n v="2"/>
  </r>
  <r>
    <s v="AJEET KUMAR"/>
    <d v="2026-06-01T00:00:00"/>
    <s v="SR-RTN/26-27/29843"/>
    <s v="B-292951"/>
    <s v="B-GOLD-FILING"/>
    <s v="GOLD-FILLING-WK"/>
    <x v="0"/>
    <s v="G-NA-91.70-YG"/>
    <n v="21.55"/>
    <n v="19.76135"/>
    <n v="0.91699999999999993"/>
    <n v="21.55"/>
    <n v="19.76135"/>
    <n v="19.762"/>
    <n v="0.91699999999999993"/>
    <n v="0"/>
    <n v="0"/>
    <n v="0"/>
    <n v="0"/>
    <n v="0"/>
    <n v="0"/>
    <n v="0"/>
    <n v="0"/>
    <n v="0"/>
    <n v="0"/>
    <n v="0"/>
    <n v="0"/>
    <n v="0"/>
    <n v="0"/>
    <x v="0"/>
    <n v="19.762"/>
    <n v="0"/>
    <n v="1"/>
  </r>
  <r>
    <s v="AJEET KUMAR"/>
    <d v="2026-06-01T00:00:00"/>
    <s v="SR-RTN/26-27/29843"/>
    <s v="B-293190"/>
    <s v="B-GOLD-FILING"/>
    <s v="GOLD-FILLING-WK"/>
    <x v="1"/>
    <s v="G-NA-75.00-RG"/>
    <n v="15.44"/>
    <n v="11.58"/>
    <n v="0.75"/>
    <n v="15.44"/>
    <n v="11.58"/>
    <n v="11.58"/>
    <n v="0.75"/>
    <n v="0"/>
    <n v="0"/>
    <n v="0"/>
    <n v="0"/>
    <n v="0"/>
    <n v="0"/>
    <n v="0"/>
    <n v="0"/>
    <n v="0"/>
    <n v="0"/>
    <n v="0"/>
    <n v="0"/>
    <n v="0"/>
    <n v="0"/>
    <x v="1"/>
    <n v="10.808"/>
    <n v="0.77200000000000024"/>
    <n v="4"/>
  </r>
  <r>
    <s v="AJEET KUMAR"/>
    <d v="2026-06-01T00:00:00"/>
    <s v="SR-RTN/26-27/29843"/>
    <s v="B-294242"/>
    <s v="B-GOLD-FILING"/>
    <s v="GOLD-FILLING-WK"/>
    <x v="1"/>
    <s v="G-NA-75.00-YG"/>
    <n v="10.5"/>
    <n v="7.875"/>
    <n v="0.75"/>
    <n v="10.5"/>
    <n v="7.875"/>
    <n v="7.875"/>
    <n v="0.75"/>
    <n v="0"/>
    <n v="0"/>
    <n v="0"/>
    <n v="0"/>
    <n v="0"/>
    <n v="0"/>
    <n v="0"/>
    <n v="0"/>
    <n v="0"/>
    <n v="0"/>
    <n v="0"/>
    <n v="0"/>
    <n v="0"/>
    <n v="0"/>
    <x v="0"/>
    <n v="7.875"/>
    <n v="0"/>
    <n v="2"/>
  </r>
  <r>
    <s v="AJEET KUMAR"/>
    <d v="2026-06-01T00:00:00"/>
    <s v="SR-RTN/26-27/29843"/>
    <s v="B-294249"/>
    <s v="B-GOLD-FILING"/>
    <s v="GOLD-FILLING-WK"/>
    <x v="1"/>
    <s v="G-NA-75.00-YG"/>
    <n v="12.38"/>
    <n v="9.2850000000000001"/>
    <n v="0.75"/>
    <n v="12.38"/>
    <n v="9.2850000000000001"/>
    <n v="9.2850000000000001"/>
    <n v="0.75"/>
    <n v="0"/>
    <n v="0"/>
    <n v="0"/>
    <n v="0"/>
    <n v="0"/>
    <n v="0"/>
    <n v="0"/>
    <n v="0"/>
    <n v="0"/>
    <n v="0"/>
    <n v="0"/>
    <n v="0"/>
    <n v="0"/>
    <n v="0"/>
    <x v="0"/>
    <n v="9.2850000000000001"/>
    <n v="0"/>
    <n v="2"/>
  </r>
  <r>
    <s v="AJEET KUMAR"/>
    <d v="2026-06-01T00:00:00"/>
    <s v="SR-RTN/26-27/29896"/>
    <s v="B-291415"/>
    <s v="B-GOLD-FILING"/>
    <s v="GOLD-FILLING-WK"/>
    <x v="0"/>
    <s v="G-NA-91.70-YG"/>
    <n v="3.13"/>
    <n v="2.8702100000000002"/>
    <n v="0.91700000000000004"/>
    <n v="3.13"/>
    <n v="2.8702100000000002"/>
    <n v="2.871"/>
    <n v="0.91700000000000004"/>
    <n v="0"/>
    <n v="0"/>
    <n v="0"/>
    <n v="0"/>
    <n v="0"/>
    <n v="0"/>
    <n v="0"/>
    <n v="0"/>
    <n v="0"/>
    <n v="0"/>
    <n v="0"/>
    <n v="0"/>
    <n v="0"/>
    <n v="0"/>
    <x v="0"/>
    <n v="2.871"/>
    <n v="0"/>
    <n v="4"/>
  </r>
  <r>
    <s v="AJEET KUMAR"/>
    <d v="2026-06-01T00:00:00"/>
    <s v="SR-RTN/26-27/29896"/>
    <s v="B-293180"/>
    <s v="B-GOLD-FILING"/>
    <s v="GOLD-FILLING-WK"/>
    <x v="1"/>
    <s v="G-NA-75.00-RG"/>
    <n v="14.49"/>
    <n v="10.8675"/>
    <n v="0.75"/>
    <n v="14.49"/>
    <n v="10.8675"/>
    <n v="10.868"/>
    <n v="0.75"/>
    <n v="0"/>
    <n v="0"/>
    <n v="0"/>
    <n v="0"/>
    <n v="0"/>
    <n v="0"/>
    <n v="0"/>
    <n v="0"/>
    <n v="0"/>
    <n v="0"/>
    <n v="0"/>
    <n v="0"/>
    <n v="0"/>
    <n v="0"/>
    <x v="0"/>
    <n v="10.868"/>
    <n v="0"/>
    <n v="1"/>
  </r>
  <r>
    <s v="AJEET KUMAR"/>
    <d v="2026-06-01T00:00:00"/>
    <s v="SR-RTN/26-27/29896"/>
    <s v="B-294504"/>
    <s v="B-GOLD-FILING"/>
    <s v="GOLD-FILLING-WK"/>
    <x v="0"/>
    <s v="G-NA-91.70-YG"/>
    <n v="14.06"/>
    <n v="12.89302"/>
    <n v="0.91699999999999993"/>
    <n v="14.06"/>
    <n v="12.89302"/>
    <n v="12.894"/>
    <n v="0.91699999999999993"/>
    <n v="0"/>
    <n v="0"/>
    <n v="0"/>
    <n v="0"/>
    <n v="0"/>
    <n v="0"/>
    <n v="0"/>
    <n v="0"/>
    <n v="0"/>
    <n v="0"/>
    <n v="0"/>
    <n v="0"/>
    <n v="0"/>
    <n v="0"/>
    <x v="0"/>
    <n v="12.894"/>
    <n v="0"/>
    <n v="1"/>
  </r>
  <r>
    <s v="AJEET KUMAR"/>
    <d v="2026-06-01T00:00:00"/>
    <s v="SR-RTN/26-27/29896"/>
    <s v="B-294546"/>
    <s v="B-GOLD-FILING"/>
    <s v="GOLD-FILLING-WK"/>
    <x v="0"/>
    <s v="G-NA-91.70-YG"/>
    <n v="8.44"/>
    <n v="7.7394800000000004"/>
    <n v="0.91700000000000015"/>
    <n v="8.44"/>
    <n v="7.7394800000000004"/>
    <n v="7.74"/>
    <n v="0.91700000000000015"/>
    <n v="0"/>
    <n v="0"/>
    <n v="0"/>
    <n v="0"/>
    <n v="0"/>
    <n v="0"/>
    <n v="0"/>
    <n v="0"/>
    <n v="0"/>
    <n v="0"/>
    <n v="0"/>
    <n v="0"/>
    <n v="0"/>
    <n v="0"/>
    <x v="0"/>
    <n v="7.74"/>
    <n v="0"/>
    <n v="1"/>
  </r>
  <r>
    <s v="AJEET KUMAR"/>
    <d v="2026-06-01T00:00:00"/>
    <s v="SR-RTN/26-27/29896"/>
    <s v="B-294578"/>
    <s v="B-GOLD-FILING"/>
    <s v="GOLD-FILLING-WK"/>
    <x v="0"/>
    <s v="G-NA-91.70-YG"/>
    <n v="16.73"/>
    <n v="15.34141"/>
    <n v="0.91699999999999993"/>
    <n v="16.73"/>
    <n v="15.34141"/>
    <n v="15.341999999999999"/>
    <n v="0.91699999999999993"/>
    <n v="0"/>
    <n v="0"/>
    <n v="0"/>
    <n v="0"/>
    <n v="0"/>
    <n v="0"/>
    <n v="0"/>
    <n v="0"/>
    <n v="0"/>
    <n v="0"/>
    <n v="0"/>
    <n v="0"/>
    <n v="0"/>
    <n v="0"/>
    <x v="0"/>
    <n v="15.341999999999999"/>
    <n v="0"/>
    <n v="1"/>
  </r>
  <r>
    <s v="AJEET KUMAR"/>
    <d v="2026-06-01T00:00:00"/>
    <s v="SR-RTN/26-27/29896"/>
    <s v="B-295636"/>
    <s v="B-GOLD-FILING"/>
    <s v="GOLD-FILLING-WK"/>
    <x v="1"/>
    <s v="G-NA-75.00-RG"/>
    <n v="6.9240000000000004"/>
    <n v="5.1929999999999996"/>
    <n v="0.74999999999999989"/>
    <n v="6.9240000000000004"/>
    <n v="5.1929999999999996"/>
    <n v="5.1929999999999996"/>
    <n v="0.74999999999999989"/>
    <n v="0"/>
    <n v="0"/>
    <n v="0"/>
    <n v="0"/>
    <n v="0"/>
    <n v="0"/>
    <n v="0"/>
    <n v="0"/>
    <n v="0"/>
    <n v="0"/>
    <n v="0"/>
    <n v="0"/>
    <n v="0"/>
    <n v="0"/>
    <x v="0"/>
    <n v="5.1929999999999996"/>
    <n v="0"/>
    <n v="1"/>
  </r>
  <r>
    <s v="AJEET KUMAR"/>
    <d v="2026-06-01T00:00:00"/>
    <s v="SR-RTN/26-27/29896"/>
    <s v="B-295637"/>
    <s v="B-GOLD-FILING"/>
    <s v="GOLD-FILLING-WK"/>
    <x v="1"/>
    <s v="G-NA-75.00-RG"/>
    <n v="5.819"/>
    <n v="4.3642500000000002"/>
    <n v="0.75"/>
    <n v="5.819"/>
    <n v="4.3642500000000002"/>
    <n v="4.3650000000000002"/>
    <n v="0.75"/>
    <n v="0"/>
    <n v="0"/>
    <n v="0"/>
    <n v="0"/>
    <n v="0"/>
    <n v="0"/>
    <n v="0"/>
    <n v="0"/>
    <n v="0"/>
    <n v="0"/>
    <n v="0"/>
    <n v="0"/>
    <n v="0"/>
    <n v="0"/>
    <x v="1"/>
    <n v="4.2370000000000001"/>
    <n v="0.12800000000000011"/>
    <n v="2"/>
  </r>
  <r>
    <s v="AJEET KUMAR"/>
    <d v="2026-06-01T00:00:00"/>
    <s v="SR-RTN/26-27/29896"/>
    <s v="B-295641"/>
    <s v="B-GOLD-FILING"/>
    <s v="GOLD-FILLING-WK"/>
    <x v="1"/>
    <s v="G-NA-75.00-RG"/>
    <n v="7.359"/>
    <n v="5.5192500000000004"/>
    <n v="0.75000000000000011"/>
    <n v="7.359"/>
    <n v="5.5192500000000004"/>
    <n v="5.5200000000000005"/>
    <n v="0.75000000000000011"/>
    <n v="0"/>
    <n v="0"/>
    <n v="0"/>
    <n v="0"/>
    <n v="0"/>
    <n v="0"/>
    <n v="0"/>
    <n v="0"/>
    <n v="0"/>
    <n v="0"/>
    <n v="0"/>
    <n v="0"/>
    <n v="0"/>
    <n v="0"/>
    <x v="1"/>
    <n v="5.3400000000000007"/>
    <n v="0.17999999999999972"/>
    <n v="2"/>
  </r>
  <r>
    <s v="AJEET KUMAR"/>
    <d v="2026-06-01T00:00:00"/>
    <s v="SR-RTN/26-27/29896"/>
    <s v="B-295642"/>
    <s v="B-GOLD-FILING"/>
    <s v="GOLD-FILLING-WK"/>
    <x v="1"/>
    <s v="G-NA-75.00-RG"/>
    <n v="5.63"/>
    <n v="4.2225000000000001"/>
    <n v="0.75"/>
    <n v="5.63"/>
    <n v="4.2225000000000001"/>
    <n v="4.2230000000000008"/>
    <n v="0.75"/>
    <n v="0"/>
    <n v="0"/>
    <n v="0"/>
    <n v="0"/>
    <n v="0"/>
    <n v="0"/>
    <n v="0"/>
    <n v="0"/>
    <n v="0"/>
    <n v="0"/>
    <n v="0"/>
    <n v="0"/>
    <n v="0"/>
    <n v="0"/>
    <x v="1"/>
    <n v="4.0199999999999996"/>
    <n v="0.20300000000000118"/>
    <n v="2"/>
  </r>
  <r>
    <s v="AJEET KUMAR"/>
    <d v="2026-06-01T00:00:00"/>
    <s v="SR-RTN/26-27/29896"/>
    <s v="B-295643"/>
    <s v="B-GOLD-FILING"/>
    <s v="GOLD-FILLING-WK"/>
    <x v="1"/>
    <s v="G-NA-75.00-RG"/>
    <n v="6.1580000000000004"/>
    <n v="4.6185"/>
    <n v="0.75"/>
    <n v="6.1580000000000004"/>
    <n v="4.6185"/>
    <n v="4.6190000000000007"/>
    <n v="0.75"/>
    <n v="0"/>
    <n v="0"/>
    <n v="0"/>
    <n v="0"/>
    <n v="0"/>
    <n v="0"/>
    <n v="0"/>
    <n v="0"/>
    <n v="0"/>
    <n v="0"/>
    <n v="0"/>
    <n v="0"/>
    <n v="0"/>
    <n v="0"/>
    <x v="1"/>
    <n v="4.3559999999999999"/>
    <n v="0.26300000000000079"/>
    <n v="2"/>
  </r>
  <r>
    <s v="AJEET KUMAR"/>
    <d v="2026-06-01T00:00:00"/>
    <s v="SR-RTN/26-27/29934"/>
    <s v="B-295594"/>
    <s v="B-GOLD-FILING"/>
    <s v="GOLD-FILLING-WK"/>
    <x v="1"/>
    <s v="G-NA-75.00-YG"/>
    <n v="13.86"/>
    <n v="10.395"/>
    <n v="0.75"/>
    <n v="13.05"/>
    <n v="9.7874999999999996"/>
    <n v="9.7880000000000003"/>
    <n v="0.74999999999999989"/>
    <n v="0"/>
    <n v="0"/>
    <n v="0"/>
    <n v="0"/>
    <n v="0"/>
    <n v="0"/>
    <n v="0"/>
    <n v="0"/>
    <n v="0"/>
    <n v="0.81"/>
    <n v="0.60750000000000004"/>
    <n v="0.75"/>
    <n v="-0.80999999999999872"/>
    <n v="0.80999999999999872"/>
    <x v="0"/>
    <n v="9.7880000000000003"/>
    <n v="0"/>
    <n v="1"/>
  </r>
  <r>
    <s v="AJEET KUMAR"/>
    <d v="2026-06-01T00:00:00"/>
    <s v="SR-RTN/26-27/29987"/>
    <s v="B-293264"/>
    <s v="B-GOLD-FILING"/>
    <s v="GOLD-FILLING-WK"/>
    <x v="0"/>
    <s v="G-NA-91.70-YG"/>
    <n v="40.54"/>
    <n v="37.175179999999997"/>
    <n v="0.91699999999999993"/>
    <n v="40.5"/>
    <n v="37.138500000000001"/>
    <n v="37.138999999999996"/>
    <n v="0.91700000000000004"/>
    <n v="0"/>
    <n v="0"/>
    <n v="0"/>
    <n v="0"/>
    <n v="0"/>
    <n v="0"/>
    <n v="0"/>
    <n v="0"/>
    <n v="0"/>
    <n v="0.04"/>
    <n v="3.6679999999999997E-2"/>
    <n v="0.91699999999999993"/>
    <n v="-3.9999999999999147E-2"/>
    <n v="3.9999999999999147E-2"/>
    <x v="0"/>
    <n v="37.138999999999996"/>
    <n v="0"/>
    <n v="1"/>
  </r>
  <r>
    <s v="AJEET KUMAR"/>
    <d v="2026-06-01T00:00:00"/>
    <s v="SR-RTN/26-27/29987"/>
    <s v="B-293435"/>
    <s v="B-GOLD-FILING"/>
    <s v="GOLD-FILLING-WK"/>
    <x v="0"/>
    <s v="G-NA-91.70-YG"/>
    <n v="6.72"/>
    <n v="6.1622399999999997"/>
    <n v="0.91700000000000004"/>
    <n v="6.5"/>
    <n v="5.9604999999999997"/>
    <n v="5.9610000000000003"/>
    <n v="0.91699999999999993"/>
    <n v="0"/>
    <n v="0"/>
    <n v="0"/>
    <n v="0"/>
    <n v="0"/>
    <n v="0"/>
    <n v="0"/>
    <n v="0"/>
    <n v="0"/>
    <n v="0.22"/>
    <n v="0.20174"/>
    <n v="0.91700000000000004"/>
    <n v="-0.21999999999999975"/>
    <n v="0.21999999999999975"/>
    <x v="0"/>
    <n v="5.9610000000000003"/>
    <n v="0"/>
    <n v="1"/>
  </r>
  <r>
    <s v="AJEET KUMAR"/>
    <d v="2026-06-01T00:00:00"/>
    <s v="SR-RTN/26-27/29987"/>
    <s v="B-295673"/>
    <s v="B-GOLD-FILING"/>
    <s v="GOLD-FILLING-WK"/>
    <x v="0"/>
    <s v="G-NA-91.70-YG"/>
    <n v="27.09"/>
    <n v="24.841529999999999"/>
    <n v="0.91699999999999993"/>
    <n v="26.79"/>
    <n v="24.56643"/>
    <n v="24.567"/>
    <n v="0.91700000000000004"/>
    <n v="0"/>
    <n v="0"/>
    <n v="0"/>
    <n v="0"/>
    <n v="0"/>
    <n v="0"/>
    <n v="0"/>
    <n v="0"/>
    <n v="0"/>
    <n v="0.3"/>
    <n v="0.27510000000000001"/>
    <n v="0.91700000000000004"/>
    <n v="-0.30000000000000071"/>
    <n v="0.30000000000000071"/>
    <x v="0"/>
    <n v="24.567"/>
    <n v="0"/>
    <n v="1"/>
  </r>
  <r>
    <s v="AJEET KUMAR"/>
    <d v="2026-06-01T00:00:00"/>
    <s v="SR-RTN/26-27/29987"/>
    <s v="B-295900"/>
    <s v="B-GOLD-FILING"/>
    <s v="GOLD-FILLING-WK"/>
    <x v="1"/>
    <s v="G-NA-75.00-RG"/>
    <n v="50.58"/>
    <n v="37.935000000000002"/>
    <n v="0.75000000000000011"/>
    <n v="46.54"/>
    <n v="34.905000000000001"/>
    <n v="34.905000000000001"/>
    <n v="0.75"/>
    <n v="0"/>
    <n v="0"/>
    <n v="0"/>
    <n v="0"/>
    <n v="0"/>
    <n v="0"/>
    <n v="0"/>
    <n v="0"/>
    <n v="0"/>
    <n v="4.04"/>
    <n v="3.03"/>
    <n v="0.75"/>
    <n v="-4.0399999999999991"/>
    <n v="4.0399999999999991"/>
    <x v="0"/>
    <n v="34.905000000000001"/>
    <n v="0"/>
    <n v="1"/>
  </r>
  <r>
    <s v="AJEET KUMAR"/>
    <d v="2026-06-01T00:00:00"/>
    <s v="SR-RTN/26-27/30020"/>
    <s v="B-293532"/>
    <s v="B-GOLD-FILING"/>
    <s v="GOLD-FILLING-WK"/>
    <x v="0"/>
    <s v="G-NA-91.70-YG"/>
    <n v="45.57"/>
    <n v="41.787689999999998"/>
    <n v="0.91699999999999993"/>
    <n v="44.11"/>
    <n v="40.448869999999999"/>
    <n v="40.448999999999998"/>
    <n v="0.91700000000000004"/>
    <n v="0"/>
    <n v="0"/>
    <n v="0"/>
    <n v="0"/>
    <n v="0"/>
    <n v="0"/>
    <n v="0"/>
    <n v="0"/>
    <n v="0"/>
    <n v="1.46"/>
    <n v="1.3388199999999999"/>
    <n v="0.91699999999999993"/>
    <n v="-1.4600000000000009"/>
    <n v="1.4600000000000009"/>
    <x v="0"/>
    <n v="40.448999999999998"/>
    <n v="0"/>
    <n v="1"/>
  </r>
  <r>
    <s v="AJEET KUMAR"/>
    <d v="2026-06-01T00:00:00"/>
    <s v="SR-RTN/26-27/30061"/>
    <s v="B-293166"/>
    <s v="B-GOLD-FILING"/>
    <s v="GOLD-FILLING-WK"/>
    <x v="1"/>
    <s v="G-NA-75.00-RG"/>
    <n v="20.57"/>
    <n v="15.4275"/>
    <n v="0.75"/>
    <n v="20.47"/>
    <n v="15.352499999999999"/>
    <n v="15.353"/>
    <n v="0.75"/>
    <n v="0"/>
    <n v="0"/>
    <n v="0"/>
    <n v="0"/>
    <n v="0"/>
    <n v="0"/>
    <n v="0"/>
    <n v="0"/>
    <n v="0"/>
    <n v="0.1"/>
    <n v="7.4999999999999997E-2"/>
    <n v="0.74999999999999989"/>
    <n v="-0.10000000000000142"/>
    <n v="0.10000000000000142"/>
    <x v="0"/>
    <n v="15.353"/>
    <n v="0"/>
    <n v="1"/>
  </r>
  <r>
    <s v="AJEET KUMAR"/>
    <d v="2026-06-01T00:00:00"/>
    <s v="SR-RTN/26-27/30062"/>
    <s v="B-293227"/>
    <s v="B-GOLD-FILING"/>
    <s v="GOLD-FILLING-WK"/>
    <x v="0"/>
    <s v="G-NA-91.70-YG"/>
    <n v="28.515999999999998"/>
    <n v="26.149172"/>
    <n v="0.91700000000000004"/>
    <n v="26.626000000000001"/>
    <n v="24.416042000000001"/>
    <n v="24.417000000000002"/>
    <n v="0.91700000000000004"/>
    <n v="0"/>
    <n v="0"/>
    <n v="0"/>
    <n v="0"/>
    <n v="0"/>
    <n v="0"/>
    <n v="0"/>
    <n v="0"/>
    <n v="0"/>
    <n v="1.89"/>
    <n v="1.7331300000000001"/>
    <n v="0.91700000000000004"/>
    <n v="-1.889999999999997"/>
    <n v="1.889999999999997"/>
    <x v="1"/>
    <n v="22.738"/>
    <n v="1.679000000000002"/>
    <n v="2"/>
  </r>
  <r>
    <s v="AJEET KUMAR"/>
    <d v="2026-06-01T00:00:00"/>
    <s v="SR-RTN/26-27/30063"/>
    <s v="B-293206"/>
    <s v="B-GOLD-FILING"/>
    <s v="GOLD-FILLING-WK"/>
    <x v="1"/>
    <s v="G-NA-75.00-RG"/>
    <n v="19.02"/>
    <n v="14.265000000000001"/>
    <n v="0.75"/>
    <n v="17.72"/>
    <n v="13.29"/>
    <n v="13.29"/>
    <n v="0.75"/>
    <n v="0"/>
    <n v="0"/>
    <n v="0"/>
    <n v="0"/>
    <n v="0"/>
    <n v="0"/>
    <n v="0"/>
    <n v="0"/>
    <n v="0"/>
    <n v="1.3"/>
    <n v="0.97499999999999998"/>
    <n v="0.75"/>
    <n v="-1.3000000000000007"/>
    <n v="1.3000000000000007"/>
    <x v="0"/>
    <n v="13.29"/>
    <n v="0"/>
    <n v="1"/>
  </r>
  <r>
    <s v="AJEET KUMAR"/>
    <d v="2026-06-01T00:00:00"/>
    <s v="SR-RTN/26-27/30064"/>
    <s v="B-293201"/>
    <s v="B-GOLD-FILING"/>
    <s v="GOLD-FILLING-WK"/>
    <x v="1"/>
    <s v="G-NA-75.00-RG"/>
    <n v="22.8"/>
    <n v="17.100000000000001"/>
    <n v="0.75"/>
    <n v="20.86"/>
    <n v="15.645"/>
    <n v="15.645"/>
    <n v="0.75"/>
    <n v="0"/>
    <n v="0"/>
    <n v="0"/>
    <n v="0"/>
    <n v="0"/>
    <n v="0"/>
    <n v="0"/>
    <n v="0"/>
    <n v="0"/>
    <n v="1.94"/>
    <n v="1.4550000000000001"/>
    <n v="0.75000000000000011"/>
    <n v="-1.9400000000000013"/>
    <n v="1.9400000000000013"/>
    <x v="0"/>
    <n v="15.645"/>
    <n v="0"/>
    <n v="1"/>
  </r>
  <r>
    <s v="AJEET KUMAR"/>
    <d v="2026-06-01T00:00:00"/>
    <s v="SR-RTN/26-27/30066"/>
    <s v="B-293191"/>
    <s v="B-GOLD-FILING"/>
    <s v="GOLD-FILLING-WK"/>
    <x v="1"/>
    <s v="G-NA-75.00-RG"/>
    <n v="14.37"/>
    <n v="10.7775"/>
    <n v="0.75"/>
    <n v="14.35"/>
    <n v="10.762499999999999"/>
    <n v="10.763"/>
    <n v="0.75"/>
    <n v="0"/>
    <n v="0"/>
    <n v="0"/>
    <n v="0"/>
    <n v="0"/>
    <n v="0"/>
    <n v="0"/>
    <n v="0"/>
    <n v="0"/>
    <n v="0.02"/>
    <n v="1.4999999999999999E-2"/>
    <n v="0.75"/>
    <n v="-1.9999999999999574E-2"/>
    <n v="1.9999999999999574E-2"/>
    <x v="0"/>
    <n v="10.763"/>
    <n v="0"/>
    <n v="2"/>
  </r>
  <r>
    <s v="AJEET KUMAR"/>
    <d v="2026-06-01T00:00:00"/>
    <s v="SR-RTN/26-27/30067"/>
    <s v="B-294985"/>
    <s v="B-GOLD-FILING"/>
    <s v="GOLD-FILLING-WK"/>
    <x v="0"/>
    <s v="G-NA-91.70-YG"/>
    <n v="26"/>
    <n v="23.841999999999999"/>
    <n v="0.91699999999999993"/>
    <n v="24.2"/>
    <n v="22.191400000000002"/>
    <n v="22.192"/>
    <n v="0.91700000000000004"/>
    <n v="0"/>
    <n v="0"/>
    <n v="0"/>
    <n v="0"/>
    <n v="0"/>
    <n v="0"/>
    <n v="0"/>
    <n v="0"/>
    <n v="0"/>
    <n v="1.8"/>
    <n v="1.6506000000000001"/>
    <n v="0.91700000000000004"/>
    <n v="-1.8000000000000007"/>
    <n v="1.8000000000000007"/>
    <x v="0"/>
    <n v="22.192"/>
    <n v="0"/>
    <n v="1"/>
  </r>
  <r>
    <s v="AJEET KUMAR"/>
    <d v="2026-06-01T00:00:00"/>
    <s v="SR-RTN/26-27/30068"/>
    <s v="B-295555"/>
    <s v="B-GOLD-FILING"/>
    <s v="GOLD-FILLING-WK"/>
    <x v="1"/>
    <s v="G-NA-75.00-RG"/>
    <n v="24.33"/>
    <n v="18.247499999999999"/>
    <n v="0.75"/>
    <n v="21.55"/>
    <n v="16.162500000000001"/>
    <n v="16.163"/>
    <n v="0.75"/>
    <n v="0"/>
    <n v="0"/>
    <n v="0"/>
    <n v="0"/>
    <n v="0"/>
    <n v="0"/>
    <n v="0"/>
    <n v="0"/>
    <n v="0"/>
    <n v="2.78"/>
    <n v="2.085"/>
    <n v="0.75"/>
    <n v="-2.7799999999999976"/>
    <n v="2.7799999999999976"/>
    <x v="0"/>
    <n v="16.163"/>
    <n v="0"/>
    <n v="1"/>
  </r>
  <r>
    <s v="AJEET KUMAR"/>
    <d v="2026-06-01T00:00:00"/>
    <s v="SR-RTN/26-27/30069"/>
    <s v="B-293259"/>
    <s v="B-GOLD-FILING"/>
    <s v="GOLD-FILLING-WK"/>
    <x v="0"/>
    <s v="G-NA-91.70-YG"/>
    <n v="44.7"/>
    <n v="40.989899999999999"/>
    <n v="0.91699999999999993"/>
    <n v="44.37"/>
    <n v="40.687289999999997"/>
    <n v="40.687999999999995"/>
    <n v="0.91700000000000004"/>
    <n v="0"/>
    <n v="0"/>
    <n v="0"/>
    <n v="0"/>
    <n v="0"/>
    <n v="0"/>
    <n v="0"/>
    <n v="0"/>
    <n v="0"/>
    <n v="0.33"/>
    <n v="0.30260999999999999"/>
    <n v="0.91699999999999993"/>
    <n v="-0.3300000000000054"/>
    <n v="0.3300000000000054"/>
    <x v="0"/>
    <n v="40.687999999999995"/>
    <n v="0"/>
    <n v="1"/>
  </r>
  <r>
    <s v="AJEET KUMAR"/>
    <d v="2026-06-01T00:00:00"/>
    <s v="SR-RTN/26-27/30070"/>
    <s v="B-293297"/>
    <s v="B-GOLD-FILING"/>
    <s v="GOLD-FILLING-WK"/>
    <x v="0"/>
    <s v="G-NA-91.70-YG"/>
    <n v="33.78"/>
    <n v="30.97626"/>
    <n v="0.91699999999999993"/>
    <n v="32.9"/>
    <n v="30.1693"/>
    <n v="30.17"/>
    <n v="0.91700000000000004"/>
    <n v="0"/>
    <n v="0"/>
    <n v="0"/>
    <n v="0"/>
    <n v="0"/>
    <n v="0"/>
    <n v="0"/>
    <n v="0"/>
    <n v="0"/>
    <n v="0.88"/>
    <n v="0.80696000000000001"/>
    <n v="0.91700000000000004"/>
    <n v="-0.88000000000000256"/>
    <n v="0.88000000000000256"/>
    <x v="0"/>
    <n v="30.17"/>
    <n v="0"/>
    <n v="1"/>
  </r>
  <r>
    <s v="AJEET KUMAR"/>
    <d v="2026-06-01T00:00:00"/>
    <s v="SR-RTN/26-27/30072"/>
    <s v="B-293446"/>
    <s v="B-GOLD-FILING"/>
    <s v="GOLD-FILLING-WK"/>
    <x v="0"/>
    <s v="G-NA-91.70-YG"/>
    <n v="35.235999999999997"/>
    <n v="32.311411999999997"/>
    <n v="0.91700000000000004"/>
    <n v="33.695999999999998"/>
    <n v="30.899232000000001"/>
    <n v="30.900000000000002"/>
    <n v="0.91700000000000015"/>
    <n v="0"/>
    <n v="0"/>
    <n v="0"/>
    <n v="0"/>
    <n v="0"/>
    <n v="0"/>
    <n v="0"/>
    <n v="0"/>
    <n v="0"/>
    <n v="1.54"/>
    <n v="1.41218"/>
    <n v="0.91699999999999993"/>
    <n v="-1.5399999999999991"/>
    <n v="1.5399999999999991"/>
    <x v="0"/>
    <n v="30.900000000000002"/>
    <n v="0"/>
    <n v="1"/>
  </r>
  <r>
    <s v="AJEET KUMAR"/>
    <d v="2026-06-01T00:00:00"/>
    <s v="SR-RTN/26-27/30076"/>
    <s v="B-295626"/>
    <s v="B-GOLD-FILING"/>
    <s v="GOLD-FILLING-WK"/>
    <x v="0"/>
    <s v="G-NA-91.70-YG"/>
    <n v="254.17"/>
    <n v="233.07389000000001"/>
    <n v="0.91700000000000004"/>
    <n v="254.17"/>
    <n v="233.07389000000001"/>
    <n v="233.07400000000001"/>
    <n v="0.91700000000000004"/>
    <n v="0"/>
    <n v="0"/>
    <n v="0"/>
    <n v="0"/>
    <n v="0"/>
    <n v="0"/>
    <n v="0"/>
    <n v="0"/>
    <n v="0"/>
    <n v="0"/>
    <n v="0"/>
    <n v="0"/>
    <n v="0"/>
    <n v="0"/>
    <x v="1"/>
    <n v="219.40200000000002"/>
    <n v="13.671999999999997"/>
    <n v="2"/>
  </r>
  <r>
    <s v="AJEET KUMAR"/>
    <d v="2026-06-01T00:00:00"/>
    <s v="SR-RTN/26-27/30076"/>
    <s v="B-296056"/>
    <s v="B-GOLD-FILING"/>
    <s v="GOLD-FILLING-WK"/>
    <x v="0"/>
    <s v="G-NA-91.70-YG"/>
    <n v="30.13"/>
    <n v="27.62921"/>
    <n v="0.91700000000000004"/>
    <n v="30.13"/>
    <n v="27.62921"/>
    <n v="27.630000000000003"/>
    <n v="0.91700000000000004"/>
    <n v="0"/>
    <n v="0"/>
    <n v="0"/>
    <n v="0"/>
    <n v="0"/>
    <n v="0"/>
    <n v="0"/>
    <n v="0"/>
    <n v="0"/>
    <n v="0"/>
    <n v="0"/>
    <n v="0"/>
    <n v="0"/>
    <n v="0"/>
    <x v="1"/>
    <n v="26.19"/>
    <n v="1.4400000000000013"/>
    <n v="2"/>
  </r>
  <r>
    <s v="AJEET KUMAR"/>
    <d v="2026-06-01T00:00:00"/>
    <s v="SR-RTN/26-27/30078"/>
    <s v="B-293132"/>
    <s v="B-GOLD-FILING"/>
    <s v="GOLD-FILLING-WK"/>
    <x v="1"/>
    <s v="G-NA-75.00-RG"/>
    <n v="19.329999999999998"/>
    <n v="14.4975"/>
    <n v="0.75000000000000011"/>
    <n v="17.940000000000001"/>
    <n v="13.455"/>
    <n v="13.455"/>
    <n v="0.75"/>
    <n v="0"/>
    <n v="0"/>
    <n v="0"/>
    <n v="0"/>
    <n v="0"/>
    <n v="0"/>
    <n v="0"/>
    <n v="0"/>
    <n v="0"/>
    <n v="1.39"/>
    <n v="1.0425"/>
    <n v="0.75"/>
    <n v="-1.389999999999997"/>
    <n v="1.389999999999997"/>
    <x v="0"/>
    <n v="13.455"/>
    <n v="0"/>
    <n v="1"/>
  </r>
  <r>
    <s v="AJEET KUMAR"/>
    <d v="2026-06-01T00:00:00"/>
    <s v="SR-RTN/26-27/30088"/>
    <s v="B-294019"/>
    <s v="B-GOLD-FILING"/>
    <s v="GOLD-FILLING-WK"/>
    <x v="1"/>
    <s v="G-NA-75.00-RG"/>
    <n v="6.12"/>
    <n v="4.59"/>
    <n v="0.75"/>
    <n v="5.89"/>
    <n v="4.4175000000000004"/>
    <n v="4.4180000000000001"/>
    <n v="0.75000000000000011"/>
    <n v="0"/>
    <n v="0"/>
    <n v="0"/>
    <n v="0"/>
    <n v="0"/>
    <n v="0"/>
    <n v="0"/>
    <n v="0"/>
    <n v="0"/>
    <n v="0.23"/>
    <n v="0.17249999999999999"/>
    <n v="0.74999999999999989"/>
    <n v="-0.23000000000000043"/>
    <n v="0.23000000000000043"/>
    <x v="0"/>
    <n v="4.4180000000000001"/>
    <n v="0"/>
    <n v="1"/>
  </r>
  <r>
    <s v="AJEET KUMAR"/>
    <d v="2026-06-01T00:00:00"/>
    <s v="SR-RTN/26-27/30106"/>
    <s v="B-293242"/>
    <s v="B-GOLD-FILING"/>
    <s v="GOLD-FILLING-WK"/>
    <x v="0"/>
    <s v="G-NA-91.70-YG"/>
    <n v="27.68"/>
    <n v="25.382560000000002"/>
    <n v="0.91700000000000004"/>
    <n v="26.04"/>
    <n v="23.878679999999999"/>
    <n v="23.879000000000001"/>
    <n v="0.91700000000000004"/>
    <n v="0"/>
    <n v="0"/>
    <n v="0"/>
    <n v="0"/>
    <n v="0"/>
    <n v="0"/>
    <n v="0"/>
    <n v="0"/>
    <n v="0"/>
    <n v="1.64"/>
    <n v="1.5038800000000001"/>
    <n v="0.91700000000000015"/>
    <n v="-1.6400000000000006"/>
    <n v="1.6400000000000006"/>
    <x v="0"/>
    <n v="23.879000000000001"/>
    <n v="0"/>
    <n v="1"/>
  </r>
  <r>
    <s v="AJEET KUMAR"/>
    <d v="2026-06-01T00:00:00"/>
    <s v="SR-RTN/26-27/30108"/>
    <s v="B-293142"/>
    <s v="B-GOLD-FILING"/>
    <s v="GOLD-FILLING-WK"/>
    <x v="1"/>
    <s v="G-NA-75.00-RG"/>
    <n v="17.59"/>
    <n v="13.192500000000001"/>
    <n v="0.75"/>
    <n v="16.09"/>
    <n v="12.067500000000001"/>
    <n v="12.068"/>
    <n v="0.75"/>
    <n v="0"/>
    <n v="0"/>
    <n v="0"/>
    <n v="0"/>
    <n v="0"/>
    <n v="0"/>
    <n v="0"/>
    <n v="0"/>
    <n v="0"/>
    <n v="1.5"/>
    <n v="1.125"/>
    <n v="0.75"/>
    <n v="-1.5"/>
    <n v="1.5"/>
    <x v="0"/>
    <n v="12.068"/>
    <n v="0"/>
    <n v="1"/>
  </r>
  <r>
    <s v="AJEET KUMAR"/>
    <d v="2026-06-01T00:00:00"/>
    <s v="SR-RTN/26-27/30108"/>
    <s v="B-295630"/>
    <s v="B-GOLD-FILING"/>
    <s v="GOLD-FILLING-WK"/>
    <x v="1"/>
    <s v="G-NA-75.00-RG"/>
    <n v="6.58"/>
    <n v="4.9349999999999996"/>
    <n v="0.74999999999999989"/>
    <n v="6.55"/>
    <n v="4.9124999999999996"/>
    <n v="4.9130000000000003"/>
    <n v="0.75"/>
    <n v="0"/>
    <n v="0"/>
    <n v="0"/>
    <n v="0"/>
    <n v="0"/>
    <n v="0"/>
    <n v="0"/>
    <n v="0"/>
    <n v="0"/>
    <n v="0.03"/>
    <n v="2.2499999999999999E-2"/>
    <n v="0.75"/>
    <n v="-3.0000000000000249E-2"/>
    <n v="3.0000000000000249E-2"/>
    <x v="0"/>
    <n v="4.9130000000000003"/>
    <n v="0"/>
    <n v="1"/>
  </r>
  <r>
    <s v="AJEET KUMAR"/>
    <d v="2026-06-01T00:00:00"/>
    <s v="SR-RTN/26-27/30109"/>
    <s v="B-295597"/>
    <s v="B-GOLD-FILING"/>
    <s v="GOLD-FILLING-WK"/>
    <x v="0"/>
    <s v="G-NA-91.70-YG"/>
    <n v="24.54"/>
    <n v="22.50318"/>
    <n v="0.91700000000000004"/>
    <n v="22.82"/>
    <n v="20.925940000000001"/>
    <n v="20.926000000000002"/>
    <n v="0.91700000000000004"/>
    <n v="0"/>
    <n v="0"/>
    <n v="0"/>
    <n v="0"/>
    <n v="0"/>
    <n v="0"/>
    <n v="0"/>
    <n v="0"/>
    <n v="0"/>
    <n v="1.72"/>
    <n v="1.57724"/>
    <n v="0.91700000000000004"/>
    <n v="-1.7199999999999989"/>
    <n v="1.7199999999999989"/>
    <x v="0"/>
    <n v="20.926000000000002"/>
    <n v="0"/>
    <n v="1"/>
  </r>
  <r>
    <s v="AJEET KUMAR"/>
    <d v="2026-06-01T00:00:00"/>
    <s v="SR-RTN/26-27/30110"/>
    <s v="B-293167"/>
    <s v="B-GOLD-FILING"/>
    <s v="GOLD-FILLING-WK"/>
    <x v="1"/>
    <s v="G-NA-75.00-RG"/>
    <n v="22.15"/>
    <n v="16.612500000000001"/>
    <n v="0.75000000000000011"/>
    <n v="18.760000000000002"/>
    <n v="14.07"/>
    <n v="14.07"/>
    <n v="0.75"/>
    <n v="0"/>
    <n v="0"/>
    <n v="0"/>
    <n v="0"/>
    <n v="0"/>
    <n v="0"/>
    <n v="0"/>
    <n v="0"/>
    <n v="0"/>
    <n v="3.39"/>
    <n v="2.5425"/>
    <n v="0.75"/>
    <n v="-3.389999999999997"/>
    <n v="3.389999999999997"/>
    <x v="0"/>
    <n v="14.07"/>
    <n v="0"/>
    <n v="1"/>
  </r>
  <r>
    <s v="AJEET KUMAR"/>
    <d v="2026-06-01T00:00:00"/>
    <s v="SR-RTN/26-27/30111"/>
    <s v="B-294988"/>
    <s v="B-GOLD-FILING"/>
    <s v="GOLD-FILLING-WK"/>
    <x v="0"/>
    <s v="G-NA-91.70-YG"/>
    <n v="46.6"/>
    <n v="42.732199999999999"/>
    <n v="0.91699999999999993"/>
    <n v="43.64"/>
    <n v="40.017879999999998"/>
    <n v="40.018000000000001"/>
    <n v="0.91699999999999993"/>
    <n v="0"/>
    <n v="0"/>
    <n v="0"/>
    <n v="0"/>
    <n v="0"/>
    <n v="0"/>
    <n v="0"/>
    <n v="0"/>
    <n v="0"/>
    <n v="2.96"/>
    <n v="2.7143199999999998"/>
    <n v="0.91699999999999993"/>
    <n v="-2.9600000000000009"/>
    <n v="2.9600000000000009"/>
    <x v="0"/>
    <n v="40.018000000000001"/>
    <n v="0"/>
    <n v="1"/>
  </r>
  <r>
    <s v="AJEET KUMAR"/>
    <d v="2026-06-01T00:00:00"/>
    <s v="SR-RTN/26-27/30112"/>
    <s v="B-295645"/>
    <s v="B-GOLD-FILING"/>
    <s v="GOLD-FILLING-WK"/>
    <x v="1"/>
    <s v="G-NA-75.00-RG"/>
    <n v="14.12"/>
    <n v="10.59"/>
    <n v="0.75"/>
    <n v="12.6"/>
    <n v="9.4499999999999993"/>
    <n v="9.4499999999999993"/>
    <n v="0.75"/>
    <n v="0"/>
    <n v="0"/>
    <n v="0"/>
    <n v="0"/>
    <n v="0"/>
    <n v="0"/>
    <n v="0"/>
    <n v="0"/>
    <n v="0"/>
    <n v="1.52"/>
    <n v="1.1399999999999999"/>
    <n v="0.74999999999999989"/>
    <n v="-1.5199999999999996"/>
    <n v="1.5199999999999996"/>
    <x v="0"/>
    <n v="9.4499999999999993"/>
    <n v="0"/>
    <n v="1"/>
  </r>
  <r>
    <s v="AJEET KUMAR"/>
    <d v="2026-06-01T00:00:00"/>
    <s v="SR-RTN/26-27/30116"/>
    <s v="B-293239"/>
    <s v="B-GOLD-FILING"/>
    <s v="GOLD-FILLING-WK"/>
    <x v="0"/>
    <s v="G-NA-91.70-YG"/>
    <n v="26.15"/>
    <n v="23.97955"/>
    <n v="0.91700000000000004"/>
    <n v="25.35"/>
    <n v="23.245950000000001"/>
    <n v="23.246000000000002"/>
    <n v="0.91699999999999993"/>
    <n v="0"/>
    <n v="0"/>
    <n v="0"/>
    <n v="0"/>
    <n v="0"/>
    <n v="0"/>
    <n v="0"/>
    <n v="0"/>
    <n v="0"/>
    <n v="0.8"/>
    <n v="0.73360000000000003"/>
    <n v="0.91700000000000004"/>
    <n v="-0.79999999999999716"/>
    <n v="0.79999999999999716"/>
    <x v="0"/>
    <n v="23.246000000000002"/>
    <n v="0"/>
    <n v="1"/>
  </r>
  <r>
    <s v="AJEET KUMAR"/>
    <d v="2026-06-01T00:00:00"/>
    <s v="SR-RTN/26-27/30118"/>
    <s v="B-293243"/>
    <s v="B-GOLD-FILING"/>
    <s v="GOLD-FILLING-WK"/>
    <x v="0"/>
    <s v="G-NA-91.70-YG"/>
    <n v="59.65"/>
    <n v="54.69905"/>
    <n v="0.91700000000000004"/>
    <n v="54.02"/>
    <n v="49.536340000000003"/>
    <n v="49.536999999999999"/>
    <n v="0.91700000000000004"/>
    <n v="0"/>
    <n v="0"/>
    <n v="0"/>
    <n v="0"/>
    <n v="0"/>
    <n v="0"/>
    <n v="0"/>
    <n v="0"/>
    <n v="0"/>
    <n v="5.63"/>
    <n v="5.1627099999999997"/>
    <n v="0.91699999999999993"/>
    <n v="-5.6299999999999955"/>
    <n v="5.6299999999999955"/>
    <x v="0"/>
    <n v="49.536999999999999"/>
    <n v="0"/>
    <n v="1"/>
  </r>
  <r>
    <s v="AJEET KUMAR"/>
    <d v="2026-06-01T00:00:00"/>
    <s v="SR-RTN/26-27/30119"/>
    <s v="B-293144"/>
    <s v="B-GOLD-FILING"/>
    <s v="GOLD-FILLING-WK"/>
    <x v="1"/>
    <s v="G-NA-75.00-RG"/>
    <n v="24.97"/>
    <n v="18.727499999999999"/>
    <n v="0.75"/>
    <n v="22.34"/>
    <n v="16.754999999999999"/>
    <n v="16.754999999999999"/>
    <n v="0.75"/>
    <n v="0"/>
    <n v="0"/>
    <n v="0"/>
    <n v="0"/>
    <n v="0"/>
    <n v="0"/>
    <n v="0"/>
    <n v="0"/>
    <n v="0"/>
    <n v="2.63"/>
    <n v="1.9724999999999999"/>
    <n v="0.75"/>
    <n v="-2.629999999999999"/>
    <n v="2.629999999999999"/>
    <x v="0"/>
    <n v="16.754999999999999"/>
    <n v="0"/>
    <n v="1"/>
  </r>
  <r>
    <s v="AJEET KUMAR"/>
    <d v="2026-06-01T00:00:00"/>
    <s v="SR-RTN/26-27/30124"/>
    <s v="B-293290"/>
    <s v="B-GOLD-FILING"/>
    <s v="GOLD-FILLING-WK"/>
    <x v="0"/>
    <s v="G-NA-91.70-YG"/>
    <n v="29.81"/>
    <n v="27.33577"/>
    <n v="0.91700000000000004"/>
    <n v="28.14"/>
    <n v="25.804379999999998"/>
    <n v="25.805"/>
    <n v="0.91699999999999993"/>
    <n v="0"/>
    <n v="0"/>
    <n v="0"/>
    <n v="0"/>
    <n v="0"/>
    <n v="0"/>
    <n v="0"/>
    <n v="0"/>
    <n v="0"/>
    <n v="1.67"/>
    <n v="1.53139"/>
    <n v="0.91700000000000004"/>
    <n v="-1.6699999999999982"/>
    <n v="1.6699999999999982"/>
    <x v="0"/>
    <n v="25.805"/>
    <n v="0"/>
    <n v="1"/>
  </r>
  <r>
    <s v="AJEET KUMAR"/>
    <d v="2026-06-01T00:00:00"/>
    <s v="SR-RTN/26-27/30131"/>
    <s v="B-293268"/>
    <s v="B-GOLD-FILING"/>
    <s v="GOLD-FILLING-WK"/>
    <x v="0"/>
    <s v="G-NA-91.70-YG"/>
    <n v="32.74"/>
    <n v="30.022580000000001"/>
    <n v="0.91700000000000004"/>
    <n v="29.45"/>
    <n v="27.005649999999999"/>
    <n v="27.006"/>
    <n v="0.91700000000000004"/>
    <n v="0"/>
    <n v="0"/>
    <n v="0"/>
    <n v="0"/>
    <n v="0"/>
    <n v="0"/>
    <n v="0"/>
    <n v="0"/>
    <n v="0"/>
    <n v="3.29"/>
    <n v="3.0169299999999999"/>
    <n v="0.91699999999999993"/>
    <n v="-3.2900000000000027"/>
    <n v="3.2900000000000027"/>
    <x v="0"/>
    <n v="27.006"/>
    <n v="0"/>
    <n v="1"/>
  </r>
  <r>
    <s v="AJEET KUMAR"/>
    <d v="2026-06-01T00:00:00"/>
    <s v="SR-RTN/26-27/30146"/>
    <s v="B-293249"/>
    <s v="B-GOLD-FILING"/>
    <s v="GOLD-FILLING-WK"/>
    <x v="0"/>
    <s v="G-NA-91.70-YG"/>
    <n v="25.74"/>
    <n v="23.603580000000001"/>
    <n v="0.91700000000000004"/>
    <n v="24.15"/>
    <n v="22.14555"/>
    <n v="22.146000000000001"/>
    <n v="0.91700000000000004"/>
    <n v="0"/>
    <n v="0"/>
    <n v="0"/>
    <n v="0"/>
    <n v="0"/>
    <n v="0"/>
    <n v="0"/>
    <n v="0"/>
    <n v="0"/>
    <n v="1.59"/>
    <n v="1.4580299999999999"/>
    <n v="0.91699999999999993"/>
    <n v="-1.59"/>
    <n v="1.59"/>
    <x v="0"/>
    <n v="22.146000000000001"/>
    <n v="0"/>
    <n v="1"/>
  </r>
  <r>
    <s v="AJEET KUMAR"/>
    <d v="2026-06-01T00:00:00"/>
    <s v="SR-RTN/26-27/30149"/>
    <s v="B-294965"/>
    <s v="B-GOLD-FILING"/>
    <s v="GOLD-FILLING-WK"/>
    <x v="1"/>
    <s v="G-NA-75.00-YG"/>
    <n v="59.08"/>
    <n v="44.31"/>
    <n v="0.75000000000000011"/>
    <n v="55.41"/>
    <n v="41.557499999999997"/>
    <n v="41.558"/>
    <n v="0.75"/>
    <n v="0"/>
    <n v="0"/>
    <n v="0"/>
    <n v="0"/>
    <n v="0"/>
    <n v="0"/>
    <n v="0"/>
    <n v="0"/>
    <n v="0"/>
    <n v="3.67"/>
    <n v="2.7524999999999999"/>
    <n v="0.75"/>
    <n v="-3.6700000000000017"/>
    <n v="3.6700000000000017"/>
    <x v="0"/>
    <n v="41.558"/>
    <n v="0"/>
    <n v="1"/>
  </r>
  <r>
    <s v="AJEET KUMAR"/>
    <d v="2026-06-01T00:00:00"/>
    <s v="SR-RTN/26-27/30194"/>
    <s v="B-291414"/>
    <s v="B-GOLD-FILING"/>
    <s v="REP-GOLD-FILLING-WK"/>
    <x v="0"/>
    <s v="G-NA-91.70-YG"/>
    <n v="16.45"/>
    <n v="15.08465"/>
    <n v="0.91700000000000004"/>
    <n v="16.45"/>
    <n v="15.08465"/>
    <n v="15.084999999999999"/>
    <n v="0.91700000000000004"/>
    <n v="0"/>
    <n v="0"/>
    <n v="0"/>
    <n v="0"/>
    <n v="0"/>
    <n v="0"/>
    <n v="0"/>
    <n v="0"/>
    <n v="0"/>
    <n v="0"/>
    <n v="0"/>
    <n v="0"/>
    <n v="0"/>
    <n v="0"/>
    <x v="2"/>
    <n v="15.084999999999999"/>
    <n v="0"/>
    <n v="1"/>
  </r>
  <r>
    <s v="AJEET KUMAR"/>
    <d v="2026-06-01T00:00:00"/>
    <s v="SR-RTN/26-27/30196"/>
    <s v="B-293252"/>
    <s v="B-GOLD-FILING"/>
    <s v="REP-GOLD-FILLING-WK"/>
    <x v="0"/>
    <s v="G-NA-91.70-YG"/>
    <n v="51.98"/>
    <n v="47.665660000000003"/>
    <n v="0.91700000000000015"/>
    <n v="51.98"/>
    <n v="47.665660000000003"/>
    <n v="47.665999999999997"/>
    <n v="0.91700000000000015"/>
    <n v="0"/>
    <n v="0"/>
    <n v="0"/>
    <n v="0"/>
    <n v="0"/>
    <n v="0"/>
    <n v="0"/>
    <n v="0"/>
    <n v="0"/>
    <n v="0"/>
    <n v="0"/>
    <n v="0"/>
    <n v="0"/>
    <n v="0"/>
    <x v="2"/>
    <n v="47.665999999999997"/>
    <n v="0"/>
    <n v="1"/>
  </r>
  <r>
    <s v="AJEET KUMAR"/>
    <d v="2026-06-01T00:00:00"/>
    <s v="SR-RTN/26-27/30301"/>
    <s v="B-293246"/>
    <s v="B-GOLD-FILING"/>
    <s v="GOLD-FILLING-WK"/>
    <x v="0"/>
    <s v="G-NA-91.70-YG"/>
    <n v="46.18"/>
    <n v="42.347059999999999"/>
    <n v="0.91700000000000004"/>
    <n v="44.55"/>
    <n v="40.852350000000001"/>
    <n v="40.852999999999994"/>
    <n v="0.91700000000000004"/>
    <n v="0"/>
    <n v="0"/>
    <n v="0"/>
    <n v="0"/>
    <n v="0"/>
    <n v="0"/>
    <n v="0"/>
    <n v="0"/>
    <n v="0"/>
    <n v="1.63"/>
    <n v="1.49471"/>
    <n v="0.91700000000000004"/>
    <n v="-1.6300000000000026"/>
    <n v="1.6300000000000026"/>
    <x v="0"/>
    <n v="40.852999999999994"/>
    <n v="0"/>
    <n v="1"/>
  </r>
  <r>
    <s v="AJEET KUMAR"/>
    <d v="2026-06-01T00:00:00"/>
    <s v="SR-RTN/26-27/30303"/>
    <s v="B-293266"/>
    <s v="B-GOLD-FILING"/>
    <s v="GOLD-FILLING-WK"/>
    <x v="0"/>
    <s v="G-NA-91.70-YG"/>
    <n v="21.53"/>
    <n v="19.743010000000002"/>
    <n v="0.91700000000000004"/>
    <n v="20.43"/>
    <n v="18.734310000000001"/>
    <n v="18.735000000000003"/>
    <n v="0.91700000000000004"/>
    <n v="0"/>
    <n v="0"/>
    <n v="0"/>
    <n v="0"/>
    <n v="0"/>
    <n v="0"/>
    <n v="0"/>
    <n v="0"/>
    <n v="0"/>
    <n v="1.1000000000000001"/>
    <n v="1.0086999999999999"/>
    <n v="0.91699999999999982"/>
    <n v="-1.1000000000000014"/>
    <n v="1.1000000000000014"/>
    <x v="0"/>
    <n v="18.735000000000003"/>
    <n v="0"/>
    <n v="1"/>
  </r>
  <r>
    <s v="AJEET KUMAR"/>
    <d v="2026-06-01T00:00:00"/>
    <s v="SR-RTN/26-27/30306"/>
    <s v="B-293284"/>
    <s v="B-GOLD-FILING"/>
    <s v="GOLD-FILLING-WK"/>
    <x v="0"/>
    <s v="G-NA-91.70-YG"/>
    <n v="39.21"/>
    <n v="35.955570000000002"/>
    <n v="0.91700000000000004"/>
    <n v="37.64"/>
    <n v="34.515880000000003"/>
    <n v="34.515999999999998"/>
    <n v="0.91700000000000004"/>
    <n v="0"/>
    <n v="0"/>
    <n v="0"/>
    <n v="0"/>
    <n v="0"/>
    <n v="0"/>
    <n v="0"/>
    <n v="0"/>
    <n v="0"/>
    <n v="1.57"/>
    <n v="1.4396899999999999"/>
    <n v="0.91699999999999993"/>
    <n v="-1.5700000000000003"/>
    <n v="1.5700000000000003"/>
    <x v="0"/>
    <n v="34.515999999999998"/>
    <n v="0"/>
    <n v="1"/>
  </r>
  <r>
    <s v="AJEET KUMAR"/>
    <d v="2026-06-01T00:00:00"/>
    <s v="SR-RTN/26-27/30308"/>
    <s v="B-293146"/>
    <s v="B-GOLD-FILING"/>
    <s v="GOLD-FILLING-WK"/>
    <x v="1"/>
    <s v="G-NA-75.00-RG"/>
    <n v="20.23"/>
    <n v="15.172499999999999"/>
    <n v="0.75"/>
    <n v="17.57"/>
    <n v="13.1775"/>
    <n v="13.177999999999999"/>
    <n v="0.75"/>
    <n v="0"/>
    <n v="0"/>
    <n v="0"/>
    <n v="0"/>
    <n v="0"/>
    <n v="0"/>
    <n v="0"/>
    <n v="0"/>
    <n v="0"/>
    <n v="2.66"/>
    <n v="1.9950000000000001"/>
    <n v="0.75"/>
    <n v="-2.66"/>
    <n v="2.66"/>
    <x v="0"/>
    <n v="13.177999999999999"/>
    <n v="0"/>
    <n v="1"/>
  </r>
  <r>
    <s v="AJEET KUMAR"/>
    <d v="2026-06-01T00:00:00"/>
    <s v="SR-RTN/26-27/30310"/>
    <s v="B-293247"/>
    <s v="B-GOLD-FILING"/>
    <s v="GOLD-FILLING-WK"/>
    <x v="0"/>
    <s v="G-NA-91.70-YG"/>
    <n v="56.72"/>
    <n v="52.012239999999998"/>
    <n v="0.91700000000000004"/>
    <n v="52.57"/>
    <n v="48.206690000000002"/>
    <n v="48.207000000000001"/>
    <n v="0.91700000000000004"/>
    <n v="0"/>
    <n v="0"/>
    <n v="0"/>
    <n v="0"/>
    <n v="0"/>
    <n v="0"/>
    <n v="0"/>
    <n v="0"/>
    <n v="0"/>
    <n v="4.1500000000000004"/>
    <n v="3.8055500000000002"/>
    <n v="0.91699999999999993"/>
    <n v="-4.1499999999999986"/>
    <n v="4.1499999999999986"/>
    <x v="0"/>
    <n v="48.207000000000001"/>
    <n v="0"/>
    <n v="1"/>
  </r>
  <r>
    <s v="AJEET KUMAR"/>
    <d v="2026-06-01T00:00:00"/>
    <s v="SR-RTN/26-27/30313"/>
    <s v="B-293258"/>
    <s v="B-GOLD-FILING"/>
    <s v="GOLD-FILLING-WK"/>
    <x v="0"/>
    <s v="G-NA-91.70-YG"/>
    <n v="33.32"/>
    <n v="30.55444"/>
    <n v="0.91699999999999993"/>
    <n v="32.08"/>
    <n v="29.417359999999999"/>
    <n v="29.418000000000003"/>
    <n v="0.91700000000000004"/>
    <n v="0"/>
    <n v="0"/>
    <n v="0"/>
    <n v="0"/>
    <n v="0"/>
    <n v="0"/>
    <n v="0"/>
    <n v="0"/>
    <n v="0"/>
    <n v="1.24"/>
    <n v="1.1370800000000001"/>
    <n v="0.91700000000000004"/>
    <n v="-1.240000000000002"/>
    <n v="1.240000000000002"/>
    <x v="0"/>
    <n v="29.418000000000003"/>
    <n v="0"/>
    <n v="1"/>
  </r>
  <r>
    <s v="AJEET KUMAR"/>
    <d v="2026-06-01T00:00:00"/>
    <s v="SR-RTN/26-27/30315"/>
    <s v="B-293275"/>
    <s v="B-GOLD-FILING"/>
    <s v="GOLD-FILLING-WK"/>
    <x v="0"/>
    <s v="G-NA-91.70-YG"/>
    <n v="37.17"/>
    <n v="34.084890000000001"/>
    <n v="0.91700000000000004"/>
    <n v="35.18"/>
    <n v="32.260060000000003"/>
    <n v="32.260999999999996"/>
    <n v="0.91700000000000004"/>
    <n v="0"/>
    <n v="0"/>
    <n v="0"/>
    <n v="0"/>
    <n v="0"/>
    <n v="0"/>
    <n v="0"/>
    <n v="0"/>
    <n v="0"/>
    <n v="1.99"/>
    <n v="1.82483"/>
    <n v="0.91699999999999993"/>
    <n v="-1.990000000000002"/>
    <n v="1.990000000000002"/>
    <x v="0"/>
    <n v="32.260999999999996"/>
    <n v="0"/>
    <n v="1"/>
  </r>
  <r>
    <s v="AJEET KUMAR"/>
    <d v="2026-06-01T00:00:00"/>
    <s v="SR-RTN/26-27/30317"/>
    <s v="B-293257"/>
    <s v="B-GOLD-FILING"/>
    <s v="GOLD-FILLING-WK"/>
    <x v="0"/>
    <s v="G-NA-91.70-YG"/>
    <n v="25.4"/>
    <n v="23.291799999999999"/>
    <n v="0.91700000000000004"/>
    <n v="24.42"/>
    <n v="22.393139999999999"/>
    <n v="22.394000000000002"/>
    <n v="0.91699999999999993"/>
    <n v="0"/>
    <n v="0"/>
    <n v="0"/>
    <n v="0"/>
    <n v="0"/>
    <n v="0"/>
    <n v="0"/>
    <n v="0"/>
    <n v="0"/>
    <n v="0.98"/>
    <n v="0.89866000000000001"/>
    <n v="0.91700000000000004"/>
    <n v="-0.97999999999999687"/>
    <n v="0.97999999999999687"/>
    <x v="0"/>
    <n v="22.394000000000002"/>
    <n v="0"/>
    <n v="1"/>
  </r>
  <r>
    <s v="AJEET KUMAR"/>
    <d v="2026-06-01T00:00:00"/>
    <s v="SR-RTN/26-27/30324"/>
    <s v="B-291886"/>
    <s v="B-GOLD-FILING"/>
    <s v="GOLD-FILLING-WK"/>
    <x v="1"/>
    <s v="G-NA-75.00-RG"/>
    <n v="36.36"/>
    <n v="27.27"/>
    <n v="0.75"/>
    <n v="35.9"/>
    <n v="26.925000000000001"/>
    <n v="26.925000000000001"/>
    <n v="0.75"/>
    <n v="0"/>
    <n v="0"/>
    <n v="0"/>
    <n v="0"/>
    <n v="0"/>
    <n v="0"/>
    <n v="0"/>
    <n v="0"/>
    <n v="0"/>
    <n v="0.46"/>
    <n v="0.34499999999999997"/>
    <n v="0.74999999999999989"/>
    <n v="-0.46000000000000085"/>
    <n v="0.46000000000000085"/>
    <x v="0"/>
    <n v="26.925000000000001"/>
    <n v="0"/>
    <n v="1"/>
  </r>
  <r>
    <s v="AJEET KUMAR"/>
    <d v="2026-06-01T00:00:00"/>
    <s v="SR-RTN/26-27/30351"/>
    <s v="B-293240"/>
    <s v="B-GOLD-FILING"/>
    <s v="GOLD-FILLING-WK"/>
    <x v="0"/>
    <s v="G-NA-91.70-YG"/>
    <n v="39.82"/>
    <n v="36.514940000000003"/>
    <n v="0.91700000000000004"/>
    <n v="37.299999999999997"/>
    <n v="34.204099999999997"/>
    <n v="34.204999999999998"/>
    <n v="0.91700000000000004"/>
    <n v="0"/>
    <n v="0"/>
    <n v="0"/>
    <n v="0"/>
    <n v="0"/>
    <n v="0"/>
    <n v="0"/>
    <n v="0"/>
    <n v="0"/>
    <n v="2.52"/>
    <n v="2.3108399999999998"/>
    <n v="0.91699999999999993"/>
    <n v="-2.5200000000000031"/>
    <n v="2.5200000000000031"/>
    <x v="0"/>
    <n v="34.204999999999998"/>
    <n v="0"/>
    <n v="1"/>
  </r>
  <r>
    <s v="AJEET KUMAR"/>
    <d v="2026-06-01T00:00:00"/>
    <s v="SR-RTN/26-27/30388"/>
    <s v="B-293289"/>
    <s v="B-GOLD-FILING"/>
    <s v="GOLD-FILLING-WK"/>
    <x v="0"/>
    <s v="G-NA-91.70-YG"/>
    <n v="74.48"/>
    <n v="68.298159999999996"/>
    <n v="0.91699999999999993"/>
    <n v="68.95"/>
    <n v="63.227150000000002"/>
    <n v="63.227999999999994"/>
    <n v="0.91700000000000004"/>
    <n v="0"/>
    <n v="0"/>
    <n v="0"/>
    <n v="0"/>
    <n v="0"/>
    <n v="0"/>
    <n v="0"/>
    <n v="0"/>
    <n v="0"/>
    <n v="5.53"/>
    <n v="5.0710100000000002"/>
    <n v="0.91700000000000004"/>
    <n v="-5.5300000000000011"/>
    <n v="5.5300000000000011"/>
    <x v="0"/>
    <n v="63.227999999999994"/>
    <n v="0"/>
    <n v="1"/>
  </r>
  <r>
    <s v="AJEET KUMAR"/>
    <d v="2026-06-01T00:00:00"/>
    <s v="SR-RTN/26-27/30391"/>
    <s v="B-293143"/>
    <s v="B-GOLD-FILING"/>
    <s v="GOLD-FILLING-WK"/>
    <x v="1"/>
    <s v="G-NA-75.00-RG"/>
    <n v="20.54"/>
    <n v="15.404999999999999"/>
    <n v="0.75"/>
    <n v="16.079999999999998"/>
    <n v="12.06"/>
    <n v="12.06"/>
    <n v="0.75000000000000011"/>
    <n v="0"/>
    <n v="0"/>
    <n v="0"/>
    <n v="0"/>
    <n v="0"/>
    <n v="0"/>
    <n v="0"/>
    <n v="0"/>
    <n v="0"/>
    <n v="4.46"/>
    <n v="3.3450000000000002"/>
    <n v="0.75"/>
    <n v="-4.4600000000000009"/>
    <n v="4.4600000000000009"/>
    <x v="0"/>
    <n v="12.06"/>
    <n v="0"/>
    <n v="1"/>
  </r>
  <r>
    <s v="AJEET KUMAR"/>
    <d v="2026-06-01T00:00:00"/>
    <s v="SR-RTN/26-27/30391"/>
    <s v="B-293207"/>
    <s v="B-GOLD-FILING"/>
    <s v="GOLD-FILLING-WK"/>
    <x v="1"/>
    <s v="G-NA-75.00-RG"/>
    <n v="14.28"/>
    <n v="10.71"/>
    <n v="0.75000000000000011"/>
    <n v="13.15"/>
    <n v="9.8625000000000007"/>
    <n v="9.8629999999999995"/>
    <n v="0.75"/>
    <n v="0"/>
    <n v="0"/>
    <n v="0"/>
    <n v="0"/>
    <n v="0"/>
    <n v="0"/>
    <n v="0"/>
    <n v="0"/>
    <n v="0"/>
    <n v="1.1299999999999999"/>
    <n v="0.84750000000000003"/>
    <n v="0.75000000000000011"/>
    <n v="-1.129999999999999"/>
    <n v="1.129999999999999"/>
    <x v="0"/>
    <n v="9.8629999999999995"/>
    <n v="0"/>
    <n v="1"/>
  </r>
  <r>
    <s v="AJEET KUMAR"/>
    <d v="2026-06-01T00:00:00"/>
    <s v="SR-RTN/26-27/30391"/>
    <s v="B-293287"/>
    <s v="B-GOLD-FILING"/>
    <s v="GOLD-FILLING-WK"/>
    <x v="0"/>
    <s v="G-NA-91.70-YG"/>
    <n v="48.23"/>
    <n v="44.226909999999997"/>
    <n v="0.91700000000000004"/>
    <n v="45.61"/>
    <n v="41.824370000000002"/>
    <n v="41.824999999999996"/>
    <n v="0.91700000000000004"/>
    <n v="0"/>
    <n v="0"/>
    <n v="0"/>
    <n v="0"/>
    <n v="0"/>
    <n v="0"/>
    <n v="0"/>
    <n v="0"/>
    <n v="0"/>
    <n v="2.62"/>
    <n v="2.4025400000000001"/>
    <n v="0.91700000000000004"/>
    <n v="-2.6199999999999974"/>
    <n v="2.6199999999999974"/>
    <x v="0"/>
    <n v="41.824999999999996"/>
    <n v="0"/>
    <n v="1"/>
  </r>
  <r>
    <s v="AJEET KUMAR"/>
    <d v="2026-06-01T00:00:00"/>
    <s v="SR-RTN/26-27/30391"/>
    <s v="B-293288"/>
    <s v="B-GOLD-FILING"/>
    <s v="GOLD-FILLING-WK"/>
    <x v="0"/>
    <s v="G-NA-91.70-YG"/>
    <n v="42.13"/>
    <n v="38.633209999999998"/>
    <n v="0.91699999999999993"/>
    <n v="39.43"/>
    <n v="36.157310000000003"/>
    <n v="36.157999999999994"/>
    <n v="0.91700000000000004"/>
    <n v="0"/>
    <n v="0"/>
    <n v="0"/>
    <n v="0"/>
    <n v="0"/>
    <n v="0"/>
    <n v="0"/>
    <n v="0"/>
    <n v="0"/>
    <n v="2.7"/>
    <n v="2.4759000000000002"/>
    <n v="0.91700000000000004"/>
    <n v="-2.7000000000000028"/>
    <n v="2.7000000000000028"/>
    <x v="0"/>
    <n v="36.157999999999994"/>
    <n v="0"/>
    <n v="1"/>
  </r>
  <r>
    <s v="AJEET KUMAR"/>
    <d v="2026-06-01T00:00:00"/>
    <s v="SR-RTN/26-27/30391"/>
    <s v="B-293295"/>
    <s v="B-GOLD-FILING"/>
    <s v="GOLD-FILLING-WK"/>
    <x v="0"/>
    <s v="G-NA-91.70-YG"/>
    <n v="37.450000000000003"/>
    <n v="34.341650000000001"/>
    <n v="0.91699999999999993"/>
    <n v="35.83"/>
    <n v="32.856110000000001"/>
    <n v="32.856999999999999"/>
    <n v="0.91700000000000004"/>
    <n v="0"/>
    <n v="0"/>
    <n v="0"/>
    <n v="0"/>
    <n v="0"/>
    <n v="0"/>
    <n v="0"/>
    <n v="0"/>
    <n v="0"/>
    <n v="1.62"/>
    <n v="1.4855400000000001"/>
    <n v="0.91700000000000004"/>
    <n v="-1.6200000000000045"/>
    <n v="1.6200000000000045"/>
    <x v="0"/>
    <n v="32.856999999999999"/>
    <n v="0"/>
    <n v="1"/>
  </r>
  <r>
    <s v="AJEET KUMAR"/>
    <d v="2026-06-01T00:00:00"/>
    <s v="SR-RTN/26-27/30391"/>
    <s v="B-293298"/>
    <s v="B-GOLD-FILING"/>
    <s v="GOLD-FILLING-WK"/>
    <x v="0"/>
    <s v="G-NA-91.70-YG"/>
    <n v="41.8"/>
    <n v="38.330599999999997"/>
    <n v="0.91700000000000004"/>
    <n v="40.57"/>
    <n v="37.202689999999997"/>
    <n v="37.202999999999996"/>
    <n v="0.91699999999999993"/>
    <n v="0"/>
    <n v="0"/>
    <n v="0"/>
    <n v="0"/>
    <n v="0"/>
    <n v="0"/>
    <n v="0"/>
    <n v="0"/>
    <n v="0"/>
    <n v="1.23"/>
    <n v="1.12791"/>
    <n v="0.91700000000000004"/>
    <n v="-1.2299999999999969"/>
    <n v="1.2299999999999969"/>
    <x v="0"/>
    <n v="37.202999999999996"/>
    <n v="0"/>
    <n v="1"/>
  </r>
  <r>
    <s v="AJEET KUMAR"/>
    <d v="2026-06-01T00:00:00"/>
    <s v="SR-RTN/26-27/30391"/>
    <s v="B-293430"/>
    <s v="B-GOLD-FILING"/>
    <s v="GOLD-FILLING-WK"/>
    <x v="0"/>
    <s v="G-NA-91.70-YG"/>
    <n v="21.33"/>
    <n v="19.559609999999999"/>
    <n v="0.91700000000000004"/>
    <n v="20.68"/>
    <n v="18.963560000000001"/>
    <n v="18.964000000000002"/>
    <n v="0.91700000000000004"/>
    <n v="0"/>
    <n v="0"/>
    <n v="0"/>
    <n v="0"/>
    <n v="0"/>
    <n v="0"/>
    <n v="0"/>
    <n v="0"/>
    <n v="0"/>
    <n v="0.65"/>
    <n v="0.59604999999999997"/>
    <n v="0.91699999999999993"/>
    <n v="-0.64999999999999858"/>
    <n v="0.64999999999999858"/>
    <x v="0"/>
    <n v="18.964000000000002"/>
    <n v="0"/>
    <n v="1"/>
  </r>
  <r>
    <s v="AJEET KUMAR"/>
    <d v="2026-06-01T00:00:00"/>
    <s v="SR-RTN/26-27/30391"/>
    <s v="B-295015"/>
    <s v="B-GOLD-FILING"/>
    <s v="GOLD-FILLING-WK"/>
    <x v="0"/>
    <s v="G-NA-91.70-YG"/>
    <n v="33.44"/>
    <n v="30.664480000000001"/>
    <n v="0.91700000000000015"/>
    <n v="31.1"/>
    <n v="28.518699999999999"/>
    <n v="28.519000000000002"/>
    <n v="0.91699999999999993"/>
    <n v="0"/>
    <n v="0"/>
    <n v="0"/>
    <n v="0"/>
    <n v="0"/>
    <n v="0"/>
    <n v="0"/>
    <n v="0"/>
    <n v="0"/>
    <n v="2.34"/>
    <n v="2.1457799999999998"/>
    <n v="0.91699999999999993"/>
    <n v="-2.3399999999999963"/>
    <n v="2.3399999999999963"/>
    <x v="0"/>
    <n v="28.519000000000002"/>
    <n v="0"/>
    <n v="1"/>
  </r>
  <r>
    <s v="AJEET KUMAR"/>
    <d v="2026-06-01T00:00:00"/>
    <s v="SR-RTN/26-27/30391"/>
    <s v="B-295596"/>
    <s v="B-GOLD-FILING"/>
    <s v="GOLD-FILLING-WK"/>
    <x v="1"/>
    <s v="G-NA-75.00-YG"/>
    <n v="32.75"/>
    <n v="24.5625"/>
    <n v="0.75"/>
    <n v="30.9"/>
    <n v="23.175000000000001"/>
    <n v="23.175000000000001"/>
    <n v="0.75000000000000011"/>
    <n v="0"/>
    <n v="0"/>
    <n v="0"/>
    <n v="0"/>
    <n v="0"/>
    <n v="0"/>
    <n v="0"/>
    <n v="0"/>
    <n v="0"/>
    <n v="1.85"/>
    <n v="1.3875"/>
    <n v="0.74999999999999989"/>
    <n v="-1.8500000000000014"/>
    <n v="1.8500000000000014"/>
    <x v="0"/>
    <n v="23.175000000000001"/>
    <n v="0"/>
    <n v="1"/>
  </r>
  <r>
    <s v="AJEET KUMAR"/>
    <d v="2026-06-01T00:00:00"/>
    <s v="SR-RTN/26-27/30396"/>
    <s v="B-293270"/>
    <s v="B-GOLD-FILING"/>
    <s v="GOLD-FILLING-WK"/>
    <x v="0"/>
    <s v="G-NA-91.70-YG"/>
    <n v="30.94"/>
    <n v="28.371980000000001"/>
    <n v="0.91700000000000004"/>
    <n v="29.85"/>
    <n v="27.372450000000001"/>
    <n v="27.373000000000001"/>
    <n v="0.91699999999999993"/>
    <n v="0"/>
    <n v="0"/>
    <n v="0"/>
    <n v="0"/>
    <n v="0"/>
    <n v="0"/>
    <n v="0"/>
    <n v="0"/>
    <n v="0"/>
    <n v="1.0900000000000001"/>
    <n v="0.99953000000000003"/>
    <n v="0.91699999999999993"/>
    <n v="-1.0899999999999999"/>
    <n v="1.0899999999999999"/>
    <x v="0"/>
    <n v="27.373000000000001"/>
    <n v="0"/>
    <n v="1"/>
  </r>
  <r>
    <s v="AJEET KUMAR"/>
    <d v="2026-06-01T00:00:00"/>
    <s v="SR-RTN/26-27/30437"/>
    <s v="B-293279"/>
    <s v="B-GOLD-FILING"/>
    <s v="GOLD-FILLING-WK"/>
    <x v="0"/>
    <s v="G-NA-91.70-YG"/>
    <n v="46.72"/>
    <n v="42.842239999999997"/>
    <n v="0.91699999999999993"/>
    <n v="45.31"/>
    <n v="41.54927"/>
    <n v="41.55"/>
    <n v="0.91699999999999993"/>
    <n v="0"/>
    <n v="0"/>
    <n v="0"/>
    <n v="0"/>
    <n v="0"/>
    <n v="0"/>
    <n v="0"/>
    <n v="0"/>
    <n v="0"/>
    <n v="1.41"/>
    <n v="1.29297"/>
    <n v="0.91700000000000004"/>
    <n v="-1.4099999999999966"/>
    <n v="1.4099999999999966"/>
    <x v="0"/>
    <n v="41.55"/>
    <n v="0"/>
    <n v="1"/>
  </r>
  <r>
    <s v="AJEET KUMAR"/>
    <d v="2026-06-01T00:00:00"/>
    <s v="SR-RTN/26-27/30437"/>
    <s v="B-295544"/>
    <s v="B-GOLD-FILING"/>
    <s v="GOLD-FILLING-WK"/>
    <x v="1"/>
    <s v="G-NA-75.00-YG"/>
    <n v="15.4"/>
    <n v="11.55"/>
    <n v="0.75"/>
    <n v="14.12"/>
    <n v="10.59"/>
    <n v="10.59"/>
    <n v="0.75"/>
    <n v="0"/>
    <n v="0"/>
    <n v="0"/>
    <n v="0"/>
    <n v="0"/>
    <n v="0"/>
    <n v="0"/>
    <n v="0"/>
    <n v="0"/>
    <n v="1.28"/>
    <n v="0.96"/>
    <n v="0.75"/>
    <n v="-1.2800000000000011"/>
    <n v="1.2800000000000011"/>
    <x v="0"/>
    <n v="10.59"/>
    <n v="0"/>
    <n v="1"/>
  </r>
  <r>
    <s v="AJEET KUMAR"/>
    <d v="2026-06-01T00:00:00"/>
    <s v="SR-RTN/26-27/30437"/>
    <s v="B-295976"/>
    <s v="B-GOLD-FILING"/>
    <s v="GOLD-FILLING-WK"/>
    <x v="0"/>
    <s v="G-NA-91.70-YG"/>
    <n v="2.93"/>
    <n v="2.6868099999999999"/>
    <n v="0.91699999999999993"/>
    <n v="2.9"/>
    <n v="2.6593"/>
    <n v="2.6599999999999997"/>
    <n v="0.91700000000000004"/>
    <n v="0"/>
    <n v="0"/>
    <n v="0"/>
    <n v="0"/>
    <n v="0"/>
    <n v="0"/>
    <n v="0"/>
    <n v="0"/>
    <n v="0"/>
    <n v="0.03"/>
    <n v="2.751E-2"/>
    <n v="0.91700000000000004"/>
    <n v="-3.0000000000000249E-2"/>
    <n v="3.0000000000000249E-2"/>
    <x v="0"/>
    <n v="2.6599999999999997"/>
    <n v="0"/>
    <n v="1"/>
  </r>
  <r>
    <s v="AJEET KUMAR"/>
    <d v="2026-06-01T00:00:00"/>
    <s v="SR-RTN/26-27/30437"/>
    <s v="B-296204"/>
    <s v="B-GOLD-FILING"/>
    <s v="GOLD-FILLING-WK"/>
    <x v="0"/>
    <s v="G-NA-91.70-YG"/>
    <n v="1.921"/>
    <n v="1.761557"/>
    <n v="0.91700000000000004"/>
    <n v="1.861"/>
    <n v="1.706537"/>
    <n v="1.7069999999999999"/>
    <n v="0.91700000000000004"/>
    <n v="0"/>
    <n v="0"/>
    <n v="0"/>
    <n v="0"/>
    <n v="0"/>
    <n v="0"/>
    <n v="0"/>
    <n v="0"/>
    <n v="0"/>
    <n v="0.06"/>
    <n v="5.5019999999999999E-2"/>
    <n v="0.91700000000000004"/>
    <n v="-6.0000000000000053E-2"/>
    <n v="6.0000000000000053E-2"/>
    <x v="0"/>
    <n v="1.7069999999999999"/>
    <n v="0"/>
    <n v="1"/>
  </r>
  <r>
    <s v="AJEET KUMAR"/>
    <d v="2026-06-01T00:00:00"/>
    <s v="SR-RTN/26-27/30441"/>
    <s v="B-293299"/>
    <s v="B-GOLD-FILING"/>
    <s v="GOLD-FILLING-WK"/>
    <x v="0"/>
    <s v="G-NA-91.70-YG"/>
    <n v="25.18"/>
    <n v="23.090060000000001"/>
    <n v="0.91700000000000004"/>
    <n v="23.24"/>
    <n v="21.31108"/>
    <n v="21.312000000000001"/>
    <n v="0.91700000000000004"/>
    <n v="0"/>
    <n v="0"/>
    <n v="0"/>
    <n v="0"/>
    <n v="0"/>
    <n v="0"/>
    <n v="0"/>
    <n v="0"/>
    <n v="0"/>
    <n v="1.94"/>
    <n v="1.77898"/>
    <n v="0.91700000000000004"/>
    <n v="-1.9400000000000013"/>
    <n v="1.9400000000000013"/>
    <x v="0"/>
    <n v="21.312000000000001"/>
    <n v="0"/>
    <n v="1"/>
  </r>
  <r>
    <s v="AJEET KUMAR"/>
    <d v="2026-06-01T00:00:00"/>
    <s v="SR-RTN/26-27/30443"/>
    <s v="B-293272"/>
    <s v="B-GOLD-FILING"/>
    <s v="GOLD-FILLING-WK"/>
    <x v="0"/>
    <s v="G-NA-91.70-YG"/>
    <n v="40.68"/>
    <n v="37.303559999999997"/>
    <n v="0.91699999999999993"/>
    <n v="38.89"/>
    <n v="35.662129999999998"/>
    <n v="35.662999999999997"/>
    <n v="0.91699999999999993"/>
    <n v="0"/>
    <n v="0"/>
    <n v="0"/>
    <n v="0"/>
    <n v="0"/>
    <n v="0"/>
    <n v="0"/>
    <n v="0"/>
    <n v="0"/>
    <n v="1.79"/>
    <n v="1.6414299999999999"/>
    <n v="0.91699999999999993"/>
    <n v="-1.7899999999999991"/>
    <n v="1.7899999999999991"/>
    <x v="0"/>
    <n v="35.662999999999997"/>
    <n v="0"/>
    <n v="1"/>
  </r>
  <r>
    <s v="AJEET KUMAR"/>
    <d v="2026-06-02T00:00:00"/>
    <s v="RTN-8645776"/>
    <s v="SR-41474/1"/>
    <s v="CAST-FILLING"/>
    <s v="GOLD-FILLING-WK"/>
    <x v="1"/>
    <s v="G-NA-75.00-YG"/>
    <n v="13.84"/>
    <n v="10.38"/>
    <n v="0.75000000000000011"/>
    <n v="13.08"/>
    <n v="9.81"/>
    <n v="9.81"/>
    <n v="0.75"/>
    <n v="0"/>
    <n v="0"/>
    <n v="0"/>
    <n v="0"/>
    <n v="0"/>
    <n v="0"/>
    <n v="0"/>
    <n v="0"/>
    <n v="0"/>
    <n v="0.76"/>
    <n v="0.56999999999999995"/>
    <n v="0.74999999999999989"/>
    <n v="-0.75999999999999979"/>
    <n v="0.75999999999999979"/>
    <x v="0"/>
    <n v="9.81"/>
    <n v="0"/>
    <n v="1"/>
  </r>
  <r>
    <s v="AJEET KUMAR"/>
    <d v="2026-06-02T00:00:00"/>
    <s v="RTN-8646522"/>
    <s v="SR-41472/1"/>
    <s v="CAST-FILLING"/>
    <s v="GOLD-FILLING-WK"/>
    <x v="1"/>
    <s v="G-NA-75.00-YG"/>
    <n v="33.69"/>
    <n v="25.267499999999998"/>
    <n v="0.75"/>
    <n v="31.18"/>
    <n v="23.385000000000002"/>
    <n v="23.385000000000002"/>
    <n v="0.75000000000000011"/>
    <n v="0"/>
    <n v="0"/>
    <n v="0"/>
    <n v="0"/>
    <n v="0"/>
    <n v="0"/>
    <n v="0"/>
    <n v="0"/>
    <n v="0"/>
    <n v="2.5099999999999998"/>
    <n v="1.8825000000000001"/>
    <n v="0.75000000000000011"/>
    <n v="-2.509999999999998"/>
    <n v="2.509999999999998"/>
    <x v="0"/>
    <n v="23.385000000000002"/>
    <n v="0"/>
    <n v="1"/>
  </r>
  <r>
    <s v="AJEET KUMAR"/>
    <d v="2026-06-02T00:00:00"/>
    <s v="RTN-8650325"/>
    <s v="SR-41791"/>
    <s v="CAST-FILLING"/>
    <s v="GOLD-FILLING-WK"/>
    <x v="1"/>
    <s v="G-NA-75.00-RG"/>
    <n v="188.61"/>
    <n v="141.45750000000001"/>
    <n v="0.75"/>
    <n v="188.61"/>
    <n v="141.45750000000001"/>
    <n v="141.458"/>
    <n v="0.75"/>
    <n v="0"/>
    <n v="0"/>
    <n v="0"/>
    <n v="0"/>
    <n v="0"/>
    <n v="0"/>
    <n v="0"/>
    <n v="0"/>
    <n v="0"/>
    <n v="0"/>
    <n v="0"/>
    <n v="0"/>
    <n v="0"/>
    <n v="0"/>
    <x v="1"/>
    <n v="116.693"/>
    <n v="24.765000000000001"/>
    <n v="2"/>
  </r>
  <r>
    <s v="AJEET KUMAR"/>
    <d v="2026-06-02T00:00:00"/>
    <s v="RTN-8654823"/>
    <s v="SR-41572"/>
    <s v="CAST-FILLING"/>
    <s v="GOLD-FILLING-WK"/>
    <x v="0"/>
    <s v="G-NA-91.70-YG"/>
    <n v="87.72"/>
    <n v="80.439239999999998"/>
    <n v="0.91700000000000004"/>
    <n v="82.82"/>
    <n v="75.945939999999993"/>
    <n v="75.945999999999998"/>
    <n v="0.91700000000000004"/>
    <n v="0"/>
    <n v="0"/>
    <n v="0"/>
    <n v="0"/>
    <n v="0"/>
    <n v="0"/>
    <n v="0"/>
    <n v="0"/>
    <n v="0"/>
    <n v="4.9000000000000004"/>
    <n v="4.4932999999999996"/>
    <n v="0.91699999999999982"/>
    <n v="-4.9000000000000057"/>
    <n v="4.9000000000000057"/>
    <x v="0"/>
    <n v="75.945999999999998"/>
    <n v="0"/>
    <n v="1"/>
  </r>
  <r>
    <s v="AJEET KUMAR"/>
    <d v="2026-06-02T00:00:00"/>
    <s v="RTN-8655372"/>
    <s v="SR-41571"/>
    <s v="CAST-FILLING"/>
    <s v="GOLD-FILLING-WK"/>
    <x v="0"/>
    <s v="G-NA-91.70-YG"/>
    <n v="89.98"/>
    <n v="82.511660000000006"/>
    <n v="0.91700000000000004"/>
    <n v="84.9"/>
    <n v="77.853300000000004"/>
    <n v="77.853999999999999"/>
    <n v="0.91700000000000004"/>
    <n v="0"/>
    <n v="0"/>
    <n v="0"/>
    <n v="0"/>
    <n v="0"/>
    <n v="0"/>
    <n v="0"/>
    <n v="0"/>
    <n v="0"/>
    <n v="5.08"/>
    <n v="4.6583600000000001"/>
    <n v="0.91700000000000004"/>
    <n v="-5.0799999999999983"/>
    <n v="5.0799999999999983"/>
    <x v="0"/>
    <n v="77.853999999999999"/>
    <n v="0"/>
    <n v="1"/>
  </r>
  <r>
    <s v="AJEET KUMAR"/>
    <d v="2026-06-02T00:00:00"/>
    <s v="SR-RTN/26-27/30593"/>
    <s v="B-293273"/>
    <s v="B-GOLD-FILING"/>
    <s v="GOLD-FILLING-WK"/>
    <x v="0"/>
    <s v="G-NA-91.70-YG"/>
    <n v="39.9"/>
    <n v="36.588299999999997"/>
    <n v="0.91699999999999993"/>
    <n v="38.78"/>
    <n v="35.561259999999997"/>
    <n v="35.561999999999998"/>
    <n v="0.91699999999999993"/>
    <n v="0"/>
    <n v="0"/>
    <n v="0"/>
    <n v="0"/>
    <n v="0"/>
    <n v="0"/>
    <n v="0"/>
    <n v="0"/>
    <n v="0"/>
    <n v="1.1200000000000001"/>
    <n v="1.02704"/>
    <n v="0.91699999999999982"/>
    <n v="-1.1199999999999974"/>
    <n v="1.1199999999999974"/>
    <x v="0"/>
    <n v="35.561999999999998"/>
    <n v="0"/>
    <n v="1"/>
  </r>
  <r>
    <s v="AJEET KUMAR"/>
    <d v="2026-06-02T00:00:00"/>
    <s v="SR-RTN/26-27/30594"/>
    <s v="B-293241"/>
    <s v="B-GOLD-FILING"/>
    <s v="GOLD-FILLING-WK"/>
    <x v="0"/>
    <s v="G-NA-91.70-YG"/>
    <n v="40.520000000000003"/>
    <n v="37.156840000000003"/>
    <n v="0.91700000000000004"/>
    <n v="37.65"/>
    <n v="34.52505"/>
    <n v="34.525999999999996"/>
    <n v="0.91700000000000004"/>
    <n v="0"/>
    <n v="0"/>
    <n v="0"/>
    <n v="0"/>
    <n v="0"/>
    <n v="0"/>
    <n v="0"/>
    <n v="0"/>
    <n v="0"/>
    <n v="2.87"/>
    <n v="2.6317900000000001"/>
    <n v="0.91700000000000004"/>
    <n v="-2.8700000000000045"/>
    <n v="2.8700000000000045"/>
    <x v="0"/>
    <n v="34.525999999999996"/>
    <n v="0"/>
    <n v="1"/>
  </r>
  <r>
    <s v="AJEET KUMAR"/>
    <d v="2026-06-02T00:00:00"/>
    <s v="SR-RTN/26-27/30595"/>
    <s v="B-293251"/>
    <s v="B-GOLD-FILING"/>
    <s v="GOLD-FILLING-WK"/>
    <x v="0"/>
    <s v="G-NA-91.70-YG"/>
    <n v="19.88"/>
    <n v="18.229959999999998"/>
    <n v="0.91699999999999993"/>
    <n v="18.78"/>
    <n v="17.221260000000001"/>
    <n v="17.222000000000001"/>
    <n v="0.91700000000000004"/>
    <n v="0"/>
    <n v="0"/>
    <n v="0"/>
    <n v="0"/>
    <n v="0"/>
    <n v="0"/>
    <n v="0"/>
    <n v="0"/>
    <n v="0"/>
    <n v="1.1000000000000001"/>
    <n v="1.0086999999999999"/>
    <n v="0.91699999999999982"/>
    <n v="-1.0999999999999979"/>
    <n v="1.0999999999999979"/>
    <x v="0"/>
    <n v="17.222000000000001"/>
    <n v="0"/>
    <n v="1"/>
  </r>
  <r>
    <s v="AJEET KUMAR"/>
    <d v="2026-06-02T00:00:00"/>
    <s v="SR-RTN/26-27/30596"/>
    <s v="B-293262"/>
    <s v="B-GOLD-FILING"/>
    <s v="GOLD-FILLING-WK"/>
    <x v="0"/>
    <s v="G-NA-91.70-YG"/>
    <n v="27.57"/>
    <n v="25.281690000000001"/>
    <n v="0.91700000000000004"/>
    <n v="25.73"/>
    <n v="23.59441"/>
    <n v="23.595000000000002"/>
    <n v="0.91699999999999993"/>
    <n v="0"/>
    <n v="0"/>
    <n v="0"/>
    <n v="0"/>
    <n v="0"/>
    <n v="0"/>
    <n v="0"/>
    <n v="0"/>
    <n v="0"/>
    <n v="1.84"/>
    <n v="1.6872799999999999"/>
    <n v="0.91699999999999993"/>
    <n v="-1.84"/>
    <n v="1.84"/>
    <x v="0"/>
    <n v="23.595000000000002"/>
    <n v="0"/>
    <n v="1"/>
  </r>
  <r>
    <s v="AJEET KUMAR"/>
    <d v="2026-06-02T00:00:00"/>
    <s v="SR-RTN/26-27/30601"/>
    <s v="B-291379/1"/>
    <s v="B-GOLD-FILING"/>
    <s v="GOLD-FILLING-WK"/>
    <x v="0"/>
    <s v="G-NA-91.70-YG"/>
    <n v="1.41"/>
    <n v="1.29297"/>
    <n v="0.91700000000000004"/>
    <n v="1.27"/>
    <n v="1.16459"/>
    <n v="1.1649999999999998"/>
    <n v="0.91700000000000004"/>
    <n v="0"/>
    <n v="0"/>
    <n v="0"/>
    <n v="0"/>
    <n v="0"/>
    <n v="0"/>
    <n v="0"/>
    <n v="0"/>
    <n v="0"/>
    <n v="0.14000000000000001"/>
    <n v="0.12837999999999999"/>
    <n v="0.91699999999999982"/>
    <n v="-0.1399999999999999"/>
    <n v="0.1399999999999999"/>
    <x v="0"/>
    <n v="1.1649999999999998"/>
    <n v="0"/>
    <n v="2"/>
  </r>
  <r>
    <s v="AJEET KUMAR"/>
    <d v="2026-06-02T00:00:00"/>
    <s v="SR-RTN/26-27/30603"/>
    <s v="B-293267"/>
    <s v="B-GOLD-FILING"/>
    <s v="GOLD-FILLING-WK"/>
    <x v="0"/>
    <s v="G-NA-91.70-YG"/>
    <n v="40.28"/>
    <n v="36.93676"/>
    <n v="0.91699999999999993"/>
    <n v="37.67"/>
    <n v="34.543390000000002"/>
    <n v="34.543999999999997"/>
    <n v="0.91700000000000004"/>
    <n v="0"/>
    <n v="0"/>
    <n v="0"/>
    <n v="0"/>
    <n v="0"/>
    <n v="0"/>
    <n v="0"/>
    <n v="0"/>
    <n v="0"/>
    <n v="2.61"/>
    <n v="2.39337"/>
    <n v="0.91700000000000004"/>
    <n v="-2.6099999999999994"/>
    <n v="2.6099999999999994"/>
    <x v="0"/>
    <n v="34.543999999999997"/>
    <n v="0"/>
    <n v="1"/>
  </r>
  <r>
    <s v="AJEET KUMAR"/>
    <d v="2026-06-02T00:00:00"/>
    <s v="SR-RTN/26-27/30604"/>
    <s v="B-293283"/>
    <s v="B-GOLD-FILING"/>
    <s v="GOLD-FILLING-WK"/>
    <x v="0"/>
    <s v="G-NA-91.70-YG"/>
    <n v="40.29"/>
    <n v="36.945929999999997"/>
    <n v="0.91699999999999993"/>
    <n v="37.729999999999997"/>
    <n v="34.598410000000001"/>
    <n v="34.598999999999997"/>
    <n v="0.91700000000000015"/>
    <n v="0"/>
    <n v="0"/>
    <n v="0"/>
    <n v="0"/>
    <n v="0"/>
    <n v="0"/>
    <n v="0"/>
    <n v="0"/>
    <n v="0"/>
    <n v="2.56"/>
    <n v="2.3475199999999998"/>
    <n v="0.91699999999999993"/>
    <n v="-2.5600000000000023"/>
    <n v="2.5600000000000023"/>
    <x v="0"/>
    <n v="34.598999999999997"/>
    <n v="0"/>
    <n v="1"/>
  </r>
  <r>
    <s v="AJEET KUMAR"/>
    <d v="2026-06-02T00:00:00"/>
    <s v="SR-RTN/26-27/30606"/>
    <s v="B-293281"/>
    <s v="B-GOLD-FILING"/>
    <s v="GOLD-FILLING-WK"/>
    <x v="0"/>
    <s v="G-NA-91.70-YG"/>
    <n v="32.43"/>
    <n v="29.738309999999998"/>
    <n v="0.91699999999999993"/>
    <n v="31.21"/>
    <n v="28.61957"/>
    <n v="28.62"/>
    <n v="0.91699999999999993"/>
    <n v="0"/>
    <n v="0"/>
    <n v="0"/>
    <n v="0"/>
    <n v="0"/>
    <n v="0"/>
    <n v="0"/>
    <n v="0"/>
    <n v="0"/>
    <n v="1.22"/>
    <n v="1.1187400000000001"/>
    <n v="0.91700000000000004"/>
    <n v="-1.2199999999999989"/>
    <n v="1.2199999999999989"/>
    <x v="0"/>
    <n v="28.62"/>
    <n v="0"/>
    <n v="1"/>
  </r>
  <r>
    <s v="AJEET KUMAR"/>
    <d v="2026-06-02T00:00:00"/>
    <s v="SR-RTN/26-27/30607"/>
    <s v="B-293286"/>
    <s v="B-GOLD-FILING"/>
    <s v="GOLD-FILLING-WK"/>
    <x v="0"/>
    <s v="G-NA-91.70-YG"/>
    <n v="34.74"/>
    <n v="31.856580000000001"/>
    <n v="0.91699999999999993"/>
    <n v="32.89"/>
    <n v="30.160129999999999"/>
    <n v="30.161000000000001"/>
    <n v="0.91699999999999993"/>
    <n v="0"/>
    <n v="0"/>
    <n v="0"/>
    <n v="0"/>
    <n v="0"/>
    <n v="0"/>
    <n v="0"/>
    <n v="0"/>
    <n v="0"/>
    <n v="1.85"/>
    <n v="1.69645"/>
    <n v="0.91699999999999993"/>
    <n v="-1.8500000000000014"/>
    <n v="1.8500000000000014"/>
    <x v="0"/>
    <n v="30.161000000000001"/>
    <n v="0"/>
    <n v="1"/>
  </r>
  <r>
    <s v="AJEET KUMAR"/>
    <d v="2026-06-02T00:00:00"/>
    <s v="SR-RTN/26-27/30619"/>
    <s v="B-291427"/>
    <s v="B-GOLD-FILING"/>
    <s v="GOLD-FILLING-WK"/>
    <x v="0"/>
    <s v="G-NA-91.70-YG"/>
    <n v="11.42"/>
    <n v="10.47214"/>
    <n v="0.91699999999999993"/>
    <n v="11.27"/>
    <n v="10.33459"/>
    <n v="10.334999999999999"/>
    <n v="0.91700000000000004"/>
    <n v="0"/>
    <n v="0"/>
    <n v="0"/>
    <n v="0"/>
    <n v="0"/>
    <n v="0"/>
    <n v="0"/>
    <n v="0"/>
    <n v="0"/>
    <n v="0.15"/>
    <n v="0.13755000000000001"/>
    <n v="0.91700000000000004"/>
    <n v="-0.15000000000000036"/>
    <n v="0.15000000000000036"/>
    <x v="0"/>
    <n v="10.334999999999999"/>
    <n v="0"/>
    <n v="1"/>
  </r>
  <r>
    <s v="AJEET KUMAR"/>
    <d v="2026-06-02T00:00:00"/>
    <s v="SR-RTN/26-27/30629"/>
    <s v="B-295674"/>
    <s v="B-GOLD-FILING"/>
    <s v="GOLD-FILLING-WK"/>
    <x v="1"/>
    <s v="G-NA-75.00-RG"/>
    <n v="14.86"/>
    <n v="11.145"/>
    <n v="0.75"/>
    <n v="13.28"/>
    <n v="9.9600000000000009"/>
    <n v="9.9600000000000009"/>
    <n v="0.75000000000000011"/>
    <n v="0"/>
    <n v="0"/>
    <n v="0"/>
    <n v="0"/>
    <n v="0"/>
    <n v="0"/>
    <n v="0"/>
    <n v="0"/>
    <n v="0"/>
    <n v="1.58"/>
    <n v="1.1850000000000001"/>
    <n v="0.75"/>
    <n v="-1.58"/>
    <n v="1.58"/>
    <x v="0"/>
    <n v="9.9600000000000009"/>
    <n v="0"/>
    <n v="1"/>
  </r>
  <r>
    <s v="AJEET KUMAR"/>
    <d v="2026-06-02T00:00:00"/>
    <s v="SR-RTN/26-27/30668"/>
    <s v="B-293285"/>
    <s v="B-GOLD-FILING"/>
    <s v="GOLD-FILLING-WK"/>
    <x v="0"/>
    <s v="G-NA-91.70-YG"/>
    <n v="31.63"/>
    <n v="29.004709999999999"/>
    <n v="0.91700000000000004"/>
    <n v="30.48"/>
    <n v="27.95016"/>
    <n v="27.951000000000001"/>
    <n v="0.91700000000000004"/>
    <n v="0"/>
    <n v="0"/>
    <n v="0"/>
    <n v="0"/>
    <n v="0"/>
    <n v="0"/>
    <n v="0"/>
    <n v="0"/>
    <n v="0"/>
    <n v="1.1499999999999999"/>
    <n v="1.0545500000000001"/>
    <n v="0.91700000000000015"/>
    <n v="-1.1499999999999986"/>
    <n v="1.1499999999999986"/>
    <x v="0"/>
    <n v="27.951000000000001"/>
    <n v="0"/>
    <n v="1"/>
  </r>
  <r>
    <s v="AJEET KUMAR"/>
    <d v="2026-06-02T00:00:00"/>
    <s v="SR-RTN/26-27/30668"/>
    <s v="B-295535"/>
    <s v="B-GOLD-FILING"/>
    <s v="GOLD-FILLING-WK"/>
    <x v="0"/>
    <s v="G-NA-91.70-YG"/>
    <n v="8.82"/>
    <n v="8.0879399999999997"/>
    <n v="0.91699999999999993"/>
    <n v="8.4600000000000009"/>
    <n v="7.7578199999999997"/>
    <n v="7.758"/>
    <n v="0.91699999999999993"/>
    <n v="0"/>
    <n v="0"/>
    <n v="0"/>
    <n v="0"/>
    <n v="0"/>
    <n v="0"/>
    <n v="0"/>
    <n v="0"/>
    <n v="0"/>
    <n v="0.36"/>
    <n v="0.33012000000000002"/>
    <n v="0.91700000000000015"/>
    <n v="-0.35999999999999943"/>
    <n v="0.35999999999999943"/>
    <x v="0"/>
    <n v="7.758"/>
    <n v="0"/>
    <n v="1"/>
  </r>
  <r>
    <s v="AJEET KUMAR"/>
    <d v="2026-06-02T00:00:00"/>
    <s v="SR-RTN/26-27/30668"/>
    <s v="B-295541"/>
    <s v="B-GOLD-FILING"/>
    <s v="GOLD-FILLING-WK"/>
    <x v="0"/>
    <s v="G-NA-91.70-YG"/>
    <n v="10.86"/>
    <n v="9.9586199999999998"/>
    <n v="0.91700000000000004"/>
    <n v="10.57"/>
    <n v="9.6926900000000007"/>
    <n v="9.6929999999999996"/>
    <n v="0.91700000000000004"/>
    <n v="0"/>
    <n v="0"/>
    <n v="0"/>
    <n v="0"/>
    <n v="0"/>
    <n v="0"/>
    <n v="0"/>
    <n v="0"/>
    <n v="0"/>
    <n v="0.28999999999999998"/>
    <n v="0.26593"/>
    <n v="0.91700000000000004"/>
    <n v="-0.28999999999999915"/>
    <n v="0.28999999999999915"/>
    <x v="0"/>
    <n v="9.6929999999999996"/>
    <n v="0"/>
    <n v="1"/>
  </r>
  <r>
    <s v="AJEET KUMAR"/>
    <d v="2026-06-02T00:00:00"/>
    <s v="SR-RTN/26-27/30670"/>
    <s v="B-293245"/>
    <s v="B-GOLD-FILING"/>
    <s v="GOLD-FILLING-WK"/>
    <x v="0"/>
    <s v="G-NA-91.70-YG"/>
    <n v="47.45"/>
    <n v="43.511650000000003"/>
    <n v="0.91700000000000004"/>
    <n v="45.48"/>
    <n v="41.705159999999999"/>
    <n v="41.705999999999996"/>
    <n v="0.91700000000000004"/>
    <n v="0"/>
    <n v="0"/>
    <n v="0"/>
    <n v="0"/>
    <n v="0"/>
    <n v="0"/>
    <n v="0"/>
    <n v="0"/>
    <n v="0"/>
    <n v="1.97"/>
    <n v="1.8064899999999999"/>
    <n v="0.91699999999999993"/>
    <n v="-1.970000000000006"/>
    <n v="1.970000000000006"/>
    <x v="0"/>
    <n v="41.705999999999996"/>
    <n v="0"/>
    <n v="1"/>
  </r>
  <r>
    <s v="AJEET KUMAR"/>
    <d v="2026-06-02T00:00:00"/>
    <s v="SR-RTN/26-27/30670"/>
    <s v="B-293260"/>
    <s v="B-GOLD-FILING"/>
    <s v="GOLD-FILLING-WK"/>
    <x v="0"/>
    <s v="G-NA-91.70-YG"/>
    <n v="33.71"/>
    <n v="30.91207"/>
    <n v="0.91699999999999993"/>
    <n v="31.03"/>
    <n v="28.454509999999999"/>
    <n v="28.455000000000002"/>
    <n v="0.91699999999999993"/>
    <n v="0"/>
    <n v="0"/>
    <n v="0"/>
    <n v="0"/>
    <n v="0"/>
    <n v="0"/>
    <n v="0"/>
    <n v="0"/>
    <n v="0"/>
    <n v="2.68"/>
    <n v="2.45756"/>
    <n v="0.91699999999999993"/>
    <n v="-2.68"/>
    <n v="2.68"/>
    <x v="0"/>
    <n v="28.455000000000002"/>
    <n v="0"/>
    <n v="1"/>
  </r>
  <r>
    <s v="AJEET KUMAR"/>
    <d v="2026-06-02T00:00:00"/>
    <s v="SR-RTN/26-27/30718"/>
    <s v="B-293254"/>
    <s v="B-GOLD-FILING"/>
    <s v="GOLD-FILLING-WK"/>
    <x v="0"/>
    <s v="G-NA-91.70-YG"/>
    <n v="24.74"/>
    <n v="22.686579999999999"/>
    <n v="0.91700000000000004"/>
    <n v="23.32"/>
    <n v="21.384440000000001"/>
    <n v="21.385000000000002"/>
    <n v="0.91700000000000004"/>
    <n v="0"/>
    <n v="0"/>
    <n v="0"/>
    <n v="0"/>
    <n v="0"/>
    <n v="0"/>
    <n v="0"/>
    <n v="0"/>
    <n v="0"/>
    <n v="1.42"/>
    <n v="1.3021400000000001"/>
    <n v="0.91700000000000015"/>
    <n v="-1.4199999999999982"/>
    <n v="1.4199999999999982"/>
    <x v="0"/>
    <n v="21.385000000000002"/>
    <n v="0"/>
    <n v="1"/>
  </r>
  <r>
    <s v="AJEET KUMAR"/>
    <d v="2026-06-02T00:00:00"/>
    <s v="SR-RTN/26-27/30719"/>
    <s v="B-295595"/>
    <s v="B-GOLD-FILING"/>
    <s v="GOLD-FILLING-WK"/>
    <x v="1"/>
    <s v="G-NA-75.00-YG"/>
    <n v="26.77"/>
    <n v="20.077500000000001"/>
    <n v="0.75"/>
    <n v="25.12"/>
    <n v="18.84"/>
    <n v="18.84"/>
    <n v="0.75"/>
    <n v="0"/>
    <n v="0"/>
    <n v="0"/>
    <n v="0"/>
    <n v="0"/>
    <n v="0"/>
    <n v="0"/>
    <n v="0"/>
    <n v="0"/>
    <n v="1.65"/>
    <n v="1.2375"/>
    <n v="0.75000000000000011"/>
    <n v="-1.6499999999999986"/>
    <n v="1.6499999999999986"/>
    <x v="1"/>
    <n v="17.363"/>
    <n v="1.4770000000000003"/>
    <n v="2"/>
  </r>
  <r>
    <s v="AJEET KUMAR"/>
    <d v="2026-06-02T00:00:00"/>
    <s v="SR-RTN/26-27/30721"/>
    <s v="B-295532"/>
    <s v="B-GOLD-FILING"/>
    <s v="GOLD-FILLING-WK"/>
    <x v="0"/>
    <s v="G-NA-91.70-YG"/>
    <n v="6.61"/>
    <n v="6.0613700000000001"/>
    <n v="0.91699999999999993"/>
    <n v="6.42"/>
    <n v="5.8871399999999996"/>
    <n v="5.8879999999999999"/>
    <n v="0.91699999999999993"/>
    <n v="0"/>
    <n v="0"/>
    <n v="0"/>
    <n v="0"/>
    <n v="0"/>
    <n v="0"/>
    <n v="0"/>
    <n v="0"/>
    <n v="0"/>
    <n v="0.19"/>
    <n v="0.17423"/>
    <n v="0.91699999999999993"/>
    <n v="-0.19000000000000039"/>
    <n v="0.19000000000000039"/>
    <x v="0"/>
    <n v="5.8879999999999999"/>
    <n v="0"/>
    <n v="1"/>
  </r>
  <r>
    <s v="AJEET KUMAR"/>
    <d v="2026-06-02T00:00:00"/>
    <s v="SR-RTN/26-27/30745"/>
    <s v="B-291345"/>
    <s v="B-GOLD-FILING"/>
    <s v="GOLD-FILLING-WK"/>
    <x v="0"/>
    <s v="G-NA-91.70-YG"/>
    <n v="4.05"/>
    <n v="3.7138499999999999"/>
    <n v="0.91700000000000004"/>
    <n v="4.05"/>
    <n v="3.7138499999999999"/>
    <n v="3.714"/>
    <n v="0.91700000000000004"/>
    <n v="0"/>
    <n v="0"/>
    <n v="0"/>
    <n v="0"/>
    <n v="0"/>
    <n v="0"/>
    <n v="0"/>
    <n v="0"/>
    <n v="0"/>
    <n v="0"/>
    <n v="0"/>
    <n v="0"/>
    <n v="0"/>
    <n v="0"/>
    <x v="0"/>
    <n v="3.714"/>
    <n v="0"/>
    <n v="2"/>
  </r>
  <r>
    <s v="AJEET KUMAR"/>
    <d v="2026-06-02T00:00:00"/>
    <s v="SR-RTN/26-27/30749"/>
    <s v="B-291345"/>
    <s v="B-GOLD-FILING"/>
    <s v="REP-GOLD-FILLING-WK"/>
    <x v="0"/>
    <s v="G-NA-91.70-YG"/>
    <n v="4.09"/>
    <n v="3.7505299999999999"/>
    <n v="0.91700000000000004"/>
    <n v="4.09"/>
    <n v="3.7505299999999999"/>
    <n v="3.7509999999999999"/>
    <n v="0.91700000000000004"/>
    <n v="0"/>
    <n v="0"/>
    <n v="0"/>
    <n v="0"/>
    <n v="0"/>
    <n v="0"/>
    <n v="0"/>
    <n v="0"/>
    <n v="0"/>
    <n v="0"/>
    <n v="0"/>
    <n v="0"/>
    <n v="0"/>
    <n v="0"/>
    <x v="2"/>
    <n v="3.714"/>
    <n v="3.6999999999999922E-2"/>
    <n v="2"/>
  </r>
  <r>
    <s v="AJEET KUMAR"/>
    <d v="2026-06-02T00:00:00"/>
    <s v="SR-RTN/26-27/30757"/>
    <s v="B-293292"/>
    <s v="B-GOLD-FILING"/>
    <s v="GOLD-FILLING-WK"/>
    <x v="0"/>
    <s v="G-NA-91.70-YG"/>
    <n v="27.76"/>
    <n v="25.455919999999999"/>
    <n v="0.91699999999999993"/>
    <n v="26.33"/>
    <n v="24.14461"/>
    <n v="24.145"/>
    <n v="0.91700000000000004"/>
    <n v="0"/>
    <n v="0"/>
    <n v="0"/>
    <n v="0"/>
    <n v="0"/>
    <n v="0"/>
    <n v="0"/>
    <n v="0"/>
    <n v="0"/>
    <n v="1.43"/>
    <n v="1.31131"/>
    <n v="0.91700000000000004"/>
    <n v="-1.4300000000000033"/>
    <n v="1.4300000000000033"/>
    <x v="0"/>
    <n v="24.145"/>
    <n v="0"/>
    <n v="1"/>
  </r>
  <r>
    <s v="AJEET KUMAR"/>
    <d v="2026-06-02T00:00:00"/>
    <s v="SR-RTN/26-27/30769"/>
    <s v="B-293248"/>
    <s v="B-GOLD-FILING"/>
    <s v="GOLD-FILLING-WK"/>
    <x v="0"/>
    <s v="G-NA-91.70-YG"/>
    <n v="40.94"/>
    <n v="37.541980000000002"/>
    <n v="0.91700000000000015"/>
    <n v="39.67"/>
    <n v="36.377389999999998"/>
    <n v="36.378"/>
    <n v="0.91699999999999993"/>
    <n v="0"/>
    <n v="0"/>
    <n v="0"/>
    <n v="0"/>
    <n v="0"/>
    <n v="0"/>
    <n v="0"/>
    <n v="0"/>
    <n v="0"/>
    <n v="1.27"/>
    <n v="1.16459"/>
    <n v="0.91700000000000004"/>
    <n v="-1.269999999999996"/>
    <n v="1.269999999999996"/>
    <x v="0"/>
    <n v="36.378"/>
    <n v="0"/>
    <n v="1"/>
  </r>
  <r>
    <s v="AJEET KUMAR"/>
    <d v="2026-06-02T00:00:00"/>
    <s v="SR-RTN/26-27/30769"/>
    <s v="B-295537"/>
    <s v="B-GOLD-FILING"/>
    <s v="GOLD-FILLING-WK"/>
    <x v="0"/>
    <s v="G-NA-91.70-YG"/>
    <n v="10.08"/>
    <n v="9.2433599999999991"/>
    <n v="0.91699999999999993"/>
    <n v="9.77"/>
    <n v="8.9590899999999998"/>
    <n v="8.9599999999999991"/>
    <n v="0.91700000000000004"/>
    <n v="0"/>
    <n v="0"/>
    <n v="0"/>
    <n v="0"/>
    <n v="0"/>
    <n v="0"/>
    <n v="0"/>
    <n v="0"/>
    <n v="0"/>
    <n v="0.31"/>
    <n v="0.28427000000000002"/>
    <n v="0.91700000000000004"/>
    <n v="-0.3100000000000005"/>
    <n v="0.3100000000000005"/>
    <x v="0"/>
    <n v="8.9599999999999991"/>
    <n v="0"/>
    <n v="2"/>
  </r>
  <r>
    <s v="AJEET KUMAR"/>
    <d v="2026-06-02T00:00:00"/>
    <s v="SR-RTN/26-27/30769"/>
    <s v="B-295554"/>
    <s v="B-GOLD-FILING"/>
    <s v="GOLD-FILLING-WK"/>
    <x v="1"/>
    <s v="G-NA-75.00-RG"/>
    <n v="42.2"/>
    <n v="31.65"/>
    <n v="0.74999999999999989"/>
    <n v="37.549999999999997"/>
    <n v="28.162500000000001"/>
    <n v="28.163"/>
    <n v="0.75000000000000011"/>
    <n v="0"/>
    <n v="0"/>
    <n v="0"/>
    <n v="0"/>
    <n v="0"/>
    <n v="0"/>
    <n v="0"/>
    <n v="0"/>
    <n v="0"/>
    <n v="4.6500000000000004"/>
    <n v="3.4874999999999998"/>
    <n v="0.74999999999999989"/>
    <n v="-4.6500000000000057"/>
    <n v="4.6500000000000057"/>
    <x v="0"/>
    <n v="28.163"/>
    <n v="0"/>
    <n v="1"/>
  </r>
  <r>
    <s v="AJEET KUMAR"/>
    <d v="2026-06-02T00:00:00"/>
    <s v="SR-RTN/26-27/30773"/>
    <s v="B-291363"/>
    <s v="B-GOLD-FILING"/>
    <s v="GOLD-FILLING-WK"/>
    <x v="0"/>
    <s v="G-NA-91.70-YG"/>
    <n v="8.67"/>
    <n v="7.9503899999999996"/>
    <n v="0.91699999999999993"/>
    <n v="8.48"/>
    <n v="7.77616"/>
    <n v="7.7770000000000001"/>
    <n v="0.91699999999999993"/>
    <n v="0"/>
    <n v="0"/>
    <n v="0"/>
    <n v="0"/>
    <n v="0"/>
    <n v="0"/>
    <n v="0"/>
    <n v="0"/>
    <n v="0"/>
    <n v="0.19"/>
    <n v="0.17423"/>
    <n v="0.91699999999999993"/>
    <n v="-0.1899999999999995"/>
    <n v="0.1899999999999995"/>
    <x v="0"/>
    <n v="7.7770000000000001"/>
    <n v="0"/>
    <n v="1"/>
  </r>
  <r>
    <s v="AJEET KUMAR"/>
    <d v="2026-06-02T00:00:00"/>
    <s v="SR-RTN/26-27/30773"/>
    <s v="B-291375"/>
    <s v="B-GOLD-FILING"/>
    <s v="GOLD-FILLING-WK"/>
    <x v="0"/>
    <s v="G-NA-91.70-YG"/>
    <n v="14.3"/>
    <n v="13.113099999999999"/>
    <n v="0.91699999999999993"/>
    <n v="13.96"/>
    <n v="12.80132"/>
    <n v="12.802"/>
    <n v="0.91699999999999993"/>
    <n v="0"/>
    <n v="0"/>
    <n v="0"/>
    <n v="0"/>
    <n v="0"/>
    <n v="0"/>
    <n v="0"/>
    <n v="0"/>
    <n v="0"/>
    <n v="0.34"/>
    <n v="0.31178"/>
    <n v="0.91699999999999993"/>
    <n v="-0.33999999999999986"/>
    <n v="0.33999999999999986"/>
    <x v="0"/>
    <n v="12.802"/>
    <n v="0"/>
    <n v="1"/>
  </r>
  <r>
    <s v="AJEET KUMAR"/>
    <d v="2026-06-02T00:00:00"/>
    <s v="SR-RTN/26-27/30773"/>
    <s v="B-293780"/>
    <s v="B-GOLD-FILING"/>
    <s v="GOLD-FILLING-WK"/>
    <x v="0"/>
    <s v="G-NA-91.70-YG"/>
    <n v="24.45"/>
    <n v="22.420649999999998"/>
    <n v="0.91699999999999993"/>
    <n v="24.08"/>
    <n v="22.08136"/>
    <n v="22.082000000000001"/>
    <n v="0.91700000000000004"/>
    <n v="0"/>
    <n v="0"/>
    <n v="0"/>
    <n v="0"/>
    <n v="0"/>
    <n v="0"/>
    <n v="0"/>
    <n v="0"/>
    <n v="0"/>
    <n v="0.37"/>
    <n v="0.33928999999999998"/>
    <n v="0.91699999999999993"/>
    <n v="-0.37000000000000099"/>
    <n v="0.37000000000000099"/>
    <x v="0"/>
    <n v="22.082000000000001"/>
    <n v="0"/>
    <n v="1"/>
  </r>
  <r>
    <s v="AJEET KUMAR"/>
    <d v="2026-06-02T00:00:00"/>
    <s v="SR-RTN/26-27/30784"/>
    <s v="B-293250"/>
    <s v="B-GOLD-FILING"/>
    <s v="GOLD-FILLING-WK"/>
    <x v="0"/>
    <s v="G-NA-91.70-YG"/>
    <n v="48.72"/>
    <n v="44.67624"/>
    <n v="0.91700000000000004"/>
    <n v="46.77"/>
    <n v="42.888089999999998"/>
    <n v="42.888999999999996"/>
    <n v="0.91699999999999993"/>
    <n v="0"/>
    <n v="0"/>
    <n v="0"/>
    <n v="0"/>
    <n v="0"/>
    <n v="0"/>
    <n v="0"/>
    <n v="0"/>
    <n v="0"/>
    <n v="1.95"/>
    <n v="1.7881499999999999"/>
    <n v="0.91699999999999993"/>
    <n v="-1.9499999999999957"/>
    <n v="1.9499999999999957"/>
    <x v="0"/>
    <n v="42.888999999999996"/>
    <n v="0"/>
    <n v="1"/>
  </r>
  <r>
    <s v="AJEET KUMAR"/>
    <d v="2026-06-02T00:00:00"/>
    <s v="SR-RTN/26-27/30784"/>
    <s v="B-293296"/>
    <s v="B-GOLD-FILING"/>
    <s v="GOLD-FILLING-WK"/>
    <x v="0"/>
    <s v="G-NA-91.70-YG"/>
    <n v="31.97"/>
    <n v="29.316490000000002"/>
    <n v="0.91700000000000004"/>
    <n v="30.89"/>
    <n v="28.326129999999999"/>
    <n v="28.327000000000002"/>
    <n v="0.91699999999999993"/>
    <n v="0"/>
    <n v="0"/>
    <n v="0"/>
    <n v="0"/>
    <n v="0"/>
    <n v="0"/>
    <n v="0"/>
    <n v="0"/>
    <n v="0"/>
    <n v="1.08"/>
    <n v="0.99036000000000002"/>
    <n v="0.91699999999999993"/>
    <n v="-1.0799999999999983"/>
    <n v="1.0799999999999983"/>
    <x v="0"/>
    <n v="28.327000000000002"/>
    <n v="0"/>
    <n v="1"/>
  </r>
  <r>
    <s v="AJEET KUMAR"/>
    <d v="2026-06-02T00:00:00"/>
    <s v="SR-RTN/26-27/30784"/>
    <s v="B-295661"/>
    <s v="B-GOLD-FILING"/>
    <s v="GOLD-FILLING-WK"/>
    <x v="1"/>
    <s v="G-NA-75.00-YG"/>
    <n v="6.32"/>
    <n v="4.74"/>
    <n v="0.75"/>
    <n v="5.82"/>
    <n v="4.3650000000000002"/>
    <n v="4.3650000000000002"/>
    <n v="0.75"/>
    <n v="0"/>
    <n v="0"/>
    <n v="0"/>
    <n v="0"/>
    <n v="0"/>
    <n v="0"/>
    <n v="0"/>
    <n v="0"/>
    <n v="0"/>
    <n v="0.5"/>
    <n v="0.375"/>
    <n v="0.75"/>
    <n v="-0.5"/>
    <n v="0.5"/>
    <x v="0"/>
    <n v="4.3650000000000002"/>
    <n v="0"/>
    <n v="1"/>
  </r>
  <r>
    <s v="AJEET KUMAR"/>
    <d v="2026-06-02T00:00:00"/>
    <s v="SR-RTN/26-27/30784"/>
    <s v="B-296054"/>
    <s v="B-GOLD-FILING"/>
    <s v="GOLD-FILLING-WK"/>
    <x v="0"/>
    <s v="G-NA-91.70-YG"/>
    <n v="20.57"/>
    <n v="18.862690000000001"/>
    <n v="0.91700000000000004"/>
    <n v="19.46"/>
    <n v="17.844819999999999"/>
    <n v="17.845000000000002"/>
    <n v="0.91699999999999993"/>
    <n v="0"/>
    <n v="0"/>
    <n v="0"/>
    <n v="0"/>
    <n v="0"/>
    <n v="0"/>
    <n v="0"/>
    <n v="0"/>
    <n v="0"/>
    <n v="1.1100000000000001"/>
    <n v="1.0178700000000001"/>
    <n v="0.91699999999999993"/>
    <n v="-1.1099999999999994"/>
    <n v="1.1099999999999994"/>
    <x v="0"/>
    <n v="17.845000000000002"/>
    <n v="0"/>
    <n v="1"/>
  </r>
  <r>
    <s v="AJEET KUMAR"/>
    <d v="2026-06-02T00:00:00"/>
    <s v="SR-RTN/26-27/30786"/>
    <s v="B-295626"/>
    <s v="B-GOLD-FILING"/>
    <s v="GOLD-FILLING-WK"/>
    <x v="0"/>
    <s v="G-NA-91.70-YG"/>
    <n v="254.08"/>
    <n v="232.99135999999999"/>
    <n v="0.91699999999999993"/>
    <n v="239.26"/>
    <n v="219.40142"/>
    <n v="219.40200000000002"/>
    <n v="0.91700000000000004"/>
    <n v="0"/>
    <n v="0"/>
    <n v="0"/>
    <n v="0"/>
    <n v="0"/>
    <n v="0"/>
    <n v="0"/>
    <n v="0"/>
    <n v="0"/>
    <n v="14.82"/>
    <n v="13.58994"/>
    <n v="0.91700000000000004"/>
    <n v="-14.820000000000022"/>
    <n v="14.820000000000022"/>
    <x v="0"/>
    <n v="219.40200000000002"/>
    <n v="0"/>
    <n v="2"/>
  </r>
  <r>
    <s v="AJEET KUMAR"/>
    <d v="2026-06-02T00:00:00"/>
    <s v="SR-RTN/26-27/30801"/>
    <s v="B-296059"/>
    <s v="B-GOLD-FILING"/>
    <s v="GOLD-FILLING-WK"/>
    <x v="1"/>
    <s v="G-NA-75.00-RG"/>
    <n v="29.19"/>
    <n v="21.892499999999998"/>
    <n v="0.74999999999999989"/>
    <n v="25.17"/>
    <n v="18.877500000000001"/>
    <n v="18.878"/>
    <n v="0.75"/>
    <n v="0"/>
    <n v="0"/>
    <n v="0"/>
    <n v="0"/>
    <n v="0"/>
    <n v="0"/>
    <n v="0"/>
    <n v="0"/>
    <n v="0"/>
    <n v="4.0199999999999996"/>
    <n v="3.0150000000000001"/>
    <n v="0.75000000000000011"/>
    <n v="-4.0199999999999996"/>
    <n v="4.0199999999999996"/>
    <x v="0"/>
    <n v="18.878"/>
    <n v="0"/>
    <n v="1"/>
  </r>
  <r>
    <s v="AJEET KUMAR"/>
    <d v="2026-06-02T00:00:00"/>
    <s v="SR-RTN/26-27/30802"/>
    <s v="B-296056"/>
    <s v="B-GOLD-FILING"/>
    <s v="GOLD-FILLING-WK"/>
    <x v="0"/>
    <s v="G-NA-91.70-YG"/>
    <n v="30.1"/>
    <n v="27.601700000000001"/>
    <n v="0.91700000000000004"/>
    <n v="28.56"/>
    <n v="26.189520000000002"/>
    <n v="26.19"/>
    <n v="0.91700000000000015"/>
    <n v="0"/>
    <n v="0"/>
    <n v="0"/>
    <n v="0"/>
    <n v="0"/>
    <n v="0"/>
    <n v="0"/>
    <n v="0"/>
    <n v="0"/>
    <n v="1.54"/>
    <n v="1.41218"/>
    <n v="0.91699999999999993"/>
    <n v="-1.5400000000000027"/>
    <n v="1.5400000000000027"/>
    <x v="0"/>
    <n v="26.19"/>
    <n v="0"/>
    <n v="2"/>
  </r>
  <r>
    <s v="AJEET KUMAR"/>
    <d v="2026-06-02T00:00:00"/>
    <s v="SR-RTN/26-27/30820"/>
    <s v="B-295660"/>
    <s v="B-GOLD-FILING"/>
    <s v="GOLD-FILLING-WK"/>
    <x v="1"/>
    <s v="G-NA-75.00-YG"/>
    <n v="7.55"/>
    <n v="5.6624999999999996"/>
    <n v="0.75"/>
    <n v="6.83"/>
    <n v="5.1224999999999996"/>
    <n v="5.1230000000000002"/>
    <n v="0.74999999999999989"/>
    <n v="0"/>
    <n v="0"/>
    <n v="0"/>
    <n v="0"/>
    <n v="0"/>
    <n v="0"/>
    <n v="0"/>
    <n v="0"/>
    <n v="0"/>
    <n v="0.72"/>
    <n v="0.54"/>
    <n v="0.75000000000000011"/>
    <n v="-0.71999999999999975"/>
    <n v="0.71999999999999975"/>
    <x v="0"/>
    <n v="5.1230000000000002"/>
    <n v="0"/>
    <n v="1"/>
  </r>
  <r>
    <s v="AJEET KUMAR"/>
    <d v="2026-06-02T00:00:00"/>
    <s v="SR-RTN/26-27/30822"/>
    <s v="B-295677"/>
    <s v="B-GOLD-FILING"/>
    <s v="GOLD-FILLING-WK"/>
    <x v="0"/>
    <s v="G-NA-91.70-YG"/>
    <n v="10.97"/>
    <n v="10.05949"/>
    <n v="0.91699999999999993"/>
    <n v="10.41"/>
    <n v="9.5459700000000005"/>
    <n v="9.5459999999999994"/>
    <n v="0.91700000000000004"/>
    <n v="0"/>
    <n v="0"/>
    <n v="0"/>
    <n v="0"/>
    <n v="0"/>
    <n v="0"/>
    <n v="0"/>
    <n v="0"/>
    <n v="0"/>
    <n v="0.56000000000000005"/>
    <n v="0.51351999999999998"/>
    <n v="0.91699999999999982"/>
    <n v="-0.5600000000000005"/>
    <n v="0.5600000000000005"/>
    <x v="0"/>
    <n v="9.5459999999999994"/>
    <n v="0"/>
    <n v="1"/>
  </r>
  <r>
    <s v="AJEET KUMAR"/>
    <d v="2026-06-02T00:00:00"/>
    <s v="SR-RTN/26-27/30823"/>
    <s v="B-295662"/>
    <s v="B-GOLD-FILING"/>
    <s v="GOLD-FILLING-WK"/>
    <x v="1"/>
    <s v="G-NA-75.00-YG"/>
    <n v="7.16"/>
    <n v="5.37"/>
    <n v="0.75"/>
    <n v="6.38"/>
    <n v="4.7850000000000001"/>
    <n v="4.7850000000000001"/>
    <n v="0.75"/>
    <n v="0"/>
    <n v="0"/>
    <n v="0"/>
    <n v="0"/>
    <n v="0"/>
    <n v="0"/>
    <n v="0"/>
    <n v="0"/>
    <n v="0"/>
    <n v="0.78"/>
    <n v="0.58499999999999996"/>
    <n v="0.74999999999999989"/>
    <n v="-0.78000000000000025"/>
    <n v="0.78000000000000025"/>
    <x v="0"/>
    <n v="4.7850000000000001"/>
    <n v="0"/>
    <n v="1"/>
  </r>
  <r>
    <s v="AJEET KUMAR"/>
    <d v="2026-06-02T00:00:00"/>
    <s v="SR-RTN/26-27/30826"/>
    <s v="B-295534"/>
    <s v="B-GOLD-FILING"/>
    <s v="GOLD-FILLING-WK"/>
    <x v="0"/>
    <s v="G-NA-91.70-YG"/>
    <n v="7.99"/>
    <n v="7.3268300000000002"/>
    <n v="0.91700000000000004"/>
    <n v="7.72"/>
    <n v="7.0792400000000004"/>
    <n v="7.08"/>
    <n v="0.91700000000000004"/>
    <n v="0"/>
    <n v="0"/>
    <n v="0"/>
    <n v="0"/>
    <n v="0"/>
    <n v="0"/>
    <n v="0"/>
    <n v="0"/>
    <n v="0"/>
    <n v="0.27"/>
    <n v="0.24759"/>
    <n v="0.91699999999999993"/>
    <n v="-0.27000000000000046"/>
    <n v="0.27000000000000046"/>
    <x v="0"/>
    <n v="7.08"/>
    <n v="0"/>
    <n v="1"/>
  </r>
  <r>
    <s v="AJEET KUMAR"/>
    <d v="2026-06-02T00:00:00"/>
    <s v="SR-RTN/26-27/30828"/>
    <s v="B-295540"/>
    <s v="B-GOLD-FILING"/>
    <s v="GOLD-FILLING-WK"/>
    <x v="0"/>
    <s v="G-NA-91.70-YG"/>
    <n v="12.96"/>
    <n v="11.884320000000001"/>
    <n v="0.91700000000000004"/>
    <n v="12.74"/>
    <n v="11.68258"/>
    <n v="11.683"/>
    <n v="0.91699999999999993"/>
    <n v="0"/>
    <n v="0"/>
    <n v="0"/>
    <n v="0"/>
    <n v="0"/>
    <n v="0"/>
    <n v="0"/>
    <n v="0"/>
    <n v="0"/>
    <n v="0.22"/>
    <n v="0.20174"/>
    <n v="0.91700000000000004"/>
    <n v="-0.22000000000000064"/>
    <n v="0.22000000000000064"/>
    <x v="0"/>
    <n v="11.683"/>
    <n v="0"/>
    <n v="1"/>
  </r>
  <r>
    <s v="AJEET KUMAR"/>
    <d v="2026-06-02T00:00:00"/>
    <s v="SR-RTN/26-27/30851"/>
    <s v="B-293280"/>
    <s v="B-GOLD-FILING"/>
    <s v="GOLD-FILLING-WK"/>
    <x v="0"/>
    <s v="G-NA-91.70-YG"/>
    <n v="49.36"/>
    <n v="45.263120000000001"/>
    <n v="0.91700000000000004"/>
    <n v="47.88"/>
    <n v="43.90596"/>
    <n v="43.905999999999999"/>
    <n v="0.91699999999999993"/>
    <n v="0"/>
    <n v="0"/>
    <n v="0"/>
    <n v="0"/>
    <n v="0"/>
    <n v="0"/>
    <n v="0"/>
    <n v="0"/>
    <n v="0"/>
    <n v="1.48"/>
    <n v="1.3571599999999999"/>
    <n v="0.91699999999999993"/>
    <n v="-1.4799999999999969"/>
    <n v="1.4799999999999969"/>
    <x v="0"/>
    <n v="43.905999999999999"/>
    <n v="0"/>
    <n v="1"/>
  </r>
  <r>
    <s v="AJEET KUMAR"/>
    <d v="2026-06-02T00:00:00"/>
    <s v="SR-RTN/26-27/30851"/>
    <s v="B-295533"/>
    <s v="B-GOLD-FILING"/>
    <s v="GOLD-FILLING-WK"/>
    <x v="0"/>
    <s v="G-NA-91.70-YG"/>
    <n v="7.74"/>
    <n v="7.0975799999999998"/>
    <n v="0.91699999999999993"/>
    <n v="7.51"/>
    <n v="6.8866699999999996"/>
    <n v="6.8870000000000005"/>
    <n v="0.91699999999999993"/>
    <n v="0"/>
    <n v="0"/>
    <n v="0"/>
    <n v="0"/>
    <n v="0"/>
    <n v="0"/>
    <n v="0"/>
    <n v="0"/>
    <n v="0"/>
    <n v="0.23"/>
    <n v="0.21090999999999999"/>
    <n v="0.91699999999999993"/>
    <n v="-0.23000000000000043"/>
    <n v="0.23000000000000043"/>
    <x v="0"/>
    <n v="6.8870000000000005"/>
    <n v="0"/>
    <n v="1"/>
  </r>
  <r>
    <s v="AJEET KUMAR"/>
    <d v="2026-06-02T00:00:00"/>
    <s v="SR-RTN/26-27/30851"/>
    <s v="B-295536"/>
    <s v="B-GOLD-FILING"/>
    <s v="GOLD-FILLING-WK"/>
    <x v="0"/>
    <s v="G-NA-91.70-YG"/>
    <n v="7.73"/>
    <n v="7.0884099999999997"/>
    <n v="0.91699999999999993"/>
    <n v="7.5"/>
    <n v="6.8775000000000004"/>
    <n v="6.8780000000000001"/>
    <n v="0.91700000000000004"/>
    <n v="0"/>
    <n v="0"/>
    <n v="0"/>
    <n v="0"/>
    <n v="0"/>
    <n v="0"/>
    <n v="0"/>
    <n v="0"/>
    <n v="0"/>
    <n v="0.23"/>
    <n v="0.21090999999999999"/>
    <n v="0.91699999999999993"/>
    <n v="-0.23000000000000043"/>
    <n v="0.23000000000000043"/>
    <x v="0"/>
    <n v="6.8780000000000001"/>
    <n v="0"/>
    <n v="1"/>
  </r>
  <r>
    <s v="AJEET KUMAR"/>
    <d v="2026-06-02T00:00:00"/>
    <s v="SR-RTN/26-27/30851"/>
    <s v="B-295538"/>
    <s v="B-GOLD-FILING"/>
    <s v="GOLD-FILLING-WK"/>
    <x v="0"/>
    <s v="G-NA-91.70-YG"/>
    <n v="8.84"/>
    <n v="8.1062799999999999"/>
    <n v="0.91700000000000004"/>
    <n v="8.41"/>
    <n v="7.71197"/>
    <n v="7.7120000000000006"/>
    <n v="0.91700000000000004"/>
    <n v="0"/>
    <n v="0"/>
    <n v="0"/>
    <n v="0"/>
    <n v="0"/>
    <n v="0"/>
    <n v="0"/>
    <n v="0"/>
    <n v="0"/>
    <n v="0.43"/>
    <n v="0.39430999999999999"/>
    <n v="0.91700000000000004"/>
    <n v="-0.42999999999999972"/>
    <n v="0.42999999999999972"/>
    <x v="0"/>
    <n v="7.7120000000000006"/>
    <n v="0"/>
    <n v="2"/>
  </r>
  <r>
    <s v="AJEET KUMAR"/>
    <d v="2026-06-02T00:00:00"/>
    <s v="SR-RTN/26-27/30851"/>
    <s v="B-295539"/>
    <s v="B-GOLD-FILING"/>
    <s v="GOLD-FILLING-WK"/>
    <x v="0"/>
    <s v="G-NA-91.70-YG"/>
    <n v="7.63"/>
    <n v="6.9967100000000002"/>
    <n v="0.91700000000000004"/>
    <n v="7.28"/>
    <n v="6.6757600000000004"/>
    <n v="6.6760000000000002"/>
    <n v="0.91700000000000004"/>
    <n v="0"/>
    <n v="0"/>
    <n v="0"/>
    <n v="0"/>
    <n v="0"/>
    <n v="0"/>
    <n v="0"/>
    <n v="0"/>
    <n v="0"/>
    <n v="0.35"/>
    <n v="0.32095000000000001"/>
    <n v="0.91700000000000015"/>
    <n v="-0.34999999999999964"/>
    <n v="0.34999999999999964"/>
    <x v="0"/>
    <n v="6.6760000000000002"/>
    <n v="0"/>
    <n v="1"/>
  </r>
  <r>
    <s v="AJEET KUMAR"/>
    <d v="2026-06-02T00:00:00"/>
    <s v="SR-RTN/26-27/30896"/>
    <s v="B-295805"/>
    <s v="B-GOLD-FILING"/>
    <s v="GOLD-FILLING-WK"/>
    <x v="0"/>
    <s v="G-NA-91.70-YG"/>
    <n v="52.3"/>
    <n v="47.959099999999999"/>
    <n v="0.91700000000000004"/>
    <n v="50.44"/>
    <n v="46.253480000000003"/>
    <n v="46.253999999999998"/>
    <n v="0.91700000000000015"/>
    <n v="0"/>
    <n v="0"/>
    <n v="0"/>
    <n v="0"/>
    <n v="0"/>
    <n v="0"/>
    <n v="0"/>
    <n v="0"/>
    <n v="0"/>
    <n v="1.86"/>
    <n v="1.7056199999999999"/>
    <n v="0.91699999999999993"/>
    <n v="-1.8599999999999994"/>
    <n v="1.8599999999999994"/>
    <x v="0"/>
    <n v="46.253999999999998"/>
    <n v="0"/>
    <n v="1"/>
  </r>
  <r>
    <s v="AJEET KUMAR"/>
    <d v="2026-06-02T00:00:00"/>
    <s v="SR-RTN/26-27/30898"/>
    <s v="B-295899"/>
    <s v="B-GOLD-FILING"/>
    <s v="GOLD-FILLING-WK"/>
    <x v="1"/>
    <s v="G-NA-75.00-RG"/>
    <n v="48.73"/>
    <n v="36.547499999999999"/>
    <n v="0.75"/>
    <n v="45.14"/>
    <n v="33.854999999999997"/>
    <n v="33.854999999999997"/>
    <n v="0.74999999999999989"/>
    <n v="0"/>
    <n v="0"/>
    <n v="0"/>
    <n v="0"/>
    <n v="0"/>
    <n v="0"/>
    <n v="0"/>
    <n v="0"/>
    <n v="0"/>
    <n v="3.59"/>
    <n v="2.6924999999999999"/>
    <n v="0.75"/>
    <n v="-3.5899999999999963"/>
    <n v="3.5899999999999963"/>
    <x v="0"/>
    <n v="33.854999999999997"/>
    <n v="0"/>
    <n v="1"/>
  </r>
  <r>
    <s v="AJEET KUMAR"/>
    <d v="2026-06-02T00:00:00"/>
    <s v="SR-RTN/26-27/30898"/>
    <s v="B-295909"/>
    <s v="B-GOLD-FILING"/>
    <s v="GOLD-FILLING-WK"/>
    <x v="0"/>
    <s v="G-NA-91.70-YG"/>
    <n v="46.72"/>
    <n v="42.842239999999997"/>
    <n v="0.91699999999999993"/>
    <n v="45.03"/>
    <n v="41.29251"/>
    <n v="41.292999999999999"/>
    <n v="0.91699999999999993"/>
    <n v="0"/>
    <n v="0"/>
    <n v="0"/>
    <n v="0"/>
    <n v="0"/>
    <n v="0"/>
    <n v="0"/>
    <n v="0"/>
    <n v="0"/>
    <n v="1.69"/>
    <n v="1.5497300000000001"/>
    <n v="0.91700000000000004"/>
    <n v="-1.6899999999999977"/>
    <n v="1.6899999999999977"/>
    <x v="0"/>
    <n v="41.292999999999999"/>
    <n v="0"/>
    <n v="1"/>
  </r>
  <r>
    <s v="AJEET KUMAR"/>
    <d v="2026-06-02T00:00:00"/>
    <s v="SR-RTN/26-27/30899"/>
    <s v="B-292434"/>
    <s v="B-GOLD-FILING"/>
    <s v="GOLD-FILLING-WK"/>
    <x v="0"/>
    <s v="G-NA-91.70-YG"/>
    <n v="2.77"/>
    <n v="2.5400900000000002"/>
    <n v="0.91700000000000004"/>
    <n v="2.7"/>
    <n v="2.4759000000000002"/>
    <n v="2.476"/>
    <n v="0.91700000000000004"/>
    <n v="0"/>
    <n v="0"/>
    <n v="0"/>
    <n v="0"/>
    <n v="0"/>
    <n v="0"/>
    <n v="0"/>
    <n v="0"/>
    <n v="0"/>
    <n v="7.0000000000000007E-2"/>
    <n v="6.4189999999999997E-2"/>
    <n v="0.91699999999999982"/>
    <n v="-6.999999999999984E-2"/>
    <n v="6.999999999999984E-2"/>
    <x v="0"/>
    <n v="2.476"/>
    <n v="0"/>
    <n v="1"/>
  </r>
  <r>
    <s v="AJEET KUMAR"/>
    <d v="2026-06-02T00:00:00"/>
    <s v="SR-RTN/26-27/30910"/>
    <s v="B-295648"/>
    <s v="B-GOLD-FILING"/>
    <s v="GOLD-FILLING-WK"/>
    <x v="1"/>
    <s v="G-NA-75.00-YG"/>
    <n v="13.83"/>
    <n v="10.3725"/>
    <n v="0.75"/>
    <n v="13.05"/>
    <n v="9.7874999999999996"/>
    <n v="9.7880000000000003"/>
    <n v="0.74999999999999989"/>
    <n v="0"/>
    <n v="0"/>
    <n v="0"/>
    <n v="0"/>
    <n v="0"/>
    <n v="0"/>
    <n v="0"/>
    <n v="0"/>
    <n v="0"/>
    <n v="0.78"/>
    <n v="0.58499999999999996"/>
    <n v="0.74999999999999989"/>
    <n v="-0.77999999999999936"/>
    <n v="0.77999999999999936"/>
    <x v="0"/>
    <n v="9.7880000000000003"/>
    <n v="0"/>
    <n v="1"/>
  </r>
  <r>
    <s v="AJEET KUMAR"/>
    <d v="2026-06-02T00:00:00"/>
    <s v="SR-RTN/26-27/30910"/>
    <s v="B-295676"/>
    <s v="B-GOLD-FILING"/>
    <s v="GOLD-FILLING-WK"/>
    <x v="0"/>
    <s v="G-NA-91.70-YG"/>
    <n v="9.7799999999999994"/>
    <n v="8.9682600000000008"/>
    <n v="0.91700000000000015"/>
    <n v="9.09"/>
    <n v="8.3355300000000003"/>
    <n v="8.3360000000000003"/>
    <n v="0.91700000000000004"/>
    <n v="0"/>
    <n v="0"/>
    <n v="0"/>
    <n v="0"/>
    <n v="0"/>
    <n v="0"/>
    <n v="0"/>
    <n v="0"/>
    <n v="0"/>
    <n v="0.69"/>
    <n v="0.63273000000000001"/>
    <n v="0.91700000000000004"/>
    <n v="-0.6899999999999995"/>
    <n v="0.6899999999999995"/>
    <x v="0"/>
    <n v="8.3360000000000003"/>
    <n v="0"/>
    <n v="1"/>
  </r>
  <r>
    <s v="AJEET KUMAR"/>
    <d v="2026-06-02T00:00:00"/>
    <s v="SR-RTN/26-27/30910"/>
    <s v="B-296046"/>
    <s v="B-GOLD-FILING"/>
    <s v="GOLD-FILLING-WK"/>
    <x v="1"/>
    <s v="G-NA-75.00-RG"/>
    <n v="6.49"/>
    <n v="4.8674999999999997"/>
    <n v="0.74999999999999989"/>
    <n v="5.85"/>
    <n v="4.3875000000000002"/>
    <n v="4.3879999999999999"/>
    <n v="0.75000000000000011"/>
    <n v="0"/>
    <n v="0"/>
    <n v="0"/>
    <n v="0"/>
    <n v="0"/>
    <n v="0"/>
    <n v="0"/>
    <n v="0"/>
    <n v="0"/>
    <n v="0.64"/>
    <n v="0.48"/>
    <n v="0.75"/>
    <n v="-0.64000000000000057"/>
    <n v="0.64000000000000057"/>
    <x v="1"/>
    <n v="4.26"/>
    <n v="0.12800000000000011"/>
    <n v="2"/>
  </r>
  <r>
    <s v="AJEET KUMAR"/>
    <d v="2026-06-02T00:00:00"/>
    <s v="SR-RTN/26-27/30918"/>
    <s v="B-286424/1"/>
    <s v="B-GOLD-FILING"/>
    <s v="GOLD-FILLING-WK"/>
    <x v="0"/>
    <s v="G-NA-91.70-YG"/>
    <n v="52.43"/>
    <n v="48.078310000000002"/>
    <n v="0.91700000000000004"/>
    <n v="50.65"/>
    <n v="46.44605"/>
    <n v="46.446999999999996"/>
    <n v="0.91700000000000004"/>
    <n v="0"/>
    <n v="0"/>
    <n v="0"/>
    <n v="0"/>
    <n v="0"/>
    <n v="0"/>
    <n v="0"/>
    <n v="0"/>
    <n v="0"/>
    <n v="1.78"/>
    <n v="1.63226"/>
    <n v="0.91700000000000004"/>
    <n v="-1.7800000000000011"/>
    <n v="1.7800000000000011"/>
    <x v="0"/>
    <n v="46.446999999999996"/>
    <n v="0"/>
    <n v="1"/>
  </r>
  <r>
    <s v="AJEET KUMAR"/>
    <d v="2026-06-02T00:00:00"/>
    <s v="SR-RTN/26-27/30918"/>
    <s v="B-291343"/>
    <s v="B-GOLD-FILING"/>
    <s v="GOLD-FILLING-WK"/>
    <x v="0"/>
    <s v="G-NA-91.70-YG"/>
    <n v="3.89"/>
    <n v="3.5671300000000001"/>
    <n v="0.91700000000000004"/>
    <n v="3.78"/>
    <n v="3.4662600000000001"/>
    <n v="3.4670000000000001"/>
    <n v="0.91700000000000004"/>
    <n v="0"/>
    <n v="0"/>
    <n v="0"/>
    <n v="0"/>
    <n v="0"/>
    <n v="0"/>
    <n v="0"/>
    <n v="0"/>
    <n v="0"/>
    <n v="0.11"/>
    <n v="0.10087"/>
    <n v="0.91700000000000004"/>
    <n v="-0.11000000000000032"/>
    <n v="0.11000000000000032"/>
    <x v="0"/>
    <n v="3.4670000000000001"/>
    <n v="0"/>
    <n v="2"/>
  </r>
  <r>
    <s v="AJEET KUMAR"/>
    <d v="2026-06-02T00:00:00"/>
    <s v="SR-RTN/26-27/30918"/>
    <s v="B-291356"/>
    <s v="B-GOLD-FILING"/>
    <s v="GOLD-FILLING-WK"/>
    <x v="0"/>
    <s v="G-NA-91.70-YG"/>
    <n v="4.2300000000000004"/>
    <n v="3.8789099999999999"/>
    <n v="0.91699999999999993"/>
    <n v="4.03"/>
    <n v="3.6955100000000001"/>
    <n v="3.6959999999999997"/>
    <n v="0.91699999999999993"/>
    <n v="0"/>
    <n v="0"/>
    <n v="0"/>
    <n v="0"/>
    <n v="0"/>
    <n v="0"/>
    <n v="0"/>
    <n v="0"/>
    <n v="0"/>
    <n v="0.2"/>
    <n v="0.18340000000000001"/>
    <n v="0.91700000000000004"/>
    <n v="-0.20000000000000018"/>
    <n v="0.20000000000000018"/>
    <x v="0"/>
    <n v="3.6959999999999997"/>
    <n v="0"/>
    <n v="2"/>
  </r>
  <r>
    <s v="AJEET KUMAR"/>
    <d v="2026-06-02T00:00:00"/>
    <s v="SR-RTN/26-27/30918"/>
    <s v="B-291397"/>
    <s v="B-GOLD-FILING"/>
    <s v="GOLD-FILLING-WK"/>
    <x v="0"/>
    <s v="G-NA-91.70-YG"/>
    <n v="6.85"/>
    <n v="6.2814500000000004"/>
    <n v="0.91700000000000015"/>
    <n v="6.55"/>
    <n v="6.0063500000000003"/>
    <n v="6.0070000000000006"/>
    <n v="0.91700000000000004"/>
    <n v="0"/>
    <n v="0"/>
    <n v="0"/>
    <n v="0"/>
    <n v="0"/>
    <n v="0"/>
    <n v="0"/>
    <n v="0"/>
    <n v="0"/>
    <n v="0.3"/>
    <n v="0.27510000000000001"/>
    <n v="0.91700000000000004"/>
    <n v="-0.29999999999999982"/>
    <n v="0.29999999999999982"/>
    <x v="0"/>
    <n v="6.0070000000000006"/>
    <n v="0"/>
    <n v="2"/>
  </r>
  <r>
    <s v="AJEET KUMAR"/>
    <d v="2026-06-02T00:00:00"/>
    <s v="SR-RTN/26-27/30918"/>
    <s v="B-296119"/>
    <s v="B-GOLD-FILING"/>
    <s v="GOLD-FILLING-WK"/>
    <x v="0"/>
    <s v="G-NA-91.70-YG"/>
    <n v="36.6"/>
    <n v="33.562199999999997"/>
    <n v="0.91699999999999993"/>
    <n v="34.97"/>
    <n v="32.067489999999999"/>
    <n v="32.067999999999998"/>
    <n v="0.91700000000000004"/>
    <n v="0"/>
    <n v="0"/>
    <n v="0"/>
    <n v="0"/>
    <n v="0"/>
    <n v="0"/>
    <n v="0"/>
    <n v="0"/>
    <n v="0"/>
    <n v="1.63"/>
    <n v="1.49471"/>
    <n v="0.91700000000000004"/>
    <n v="-1.6300000000000026"/>
    <n v="1.6300000000000026"/>
    <x v="0"/>
    <n v="32.067999999999998"/>
    <n v="0"/>
    <n v="1"/>
  </r>
  <r>
    <s v="AJEET KUMAR"/>
    <d v="2026-06-02T00:00:00"/>
    <s v="SR-RTN/26-27/30920"/>
    <s v="B-291352"/>
    <s v="B-GOLD-FILING"/>
    <s v="GOLD-FILLING-WK"/>
    <x v="0"/>
    <s v="G-NA-91.70-YG"/>
    <n v="4.03"/>
    <n v="3.6955100000000001"/>
    <n v="0.91699999999999993"/>
    <n v="3.88"/>
    <n v="3.55796"/>
    <n v="3.5579999999999998"/>
    <n v="0.91700000000000004"/>
    <n v="0"/>
    <n v="0"/>
    <n v="0"/>
    <n v="0"/>
    <n v="0"/>
    <n v="0"/>
    <n v="0"/>
    <n v="0"/>
    <n v="0"/>
    <n v="0.15"/>
    <n v="0.13755000000000001"/>
    <n v="0.91700000000000004"/>
    <n v="-0.15000000000000036"/>
    <n v="0.15000000000000036"/>
    <x v="0"/>
    <n v="3.5579999999999998"/>
    <n v="0"/>
    <n v="1"/>
  </r>
  <r>
    <s v="AJEET KUMAR"/>
    <d v="2026-06-02T00:00:00"/>
    <s v="SR-RTN/26-27/30920"/>
    <s v="B-291389"/>
    <s v="B-GOLD-FILING"/>
    <s v="GOLD-FILLING-WK"/>
    <x v="0"/>
    <s v="G-NA-91.70-YG"/>
    <n v="3.82"/>
    <n v="3.5029400000000002"/>
    <n v="0.91700000000000004"/>
    <n v="3.67"/>
    <n v="3.3653900000000001"/>
    <n v="3.3660000000000001"/>
    <n v="0.91700000000000004"/>
    <n v="0"/>
    <n v="0"/>
    <n v="0"/>
    <n v="0"/>
    <n v="0"/>
    <n v="0"/>
    <n v="0"/>
    <n v="0"/>
    <n v="0"/>
    <n v="0.15"/>
    <n v="0.13755000000000001"/>
    <n v="0.91700000000000004"/>
    <n v="-0.14999999999999991"/>
    <n v="0.14999999999999991"/>
    <x v="0"/>
    <n v="3.3660000000000001"/>
    <n v="0"/>
    <n v="2"/>
  </r>
  <r>
    <s v="AJEET KUMAR"/>
    <d v="2026-06-02T00:00:00"/>
    <s v="SR-RTN/26-27/30920"/>
    <s v="B-291409"/>
    <s v="B-GOLD-FILING"/>
    <s v="GOLD-FILLING-WK"/>
    <x v="0"/>
    <s v="G-NA-91.70-YG"/>
    <n v="4.4539999999999997"/>
    <n v="4.0843179999999997"/>
    <n v="0.91699999999999993"/>
    <n v="4.2939999999999996"/>
    <n v="3.9375979999999999"/>
    <n v="3.9379999999999997"/>
    <n v="0.91700000000000004"/>
    <n v="0"/>
    <n v="0"/>
    <n v="0"/>
    <n v="0"/>
    <n v="0"/>
    <n v="0"/>
    <n v="0"/>
    <n v="0"/>
    <n v="0"/>
    <n v="0.16"/>
    <n v="0.14671999999999999"/>
    <n v="0.91699999999999993"/>
    <n v="-0.16000000000000014"/>
    <n v="0.16000000000000014"/>
    <x v="0"/>
    <n v="3.9379999999999997"/>
    <n v="0"/>
    <n v="1"/>
  </r>
  <r>
    <s v="AJEET KUMAR"/>
    <d v="2026-06-02T00:00:00"/>
    <s v="SR-RTN/26-27/30934"/>
    <s v="B-291415/1"/>
    <s v="B-GOLD-FILING"/>
    <s v="GOLD-FILLING-WK"/>
    <x v="0"/>
    <s v="G-NA-91.70-YG"/>
    <n v="7.36"/>
    <n v="6.7491199999999996"/>
    <n v="0.91699999999999993"/>
    <n v="7.01"/>
    <n v="6.4281699999999997"/>
    <n v="6.4290000000000003"/>
    <n v="0.91700000000000004"/>
    <n v="0"/>
    <n v="0"/>
    <n v="0"/>
    <n v="0"/>
    <n v="0"/>
    <n v="0"/>
    <n v="0"/>
    <n v="0"/>
    <n v="0"/>
    <n v="0.35"/>
    <n v="0.32095000000000001"/>
    <n v="0.91700000000000015"/>
    <n v="-0.35000000000000053"/>
    <n v="0.35000000000000053"/>
    <x v="0"/>
    <n v="6.4290000000000003"/>
    <n v="0"/>
    <n v="2"/>
  </r>
  <r>
    <s v="AJEET KUMAR"/>
    <d v="2026-06-02T00:00:00"/>
    <s v="SR-RTN/26-27/30950"/>
    <s v="B-291009"/>
    <s v="B-GOLD-FILING"/>
    <s v="GOLD-FILLING-WK"/>
    <x v="1"/>
    <s v="G-NA-75.00-RG"/>
    <n v="76.739999999999995"/>
    <n v="57.555"/>
    <n v="0.75"/>
    <n v="67.16"/>
    <n v="50.37"/>
    <n v="50.37"/>
    <n v="0.75"/>
    <n v="0"/>
    <n v="0"/>
    <n v="0"/>
    <n v="0"/>
    <n v="0"/>
    <n v="0"/>
    <n v="0"/>
    <n v="0"/>
    <n v="0"/>
    <n v="9.58"/>
    <n v="7.1849999999999996"/>
    <n v="0.75"/>
    <n v="-9.5799999999999983"/>
    <n v="9.5799999999999983"/>
    <x v="0"/>
    <n v="50.37"/>
    <n v="0"/>
    <n v="1"/>
  </r>
  <r>
    <s v="AJEET KUMAR"/>
    <d v="2026-06-02T00:00:00"/>
    <s v="SR-RTN/26-27/30950"/>
    <s v="B-295653"/>
    <s v="B-GOLD-FILING"/>
    <s v="GOLD-FILLING-WK"/>
    <x v="0"/>
    <s v="G-NA-91.70-YG"/>
    <n v="17.61"/>
    <n v="16.14837"/>
    <n v="0.91700000000000004"/>
    <n v="16.989999999999998"/>
    <n v="15.579829999999999"/>
    <n v="15.58"/>
    <n v="0.91700000000000004"/>
    <n v="0"/>
    <n v="0"/>
    <n v="0"/>
    <n v="0"/>
    <n v="0"/>
    <n v="0"/>
    <n v="0"/>
    <n v="0"/>
    <n v="0"/>
    <n v="0.62"/>
    <n v="0.56854000000000005"/>
    <n v="0.91700000000000004"/>
    <n v="-0.62000000000000099"/>
    <n v="0.62000000000000099"/>
    <x v="0"/>
    <n v="15.58"/>
    <n v="0"/>
    <n v="1"/>
  </r>
  <r>
    <s v="AJEET KUMAR"/>
    <d v="2026-06-02T00:00:00"/>
    <s v="SR-RTN/26-27/30950"/>
    <s v="B-296896"/>
    <s v="B-GOLD-FILING"/>
    <s v="GOLD-FILLING-WK"/>
    <x v="0"/>
    <s v="G-NA-91.70-YG"/>
    <n v="4.32"/>
    <n v="3.9614400000000001"/>
    <n v="0.91699999999999993"/>
    <n v="3.79"/>
    <n v="3.4754299999999998"/>
    <n v="3.476"/>
    <n v="0.91699999999999993"/>
    <n v="0"/>
    <n v="0"/>
    <n v="0"/>
    <n v="0"/>
    <n v="0"/>
    <n v="0"/>
    <n v="0"/>
    <n v="0"/>
    <n v="0"/>
    <n v="0.53"/>
    <n v="0.48601"/>
    <n v="0.91699999999999993"/>
    <n v="-0.53000000000000025"/>
    <n v="0.53000000000000025"/>
    <x v="0"/>
    <n v="3.476"/>
    <n v="0"/>
    <n v="1"/>
  </r>
  <r>
    <s v="AJEET KUMAR"/>
    <d v="2026-06-02T00:00:00"/>
    <s v="SR-RTN/26-27/30980"/>
    <s v="B-291320"/>
    <s v="B-GOLD-FILING"/>
    <s v="GOLD-FILLING-WK"/>
    <x v="0"/>
    <s v="G-NA-91.70-YG"/>
    <n v="13.35"/>
    <n v="12.241949999999999"/>
    <n v="0.91699999999999993"/>
    <n v="12.87"/>
    <n v="11.80179"/>
    <n v="11.802"/>
    <n v="0.91700000000000004"/>
    <n v="0"/>
    <n v="0"/>
    <n v="0"/>
    <n v="0"/>
    <n v="0"/>
    <n v="0"/>
    <n v="0"/>
    <n v="0"/>
    <n v="0"/>
    <n v="0.48"/>
    <n v="0.44016"/>
    <n v="0.91700000000000004"/>
    <n v="-0.48000000000000043"/>
    <n v="0.48000000000000043"/>
    <x v="0"/>
    <n v="11.802"/>
    <n v="0"/>
    <n v="2"/>
  </r>
  <r>
    <s v="AJEET KUMAR"/>
    <d v="2026-06-02T00:00:00"/>
    <s v="SR-RTN/26-27/30980"/>
    <s v="B-291327/1"/>
    <s v="B-GOLD-FILING"/>
    <s v="GOLD-FILLING-WK"/>
    <x v="0"/>
    <s v="G-NA-91.70-YG"/>
    <n v="8.36"/>
    <n v="7.6661200000000003"/>
    <n v="0.91700000000000015"/>
    <n v="7.91"/>
    <n v="7.2534700000000001"/>
    <n v="7.2540000000000004"/>
    <n v="0.91700000000000004"/>
    <n v="0"/>
    <n v="0"/>
    <n v="0"/>
    <n v="0"/>
    <n v="0"/>
    <n v="0"/>
    <n v="0"/>
    <n v="0"/>
    <n v="0"/>
    <n v="0.45"/>
    <n v="0.41265000000000002"/>
    <n v="0.91700000000000004"/>
    <n v="-0.44999999999999929"/>
    <n v="0.44999999999999929"/>
    <x v="0"/>
    <n v="7.2540000000000004"/>
    <n v="0"/>
    <n v="2"/>
  </r>
  <r>
    <s v="AJEET KUMAR"/>
    <d v="2026-06-02T00:00:00"/>
    <s v="SR-RTN/26-27/30980"/>
    <s v="B-291408/1"/>
    <s v="B-GOLD-FILING"/>
    <s v="GOLD-FILLING-WK"/>
    <x v="0"/>
    <s v="G-NA-91.70-YG"/>
    <n v="14.82"/>
    <n v="13.58994"/>
    <n v="0.91700000000000004"/>
    <n v="14.14"/>
    <n v="12.966379999999999"/>
    <n v="12.966999999999999"/>
    <n v="0.91699999999999993"/>
    <n v="0"/>
    <n v="0"/>
    <n v="0"/>
    <n v="0"/>
    <n v="0"/>
    <n v="0"/>
    <n v="0"/>
    <n v="0"/>
    <n v="0"/>
    <n v="0.68"/>
    <n v="0.62356"/>
    <n v="0.91699999999999993"/>
    <n v="-0.67999999999999972"/>
    <n v="0.67999999999999972"/>
    <x v="0"/>
    <n v="12.966999999999999"/>
    <n v="0"/>
    <n v="2"/>
  </r>
  <r>
    <s v="AJEET KUMAR"/>
    <d v="2026-06-02T00:00:00"/>
    <s v="SR-RTN/26-27/30980"/>
    <s v="B-291411"/>
    <s v="B-GOLD-FILING"/>
    <s v="GOLD-FILLING-WK"/>
    <x v="0"/>
    <s v="G-NA-91.70-YG"/>
    <n v="12.06"/>
    <n v="11.05902"/>
    <n v="0.91700000000000004"/>
    <n v="11.37"/>
    <n v="10.42629"/>
    <n v="10.427"/>
    <n v="0.91700000000000004"/>
    <n v="0"/>
    <n v="0"/>
    <n v="0"/>
    <n v="0"/>
    <n v="0"/>
    <n v="0"/>
    <n v="0"/>
    <n v="0"/>
    <n v="0"/>
    <n v="0.69"/>
    <n v="0.63273000000000001"/>
    <n v="0.91700000000000004"/>
    <n v="-0.69000000000000128"/>
    <n v="0.69000000000000128"/>
    <x v="0"/>
    <n v="10.427"/>
    <n v="0"/>
    <n v="3"/>
  </r>
  <r>
    <s v="AJEET KUMAR"/>
    <d v="2026-06-02T00:00:00"/>
    <s v="SR-RTN/26-27/31010"/>
    <s v="B-291387/1/1"/>
    <s v="B-GOLD-FILING"/>
    <s v="GOLD-FILLING-WK"/>
    <x v="0"/>
    <s v="G-NA-91.70-YG"/>
    <n v="5.3"/>
    <n v="4.8601000000000001"/>
    <n v="0.91700000000000004"/>
    <n v="4.9400000000000004"/>
    <n v="4.5299800000000001"/>
    <n v="4.53"/>
    <n v="0.91699999999999993"/>
    <n v="0"/>
    <n v="0"/>
    <n v="0"/>
    <n v="0"/>
    <n v="0"/>
    <n v="0"/>
    <n v="0"/>
    <n v="0"/>
    <n v="0"/>
    <n v="0.36"/>
    <n v="0.33012000000000002"/>
    <n v="0.91700000000000015"/>
    <n v="-0.35999999999999943"/>
    <n v="0.35999999999999943"/>
    <x v="0"/>
    <n v="4.53"/>
    <n v="0"/>
    <n v="2"/>
  </r>
  <r>
    <s v="AJEET KUMAR"/>
    <d v="2026-06-02T00:00:00"/>
    <s v="SR-RTN/26-27/31052"/>
    <s v="B-295910"/>
    <s v="B-GOLD-FILING"/>
    <s v="GOLD-FILLING-WK"/>
    <x v="1"/>
    <s v="G-NA-75.00-RG"/>
    <n v="75.510000000000005"/>
    <n v="56.6325"/>
    <n v="0.75"/>
    <n v="75.510000000000005"/>
    <n v="56.6325"/>
    <n v="56.632999999999996"/>
    <n v="0.75"/>
    <n v="0"/>
    <n v="0"/>
    <n v="0"/>
    <n v="0"/>
    <n v="0"/>
    <n v="0"/>
    <n v="0"/>
    <n v="0"/>
    <n v="0"/>
    <n v="0"/>
    <n v="0"/>
    <n v="0"/>
    <n v="0"/>
    <n v="0"/>
    <x v="1"/>
    <n v="50.407999999999994"/>
    <n v="6.2250000000000014"/>
    <n v="3"/>
  </r>
  <r>
    <s v="AJEET KUMAR"/>
    <d v="2026-06-02T00:00:00"/>
    <s v="SR-RTN/26-27/31107"/>
    <s v="B-295902"/>
    <s v="B-GOLD-FILING"/>
    <s v="GOLD-FILLING-WK"/>
    <x v="1"/>
    <s v="G-NA-75.00-RG"/>
    <n v="15.44"/>
    <n v="11.58"/>
    <n v="0.75"/>
    <n v="14.35"/>
    <n v="10.762499999999999"/>
    <n v="10.763"/>
    <n v="0.75"/>
    <n v="0"/>
    <n v="0"/>
    <n v="0"/>
    <n v="0"/>
    <n v="0"/>
    <n v="0"/>
    <n v="0"/>
    <n v="0"/>
    <n v="0"/>
    <n v="1.0900000000000001"/>
    <n v="0.8175"/>
    <n v="0.75"/>
    <n v="-1.0899999999999999"/>
    <n v="1.0899999999999999"/>
    <x v="0"/>
    <n v="10.763"/>
    <n v="0"/>
    <n v="2"/>
  </r>
  <r>
    <s v="AJEET KUMAR"/>
    <d v="2026-06-02T00:00:00"/>
    <s v="SR-RTN/26-27/31108"/>
    <s v="B-295913"/>
    <s v="B-GOLD-FILING"/>
    <s v="GOLD-FILLING-WK"/>
    <x v="0"/>
    <s v="G-NA-91.70-YG"/>
    <n v="50.2"/>
    <n v="46.0334"/>
    <n v="0.91699999999999993"/>
    <n v="46.56"/>
    <n v="42.695520000000002"/>
    <n v="42.695999999999998"/>
    <n v="0.91700000000000004"/>
    <n v="0"/>
    <n v="0"/>
    <n v="0"/>
    <n v="0"/>
    <n v="0"/>
    <n v="0"/>
    <n v="0"/>
    <n v="0"/>
    <n v="0"/>
    <n v="3.64"/>
    <n v="3.3378800000000002"/>
    <n v="0.91700000000000004"/>
    <n v="-3.6400000000000006"/>
    <n v="3.6400000000000006"/>
    <x v="1"/>
    <n v="36.478999999999999"/>
    <n v="6.2169999999999987"/>
    <n v="2"/>
  </r>
  <r>
    <s v="AJEET KUMAR"/>
    <d v="2026-06-02T00:00:00"/>
    <s v="SR-RTN/26-27/31111"/>
    <s v="B-295629"/>
    <s v="B-GOLD-FILING"/>
    <s v="GOLD-FILLING-WK"/>
    <x v="1"/>
    <s v="G-NA-75.00-RG"/>
    <n v="22.83"/>
    <n v="17.122499999999999"/>
    <n v="0.75"/>
    <n v="21.12"/>
    <n v="15.84"/>
    <n v="15.84"/>
    <n v="0.75"/>
    <n v="0"/>
    <n v="0"/>
    <n v="0"/>
    <n v="0"/>
    <n v="0"/>
    <n v="0"/>
    <n v="0"/>
    <n v="0"/>
    <n v="0"/>
    <n v="1.71"/>
    <n v="1.2825"/>
    <n v="0.75"/>
    <n v="-1.7099999999999973"/>
    <n v="1.7099999999999973"/>
    <x v="0"/>
    <n v="15.84"/>
    <n v="0"/>
    <n v="1"/>
  </r>
  <r>
    <s v="AJEET KUMAR"/>
    <d v="2026-06-02T00:00:00"/>
    <s v="SR-RTN/26-27/31112"/>
    <s v="B-296058"/>
    <s v="B-GOLD-FILING"/>
    <s v="GOLD-FILLING-WK"/>
    <x v="1"/>
    <s v="G-NA-75.00-RG"/>
    <n v="31.41"/>
    <n v="23.557500000000001"/>
    <n v="0.75"/>
    <n v="29.57"/>
    <n v="22.177499999999998"/>
    <n v="22.178000000000001"/>
    <n v="0.74999999999999989"/>
    <n v="0"/>
    <n v="0"/>
    <n v="0"/>
    <n v="0"/>
    <n v="0"/>
    <n v="0"/>
    <n v="0"/>
    <n v="0"/>
    <n v="0"/>
    <n v="1.84"/>
    <n v="1.38"/>
    <n v="0.74999999999999989"/>
    <n v="-1.84"/>
    <n v="1.84"/>
    <x v="0"/>
    <n v="22.178000000000001"/>
    <n v="0"/>
    <n v="1"/>
  </r>
  <r>
    <s v="AJEET KUMAR"/>
    <d v="2026-06-02T00:00:00"/>
    <s v="SR-RTN/26-27/31113"/>
    <s v="B-296356"/>
    <s v="B-GOLD-FILING"/>
    <s v="GOLD-FILLING-WK"/>
    <x v="0"/>
    <s v="G-NA-91.70-YG"/>
    <n v="11.14"/>
    <n v="10.21538"/>
    <n v="0.91699999999999993"/>
    <n v="11.14"/>
    <n v="10.21538"/>
    <n v="10.215999999999999"/>
    <n v="0.91699999999999993"/>
    <n v="0"/>
    <n v="0"/>
    <n v="0"/>
    <n v="0"/>
    <n v="0"/>
    <n v="0"/>
    <n v="0"/>
    <n v="0"/>
    <n v="0"/>
    <n v="0"/>
    <n v="0"/>
    <n v="0"/>
    <n v="0"/>
    <n v="0"/>
    <x v="1"/>
    <n v="9.6289999999999996"/>
    <n v="0.58699999999999974"/>
    <n v="2"/>
  </r>
  <r>
    <s v="AJEET KUMAR"/>
    <d v="2026-06-02T00:00:00"/>
    <s v="SR-RTN/26-27/31116"/>
    <s v="B-293190"/>
    <s v="B-GOLD-FILING"/>
    <s v="GOLD-FILLING-WK"/>
    <x v="1"/>
    <s v="G-NA-75.00-RG"/>
    <n v="15.44"/>
    <n v="11.58"/>
    <n v="0.75"/>
    <n v="15.43"/>
    <n v="11.5725"/>
    <n v="11.572999999999999"/>
    <n v="0.75"/>
    <n v="0"/>
    <n v="0"/>
    <n v="0"/>
    <n v="0"/>
    <n v="0"/>
    <n v="0"/>
    <n v="0"/>
    <n v="0"/>
    <n v="0"/>
    <n v="0.01"/>
    <n v="7.4999999999999997E-3"/>
    <n v="0.75"/>
    <n v="-9.9999999999997868E-3"/>
    <n v="9.9999999999997868E-3"/>
    <x v="1"/>
    <n v="10.808"/>
    <n v="0.76499999999999879"/>
    <n v="4"/>
  </r>
  <r>
    <s v="AJEET KUMAR"/>
    <d v="2026-06-02T00:00:00"/>
    <s v="SR-RTN/26-27/31117"/>
    <s v="B-295896"/>
    <s v="B-GOLD-FILING"/>
    <s v="GOLD-FILLING-WK"/>
    <x v="0"/>
    <s v="G-NA-91.70-YG"/>
    <n v="36.99"/>
    <n v="33.919829999999997"/>
    <n v="0.91699999999999993"/>
    <n v="33.880000000000003"/>
    <n v="31.067959999999999"/>
    <n v="31.068000000000001"/>
    <n v="0.91699999999999993"/>
    <n v="0"/>
    <n v="0"/>
    <n v="0"/>
    <n v="0"/>
    <n v="0"/>
    <n v="0"/>
    <n v="0"/>
    <n v="0"/>
    <n v="0"/>
    <n v="3.11"/>
    <n v="2.8518699999999999"/>
    <n v="0.91700000000000004"/>
    <n v="-3.1099999999999994"/>
    <n v="3.1099999999999994"/>
    <x v="0"/>
    <n v="31.068000000000001"/>
    <n v="0"/>
    <n v="2"/>
  </r>
  <r>
    <s v="AJEET KUMAR"/>
    <d v="2026-06-02T00:00:00"/>
    <s v="SR-RTN/26-27/31131"/>
    <s v="B-295624"/>
    <s v="B-GOLD-FILING"/>
    <s v="GOLD-FILLING-WK"/>
    <x v="0"/>
    <s v="G-NA-91.70-YG"/>
    <n v="11.77"/>
    <n v="10.793089999999999"/>
    <n v="0.91700000000000004"/>
    <n v="11.03"/>
    <n v="10.114509999999999"/>
    <n v="10.115"/>
    <n v="0.91700000000000004"/>
    <n v="0"/>
    <n v="0"/>
    <n v="0"/>
    <n v="0"/>
    <n v="0"/>
    <n v="0"/>
    <n v="0"/>
    <n v="0"/>
    <n v="0"/>
    <n v="0.74"/>
    <n v="0.67857999999999996"/>
    <n v="0.91699999999999993"/>
    <n v="-0.74000000000000021"/>
    <n v="0.74000000000000021"/>
    <x v="1"/>
    <n v="9.9039999999999999"/>
    <n v="0.2110000000000003"/>
    <n v="2"/>
  </r>
  <r>
    <s v="AJEET KUMAR"/>
    <d v="2026-06-02T00:00:00"/>
    <s v="SR-RTN/26-27/31133"/>
    <s v="B-295620"/>
    <s v="B-GOLD-FILING"/>
    <s v="GOLD-FILLING-WK"/>
    <x v="0"/>
    <s v="G-NA-91.70-YG"/>
    <n v="13.34"/>
    <n v="12.23278"/>
    <n v="0.91700000000000004"/>
    <n v="12.82"/>
    <n v="11.755940000000001"/>
    <n v="11.756"/>
    <n v="0.91700000000000004"/>
    <n v="0"/>
    <n v="0"/>
    <n v="0"/>
    <n v="0"/>
    <n v="0"/>
    <n v="0"/>
    <n v="0"/>
    <n v="0"/>
    <n v="0"/>
    <n v="0.52"/>
    <n v="0.47683999999999999"/>
    <n v="0.91699999999999993"/>
    <n v="-0.51999999999999957"/>
    <n v="0.51999999999999957"/>
    <x v="1"/>
    <n v="11.16"/>
    <n v="0.59600000000000009"/>
    <n v="2"/>
  </r>
  <r>
    <s v="AJEET KUMAR"/>
    <d v="2026-06-02T00:00:00"/>
    <s v="SR-RTN/26-27/31134"/>
    <s v="B-295621"/>
    <s v="B-GOLD-FILING"/>
    <s v="GOLD-FILLING-WK"/>
    <x v="0"/>
    <s v="G-NA-91.70-YG"/>
    <n v="14.32"/>
    <n v="13.13144"/>
    <n v="0.91699999999999993"/>
    <n v="13.3"/>
    <n v="12.196099999999999"/>
    <n v="12.196999999999999"/>
    <n v="0.91699999999999993"/>
    <n v="0"/>
    <n v="0"/>
    <n v="0"/>
    <n v="0"/>
    <n v="0"/>
    <n v="0"/>
    <n v="0"/>
    <n v="0"/>
    <n v="0"/>
    <n v="1.02"/>
    <n v="0.93533999999999995"/>
    <n v="0.91699999999999993"/>
    <n v="-1.0199999999999996"/>
    <n v="1.0199999999999996"/>
    <x v="1"/>
    <n v="11.966999999999999"/>
    <n v="0.23000000000000043"/>
    <n v="2"/>
  </r>
  <r>
    <s v="AJEET KUMAR"/>
    <d v="2026-06-02T00:00:00"/>
    <s v="SR-RTN/26-27/31135"/>
    <s v="B-295622"/>
    <s v="B-GOLD-FILING"/>
    <s v="GOLD-FILLING-WK"/>
    <x v="0"/>
    <s v="G-NA-91.70-YG"/>
    <n v="13.09"/>
    <n v="12.00353"/>
    <n v="0.91699999999999993"/>
    <n v="12.4"/>
    <n v="11.370799999999999"/>
    <n v="11.370999999999999"/>
    <n v="0.91699999999999993"/>
    <n v="0"/>
    <n v="0"/>
    <n v="0"/>
    <n v="0"/>
    <n v="0"/>
    <n v="0"/>
    <n v="0"/>
    <n v="0"/>
    <n v="0"/>
    <n v="0.69"/>
    <n v="0.63273000000000001"/>
    <n v="0.91700000000000004"/>
    <n v="-0.6899999999999995"/>
    <n v="0.6899999999999995"/>
    <x v="1"/>
    <n v="11.16"/>
    <n v="0.21099999999999852"/>
    <n v="2"/>
  </r>
  <r>
    <s v="AJEET KUMAR"/>
    <d v="2026-06-02T00:00:00"/>
    <s v="SR-RTN/26-27/31136"/>
    <s v="B-295623"/>
    <s v="B-GOLD-FILING"/>
    <s v="GOLD-FILLING-WK"/>
    <x v="0"/>
    <s v="G-NA-91.70-YG"/>
    <n v="14.23"/>
    <n v="13.048909999999999"/>
    <n v="0.91699999999999993"/>
    <n v="13.66"/>
    <n v="12.52622"/>
    <n v="12.526999999999999"/>
    <n v="0.91700000000000004"/>
    <n v="0"/>
    <n v="0"/>
    <n v="0"/>
    <n v="0"/>
    <n v="0"/>
    <n v="0"/>
    <n v="0"/>
    <n v="0"/>
    <n v="0"/>
    <n v="0.56999999999999995"/>
    <n v="0.52268999999999999"/>
    <n v="0.91700000000000004"/>
    <n v="-0.57000000000000028"/>
    <n v="0.57000000000000028"/>
    <x v="1"/>
    <n v="12.343"/>
    <n v="0.18399999999999928"/>
    <n v="2"/>
  </r>
  <r>
    <s v="AJEET KUMAR"/>
    <d v="2026-06-02T00:00:00"/>
    <s v="SR-RTN/26-27/31138"/>
    <s v="B-295650"/>
    <s v="B-GOLD-FILING"/>
    <s v="GOLD-FILLING-WK"/>
    <x v="1"/>
    <s v="G-NA-75.00-YG"/>
    <n v="14.17"/>
    <n v="10.6275"/>
    <n v="0.75"/>
    <n v="13.5"/>
    <n v="10.125"/>
    <n v="10.125"/>
    <n v="0.75"/>
    <n v="0"/>
    <n v="0"/>
    <n v="0"/>
    <n v="0"/>
    <n v="0"/>
    <n v="0"/>
    <n v="0"/>
    <n v="0"/>
    <n v="0"/>
    <n v="0.67"/>
    <n v="0.50249999999999995"/>
    <n v="0.74999999999999989"/>
    <n v="-0.67"/>
    <n v="0.67"/>
    <x v="0"/>
    <n v="10.125"/>
    <n v="0"/>
    <n v="2"/>
  </r>
  <r>
    <s v="AJEET KUMAR"/>
    <d v="2026-06-02T00:00:00"/>
    <s v="SR-RTN/26-27/31139"/>
    <s v="B-296664"/>
    <s v="B-GOLD-FILING"/>
    <s v="GOLD-FILLING-WK"/>
    <x v="0"/>
    <s v="G-NA-91.70-YG"/>
    <n v="139.4"/>
    <n v="127.82980000000001"/>
    <n v="0.91700000000000004"/>
    <n v="138.41999999999999"/>
    <n v="126.93114"/>
    <n v="126.932"/>
    <n v="0.91700000000000004"/>
    <n v="0"/>
    <n v="0"/>
    <n v="0"/>
    <n v="0"/>
    <n v="0"/>
    <n v="0"/>
    <n v="0"/>
    <n v="0"/>
    <n v="0"/>
    <n v="0.98"/>
    <n v="0.89866000000000001"/>
    <n v="0.91700000000000004"/>
    <n v="-0.98000000000001819"/>
    <n v="0.98000000000001819"/>
    <x v="1"/>
    <n v="122.24600000000001"/>
    <n v="4.6859999999999928"/>
    <n v="2"/>
  </r>
  <r>
    <s v="AJEET KUMAR"/>
    <d v="2026-06-02T00:00:00"/>
    <s v="SR-RTN/26-27/31169"/>
    <s v="B-294241"/>
    <s v="B-GOLD-FILING"/>
    <s v="GOLD-FILLING-WK"/>
    <x v="0"/>
    <s v="G-NA-91.70-YG"/>
    <n v="8.24"/>
    <n v="7.5560799999999997"/>
    <n v="0.91699999999999993"/>
    <n v="8.24"/>
    <n v="7.5560799999999997"/>
    <n v="7.5570000000000004"/>
    <n v="0.91699999999999993"/>
    <n v="0"/>
    <n v="0"/>
    <n v="0"/>
    <n v="0"/>
    <n v="0"/>
    <n v="0"/>
    <n v="0"/>
    <n v="0"/>
    <n v="0"/>
    <n v="0"/>
    <n v="0"/>
    <n v="0"/>
    <n v="0"/>
    <n v="0"/>
    <x v="0"/>
    <n v="7.5570000000000004"/>
    <n v="0"/>
    <n v="1"/>
  </r>
  <r>
    <s v="AJEET KUMAR"/>
    <d v="2026-06-02T00:00:00"/>
    <s v="SR-RTN/26-27/31170"/>
    <s v="B-293294"/>
    <s v="B-GOLD-FILING"/>
    <s v="GOLD-FILLING-WK"/>
    <x v="0"/>
    <s v="G-NA-91.70-YG"/>
    <n v="54.49"/>
    <n v="49.967329999999997"/>
    <n v="0.91699999999999993"/>
    <n v="50.55"/>
    <n v="46.354349999999997"/>
    <n v="46.354999999999997"/>
    <n v="0.91700000000000004"/>
    <n v="0"/>
    <n v="0"/>
    <n v="0"/>
    <n v="0"/>
    <n v="0"/>
    <n v="0"/>
    <n v="0"/>
    <n v="0"/>
    <n v="0"/>
    <n v="3.94"/>
    <n v="3.6129799999999999"/>
    <n v="0.91699999999999993"/>
    <n v="-3.9400000000000048"/>
    <n v="3.9400000000000048"/>
    <x v="0"/>
    <n v="46.354999999999997"/>
    <n v="0"/>
    <n v="1"/>
  </r>
  <r>
    <s v="AJEET KUMAR"/>
    <d v="2026-06-02T00:00:00"/>
    <s v="SR-RTN/26-27/31173"/>
    <s v="B-291319"/>
    <s v="B-GOLD-FILING"/>
    <s v="GOLD-FILLING-WK"/>
    <x v="0"/>
    <s v="G-NA-91.70-YG"/>
    <n v="7.72"/>
    <n v="7.0792400000000004"/>
    <n v="0.91700000000000004"/>
    <n v="7.54"/>
    <n v="6.91418"/>
    <n v="6.915"/>
    <n v="0.91700000000000004"/>
    <n v="0"/>
    <n v="0"/>
    <n v="0"/>
    <n v="0"/>
    <n v="0"/>
    <n v="0"/>
    <n v="0"/>
    <n v="0"/>
    <n v="0"/>
    <n v="0.18"/>
    <n v="0.16506000000000001"/>
    <n v="0.91700000000000015"/>
    <n v="-0.17999999999999972"/>
    <n v="0.17999999999999972"/>
    <x v="0"/>
    <n v="6.915"/>
    <n v="0"/>
    <n v="1"/>
  </r>
  <r>
    <s v="AJEET KUMAR"/>
    <d v="2026-06-02T00:00:00"/>
    <s v="SR-RTN/26-27/31177"/>
    <s v="B-291427/1"/>
    <s v="B-GOLD-FILING"/>
    <s v="GOLD-FILLING-WK"/>
    <x v="0"/>
    <s v="G-NA-91.70-YG"/>
    <n v="14.8"/>
    <n v="13.5716"/>
    <n v="0.91699999999999993"/>
    <n v="14.65"/>
    <n v="13.434049999999999"/>
    <n v="13.434999999999999"/>
    <n v="0.91699999999999993"/>
    <n v="0"/>
    <n v="0"/>
    <n v="0"/>
    <n v="0"/>
    <n v="0"/>
    <n v="0"/>
    <n v="0"/>
    <n v="0"/>
    <n v="0"/>
    <n v="0.15"/>
    <n v="0.13755000000000001"/>
    <n v="0.91700000000000004"/>
    <n v="-0.15000000000000036"/>
    <n v="0.15000000000000036"/>
    <x v="0"/>
    <n v="13.434999999999999"/>
    <n v="0"/>
    <n v="1"/>
  </r>
  <r>
    <s v="AJEET KUMAR"/>
    <d v="2026-06-02T00:00:00"/>
    <s v="SR-RTN/26-27/31179"/>
    <s v="B-295574"/>
    <s v="B-GOLD-FILING"/>
    <s v="GOLD-FILLING-WK"/>
    <x v="0"/>
    <s v="G-NA-91.70-YG"/>
    <n v="27.501000000000001"/>
    <n v="25.218416999999999"/>
    <n v="0.91699999999999993"/>
    <n v="25.940999999999999"/>
    <n v="23.787897000000001"/>
    <n v="23.788"/>
    <n v="0.91700000000000004"/>
    <n v="0"/>
    <n v="0"/>
    <n v="0"/>
    <n v="0"/>
    <n v="0"/>
    <n v="0"/>
    <n v="0"/>
    <n v="0"/>
    <n v="0"/>
    <n v="1.56"/>
    <n v="1.43052"/>
    <n v="0.91699999999999993"/>
    <n v="-1.5600000000000023"/>
    <n v="1.5600000000000023"/>
    <x v="0"/>
    <n v="23.788"/>
    <n v="0"/>
    <n v="2"/>
  </r>
  <r>
    <s v="AJEET KUMAR"/>
    <d v="2026-06-02T00:00:00"/>
    <s v="SR-RTN/26-27/31220"/>
    <s v="B-296082"/>
    <s v="B-GOLD-FILING"/>
    <s v="GOLD-FILLING-WK"/>
    <x v="0"/>
    <s v="G-NA-91.70-YG"/>
    <n v="86.54"/>
    <n v="79.35718"/>
    <n v="0.91699999999999993"/>
    <n v="81.08"/>
    <n v="74.350359999999995"/>
    <n v="74.350999999999999"/>
    <n v="0.91699999999999993"/>
    <n v="0"/>
    <n v="0"/>
    <n v="0"/>
    <n v="0"/>
    <n v="0"/>
    <n v="0"/>
    <n v="0"/>
    <n v="0"/>
    <n v="0"/>
    <n v="5.46"/>
    <n v="5.0068200000000003"/>
    <n v="0.91700000000000004"/>
    <n v="-5.460000000000008"/>
    <n v="5.460000000000008"/>
    <x v="0"/>
    <n v="74.350999999999999"/>
    <n v="0"/>
    <n v="1"/>
  </r>
  <r>
    <s v="AJEET KUMAR"/>
    <d v="2026-06-02T00:00:00"/>
    <s v="SR-W/O-RTN/26-27/2293"/>
    <s v="NONE"/>
    <s v="B-GOLD-FILING"/>
    <s v="GOLD-FILLING-WK"/>
    <x v="1"/>
    <s v="G-NA-75.00-RG"/>
    <n v="8.94"/>
    <n v="6.7050000000000001"/>
    <n v="0.75"/>
    <n v="8.18"/>
    <n v="6.1349999999999998"/>
    <n v="6.1349999999999998"/>
    <n v="0.75"/>
    <n v="0"/>
    <n v="0"/>
    <n v="0"/>
    <n v="0"/>
    <n v="0"/>
    <n v="0"/>
    <n v="0"/>
    <n v="0"/>
    <n v="0"/>
    <n v="0.76"/>
    <n v="0.56999999999999995"/>
    <n v="0.74999999999999989"/>
    <n v="-0.75999999999999979"/>
    <n v="0.75999999999999979"/>
    <x v="1"/>
    <n v="0"/>
    <n v="6.1349999999999998"/>
    <n v="67"/>
  </r>
  <r>
    <s v="AJEET KUMAR"/>
    <d v="2026-06-02T00:00:00"/>
    <s v="SR-W/O-RTN/26-27/2293"/>
    <s v="NONE"/>
    <s v="B-GOLD-FILING"/>
    <s v="GOLD-FILLING-WK"/>
    <x v="1"/>
    <s v="G-NA-75.00-YG"/>
    <n v="11.21"/>
    <n v="8.4075000000000006"/>
    <n v="0.75"/>
    <n v="10.87"/>
    <n v="8.1524999999999999"/>
    <n v="8.1529999999999987"/>
    <n v="0.75"/>
    <n v="0"/>
    <n v="0"/>
    <n v="0"/>
    <n v="0"/>
    <n v="0"/>
    <n v="0"/>
    <n v="0"/>
    <n v="0"/>
    <n v="0"/>
    <n v="0.34"/>
    <n v="0.255"/>
    <n v="0.75"/>
    <n v="-0.34000000000000163"/>
    <n v="0.34000000000000163"/>
    <x v="1"/>
    <n v="0"/>
    <n v="8.1529999999999987"/>
    <n v="67"/>
  </r>
  <r>
    <s v="AJEET KUMAR"/>
    <d v="2026-06-02T00:00:00"/>
    <s v="SR-W/O-RTN/26-27/2293"/>
    <s v="NONE"/>
    <s v="B-GOLD-FILING"/>
    <s v="GOLD-FILLING-WK"/>
    <x v="0"/>
    <s v="G-NA-91.70-YG"/>
    <n v="22.32"/>
    <n v="20.46744"/>
    <n v="0.91700000000000004"/>
    <n v="17.14"/>
    <n v="15.71738"/>
    <n v="15.718"/>
    <n v="0.91700000000000004"/>
    <n v="0"/>
    <n v="0"/>
    <n v="0"/>
    <n v="0"/>
    <n v="0"/>
    <n v="0"/>
    <n v="0"/>
    <n v="0"/>
    <n v="0"/>
    <n v="5.18"/>
    <n v="4.7500600000000004"/>
    <n v="0.91700000000000015"/>
    <n v="-5.18"/>
    <n v="5.18"/>
    <x v="1"/>
    <n v="0"/>
    <n v="15.718"/>
    <n v="67"/>
  </r>
  <r>
    <s v="AJEET KUMAR"/>
    <d v="2026-06-03T00:00:00"/>
    <s v="RTN-8657368"/>
    <s v="SR-41573"/>
    <s v="CAST-FILLING"/>
    <s v="GOLD-FILLING-WK"/>
    <x v="0"/>
    <s v="G-NA-91.70-YG"/>
    <n v="92.72"/>
    <n v="85.024240000000006"/>
    <n v="0.91700000000000004"/>
    <n v="86.63"/>
    <n v="79.439710000000005"/>
    <n v="79.44"/>
    <n v="0.91700000000000015"/>
    <n v="0"/>
    <n v="0"/>
    <n v="0"/>
    <n v="0"/>
    <n v="0"/>
    <n v="0"/>
    <n v="0"/>
    <n v="0"/>
    <n v="0"/>
    <n v="6.09"/>
    <n v="5.58453"/>
    <n v="0.91700000000000004"/>
    <n v="-6.0900000000000034"/>
    <n v="6.0900000000000034"/>
    <x v="0"/>
    <n v="79.44"/>
    <n v="0"/>
    <n v="1"/>
  </r>
  <r>
    <s v="AJEET KUMAR"/>
    <d v="2026-06-03T00:00:00"/>
    <s v="RTN-8657380"/>
    <s v="SR-41570"/>
    <s v="CAST-FILLING"/>
    <s v="GOLD-FILLING-WK"/>
    <x v="0"/>
    <s v="G-NA-91.70-YG"/>
    <n v="67.930000000000007"/>
    <n v="62.291809999999998"/>
    <n v="0.91699999999999993"/>
    <n v="63.72"/>
    <n v="58.431240000000003"/>
    <n v="58.431999999999995"/>
    <n v="0.91700000000000004"/>
    <n v="0"/>
    <n v="0"/>
    <n v="0"/>
    <n v="0"/>
    <n v="0"/>
    <n v="0"/>
    <n v="0"/>
    <n v="0"/>
    <n v="0"/>
    <n v="4.21"/>
    <n v="3.8605700000000001"/>
    <n v="0.91700000000000004"/>
    <n v="-4.210000000000008"/>
    <n v="4.210000000000008"/>
    <x v="0"/>
    <n v="58.431999999999995"/>
    <n v="0"/>
    <n v="1"/>
  </r>
  <r>
    <s v="AJEET KUMAR"/>
    <d v="2026-06-03T00:00:00"/>
    <s v="RTN-8664694"/>
    <s v="SR-41330/1"/>
    <s v="CAST-FILLING"/>
    <s v="GOLD-FILLING-WK"/>
    <x v="1"/>
    <s v="G-NA-75.00-RG"/>
    <n v="19.29"/>
    <n v="14.467499999999999"/>
    <n v="0.75"/>
    <n v="17.71"/>
    <n v="13.282500000000001"/>
    <n v="13.282999999999999"/>
    <n v="0.75"/>
    <n v="0"/>
    <n v="0"/>
    <n v="0"/>
    <n v="0"/>
    <n v="0"/>
    <n v="0"/>
    <n v="0"/>
    <n v="0"/>
    <n v="0"/>
    <n v="1.58"/>
    <n v="1.1850000000000001"/>
    <n v="0.75"/>
    <n v="-1.5799999999999983"/>
    <n v="1.5799999999999983"/>
    <x v="0"/>
    <n v="13.282999999999999"/>
    <n v="0"/>
    <n v="1"/>
  </r>
  <r>
    <s v="AJEET KUMAR"/>
    <d v="2026-06-03T00:00:00"/>
    <s v="SR-RTN/26-27/31269"/>
    <s v="B-291337/1"/>
    <s v="B-GOLD-FILING"/>
    <s v="GOLD-FILLING-WK"/>
    <x v="0"/>
    <s v="G-NA-91.70-YG"/>
    <n v="7.02"/>
    <n v="6.4373399999999998"/>
    <n v="0.91700000000000004"/>
    <n v="6.92"/>
    <n v="6.3456400000000004"/>
    <n v="6.3460000000000001"/>
    <n v="0.91700000000000004"/>
    <n v="0"/>
    <n v="0"/>
    <n v="0"/>
    <n v="0"/>
    <n v="0"/>
    <n v="0"/>
    <n v="0"/>
    <n v="0"/>
    <n v="0"/>
    <n v="0.1"/>
    <n v="9.1700000000000004E-2"/>
    <n v="0.91700000000000004"/>
    <n v="-9.9999999999999645E-2"/>
    <n v="9.9999999999999645E-2"/>
    <x v="0"/>
    <n v="6.3460000000000001"/>
    <n v="0"/>
    <n v="2"/>
  </r>
  <r>
    <s v="AJEET KUMAR"/>
    <d v="2026-06-03T00:00:00"/>
    <s v="SR-RTN/26-27/31271"/>
    <s v="B-291380"/>
    <s v="B-GOLD-FILING"/>
    <s v="GOLD-FILLING-WK"/>
    <x v="0"/>
    <s v="G-NA-91.70-YG"/>
    <n v="11.73"/>
    <n v="10.756410000000001"/>
    <n v="0.91700000000000004"/>
    <n v="11.07"/>
    <n v="10.15119"/>
    <n v="10.151999999999999"/>
    <n v="0.91699999999999993"/>
    <n v="0"/>
    <n v="0"/>
    <n v="0"/>
    <n v="0"/>
    <n v="0"/>
    <n v="0"/>
    <n v="0"/>
    <n v="0"/>
    <n v="0"/>
    <n v="0.66"/>
    <n v="0.60521999999999998"/>
    <n v="0.91699999999999993"/>
    <n v="-0.66000000000000014"/>
    <n v="0.66000000000000014"/>
    <x v="1"/>
    <n v="7.8959999999999999"/>
    <n v="2.2559999999999993"/>
    <n v="4"/>
  </r>
  <r>
    <s v="AJEET KUMAR"/>
    <d v="2026-06-03T00:00:00"/>
    <s v="SR-RTN/26-27/31272"/>
    <s v="B-294981"/>
    <s v="B-GOLD-FILING"/>
    <s v="GOLD-FILLING-WK"/>
    <x v="0"/>
    <s v="G-NA-91.70-YG"/>
    <n v="3.8"/>
    <n v="3.4845999999999999"/>
    <n v="0.91700000000000004"/>
    <n v="3.67"/>
    <n v="3.3653900000000001"/>
    <n v="3.3660000000000001"/>
    <n v="0.91700000000000004"/>
    <n v="0"/>
    <n v="0"/>
    <n v="0"/>
    <n v="0"/>
    <n v="0"/>
    <n v="0"/>
    <n v="0"/>
    <n v="0"/>
    <n v="0"/>
    <n v="0.13"/>
    <n v="0.11921"/>
    <n v="0.91699999999999993"/>
    <n v="-0.12999999999999989"/>
    <n v="0.12999999999999989"/>
    <x v="0"/>
    <n v="3.3660000000000001"/>
    <n v="0"/>
    <n v="1"/>
  </r>
  <r>
    <s v="AJEET KUMAR"/>
    <d v="2026-06-03T00:00:00"/>
    <s v="SR-RTN/26-27/31274"/>
    <s v="B-291400"/>
    <s v="B-GOLD-FILING"/>
    <s v="GOLD-FILLING-WK"/>
    <x v="0"/>
    <s v="G-NA-91.70-YG"/>
    <n v="2.25"/>
    <n v="2.06325"/>
    <n v="0.91700000000000004"/>
    <n v="2.17"/>
    <n v="1.9898899999999999"/>
    <n v="1.99"/>
    <n v="0.91700000000000004"/>
    <n v="0"/>
    <n v="0"/>
    <n v="0"/>
    <n v="0"/>
    <n v="0"/>
    <n v="0"/>
    <n v="0"/>
    <n v="0"/>
    <n v="0"/>
    <n v="0.08"/>
    <n v="7.3359999999999995E-2"/>
    <n v="0.91699999999999993"/>
    <n v="-8.0000000000000071E-2"/>
    <n v="8.0000000000000071E-2"/>
    <x v="0"/>
    <n v="1.99"/>
    <n v="0"/>
    <n v="2"/>
  </r>
  <r>
    <s v="AJEET KUMAR"/>
    <d v="2026-06-03T00:00:00"/>
    <s v="SR-RTN/26-27/31275"/>
    <s v="B-296664"/>
    <s v="B-GOLD-FILING"/>
    <s v="GOLD-FILLING-WK"/>
    <x v="0"/>
    <s v="G-NA-91.70-YG"/>
    <n v="133.63"/>
    <n v="122.53870999999999"/>
    <n v="0.91700000000000004"/>
    <n v="133.31"/>
    <n v="122.24527"/>
    <n v="122.24600000000001"/>
    <n v="0.91700000000000004"/>
    <n v="0"/>
    <n v="0"/>
    <n v="0"/>
    <n v="0"/>
    <n v="0"/>
    <n v="0"/>
    <n v="0"/>
    <n v="0"/>
    <n v="0"/>
    <n v="0.32"/>
    <n v="0.29343999999999998"/>
    <n v="0.91699999999999993"/>
    <n v="-0.31999999999999318"/>
    <n v="0.31999999999999318"/>
    <x v="0"/>
    <n v="122.24600000000001"/>
    <n v="0"/>
    <n v="2"/>
  </r>
  <r>
    <s v="AJEET KUMAR"/>
    <d v="2026-06-03T00:00:00"/>
    <s v="SR-RTN/26-27/31280"/>
    <s v="B-296188"/>
    <s v="B-GOLD-FILING"/>
    <s v="GOLD-FILLING-WK"/>
    <x v="0"/>
    <s v="G-NA-91.70-YG"/>
    <n v="27.22"/>
    <n v="24.960740000000001"/>
    <n v="0.91700000000000004"/>
    <n v="26.13"/>
    <n v="23.961210000000001"/>
    <n v="23.962"/>
    <n v="0.91700000000000004"/>
    <n v="0"/>
    <n v="0"/>
    <n v="0"/>
    <n v="0"/>
    <n v="0"/>
    <n v="0"/>
    <n v="0"/>
    <n v="0"/>
    <n v="0"/>
    <n v="1.0900000000000001"/>
    <n v="0.99953000000000003"/>
    <n v="0.91699999999999993"/>
    <n v="-1.0899999999999999"/>
    <n v="1.0899999999999999"/>
    <x v="0"/>
    <n v="23.962"/>
    <n v="0"/>
    <n v="1"/>
  </r>
  <r>
    <s v="AJEET KUMAR"/>
    <d v="2026-06-03T00:00:00"/>
    <s v="SR-RTN/26-27/31283"/>
    <s v="B-296041"/>
    <s v="B-GOLD-FILING"/>
    <s v="GOLD-FILLING-WK"/>
    <x v="1"/>
    <s v="G-NA-75.00-RG"/>
    <n v="153.27000000000001"/>
    <n v="114.9525"/>
    <n v="0.75"/>
    <n v="130.85"/>
    <n v="98.137500000000003"/>
    <n v="98.138000000000005"/>
    <n v="0.75"/>
    <n v="0"/>
    <n v="0"/>
    <n v="0"/>
    <n v="0"/>
    <n v="0"/>
    <n v="0"/>
    <n v="0"/>
    <n v="0"/>
    <n v="0"/>
    <n v="22.42"/>
    <n v="16.815000000000001"/>
    <n v="0.75"/>
    <n v="-22.420000000000016"/>
    <n v="22.420000000000016"/>
    <x v="1"/>
    <n v="97.92"/>
    <n v="0.21800000000000352"/>
    <n v="2"/>
  </r>
  <r>
    <s v="AJEET KUMAR"/>
    <d v="2026-06-03T00:00:00"/>
    <s v="SR-RTN/26-27/31294"/>
    <s v="B-294277"/>
    <s v="B-GOLD-FILING"/>
    <s v="GOLD-FILLING-WK"/>
    <x v="0"/>
    <s v="G-NA-91.70-YG"/>
    <n v="22.07"/>
    <n v="20.238189999999999"/>
    <n v="0.91699999999999993"/>
    <n v="21.85"/>
    <n v="20.036449999999999"/>
    <n v="20.037000000000003"/>
    <n v="0.91699999999999993"/>
    <n v="0"/>
    <n v="0"/>
    <n v="0"/>
    <n v="0"/>
    <n v="0"/>
    <n v="0"/>
    <n v="0"/>
    <n v="0"/>
    <n v="0"/>
    <n v="0.22"/>
    <n v="0.20174"/>
    <n v="0.91700000000000004"/>
    <n v="-0.21999999999999886"/>
    <n v="0.21999999999999886"/>
    <x v="0"/>
    <n v="20.037000000000003"/>
    <n v="0"/>
    <n v="2"/>
  </r>
  <r>
    <s v="AJEET KUMAR"/>
    <d v="2026-06-03T00:00:00"/>
    <s v="SR-RTN/26-27/31326"/>
    <s v="B-295892"/>
    <s v="B-GOLD-FILING"/>
    <s v="GOLD-FILLING-WK"/>
    <x v="1"/>
    <s v="G-NA-75.00-YG"/>
    <n v="209.3"/>
    <n v="156.97499999999999"/>
    <n v="0.74999999999999989"/>
    <n v="193.74"/>
    <n v="145.30500000000001"/>
    <n v="145.30500000000001"/>
    <n v="0.75"/>
    <n v="0"/>
    <n v="0"/>
    <n v="0"/>
    <n v="0"/>
    <n v="0"/>
    <n v="0"/>
    <n v="0"/>
    <n v="0"/>
    <n v="0"/>
    <n v="15.56"/>
    <n v="11.67"/>
    <n v="0.75"/>
    <n v="-15.560000000000002"/>
    <n v="15.560000000000002"/>
    <x v="0"/>
    <n v="145.30500000000001"/>
    <n v="0"/>
    <n v="1"/>
  </r>
  <r>
    <s v="AJEET KUMAR"/>
    <d v="2026-06-03T00:00:00"/>
    <s v="SR-RTN/26-27/31362"/>
    <s v="B-295908"/>
    <s v="B-GOLD-FILING"/>
    <s v="GOLD-FILLING-WK"/>
    <x v="1"/>
    <s v="G-NA-75.00-RG"/>
    <n v="9.0399999999999991"/>
    <n v="6.78"/>
    <n v="0.75000000000000011"/>
    <n v="8.7200000000000006"/>
    <n v="6.54"/>
    <n v="6.54"/>
    <n v="0.75"/>
    <n v="0"/>
    <n v="0"/>
    <n v="0"/>
    <n v="0"/>
    <n v="0"/>
    <n v="0"/>
    <n v="0"/>
    <n v="0"/>
    <n v="0"/>
    <n v="0.32"/>
    <n v="0.24"/>
    <n v="0.75"/>
    <n v="-0.31999999999999851"/>
    <n v="0.31999999999999851"/>
    <x v="0"/>
    <n v="6.54"/>
    <n v="0"/>
    <n v="2"/>
  </r>
  <r>
    <s v="AJEET KUMAR"/>
    <d v="2026-06-03T00:00:00"/>
    <s v="SR-RTN/26-27/31364"/>
    <s v="B-293227"/>
    <s v="B-GOLD-FILING"/>
    <s v="GOLD-FILLING-WK"/>
    <x v="0"/>
    <s v="G-NA-91.70-YG"/>
    <n v="25.015999999999998"/>
    <n v="22.939672000000002"/>
    <n v="0.91700000000000015"/>
    <n v="24.795999999999999"/>
    <n v="22.737932000000001"/>
    <n v="22.738"/>
    <n v="0.91700000000000004"/>
    <n v="0"/>
    <n v="0"/>
    <n v="0"/>
    <n v="0"/>
    <n v="0"/>
    <n v="0"/>
    <n v="0"/>
    <n v="0"/>
    <n v="0"/>
    <n v="0.22"/>
    <n v="0.20174"/>
    <n v="0.91700000000000004"/>
    <n v="-0.21999999999999886"/>
    <n v="0.21999999999999886"/>
    <x v="0"/>
    <n v="22.738"/>
    <n v="0"/>
    <n v="2"/>
  </r>
  <r>
    <s v="AJEET KUMAR"/>
    <d v="2026-06-03T00:00:00"/>
    <s v="SR-RTN/26-27/31401"/>
    <s v="B-294242"/>
    <s v="B-GOLD-FILING"/>
    <s v="GOLD-FILLING-WK"/>
    <x v="1"/>
    <s v="G-NA-75.00-YG"/>
    <n v="10.51"/>
    <n v="7.8825000000000003"/>
    <n v="0.75"/>
    <n v="10.51"/>
    <n v="7.8825000000000003"/>
    <n v="7.883"/>
    <n v="0.75"/>
    <n v="0"/>
    <n v="0"/>
    <n v="0"/>
    <n v="0"/>
    <n v="0"/>
    <n v="0"/>
    <n v="0"/>
    <n v="0"/>
    <n v="0"/>
    <n v="0"/>
    <n v="0"/>
    <n v="0"/>
    <n v="0"/>
    <n v="0"/>
    <x v="1"/>
    <n v="7.875"/>
    <n v="8.0000000000000071E-3"/>
    <n v="2"/>
  </r>
  <r>
    <s v="AJEET KUMAR"/>
    <d v="2026-06-03T00:00:00"/>
    <s v="SR-RTN/26-27/31402"/>
    <s v="B-294249"/>
    <s v="B-GOLD-FILING"/>
    <s v="GOLD-FILLING-WK"/>
    <x v="1"/>
    <s v="G-NA-75.00-YG"/>
    <n v="12.39"/>
    <n v="9.2925000000000004"/>
    <n v="0.75"/>
    <n v="12.39"/>
    <n v="9.2925000000000004"/>
    <n v="9.2929999999999993"/>
    <n v="0.75"/>
    <n v="0"/>
    <n v="0"/>
    <n v="0"/>
    <n v="0"/>
    <n v="0"/>
    <n v="0"/>
    <n v="0"/>
    <n v="0"/>
    <n v="0"/>
    <n v="0"/>
    <n v="0"/>
    <n v="0"/>
    <n v="0"/>
    <n v="0"/>
    <x v="1"/>
    <n v="9.2850000000000001"/>
    <n v="7.9999999999991189E-3"/>
    <n v="2"/>
  </r>
  <r>
    <s v="AJEET KUMAR"/>
    <d v="2026-06-03T00:00:00"/>
    <s v="SR-RTN/26-27/31406"/>
    <s v="B-295895"/>
    <s v="B-GOLD-FILING"/>
    <s v="GOLD-FILLING-WK"/>
    <x v="1"/>
    <s v="G-NA-75.00-RG"/>
    <n v="195.5"/>
    <n v="146.625"/>
    <n v="0.75"/>
    <n v="182.93"/>
    <n v="137.19749999999999"/>
    <n v="137.19800000000001"/>
    <n v="0.74999999999999989"/>
    <n v="0"/>
    <n v="0"/>
    <n v="0"/>
    <n v="0"/>
    <n v="0"/>
    <n v="0"/>
    <n v="0"/>
    <n v="0"/>
    <n v="0"/>
    <n v="12.57"/>
    <n v="9.4275000000000002"/>
    <n v="0.75"/>
    <n v="-12.569999999999993"/>
    <n v="12.569999999999993"/>
    <x v="0"/>
    <n v="137.19800000000001"/>
    <n v="0"/>
    <n v="1"/>
  </r>
  <r>
    <s v="AJEET KUMAR"/>
    <d v="2026-06-03T00:00:00"/>
    <s v="SR-RTN/26-27/31407"/>
    <s v="B-295893"/>
    <s v="B-GOLD-FILING"/>
    <s v="GOLD-FILLING-WK"/>
    <x v="1"/>
    <s v="G-NA-75.00-RG"/>
    <n v="167.95"/>
    <n v="125.96250000000001"/>
    <n v="0.75000000000000011"/>
    <n v="156.79"/>
    <n v="117.5925"/>
    <n v="117.593"/>
    <n v="0.75"/>
    <n v="0"/>
    <n v="0"/>
    <n v="0"/>
    <n v="0"/>
    <n v="0"/>
    <n v="0"/>
    <n v="0"/>
    <n v="0"/>
    <n v="0"/>
    <n v="11.16"/>
    <n v="8.3699999999999992"/>
    <n v="0.74999999999999989"/>
    <n v="-11.159999999999997"/>
    <n v="11.159999999999997"/>
    <x v="0"/>
    <n v="117.593"/>
    <n v="0"/>
    <n v="1"/>
  </r>
  <r>
    <s v="AJEET KUMAR"/>
    <d v="2026-06-03T00:00:00"/>
    <s v="SR-RTN/26-27/31465"/>
    <s v="B-294250"/>
    <s v="B-GOLD-FILING"/>
    <s v="GOLD-FILLING-WK"/>
    <x v="1"/>
    <s v="G-NA-75.00-YG"/>
    <n v="11.12"/>
    <n v="8.34"/>
    <n v="0.75"/>
    <n v="10.33"/>
    <n v="7.7474999999999996"/>
    <n v="7.7480000000000002"/>
    <n v="0.75"/>
    <n v="0"/>
    <n v="0"/>
    <n v="0"/>
    <n v="0"/>
    <n v="0"/>
    <n v="0"/>
    <n v="0"/>
    <n v="0"/>
    <n v="0"/>
    <n v="0.79"/>
    <n v="0.59250000000000003"/>
    <n v="0.75"/>
    <n v="-0.78999999999999915"/>
    <n v="0.78999999999999915"/>
    <x v="0"/>
    <n v="7.7480000000000002"/>
    <n v="0"/>
    <n v="1"/>
  </r>
  <r>
    <s v="AJEET KUMAR"/>
    <d v="2026-06-03T00:00:00"/>
    <s v="SR-RTN/26-27/31473"/>
    <s v="B-295640"/>
    <s v="B-GOLD-FILING"/>
    <s v="GOLD-FILLING-WK"/>
    <x v="1"/>
    <s v="G-NA-75.00-RG"/>
    <n v="7.26"/>
    <n v="5.4450000000000003"/>
    <n v="0.75000000000000011"/>
    <n v="6.43"/>
    <n v="4.8224999999999998"/>
    <n v="4.8230000000000004"/>
    <n v="0.75"/>
    <n v="0"/>
    <n v="0"/>
    <n v="0"/>
    <n v="0"/>
    <n v="0"/>
    <n v="0"/>
    <n v="0"/>
    <n v="0"/>
    <n v="0"/>
    <n v="0.83"/>
    <n v="0.62250000000000005"/>
    <n v="0.75000000000000011"/>
    <n v="-0.83"/>
    <n v="0.83"/>
    <x v="0"/>
    <n v="4.8230000000000004"/>
    <n v="0"/>
    <n v="1"/>
  </r>
  <r>
    <s v="AJEET KUMAR"/>
    <d v="2026-06-03T00:00:00"/>
    <s v="SR-RTN/26-27/31474"/>
    <s v="B-296088"/>
    <s v="B-GOLD-FILING"/>
    <s v="GOLD-FILLING-WK"/>
    <x v="1"/>
    <s v="G-NA-75.00-YG"/>
    <n v="7.86"/>
    <n v="5.8949999999999996"/>
    <n v="0.74999999999999989"/>
    <n v="7.67"/>
    <n v="5.7525000000000004"/>
    <n v="5.7530000000000001"/>
    <n v="0.75000000000000011"/>
    <n v="0"/>
    <n v="0"/>
    <n v="0"/>
    <n v="0"/>
    <n v="0"/>
    <n v="0"/>
    <n v="0"/>
    <n v="0"/>
    <n v="0"/>
    <n v="0.19"/>
    <n v="0.14249999999999999"/>
    <n v="0.74999999999999989"/>
    <n v="-0.19000000000000039"/>
    <n v="0.19000000000000039"/>
    <x v="0"/>
    <n v="5.7530000000000001"/>
    <n v="0"/>
    <n v="1"/>
  </r>
  <r>
    <s v="AJEET KUMAR"/>
    <d v="2026-06-03T00:00:00"/>
    <s v="SR-RTN/26-27/31477"/>
    <s v="B-296355"/>
    <s v="B-GOLD-FILING"/>
    <s v="GOLD-FILLING-WK"/>
    <x v="0"/>
    <s v="G-NA-91.70-YG"/>
    <n v="23.34"/>
    <n v="21.40278"/>
    <n v="0.91700000000000004"/>
    <n v="21.99"/>
    <n v="20.164829999999998"/>
    <n v="20.165000000000003"/>
    <n v="0.91700000000000004"/>
    <n v="0"/>
    <n v="0"/>
    <n v="0"/>
    <n v="0"/>
    <n v="0"/>
    <n v="0"/>
    <n v="0"/>
    <n v="0"/>
    <n v="0"/>
    <n v="1.35"/>
    <n v="1.2379500000000001"/>
    <n v="0.91700000000000004"/>
    <n v="-1.3500000000000014"/>
    <n v="1.3500000000000014"/>
    <x v="0"/>
    <n v="20.165000000000003"/>
    <n v="0"/>
    <n v="1"/>
  </r>
  <r>
    <s v="AJEET KUMAR"/>
    <d v="2026-06-03T00:00:00"/>
    <s v="SR-RTN/26-27/31488"/>
    <s v="B-296271"/>
    <s v="B-GOLD-FILING"/>
    <s v="GOLD-FILLING-WK"/>
    <x v="1"/>
    <s v="G-NA-75.00-RG"/>
    <n v="46.27"/>
    <n v="34.702500000000001"/>
    <n v="0.75"/>
    <n v="42.8"/>
    <n v="32.1"/>
    <n v="32.1"/>
    <n v="0.75000000000000011"/>
    <n v="0"/>
    <n v="0"/>
    <n v="0"/>
    <n v="0"/>
    <n v="0"/>
    <n v="0"/>
    <n v="0"/>
    <n v="0"/>
    <n v="0"/>
    <n v="3.47"/>
    <n v="2.6025"/>
    <n v="0.75"/>
    <n v="-3.470000000000006"/>
    <n v="3.470000000000006"/>
    <x v="0"/>
    <n v="32.1"/>
    <n v="0"/>
    <n v="1"/>
  </r>
  <r>
    <s v="AJEET KUMAR"/>
    <d v="2026-06-03T00:00:00"/>
    <s v="SR-RTN/26-27/31498"/>
    <s v="B-293220"/>
    <s v="B-GOLD-FILING"/>
    <s v="GOLD-FILLING-WK"/>
    <x v="0"/>
    <s v="G-NA-91.70-YG"/>
    <n v="40.49"/>
    <n v="37.129330000000003"/>
    <n v="0.91700000000000004"/>
    <n v="39.97"/>
    <n v="36.65249"/>
    <n v="36.652999999999999"/>
    <n v="0.91700000000000004"/>
    <n v="0"/>
    <n v="0"/>
    <n v="0"/>
    <n v="0"/>
    <n v="0"/>
    <n v="0"/>
    <n v="0"/>
    <n v="0"/>
    <n v="0"/>
    <n v="0.52"/>
    <n v="0.47683999999999999"/>
    <n v="0.91699999999999993"/>
    <n v="-0.52000000000000313"/>
    <n v="0.52000000000000313"/>
    <x v="0"/>
    <n v="36.652999999999999"/>
    <n v="0"/>
    <n v="1"/>
  </r>
  <r>
    <s v="AJEET KUMAR"/>
    <d v="2026-06-03T00:00:00"/>
    <s v="SR-RTN/26-27/31498"/>
    <s v="B-296046"/>
    <s v="B-GOLD-FILING"/>
    <s v="GOLD-FILLING-WK"/>
    <x v="1"/>
    <s v="G-NA-75.00-RG"/>
    <n v="5.8"/>
    <n v="4.3499999999999996"/>
    <n v="0.75"/>
    <n v="5.68"/>
    <n v="4.26"/>
    <n v="4.26"/>
    <n v="0.75"/>
    <n v="0"/>
    <n v="0"/>
    <n v="0"/>
    <n v="0"/>
    <n v="0"/>
    <n v="0"/>
    <n v="0"/>
    <n v="0"/>
    <n v="0"/>
    <n v="0.12"/>
    <n v="0.09"/>
    <n v="0.75"/>
    <n v="-0.12000000000000011"/>
    <n v="0.12000000000000011"/>
    <x v="0"/>
    <n v="4.26"/>
    <n v="0"/>
    <n v="2"/>
  </r>
  <r>
    <s v="AJEET KUMAR"/>
    <d v="2026-06-03T00:00:00"/>
    <s v="SR-RTN/26-27/31501"/>
    <s v="B-296927"/>
    <s v="B-GOLD-FILING"/>
    <s v="GOLD-FILLING-WK"/>
    <x v="0"/>
    <s v="G-NA-91.70-YG"/>
    <n v="9.4309999999999992"/>
    <n v="8.6482270000000003"/>
    <n v="0.91700000000000015"/>
    <n v="8.9209999999999994"/>
    <n v="8.1805570000000003"/>
    <n v="8.1809999999999992"/>
    <n v="0.91700000000000015"/>
    <n v="0"/>
    <n v="0"/>
    <n v="0"/>
    <n v="0"/>
    <n v="0"/>
    <n v="0"/>
    <n v="0"/>
    <n v="0"/>
    <n v="0"/>
    <n v="0.51"/>
    <n v="0.46766999999999997"/>
    <n v="0.91699999999999993"/>
    <n v="-0.50999999999999979"/>
    <n v="0.50999999999999979"/>
    <x v="0"/>
    <n v="8.1809999999999992"/>
    <n v="0"/>
    <n v="1"/>
  </r>
  <r>
    <s v="AJEET KUMAR"/>
    <d v="2026-06-03T00:00:00"/>
    <s v="SR-RTN/26-27/31513"/>
    <s v="B-295922"/>
    <s v="B-GOLD-FILING"/>
    <s v="GOLD-FILLING-WK"/>
    <x v="0"/>
    <s v="G-NA-91.70-YG"/>
    <n v="33.18"/>
    <n v="30.42606"/>
    <n v="0.91700000000000004"/>
    <n v="31.32"/>
    <n v="28.72044"/>
    <n v="28.721"/>
    <n v="0.91700000000000004"/>
    <n v="0"/>
    <n v="0"/>
    <n v="0"/>
    <n v="0"/>
    <n v="0"/>
    <n v="0"/>
    <n v="0"/>
    <n v="0"/>
    <n v="0"/>
    <n v="1.86"/>
    <n v="1.7056199999999999"/>
    <n v="0.91699999999999993"/>
    <n v="-1.8599999999999994"/>
    <n v="1.8599999999999994"/>
    <x v="0"/>
    <n v="28.721"/>
    <n v="0"/>
    <n v="1"/>
  </r>
  <r>
    <s v="AJEET KUMAR"/>
    <d v="2026-06-03T00:00:00"/>
    <s v="SR-RTN/26-27/31513"/>
    <s v="B-296294"/>
    <s v="B-GOLD-FILING"/>
    <s v="GOLD-FILLING-WK"/>
    <x v="1"/>
    <s v="G-NA-75.00-RG"/>
    <n v="17.3"/>
    <n v="12.975"/>
    <n v="0.75"/>
    <n v="15.7"/>
    <n v="11.775"/>
    <n v="11.775"/>
    <n v="0.75000000000000011"/>
    <n v="0"/>
    <n v="0"/>
    <n v="0"/>
    <n v="0"/>
    <n v="0"/>
    <n v="0"/>
    <n v="0"/>
    <n v="0"/>
    <n v="0"/>
    <n v="1.6"/>
    <n v="1.2"/>
    <n v="0.74999999999999989"/>
    <n v="-1.6000000000000014"/>
    <n v="1.6000000000000014"/>
    <x v="0"/>
    <n v="11.775"/>
    <n v="0"/>
    <n v="1"/>
  </r>
  <r>
    <s v="AJEET KUMAR"/>
    <d v="2026-06-03T00:00:00"/>
    <s v="SR-RTN/26-27/31513"/>
    <s v="B-296306"/>
    <s v="B-GOLD-FILING"/>
    <s v="GOLD-FILLING-WK"/>
    <x v="1"/>
    <s v="G-NA-75.00-RG"/>
    <n v="17.2"/>
    <n v="12.9"/>
    <n v="0.75"/>
    <n v="16.64"/>
    <n v="12.48"/>
    <n v="12.48"/>
    <n v="0.75"/>
    <n v="0"/>
    <n v="0"/>
    <n v="0"/>
    <n v="0"/>
    <n v="0"/>
    <n v="0"/>
    <n v="0"/>
    <n v="0"/>
    <n v="0"/>
    <n v="0.56000000000000005"/>
    <n v="0.42"/>
    <n v="0.74999999999999989"/>
    <n v="-0.55999999999999872"/>
    <n v="0.55999999999999872"/>
    <x v="0"/>
    <n v="12.48"/>
    <n v="0"/>
    <n v="1"/>
  </r>
  <r>
    <s v="AJEET KUMAR"/>
    <d v="2026-06-03T00:00:00"/>
    <s v="SR-RTN/26-27/31515"/>
    <s v="B-294245"/>
    <s v="B-GOLD-FILING"/>
    <s v="GOLD-FILLING-WK"/>
    <x v="1"/>
    <s v="G-NA-75.00-YG"/>
    <n v="8.2100000000000009"/>
    <n v="6.1574999999999998"/>
    <n v="0.74999999999999989"/>
    <n v="7.72"/>
    <n v="5.79"/>
    <n v="5.79"/>
    <n v="0.75"/>
    <n v="0"/>
    <n v="0"/>
    <n v="0"/>
    <n v="0"/>
    <n v="0"/>
    <n v="0"/>
    <n v="0"/>
    <n v="0"/>
    <n v="0"/>
    <n v="0.49"/>
    <n v="0.36749999999999999"/>
    <n v="0.75"/>
    <n v="-0.4900000000000011"/>
    <n v="0.4900000000000011"/>
    <x v="0"/>
    <n v="5.79"/>
    <n v="0"/>
    <n v="1"/>
  </r>
  <r>
    <s v="AJEET KUMAR"/>
    <d v="2026-06-03T00:00:00"/>
    <s v="SR-RTN/26-27/31518"/>
    <s v="B-291394"/>
    <s v="B-GOLD-FILING"/>
    <s v="GOLD-FILLING-WK"/>
    <x v="0"/>
    <s v="G-NA-91.70-YG"/>
    <n v="2.85"/>
    <n v="2.6134499999999998"/>
    <n v="0.91699999999999993"/>
    <n v="2.85"/>
    <n v="2.6134499999999998"/>
    <n v="2.6139999999999999"/>
    <n v="0.91699999999999993"/>
    <n v="0"/>
    <n v="0"/>
    <n v="0"/>
    <n v="0"/>
    <n v="0"/>
    <n v="0"/>
    <n v="0"/>
    <n v="0"/>
    <n v="0"/>
    <n v="0"/>
    <n v="0"/>
    <n v="0"/>
    <n v="0"/>
    <n v="0"/>
    <x v="0"/>
    <n v="2.6139999999999999"/>
    <n v="0"/>
    <n v="2"/>
  </r>
  <r>
    <s v="AJEET KUMAR"/>
    <d v="2026-06-03T00:00:00"/>
    <s v="SR-RTN/26-27/31520"/>
    <s v="B-291394"/>
    <s v="B-GOLD-FILING"/>
    <s v="REP-GOLD-FILLING-WK"/>
    <x v="0"/>
    <s v="G-NA-91.70-YG"/>
    <n v="3.12"/>
    <n v="2.86104"/>
    <n v="0.91699999999999993"/>
    <n v="3.12"/>
    <n v="2.86104"/>
    <n v="2.8620000000000001"/>
    <n v="0.91699999999999993"/>
    <n v="0"/>
    <n v="0"/>
    <n v="0"/>
    <n v="0"/>
    <n v="0"/>
    <n v="0"/>
    <n v="0"/>
    <n v="0"/>
    <n v="0"/>
    <n v="0"/>
    <n v="0"/>
    <n v="0"/>
    <n v="0"/>
    <n v="0"/>
    <x v="2"/>
    <n v="2.6139999999999999"/>
    <n v="0.24800000000000022"/>
    <n v="2"/>
  </r>
  <r>
    <s v="AJEET KUMAR"/>
    <d v="2026-06-03T00:00:00"/>
    <s v="SR-RTN/26-27/31537"/>
    <s v="B-293224"/>
    <s v="B-GOLD-FILING"/>
    <s v="GOLD-FILLING-WK"/>
    <x v="0"/>
    <s v="G-NA-91.70-YG"/>
    <n v="47.71"/>
    <n v="43.750070000000001"/>
    <n v="0.91700000000000004"/>
    <n v="47"/>
    <n v="43.098999999999997"/>
    <n v="43.098999999999997"/>
    <n v="0.91699999999999993"/>
    <n v="0"/>
    <n v="0"/>
    <n v="0"/>
    <n v="0"/>
    <n v="0"/>
    <n v="0"/>
    <n v="0"/>
    <n v="0"/>
    <n v="0"/>
    <n v="0.71"/>
    <n v="0.65107000000000004"/>
    <n v="0.91700000000000015"/>
    <n v="-0.71000000000000085"/>
    <n v="0.71000000000000085"/>
    <x v="0"/>
    <n v="43.098999999999997"/>
    <n v="0"/>
    <n v="1"/>
  </r>
  <r>
    <s v="AJEET KUMAR"/>
    <d v="2026-06-03T00:00:00"/>
    <s v="SR-RTN/26-27/31570"/>
    <s v="B-294982"/>
    <s v="B-GOLD-FILING"/>
    <s v="GOLD-FILLING-WK"/>
    <x v="0"/>
    <s v="G-NA-91.70-YG"/>
    <n v="51.19"/>
    <n v="46.941229999999997"/>
    <n v="0.91700000000000004"/>
    <n v="50.41"/>
    <n v="46.225969999999997"/>
    <n v="46.225999999999999"/>
    <n v="0.91700000000000004"/>
    <n v="0"/>
    <n v="0"/>
    <n v="0"/>
    <n v="0"/>
    <n v="0"/>
    <n v="0"/>
    <n v="0"/>
    <n v="0"/>
    <n v="0"/>
    <n v="0.78"/>
    <n v="0.71526000000000001"/>
    <n v="0.91699999999999993"/>
    <n v="-0.78000000000000114"/>
    <n v="0.78000000000000114"/>
    <x v="0"/>
    <n v="46.225999999999999"/>
    <n v="0"/>
    <n v="1"/>
  </r>
  <r>
    <s v="AJEET KUMAR"/>
    <d v="2026-06-03T00:00:00"/>
    <s v="SR-RTN/26-27/31570"/>
    <s v="B-295664"/>
    <s v="B-GOLD-FILING"/>
    <s v="GOLD-FILLING-WK"/>
    <x v="1"/>
    <s v="G-NA-75.00-YG"/>
    <n v="4.82"/>
    <n v="3.6150000000000002"/>
    <n v="0.75"/>
    <n v="4.3499999999999996"/>
    <n v="3.2625000000000002"/>
    <n v="3.2629999999999999"/>
    <n v="0.75000000000000011"/>
    <n v="0"/>
    <n v="0"/>
    <n v="0"/>
    <n v="0"/>
    <n v="0"/>
    <n v="0"/>
    <n v="0"/>
    <n v="0"/>
    <n v="0"/>
    <n v="0.47"/>
    <n v="0.35249999999999998"/>
    <n v="0.75"/>
    <n v="-0.47000000000000064"/>
    <n v="0.47000000000000064"/>
    <x v="0"/>
    <n v="3.2629999999999999"/>
    <n v="0"/>
    <n v="1"/>
  </r>
  <r>
    <s v="AJEET KUMAR"/>
    <d v="2026-06-03T00:00:00"/>
    <s v="SR-RTN/26-27/31570"/>
    <s v="B-295806"/>
    <s v="B-GOLD-FILING"/>
    <s v="GOLD-FILLING-WK"/>
    <x v="0"/>
    <s v="G-NA-91.70-YG"/>
    <n v="34.369999999999997"/>
    <n v="31.517289999999999"/>
    <n v="0.91700000000000004"/>
    <n v="32.44"/>
    <n v="29.747479999999999"/>
    <n v="29.748000000000001"/>
    <n v="0.91700000000000004"/>
    <n v="0"/>
    <n v="0"/>
    <n v="0"/>
    <n v="0"/>
    <n v="0"/>
    <n v="0"/>
    <n v="0"/>
    <n v="0"/>
    <n v="0"/>
    <n v="1.93"/>
    <n v="1.7698100000000001"/>
    <n v="0.91700000000000004"/>
    <n v="-1.9299999999999997"/>
    <n v="1.9299999999999997"/>
    <x v="0"/>
    <n v="29.748000000000001"/>
    <n v="0"/>
    <n v="1"/>
  </r>
  <r>
    <s v="AJEET KUMAR"/>
    <d v="2026-06-03T00:00:00"/>
    <s v="SR-RTN/26-27/31570"/>
    <s v="B-295807"/>
    <s v="B-GOLD-FILING"/>
    <s v="GOLD-FILLING-WK"/>
    <x v="0"/>
    <s v="G-NA-91.70-YG"/>
    <n v="37.03"/>
    <n v="33.956510000000002"/>
    <n v="0.91700000000000004"/>
    <n v="35.299999999999997"/>
    <n v="32.370100000000001"/>
    <n v="32.370999999999995"/>
    <n v="0.91700000000000015"/>
    <n v="0"/>
    <n v="0"/>
    <n v="0"/>
    <n v="0"/>
    <n v="0"/>
    <n v="0"/>
    <n v="0"/>
    <n v="0"/>
    <n v="0"/>
    <n v="1.73"/>
    <n v="1.5864100000000001"/>
    <n v="0.91700000000000004"/>
    <n v="-1.730000000000004"/>
    <n v="1.730000000000004"/>
    <x v="0"/>
    <n v="32.370999999999995"/>
    <n v="0"/>
    <n v="1"/>
  </r>
  <r>
    <s v="AJEET KUMAR"/>
    <d v="2026-06-03T00:00:00"/>
    <s v="SR-RTN/26-27/31570"/>
    <s v="B-296076"/>
    <s v="B-GOLD-FILING"/>
    <s v="GOLD-FILLING-WK"/>
    <x v="0"/>
    <s v="G-NA-91.70-YG"/>
    <n v="38.049999999999997"/>
    <n v="34.891849999999998"/>
    <n v="0.91700000000000004"/>
    <n v="33.729999999999997"/>
    <n v="30.930409999999998"/>
    <n v="30.931000000000001"/>
    <n v="0.91700000000000004"/>
    <n v="0"/>
    <n v="0"/>
    <n v="0"/>
    <n v="0"/>
    <n v="0"/>
    <n v="0"/>
    <n v="0"/>
    <n v="0"/>
    <n v="0"/>
    <n v="4.32"/>
    <n v="3.9614400000000001"/>
    <n v="0.91699999999999993"/>
    <n v="-4.32"/>
    <n v="4.32"/>
    <x v="0"/>
    <n v="30.931000000000001"/>
    <n v="0"/>
    <n v="1"/>
  </r>
  <r>
    <s v="AJEET KUMAR"/>
    <d v="2026-06-03T00:00:00"/>
    <s v="SR-RTN/26-27/31570"/>
    <s v="B-296339"/>
    <s v="B-GOLD-FILING"/>
    <s v="GOLD-FILLING-WK"/>
    <x v="1"/>
    <s v="G-NA-75.00-RG"/>
    <n v="16.350000000000001"/>
    <n v="12.262499999999999"/>
    <n v="0.74999999999999989"/>
    <n v="16.04"/>
    <n v="12.03"/>
    <n v="12.03"/>
    <n v="0.75"/>
    <n v="0"/>
    <n v="0"/>
    <n v="0"/>
    <n v="0"/>
    <n v="0"/>
    <n v="0"/>
    <n v="0"/>
    <n v="0"/>
    <n v="0"/>
    <n v="0.31"/>
    <n v="0.23250000000000001"/>
    <n v="0.75"/>
    <n v="-0.31000000000000227"/>
    <n v="0.31000000000000227"/>
    <x v="0"/>
    <n v="12.03"/>
    <n v="0"/>
    <n v="1"/>
  </r>
  <r>
    <s v="AJEET KUMAR"/>
    <d v="2026-06-03T00:00:00"/>
    <s v="SR-RTN/26-27/31572"/>
    <s v="B-297144"/>
    <s v="B-GOLD-FILING"/>
    <s v="GOLD-FILLING-WK"/>
    <x v="0"/>
    <s v="G-NA-91.70-YG"/>
    <n v="161.27000000000001"/>
    <n v="147.88459"/>
    <n v="0.91699999999999993"/>
    <n v="156.47"/>
    <n v="143.48299"/>
    <n v="143.483"/>
    <n v="0.91700000000000004"/>
    <n v="0"/>
    <n v="0"/>
    <n v="0"/>
    <n v="0"/>
    <n v="0"/>
    <n v="0"/>
    <n v="0"/>
    <n v="0"/>
    <n v="0"/>
    <n v="4.8"/>
    <n v="4.4016000000000002"/>
    <n v="0.91700000000000004"/>
    <n v="-4.8000000000000114"/>
    <n v="4.8000000000000114"/>
    <x v="0"/>
    <n v="143.483"/>
    <n v="0"/>
    <n v="1"/>
  </r>
  <r>
    <s v="AJEET KUMAR"/>
    <d v="2026-06-03T00:00:00"/>
    <s v="SR-RTN/26-27/31586"/>
    <s v="B-292396"/>
    <s v="B-GOLD-FILING"/>
    <s v="GOLD-FILLING-WK"/>
    <x v="0"/>
    <s v="G-NA-91.70-YG"/>
    <n v="27.44"/>
    <n v="25.162479999999999"/>
    <n v="0.91699999999999993"/>
    <n v="27.32"/>
    <n v="25.052440000000001"/>
    <n v="25.053000000000001"/>
    <n v="0.91700000000000004"/>
    <n v="0"/>
    <n v="0"/>
    <n v="0"/>
    <n v="0"/>
    <n v="0"/>
    <n v="0"/>
    <n v="0"/>
    <n v="0"/>
    <n v="0"/>
    <n v="0.12"/>
    <n v="0.11004"/>
    <n v="0.91700000000000004"/>
    <n v="-0.12000000000000099"/>
    <n v="0.12000000000000099"/>
    <x v="0"/>
    <n v="25.053000000000001"/>
    <n v="0"/>
    <n v="2"/>
  </r>
  <r>
    <s v="AJEET KUMAR"/>
    <d v="2026-06-03T00:00:00"/>
    <s v="SR-RTN/26-27/31595"/>
    <s v="B-291412"/>
    <s v="B-GOLD-FILING"/>
    <s v="GOLD-FILLING-WK"/>
    <x v="0"/>
    <s v="G-NA-91.70-YG"/>
    <n v="22.92"/>
    <n v="21.01764"/>
    <n v="0.91699999999999993"/>
    <n v="22.62"/>
    <n v="20.742540000000002"/>
    <n v="20.743000000000002"/>
    <n v="0.91700000000000004"/>
    <n v="0"/>
    <n v="0"/>
    <n v="0"/>
    <n v="0"/>
    <n v="0"/>
    <n v="0"/>
    <n v="0"/>
    <n v="0"/>
    <n v="0"/>
    <n v="0.3"/>
    <n v="0.27510000000000001"/>
    <n v="0.91700000000000004"/>
    <n v="-0.30000000000000071"/>
    <n v="0.30000000000000071"/>
    <x v="0"/>
    <n v="20.743000000000002"/>
    <n v="0"/>
    <n v="1"/>
  </r>
  <r>
    <s v="AJEET KUMAR"/>
    <d v="2026-06-03T00:00:00"/>
    <s v="SR-RTN/26-27/31595"/>
    <s v="B-296898"/>
    <s v="B-GOLD-FILING"/>
    <s v="GOLD-FILLING-WK"/>
    <x v="0"/>
    <s v="G-NA-91.70-YG"/>
    <n v="131.25"/>
    <n v="120.35625"/>
    <n v="0.91700000000000004"/>
    <n v="122.77"/>
    <n v="112.58009"/>
    <n v="112.581"/>
    <n v="0.91700000000000004"/>
    <n v="0"/>
    <n v="0"/>
    <n v="0"/>
    <n v="0"/>
    <n v="0"/>
    <n v="0"/>
    <n v="0"/>
    <n v="0"/>
    <n v="0"/>
    <n v="8.48"/>
    <n v="7.77616"/>
    <n v="0.91699999999999993"/>
    <n v="-8.480000000000004"/>
    <n v="8.480000000000004"/>
    <x v="0"/>
    <n v="112.581"/>
    <n v="0"/>
    <n v="1"/>
  </r>
  <r>
    <s v="AJEET KUMAR"/>
    <d v="2026-06-03T00:00:00"/>
    <s v="SR-RTN/26-27/31605"/>
    <s v="B-295891"/>
    <s v="B-GOLD-FILING"/>
    <s v="GOLD-FILLING-WK"/>
    <x v="1"/>
    <s v="G-NA-75.00-YG"/>
    <n v="153.72999999999999"/>
    <n v="115.2975"/>
    <n v="0.75"/>
    <n v="135.1"/>
    <n v="101.325"/>
    <n v="101.325"/>
    <n v="0.75"/>
    <n v="0"/>
    <n v="0"/>
    <n v="0"/>
    <n v="0"/>
    <n v="0"/>
    <n v="0"/>
    <n v="0"/>
    <n v="0"/>
    <n v="0"/>
    <n v="18.63"/>
    <n v="13.9725"/>
    <n v="0.75"/>
    <n v="-18.629999999999995"/>
    <n v="18.629999999999995"/>
    <x v="0"/>
    <n v="101.325"/>
    <n v="0"/>
    <n v="1"/>
  </r>
  <r>
    <s v="AJEET KUMAR"/>
    <d v="2026-06-03T00:00:00"/>
    <s v="SR-RTN/26-27/31605"/>
    <s v="B-296041"/>
    <s v="B-GOLD-FILING"/>
    <s v="GOLD-FILLING-WK"/>
    <x v="1"/>
    <s v="G-NA-75.00-RG"/>
    <n v="130.56"/>
    <n v="97.92"/>
    <n v="0.75"/>
    <n v="130.56"/>
    <n v="97.92"/>
    <n v="97.92"/>
    <n v="0.75"/>
    <n v="0"/>
    <n v="0"/>
    <n v="0"/>
    <n v="0"/>
    <n v="0"/>
    <n v="0"/>
    <n v="0"/>
    <n v="0"/>
    <n v="0"/>
    <n v="0"/>
    <n v="0"/>
    <n v="0"/>
    <n v="0"/>
    <n v="0"/>
    <x v="0"/>
    <n v="97.92"/>
    <n v="0"/>
    <n v="2"/>
  </r>
  <r>
    <s v="AJEET KUMAR"/>
    <d v="2026-06-03T00:00:00"/>
    <s v="SR-RTN/26-27/31618"/>
    <s v="B-295897"/>
    <s v="B-GOLD-FILING"/>
    <s v="GOLD-FILLING-WK"/>
    <x v="1"/>
    <s v="G-NA-75.00-RG"/>
    <n v="24.18"/>
    <n v="18.135000000000002"/>
    <n v="0.75000000000000011"/>
    <n v="22.12"/>
    <n v="16.59"/>
    <n v="16.59"/>
    <n v="0.75"/>
    <n v="0"/>
    <n v="0"/>
    <n v="0"/>
    <n v="0"/>
    <n v="0"/>
    <n v="0"/>
    <n v="0"/>
    <n v="0"/>
    <n v="0"/>
    <n v="2.06"/>
    <n v="1.5449999999999999"/>
    <n v="0.75"/>
    <n v="-2.0599999999999987"/>
    <n v="2.0599999999999987"/>
    <x v="0"/>
    <n v="16.59"/>
    <n v="0"/>
    <n v="1"/>
  </r>
  <r>
    <s v="AJEET KUMAR"/>
    <d v="2026-06-03T00:00:00"/>
    <s v="SR-RTN/26-27/31618"/>
    <s v="B-296914"/>
    <s v="B-GOLD-FILING"/>
    <s v="GOLD-FILLING-WK"/>
    <x v="1"/>
    <s v="G-NA-75.00-RG"/>
    <n v="6.6630000000000003"/>
    <n v="4.9972500000000002"/>
    <n v="0.75"/>
    <n v="6.3029999999999999"/>
    <n v="4.7272499999999997"/>
    <n v="4.7280000000000006"/>
    <n v="0.75"/>
    <n v="0"/>
    <n v="0"/>
    <n v="0"/>
    <n v="0"/>
    <n v="0"/>
    <n v="0"/>
    <n v="0"/>
    <n v="0"/>
    <n v="0"/>
    <n v="0.36"/>
    <n v="0.27"/>
    <n v="0.75000000000000011"/>
    <n v="-0.36000000000000032"/>
    <n v="0.36000000000000032"/>
    <x v="0"/>
    <n v="4.7280000000000006"/>
    <n v="0"/>
    <n v="1"/>
  </r>
  <r>
    <s v="AJEET KUMAR"/>
    <d v="2026-06-03T00:00:00"/>
    <s v="SR-RTN/26-27/31619"/>
    <s v="B-291026"/>
    <s v="B-GOLD-FILING"/>
    <s v="GOLD-FILLING-WK"/>
    <x v="1"/>
    <s v="G-NA-75.00-RG"/>
    <n v="34.82"/>
    <n v="26.114999999999998"/>
    <n v="0.75"/>
    <n v="34.08"/>
    <n v="25.56"/>
    <n v="25.56"/>
    <n v="0.75"/>
    <n v="0"/>
    <n v="0"/>
    <n v="0"/>
    <n v="0"/>
    <n v="0"/>
    <n v="0"/>
    <n v="0"/>
    <n v="0"/>
    <n v="0"/>
    <n v="0.74"/>
    <n v="0.55500000000000005"/>
    <n v="0.75000000000000011"/>
    <n v="-0.74000000000000199"/>
    <n v="0.74000000000000199"/>
    <x v="0"/>
    <n v="25.56"/>
    <n v="0"/>
    <n v="3"/>
  </r>
  <r>
    <s v="AJEET KUMAR"/>
    <d v="2026-06-03T00:00:00"/>
    <s v="SR-RTN/26-27/31626"/>
    <s v="B-295886"/>
    <s v="B-GOLD-FILING"/>
    <s v="GOLD-FILLING-WK"/>
    <x v="1"/>
    <s v="G-NA-75.00-YG"/>
    <n v="155.96"/>
    <n v="116.97"/>
    <n v="0.75"/>
    <n v="152.21"/>
    <n v="114.1575"/>
    <n v="114.158"/>
    <n v="0.75"/>
    <n v="0"/>
    <n v="0"/>
    <n v="0"/>
    <n v="0"/>
    <n v="0"/>
    <n v="0"/>
    <n v="0"/>
    <n v="0"/>
    <n v="0"/>
    <n v="3.75"/>
    <n v="2.8125"/>
    <n v="0.75"/>
    <n v="-3.75"/>
    <n v="3.75"/>
    <x v="1"/>
    <n v="96.248000000000005"/>
    <n v="17.909999999999997"/>
    <n v="2"/>
  </r>
  <r>
    <s v="AJEET KUMAR"/>
    <d v="2026-06-03T00:00:00"/>
    <s v="SR-RTN/26-27/31665"/>
    <s v="B-295787"/>
    <s v="B-GOLD-FILING"/>
    <s v="GOLD-FILLING-WK"/>
    <x v="1"/>
    <s v="G-NA-75.00-YG"/>
    <n v="35.880000000000003"/>
    <n v="26.91"/>
    <n v="0.75"/>
    <n v="33.96"/>
    <n v="25.47"/>
    <n v="25.47"/>
    <n v="0.75"/>
    <n v="0"/>
    <n v="0"/>
    <n v="0"/>
    <n v="0"/>
    <n v="0"/>
    <n v="0"/>
    <n v="0"/>
    <n v="0"/>
    <n v="0"/>
    <n v="1.92"/>
    <n v="1.44"/>
    <n v="0.75"/>
    <n v="-1.9200000000000017"/>
    <n v="1.9200000000000017"/>
    <x v="0"/>
    <n v="25.47"/>
    <n v="0"/>
    <n v="1"/>
  </r>
  <r>
    <s v="AJEET KUMAR"/>
    <d v="2026-06-03T00:00:00"/>
    <s v="SR-RTN/26-27/31665"/>
    <s v="B-295789"/>
    <s v="B-GOLD-FILING"/>
    <s v="GOLD-FILLING-WK"/>
    <x v="1"/>
    <s v="G-NA-75.00-YG"/>
    <n v="34.020000000000003"/>
    <n v="25.515000000000001"/>
    <n v="0.75"/>
    <n v="32.03"/>
    <n v="24.022500000000001"/>
    <n v="24.023"/>
    <n v="0.75"/>
    <n v="0"/>
    <n v="0"/>
    <n v="0"/>
    <n v="0"/>
    <n v="0"/>
    <n v="0"/>
    <n v="0"/>
    <n v="0"/>
    <n v="0"/>
    <n v="1.99"/>
    <n v="1.4924999999999999"/>
    <n v="0.75"/>
    <n v="-1.990000000000002"/>
    <n v="1.990000000000002"/>
    <x v="0"/>
    <n v="24.023"/>
    <n v="0"/>
    <n v="1"/>
  </r>
  <r>
    <s v="AJEET KUMAR"/>
    <d v="2026-06-03T00:00:00"/>
    <s v="SR-RTN/26-27/31665"/>
    <s v="B-295798"/>
    <s v="B-GOLD-FILING"/>
    <s v="GOLD-FILLING-WK"/>
    <x v="1"/>
    <s v="G-NA-75.00-YG"/>
    <n v="11.82"/>
    <n v="8.8650000000000002"/>
    <n v="0.75"/>
    <n v="10.89"/>
    <n v="8.1675000000000004"/>
    <n v="8.1679999999999993"/>
    <n v="0.75"/>
    <n v="0"/>
    <n v="0"/>
    <n v="0"/>
    <n v="0"/>
    <n v="0"/>
    <n v="0"/>
    <n v="0"/>
    <n v="0"/>
    <n v="0"/>
    <n v="0.93"/>
    <n v="0.69750000000000001"/>
    <n v="0.75"/>
    <n v="-0.92999999999999972"/>
    <n v="0.92999999999999972"/>
    <x v="0"/>
    <n v="8.1679999999999993"/>
    <n v="0"/>
    <n v="1"/>
  </r>
  <r>
    <s v="AJEET KUMAR"/>
    <d v="2026-06-03T00:00:00"/>
    <s v="SR-RTN/26-27/31665"/>
    <s v="B-295800"/>
    <s v="B-GOLD-FILING"/>
    <s v="GOLD-FILLING-WK"/>
    <x v="1"/>
    <s v="G-NA-75.00-YG"/>
    <n v="10.11"/>
    <n v="7.5824999999999996"/>
    <n v="0.75"/>
    <n v="9.41"/>
    <n v="7.0575000000000001"/>
    <n v="7.0580000000000007"/>
    <n v="0.75"/>
    <n v="0"/>
    <n v="0"/>
    <n v="0"/>
    <n v="0"/>
    <n v="0"/>
    <n v="0"/>
    <n v="0"/>
    <n v="0"/>
    <n v="0"/>
    <n v="0.7"/>
    <n v="0.52500000000000002"/>
    <n v="0.75000000000000011"/>
    <n v="-0.69999999999999929"/>
    <n v="0.69999999999999929"/>
    <x v="0"/>
    <n v="7.0580000000000007"/>
    <n v="0"/>
    <n v="1"/>
  </r>
  <r>
    <s v="AJEET KUMAR"/>
    <d v="2026-06-03T00:00:00"/>
    <s v="SR-RTN/26-27/31665"/>
    <s v="B-295801"/>
    <s v="B-GOLD-FILING"/>
    <s v="GOLD-FILLING-WK"/>
    <x v="1"/>
    <s v="G-NA-75.00-YG"/>
    <n v="8.01"/>
    <n v="6.0075000000000003"/>
    <n v="0.75"/>
    <n v="7.47"/>
    <n v="5.6025"/>
    <n v="5.6030000000000006"/>
    <n v="0.75"/>
    <n v="0"/>
    <n v="0"/>
    <n v="0"/>
    <n v="0"/>
    <n v="0"/>
    <n v="0"/>
    <n v="0"/>
    <n v="0"/>
    <n v="0"/>
    <n v="0.54"/>
    <n v="0.40500000000000003"/>
    <n v="0.75"/>
    <n v="-0.54"/>
    <n v="0.54"/>
    <x v="0"/>
    <n v="5.6030000000000006"/>
    <n v="0"/>
    <n v="1"/>
  </r>
  <r>
    <s v="AJEET KUMAR"/>
    <d v="2026-06-03T00:00:00"/>
    <s v="SR-RTN/26-27/31665"/>
    <s v="B-296356"/>
    <s v="B-GOLD-FILING"/>
    <s v="GOLD-FILLING-WK"/>
    <x v="0"/>
    <s v="G-NA-91.70-YG"/>
    <n v="11.14"/>
    <n v="10.21538"/>
    <n v="0.91699999999999993"/>
    <n v="10.5"/>
    <n v="9.6285000000000007"/>
    <n v="9.6289999999999996"/>
    <n v="0.91700000000000004"/>
    <n v="0"/>
    <n v="0"/>
    <n v="0"/>
    <n v="0"/>
    <n v="0"/>
    <n v="0"/>
    <n v="0"/>
    <n v="0"/>
    <n v="0"/>
    <n v="0.64"/>
    <n v="0.58687999999999996"/>
    <n v="0.91699999999999993"/>
    <n v="-0.64000000000000057"/>
    <n v="0.64000000000000057"/>
    <x v="0"/>
    <n v="9.6289999999999996"/>
    <n v="0"/>
    <n v="2"/>
  </r>
  <r>
    <s v="AJEET KUMAR"/>
    <d v="2026-06-03T00:00:00"/>
    <s v="SR-RTN/26-27/31665"/>
    <s v="B-297105"/>
    <s v="B-GOLD-FILING"/>
    <s v="GOLD-FILLING-WK"/>
    <x v="1"/>
    <s v="G-NA-75.00-YG"/>
    <n v="1.72"/>
    <n v="1.29"/>
    <n v="0.75"/>
    <n v="1.62"/>
    <n v="1.2150000000000001"/>
    <n v="1.2150000000000001"/>
    <n v="0.75"/>
    <n v="0"/>
    <n v="0"/>
    <n v="0"/>
    <n v="0"/>
    <n v="0"/>
    <n v="0"/>
    <n v="0"/>
    <n v="0"/>
    <n v="0"/>
    <n v="0.1"/>
    <n v="7.4999999999999997E-2"/>
    <n v="0.74999999999999989"/>
    <n v="-9.9999999999999867E-2"/>
    <n v="9.9999999999999867E-2"/>
    <x v="0"/>
    <n v="1.2150000000000001"/>
    <n v="0"/>
    <n v="1"/>
  </r>
  <r>
    <s v="AJEET KUMAR"/>
    <d v="2026-06-03T00:00:00"/>
    <s v="SR-RTN/26-27/31668"/>
    <s v="B-295678"/>
    <s v="B-GOLD-FILING"/>
    <s v="GOLD-FILLING-WK"/>
    <x v="0"/>
    <s v="G-NA-91.70-YG"/>
    <n v="20.96"/>
    <n v="19.220320000000001"/>
    <n v="0.91700000000000004"/>
    <n v="19.09"/>
    <n v="17.50553"/>
    <n v="17.506"/>
    <n v="0.91700000000000004"/>
    <n v="0"/>
    <n v="0"/>
    <n v="0"/>
    <n v="0"/>
    <n v="0"/>
    <n v="0"/>
    <n v="0"/>
    <n v="0"/>
    <n v="0"/>
    <n v="1.87"/>
    <n v="1.71479"/>
    <n v="0.91699999999999993"/>
    <n v="-1.870000000000001"/>
    <n v="1.870000000000001"/>
    <x v="0"/>
    <n v="17.506"/>
    <n v="0"/>
    <n v="1"/>
  </r>
  <r>
    <s v="AJEET KUMAR"/>
    <d v="2026-06-03T00:00:00"/>
    <s v="SR-RTN/26-27/31671"/>
    <s v="B-293455"/>
    <s v="B-GOLD-FILING"/>
    <s v="GOLD-FILLING-WK"/>
    <x v="0"/>
    <s v="G-NA-91.70-YG"/>
    <n v="39.04"/>
    <n v="35.799680000000002"/>
    <n v="0.91700000000000004"/>
    <n v="38.29"/>
    <n v="35.111930000000001"/>
    <n v="35.111999999999995"/>
    <n v="0.91700000000000004"/>
    <n v="0"/>
    <n v="0"/>
    <n v="0"/>
    <n v="0"/>
    <n v="0"/>
    <n v="0"/>
    <n v="0"/>
    <n v="0"/>
    <n v="0"/>
    <n v="0.75"/>
    <n v="0.68774999999999997"/>
    <n v="0.91699999999999993"/>
    <n v="-0.75"/>
    <n v="0.75"/>
    <x v="0"/>
    <n v="35.111999999999995"/>
    <n v="0"/>
    <n v="1"/>
  </r>
  <r>
    <s v="AJEET KUMAR"/>
    <d v="2026-06-03T00:00:00"/>
    <s v="SR-RTN/26-27/31671"/>
    <s v="B-295825"/>
    <s v="B-GOLD-FILING"/>
    <s v="GOLD-FILLING-WK"/>
    <x v="1"/>
    <s v="G-NA-75.00-YG"/>
    <n v="39.39"/>
    <n v="29.5425"/>
    <n v="0.75"/>
    <n v="39.03"/>
    <n v="29.272500000000001"/>
    <n v="29.273"/>
    <n v="0.75"/>
    <n v="0"/>
    <n v="0"/>
    <n v="0"/>
    <n v="0"/>
    <n v="0"/>
    <n v="0"/>
    <n v="0"/>
    <n v="0"/>
    <n v="0"/>
    <n v="0.36"/>
    <n v="0.27"/>
    <n v="0.75000000000000011"/>
    <n v="-0.35999999999999943"/>
    <n v="0.35999999999999943"/>
    <x v="0"/>
    <n v="29.273"/>
    <n v="0"/>
    <n v="1"/>
  </r>
  <r>
    <s v="AJEET KUMAR"/>
    <d v="2026-06-03T00:00:00"/>
    <s v="SR-RTN/26-27/31671"/>
    <s v="B-296665"/>
    <s v="B-GOLD-FILING"/>
    <s v="GOLD-FILLING-WK"/>
    <x v="0"/>
    <s v="G-NA-91.70-YG"/>
    <n v="22.89"/>
    <n v="20.990130000000001"/>
    <n v="0.91700000000000004"/>
    <n v="22.79"/>
    <n v="20.898430000000001"/>
    <n v="20.899000000000001"/>
    <n v="0.91700000000000004"/>
    <n v="0"/>
    <n v="0"/>
    <n v="0"/>
    <n v="0"/>
    <n v="0"/>
    <n v="0"/>
    <n v="0"/>
    <n v="0"/>
    <n v="0"/>
    <n v="0.1"/>
    <n v="9.1700000000000004E-2"/>
    <n v="0.91700000000000004"/>
    <n v="-0.10000000000000142"/>
    <n v="0.10000000000000142"/>
    <x v="0"/>
    <n v="20.899000000000001"/>
    <n v="0"/>
    <n v="1"/>
  </r>
  <r>
    <s v="AJEET KUMAR"/>
    <d v="2026-06-03T00:00:00"/>
    <s v="SR-RTN/26-27/31700"/>
    <s v="B-295558"/>
    <s v="B-GOLD-FILING"/>
    <s v="GOLD-FILLING-WK"/>
    <x v="1"/>
    <s v="G-NA-75.00-RG"/>
    <n v="5.63"/>
    <n v="4.2225000000000001"/>
    <n v="0.75"/>
    <n v="5.59"/>
    <n v="4.1924999999999999"/>
    <n v="4.1930000000000005"/>
    <n v="0.75"/>
    <n v="0"/>
    <n v="0"/>
    <n v="0"/>
    <n v="0"/>
    <n v="0"/>
    <n v="0"/>
    <n v="0"/>
    <n v="0"/>
    <n v="0"/>
    <n v="0.04"/>
    <n v="0.03"/>
    <n v="0.75"/>
    <n v="-4.0000000000000036E-2"/>
    <n v="4.0000000000000036E-2"/>
    <x v="0"/>
    <n v="4.1930000000000005"/>
    <n v="0"/>
    <n v="1"/>
  </r>
  <r>
    <s v="AJEET KUMAR"/>
    <d v="2026-06-03T00:00:00"/>
    <s v="SR-RTN/26-27/31737"/>
    <s v="B-297103"/>
    <s v="B-GOLD-FILING"/>
    <s v="GOLD-FILLING-WK"/>
    <x v="1"/>
    <s v="G-NA-75.00-RG"/>
    <n v="2.4700000000000002"/>
    <n v="1.8525"/>
    <n v="0.75"/>
    <n v="2.3199999999999998"/>
    <n v="1.74"/>
    <n v="1.74"/>
    <n v="0.75"/>
    <n v="0"/>
    <n v="0"/>
    <n v="0"/>
    <n v="0"/>
    <n v="0"/>
    <n v="0"/>
    <n v="0"/>
    <n v="0"/>
    <n v="0"/>
    <n v="0.15"/>
    <n v="0.1125"/>
    <n v="0.75"/>
    <n v="-0.15000000000000036"/>
    <n v="0.15000000000000036"/>
    <x v="0"/>
    <n v="1.74"/>
    <n v="0"/>
    <n v="1"/>
  </r>
  <r>
    <s v="AJEET KUMAR"/>
    <d v="2026-06-03T00:00:00"/>
    <s v="SR-RTN/26-27/31738"/>
    <s v="B-295651"/>
    <s v="B-GOLD-FILING"/>
    <s v="GOLD-FILLING-WK"/>
    <x v="1"/>
    <s v="G-NA-75.00-YG"/>
    <n v="13.1"/>
    <n v="9.8249999999999993"/>
    <n v="0.75"/>
    <n v="12.21"/>
    <n v="9.1575000000000006"/>
    <n v="9.1579999999999995"/>
    <n v="0.75"/>
    <n v="0"/>
    <n v="0"/>
    <n v="0"/>
    <n v="0"/>
    <n v="0"/>
    <n v="0"/>
    <n v="0"/>
    <n v="0"/>
    <n v="0"/>
    <n v="0.89"/>
    <n v="0.66749999999999998"/>
    <n v="0.75"/>
    <n v="-0.88999999999999879"/>
    <n v="0.88999999999999879"/>
    <x v="0"/>
    <n v="9.1579999999999995"/>
    <n v="0"/>
    <n v="1"/>
  </r>
  <r>
    <s v="AJEET KUMAR"/>
    <d v="2026-06-03T00:00:00"/>
    <s v="SR-RTN/26-27/31740"/>
    <s v="B-295910"/>
    <s v="B-GOLD-FILING"/>
    <s v="GOLD-FILLING-WK"/>
    <x v="1"/>
    <s v="G-NA-75.00-RG"/>
    <n v="75.37"/>
    <n v="56.527500000000003"/>
    <n v="0.75"/>
    <n v="69.33"/>
    <n v="51.997500000000002"/>
    <n v="51.997999999999998"/>
    <n v="0.75"/>
    <n v="0"/>
    <n v="0"/>
    <n v="0"/>
    <n v="0"/>
    <n v="0"/>
    <n v="0"/>
    <n v="0"/>
    <n v="0"/>
    <n v="0"/>
    <n v="6.04"/>
    <n v="4.53"/>
    <n v="0.75"/>
    <n v="-6.0400000000000063"/>
    <n v="6.0400000000000063"/>
    <x v="1"/>
    <n v="50.407999999999994"/>
    <n v="1.5900000000000034"/>
    <n v="3"/>
  </r>
  <r>
    <s v="AJEET KUMAR"/>
    <d v="2026-06-03T00:00:00"/>
    <s v="SR-RTN/26-27/31741"/>
    <s v="B-295513"/>
    <s v="B-GOLD-FILING"/>
    <s v="GOLD-FILLING-WK"/>
    <x v="1"/>
    <s v="G-NA-75.00-YG"/>
    <n v="7.6"/>
    <n v="5.7"/>
    <n v="0.75000000000000011"/>
    <n v="7.21"/>
    <n v="5.4074999999999998"/>
    <n v="5.4080000000000004"/>
    <n v="0.75"/>
    <n v="0"/>
    <n v="0"/>
    <n v="0"/>
    <n v="0"/>
    <n v="0"/>
    <n v="0"/>
    <n v="0"/>
    <n v="0"/>
    <n v="0"/>
    <n v="0.39"/>
    <n v="0.29249999999999998"/>
    <n v="0.74999999999999989"/>
    <n v="-0.38999999999999968"/>
    <n v="0.38999999999999968"/>
    <x v="0"/>
    <n v="5.4080000000000004"/>
    <n v="0"/>
    <n v="1"/>
  </r>
  <r>
    <s v="AJEET KUMAR"/>
    <d v="2026-06-03T00:00:00"/>
    <s v="SR-RTN/26-27/31742"/>
    <s v="B-295512"/>
    <s v="B-GOLD-FILING"/>
    <s v="GOLD-FILLING-WK"/>
    <x v="1"/>
    <s v="G-NA-75.00-YG"/>
    <n v="6.63"/>
    <n v="4.9725000000000001"/>
    <n v="0.75"/>
    <n v="6.23"/>
    <n v="4.6725000000000003"/>
    <n v="4.673"/>
    <n v="0.75"/>
    <n v="0"/>
    <n v="0"/>
    <n v="0"/>
    <n v="0"/>
    <n v="0"/>
    <n v="0"/>
    <n v="0"/>
    <n v="0"/>
    <n v="0"/>
    <n v="0.4"/>
    <n v="0.3"/>
    <n v="0.74999999999999989"/>
    <n v="-0.39999999999999947"/>
    <n v="0.39999999999999947"/>
    <x v="0"/>
    <n v="4.673"/>
    <n v="0"/>
    <n v="1"/>
  </r>
  <r>
    <s v="AJEET KUMAR"/>
    <d v="2026-06-03T00:00:00"/>
    <s v="SR-RTN/26-27/31744"/>
    <s v="B-295923"/>
    <s v="B-GOLD-FILING"/>
    <s v="GOLD-FILLING-WK"/>
    <x v="0"/>
    <s v="G-NA-91.70-YG"/>
    <n v="31.68"/>
    <n v="29.050560000000001"/>
    <n v="0.91700000000000004"/>
    <n v="29.85"/>
    <n v="27.372450000000001"/>
    <n v="27.373000000000001"/>
    <n v="0.91699999999999993"/>
    <n v="0"/>
    <n v="0"/>
    <n v="0"/>
    <n v="0"/>
    <n v="0"/>
    <n v="0"/>
    <n v="0"/>
    <n v="0"/>
    <n v="0"/>
    <n v="1.83"/>
    <n v="1.67811"/>
    <n v="0.91699999999999993"/>
    <n v="-1.8299999999999983"/>
    <n v="1.8299999999999983"/>
    <x v="0"/>
    <n v="27.373000000000001"/>
    <n v="0"/>
    <n v="1"/>
  </r>
  <r>
    <s v="AJEET KUMAR"/>
    <d v="2026-06-03T00:00:00"/>
    <s v="SR-RTN/26-27/31747"/>
    <s v="B-295894"/>
    <s v="B-GOLD-FILING"/>
    <s v="GOLD-FILLING-WK"/>
    <x v="1"/>
    <s v="G-NA-75.00-RG"/>
    <n v="131.22999999999999"/>
    <n v="98.422499999999999"/>
    <n v="0.75"/>
    <n v="116.34"/>
    <n v="87.254999999999995"/>
    <n v="87.254999999999995"/>
    <n v="0.74999999999999989"/>
    <n v="0"/>
    <n v="0"/>
    <n v="0"/>
    <n v="0"/>
    <n v="0"/>
    <n v="0"/>
    <n v="0"/>
    <n v="0"/>
    <n v="0"/>
    <n v="14.89"/>
    <n v="11.1675"/>
    <n v="0.75"/>
    <n v="-14.889999999999986"/>
    <n v="14.889999999999986"/>
    <x v="0"/>
    <n v="87.254999999999995"/>
    <n v="0"/>
    <n v="2"/>
  </r>
  <r>
    <s v="AJEET KUMAR"/>
    <d v="2026-06-03T00:00:00"/>
    <s v="SR-RTN/26-27/31749"/>
    <s v="B-296077"/>
    <s v="B-GOLD-FILING"/>
    <s v="GOLD-FILLING-WK"/>
    <x v="0"/>
    <s v="G-NA-91.70-YG"/>
    <n v="89.98"/>
    <n v="82.511660000000006"/>
    <n v="0.91700000000000004"/>
    <n v="87.36"/>
    <n v="80.109120000000004"/>
    <n v="80.11"/>
    <n v="0.91700000000000004"/>
    <n v="0"/>
    <n v="0"/>
    <n v="0"/>
    <n v="0"/>
    <n v="0"/>
    <n v="0"/>
    <n v="0"/>
    <n v="0"/>
    <n v="0"/>
    <n v="2.62"/>
    <n v="2.4025400000000001"/>
    <n v="0.91700000000000004"/>
    <n v="-2.6200000000000045"/>
    <n v="2.6200000000000045"/>
    <x v="0"/>
    <n v="80.11"/>
    <n v="0"/>
    <n v="1"/>
  </r>
  <r>
    <s v="AJEET KUMAR"/>
    <d v="2026-06-03T00:00:00"/>
    <s v="SR-RTN/26-27/31750"/>
    <s v="B-293229"/>
    <s v="B-GOLD-FILING"/>
    <s v="GOLD-FILLING-WK"/>
    <x v="0"/>
    <s v="G-NA-91.70-YG"/>
    <n v="32.74"/>
    <n v="30.022580000000001"/>
    <n v="0.91700000000000004"/>
    <n v="32.4"/>
    <n v="29.710799999999999"/>
    <n v="29.711000000000002"/>
    <n v="0.91700000000000004"/>
    <n v="0"/>
    <n v="0"/>
    <n v="0"/>
    <n v="0"/>
    <n v="0"/>
    <n v="0"/>
    <n v="0"/>
    <n v="0"/>
    <n v="0"/>
    <n v="0.34"/>
    <n v="0.31178"/>
    <n v="0.91699999999999993"/>
    <n v="-0.34000000000000341"/>
    <n v="0.34000000000000341"/>
    <x v="0"/>
    <n v="29.711000000000002"/>
    <n v="0"/>
    <n v="1"/>
  </r>
  <r>
    <s v="AJEET KUMAR"/>
    <d v="2026-06-03T00:00:00"/>
    <s v="SR-RTN/26-27/31780"/>
    <s v="B-286162"/>
    <s v="B-GOLD-FILING"/>
    <s v="GOLD-FILLING-WK"/>
    <x v="0"/>
    <s v="G-NA-91.70-YG"/>
    <n v="9.4700000000000006"/>
    <n v="8.6839899999999997"/>
    <n v="0.91699999999999993"/>
    <n v="9.4700000000000006"/>
    <n v="8.6839899999999997"/>
    <n v="8.6839999999999993"/>
    <n v="0.91699999999999993"/>
    <n v="0"/>
    <n v="0"/>
    <n v="0"/>
    <n v="0"/>
    <n v="0"/>
    <n v="0"/>
    <n v="0"/>
    <n v="0"/>
    <n v="0"/>
    <n v="0"/>
    <n v="0"/>
    <n v="0"/>
    <n v="0"/>
    <n v="0"/>
    <x v="0"/>
    <n v="8.6839999999999993"/>
    <n v="0"/>
    <n v="1"/>
  </r>
  <r>
    <s v="AJEET KUMAR"/>
    <d v="2026-06-03T00:00:00"/>
    <s v="SR-RTN/26-27/31780"/>
    <s v="B-286163"/>
    <s v="B-GOLD-FILING"/>
    <s v="GOLD-FILLING-WK"/>
    <x v="0"/>
    <s v="G-NA-91.70-YG"/>
    <n v="8.0500000000000007"/>
    <n v="7.38185"/>
    <n v="0.91699999999999993"/>
    <n v="8.0500000000000007"/>
    <n v="7.38185"/>
    <n v="7.3820000000000006"/>
    <n v="0.91699999999999993"/>
    <n v="0"/>
    <n v="0"/>
    <n v="0"/>
    <n v="0"/>
    <n v="0"/>
    <n v="0"/>
    <n v="0"/>
    <n v="0"/>
    <n v="0"/>
    <n v="0"/>
    <n v="0"/>
    <n v="0"/>
    <n v="0"/>
    <n v="0"/>
    <x v="0"/>
    <n v="7.3820000000000006"/>
    <n v="0"/>
    <n v="1"/>
  </r>
  <r>
    <s v="AJEET KUMAR"/>
    <d v="2026-06-03T00:00:00"/>
    <s v="SR-RTN/26-27/31780"/>
    <s v="B-286164"/>
    <s v="B-GOLD-FILING"/>
    <s v="GOLD-FILLING-WK"/>
    <x v="0"/>
    <s v="G-NA-91.70-YG"/>
    <n v="8.23"/>
    <n v="7.5469099999999996"/>
    <n v="0.91699999999999993"/>
    <n v="8.23"/>
    <n v="7.5469099999999996"/>
    <n v="7.5470000000000006"/>
    <n v="0.91699999999999993"/>
    <n v="0"/>
    <n v="0"/>
    <n v="0"/>
    <n v="0"/>
    <n v="0"/>
    <n v="0"/>
    <n v="0"/>
    <n v="0"/>
    <n v="0"/>
    <n v="0"/>
    <n v="0"/>
    <n v="0"/>
    <n v="0"/>
    <n v="0"/>
    <x v="0"/>
    <n v="7.5470000000000006"/>
    <n v="0"/>
    <n v="1"/>
  </r>
  <r>
    <s v="AJEET KUMAR"/>
    <d v="2026-06-03T00:00:00"/>
    <s v="SR-RTN/26-27/31780"/>
    <s v="B-286166"/>
    <s v="B-GOLD-FILING"/>
    <s v="GOLD-FILLING-WK"/>
    <x v="0"/>
    <s v="G-NA-91.70-YG"/>
    <n v="7.09"/>
    <n v="6.5015299999999998"/>
    <n v="0.91700000000000004"/>
    <n v="7.09"/>
    <n v="6.5015299999999998"/>
    <n v="6.5020000000000007"/>
    <n v="0.91700000000000004"/>
    <n v="0"/>
    <n v="0"/>
    <n v="0"/>
    <n v="0"/>
    <n v="0"/>
    <n v="0"/>
    <n v="0"/>
    <n v="0"/>
    <n v="0"/>
    <n v="0"/>
    <n v="0"/>
    <n v="0"/>
    <n v="0"/>
    <n v="0"/>
    <x v="0"/>
    <n v="6.5020000000000007"/>
    <n v="0"/>
    <n v="1"/>
  </r>
  <r>
    <s v="AJEET KUMAR"/>
    <d v="2026-06-03T00:00:00"/>
    <s v="SR-RTN/26-27/31788"/>
    <s v="B-297097"/>
    <s v="B-GOLD-FILING"/>
    <s v="GOLD-FILLING-WK"/>
    <x v="1"/>
    <s v="G-NA-75.00-YG"/>
    <n v="29.08"/>
    <n v="21.81"/>
    <n v="0.75"/>
    <n v="28.95"/>
    <n v="21.712499999999999"/>
    <n v="21.713000000000001"/>
    <n v="0.75"/>
    <n v="0"/>
    <n v="0"/>
    <n v="0"/>
    <n v="0"/>
    <n v="0"/>
    <n v="0"/>
    <n v="0"/>
    <n v="0"/>
    <n v="0"/>
    <n v="0.13"/>
    <n v="9.7500000000000003E-2"/>
    <n v="0.75"/>
    <n v="-0.12999999999999901"/>
    <n v="0.12999999999999901"/>
    <x v="0"/>
    <n v="21.713000000000001"/>
    <n v="0"/>
    <n v="1"/>
  </r>
  <r>
    <s v="AJEET KUMAR"/>
    <d v="2026-06-03T00:00:00"/>
    <s v="SR-RTN/26-27/31798"/>
    <s v="B-295911"/>
    <s v="B-GOLD-FILING"/>
    <s v="GOLD-FILLING-WK"/>
    <x v="1"/>
    <s v="G-NA-75.00-RG"/>
    <n v="69.8"/>
    <n v="52.35"/>
    <n v="0.75"/>
    <n v="64.09"/>
    <n v="48.067500000000003"/>
    <n v="48.067999999999998"/>
    <n v="0.75"/>
    <n v="0"/>
    <n v="0"/>
    <n v="0"/>
    <n v="0"/>
    <n v="0"/>
    <n v="0"/>
    <n v="0"/>
    <n v="0"/>
    <n v="0"/>
    <n v="5.71"/>
    <n v="4.2824999999999998"/>
    <n v="0.75"/>
    <n v="-5.7099999999999937"/>
    <n v="5.7099999999999937"/>
    <x v="0"/>
    <n v="48.067999999999998"/>
    <n v="0"/>
    <n v="1"/>
  </r>
  <r>
    <s v="AJEET KUMAR"/>
    <d v="2026-06-03T00:00:00"/>
    <s v="SR-RTN/26-27/31805"/>
    <s v="B-296345"/>
    <s v="B-GOLD-FILING"/>
    <s v="GOLD-FILLING-WK"/>
    <x v="1"/>
    <s v="G-NA-75.00-RG"/>
    <n v="21.89"/>
    <n v="16.4175"/>
    <n v="0.75"/>
    <n v="21.89"/>
    <n v="16.4175"/>
    <n v="16.418000000000003"/>
    <n v="0.75"/>
    <n v="0"/>
    <n v="0"/>
    <n v="0"/>
    <n v="0"/>
    <n v="0"/>
    <n v="0"/>
    <n v="0"/>
    <n v="0"/>
    <n v="0"/>
    <n v="0"/>
    <n v="0"/>
    <n v="0"/>
    <n v="0"/>
    <n v="0"/>
    <x v="1"/>
    <n v="15.3"/>
    <n v="1.1180000000000021"/>
    <n v="2"/>
  </r>
  <r>
    <s v="AJEET KUMAR"/>
    <d v="2026-06-03T00:00:00"/>
    <s v="SR-RTN/26-27/31805"/>
    <s v="B-296907"/>
    <s v="B-GOLD-FILING"/>
    <s v="GOLD-FILLING-WK"/>
    <x v="0"/>
    <s v="G-NA-91.70-YG"/>
    <n v="87.99"/>
    <n v="80.68683"/>
    <n v="0.91700000000000004"/>
    <n v="87.99"/>
    <n v="80.68683"/>
    <n v="80.687000000000012"/>
    <n v="0.91700000000000004"/>
    <n v="0"/>
    <n v="0"/>
    <n v="0"/>
    <n v="0"/>
    <n v="0"/>
    <n v="0"/>
    <n v="0"/>
    <n v="0"/>
    <n v="0"/>
    <n v="0"/>
    <n v="0"/>
    <n v="0"/>
    <n v="0"/>
    <n v="0"/>
    <x v="1"/>
    <n v="77.221000000000004"/>
    <n v="3.4660000000000082"/>
    <n v="2"/>
  </r>
  <r>
    <s v="AJEET KUMAR"/>
    <d v="2026-06-03T00:00:00"/>
    <s v="SR-RTN/26-27/31806"/>
    <s v="B-296081"/>
    <s v="B-GOLD-FILING"/>
    <s v="GOLD-FILLING-WK"/>
    <x v="0"/>
    <s v="G-NA-91.70-YG"/>
    <n v="83.6"/>
    <n v="76.661199999999994"/>
    <n v="0.91700000000000004"/>
    <n v="80.72"/>
    <n v="74.020240000000001"/>
    <n v="74.021000000000001"/>
    <n v="0.91700000000000004"/>
    <n v="0"/>
    <n v="0"/>
    <n v="0"/>
    <n v="0"/>
    <n v="0"/>
    <n v="0"/>
    <n v="0"/>
    <n v="0"/>
    <n v="0"/>
    <n v="2.88"/>
    <n v="2.6409600000000002"/>
    <n v="0.91700000000000015"/>
    <n v="-2.8799999999999955"/>
    <n v="2.8799999999999955"/>
    <x v="0"/>
    <n v="74.021000000000001"/>
    <n v="0"/>
    <n v="1"/>
  </r>
  <r>
    <s v="AJEET KUMAR"/>
    <d v="2026-06-03T00:00:00"/>
    <s v="SR-RTN/26-27/31807"/>
    <s v="B-295890"/>
    <s v="B-GOLD-FILING"/>
    <s v="GOLD-FILLING-WK"/>
    <x v="1"/>
    <s v="G-NA-75.00-YG"/>
    <n v="241.56"/>
    <n v="181.17"/>
    <n v="0.74999999999999989"/>
    <n v="221.54"/>
    <n v="166.155"/>
    <n v="166.155"/>
    <n v="0.75"/>
    <n v="0"/>
    <n v="0"/>
    <n v="0"/>
    <n v="0"/>
    <n v="0"/>
    <n v="0"/>
    <n v="0"/>
    <n v="0"/>
    <n v="0"/>
    <n v="20.02"/>
    <n v="15.015000000000001"/>
    <n v="0.75"/>
    <n v="-20.02000000000001"/>
    <n v="20.02000000000001"/>
    <x v="0"/>
    <n v="166.155"/>
    <n v="0"/>
    <n v="1"/>
  </r>
  <r>
    <s v="AJEET KUMAR"/>
    <d v="2026-06-03T00:00:00"/>
    <s v="SR-RTN/26-27/31808"/>
    <s v="B-295647"/>
    <s v="B-GOLD-FILING"/>
    <s v="GOLD-FILLING-WK"/>
    <x v="1"/>
    <s v="G-NA-75.00-YG"/>
    <n v="13.29"/>
    <n v="9.9674999999999994"/>
    <n v="0.75"/>
    <n v="12.68"/>
    <n v="9.51"/>
    <n v="9.51"/>
    <n v="0.75"/>
    <n v="0"/>
    <n v="0"/>
    <n v="0"/>
    <n v="0"/>
    <n v="0"/>
    <n v="0"/>
    <n v="0"/>
    <n v="0"/>
    <n v="0"/>
    <n v="0.61"/>
    <n v="0.45750000000000002"/>
    <n v="0.75"/>
    <n v="-0.60999999999999943"/>
    <n v="0.60999999999999943"/>
    <x v="0"/>
    <n v="9.51"/>
    <n v="0"/>
    <n v="1"/>
  </r>
  <r>
    <s v="AJEET KUMAR"/>
    <d v="2026-06-03T00:00:00"/>
    <s v="SR-RTN/26-27/31844"/>
    <s v="B-295799"/>
    <s v="B-GOLD-FILING"/>
    <s v="GOLD-FILLING-WK"/>
    <x v="1"/>
    <s v="G-NA-75.00-YG"/>
    <n v="9.2200000000000006"/>
    <n v="6.915"/>
    <n v="0.75"/>
    <n v="8.68"/>
    <n v="6.51"/>
    <n v="6.51"/>
    <n v="0.75"/>
    <n v="0"/>
    <n v="0"/>
    <n v="0"/>
    <n v="0"/>
    <n v="0"/>
    <n v="0"/>
    <n v="0"/>
    <n v="0"/>
    <n v="0"/>
    <n v="0.54"/>
    <n v="0.40500000000000003"/>
    <n v="0.75"/>
    <n v="-0.54000000000000092"/>
    <n v="0.54000000000000092"/>
    <x v="0"/>
    <n v="6.51"/>
    <n v="0"/>
    <n v="1"/>
  </r>
  <r>
    <s v="AJEET KUMAR"/>
    <d v="2026-06-03T00:00:00"/>
    <s v="SR-RTN/26-27/31846"/>
    <s v="B-295883"/>
    <s v="B-GOLD-FILING"/>
    <s v="GOLD-FILLING-WK"/>
    <x v="1"/>
    <s v="G-NA-75.00-YG"/>
    <n v="169.43"/>
    <n v="127.07250000000001"/>
    <n v="0.75"/>
    <n v="160.35"/>
    <n v="120.2625"/>
    <n v="120.26300000000001"/>
    <n v="0.75"/>
    <n v="0"/>
    <n v="0"/>
    <n v="0"/>
    <n v="0"/>
    <n v="0"/>
    <n v="0"/>
    <n v="0"/>
    <n v="0"/>
    <n v="0"/>
    <n v="9.08"/>
    <n v="6.81"/>
    <n v="0.75"/>
    <n v="-9.0800000000000125"/>
    <n v="9.0800000000000125"/>
    <x v="0"/>
    <n v="120.26300000000001"/>
    <n v="0"/>
    <n v="1"/>
  </r>
  <r>
    <s v="AJEET KUMAR"/>
    <d v="2026-06-03T00:00:00"/>
    <s v="SR-RTN/26-27/31849"/>
    <s v="B-296270"/>
    <s v="B-GOLD-FILING"/>
    <s v="GOLD-FILLING-WK"/>
    <x v="1"/>
    <s v="G-NA-75.00-RG"/>
    <n v="47.46"/>
    <n v="35.594999999999999"/>
    <n v="0.75"/>
    <n v="43.39"/>
    <n v="32.542499999999997"/>
    <n v="32.542999999999999"/>
    <n v="0.74999999999999989"/>
    <n v="0"/>
    <n v="0"/>
    <n v="0"/>
    <n v="0"/>
    <n v="0"/>
    <n v="0"/>
    <n v="0"/>
    <n v="0"/>
    <n v="0"/>
    <n v="4.07"/>
    <n v="3.0525000000000002"/>
    <n v="0.75"/>
    <n v="-4.07"/>
    <n v="4.07"/>
    <x v="0"/>
    <n v="32.542999999999999"/>
    <n v="0"/>
    <n v="1"/>
  </r>
  <r>
    <s v="AJEET KUMAR"/>
    <d v="2026-06-03T00:00:00"/>
    <s v="SR-RTN/26-27/31852"/>
    <s v="B-295908"/>
    <s v="B-GOLD-FILING"/>
    <s v="GOLD-FILLING-WK"/>
    <x v="1"/>
    <s v="G-NA-75.00-RG"/>
    <n v="9.61"/>
    <n v="7.2074999999999996"/>
    <n v="0.75"/>
    <n v="9.51"/>
    <n v="7.1325000000000003"/>
    <n v="7.133"/>
    <n v="0.75"/>
    <n v="0"/>
    <n v="0"/>
    <n v="0"/>
    <n v="0"/>
    <n v="0"/>
    <n v="0"/>
    <n v="0"/>
    <n v="0"/>
    <n v="0"/>
    <n v="0.1"/>
    <n v="7.4999999999999997E-2"/>
    <n v="0.74999999999999989"/>
    <n v="-9.9999999999999645E-2"/>
    <n v="9.9999999999999645E-2"/>
    <x v="1"/>
    <n v="6.54"/>
    <n v="0.59299999999999997"/>
    <n v="2"/>
  </r>
  <r>
    <s v="AJEET KUMAR"/>
    <d v="2026-06-03T00:00:00"/>
    <s v="SR-RTN/26-27/31857"/>
    <s v="B-295654"/>
    <s v="B-GOLD-FILING"/>
    <s v="GOLD-FILLING-WK"/>
    <x v="0"/>
    <s v="G-NA-91.70-YG"/>
    <n v="7.81"/>
    <n v="7.1617699999999997"/>
    <n v="0.91700000000000004"/>
    <n v="7.69"/>
    <n v="7.0517300000000001"/>
    <n v="7.0520000000000005"/>
    <n v="0.91699999999999993"/>
    <n v="0"/>
    <n v="0"/>
    <n v="0"/>
    <n v="0"/>
    <n v="0"/>
    <n v="0"/>
    <n v="0"/>
    <n v="0"/>
    <n v="0"/>
    <n v="0.12"/>
    <n v="0.11004"/>
    <n v="0.91700000000000004"/>
    <n v="-0.11999999999999922"/>
    <n v="0.11999999999999922"/>
    <x v="0"/>
    <n v="7.0520000000000005"/>
    <n v="0"/>
    <n v="1"/>
  </r>
  <r>
    <s v="AJEET KUMAR"/>
    <d v="2026-06-03T00:00:00"/>
    <s v="SR-RTN/26-27/31882"/>
    <s v="B-295882"/>
    <s v="B-GOLD-FILING"/>
    <s v="GOLD-FILLING-WK"/>
    <x v="1"/>
    <s v="G-NA-75.00-YG"/>
    <n v="195.2"/>
    <n v="146.4"/>
    <n v="0.75000000000000011"/>
    <n v="177.56"/>
    <n v="133.16999999999999"/>
    <n v="133.16999999999999"/>
    <n v="0.74999999999999989"/>
    <n v="0"/>
    <n v="0"/>
    <n v="0"/>
    <n v="0"/>
    <n v="0"/>
    <n v="0"/>
    <n v="0"/>
    <n v="0"/>
    <n v="0"/>
    <n v="17.64"/>
    <n v="13.23"/>
    <n v="0.75"/>
    <n v="-17.639999999999986"/>
    <n v="17.639999999999986"/>
    <x v="1"/>
    <n v="119.07"/>
    <n v="14.099999999999994"/>
    <n v="3"/>
  </r>
  <r>
    <s v="AJEET KUMAR"/>
    <d v="2026-06-03T00:00:00"/>
    <s v="SR-RTN/26-27/31913"/>
    <s v="B-295595"/>
    <s v="B-GOLD-FILING"/>
    <s v="GOLD-FILLING-WK"/>
    <x v="1"/>
    <s v="G-NA-75.00-YG"/>
    <n v="23.15"/>
    <n v="17.362500000000001"/>
    <n v="0.75000000000000011"/>
    <n v="23.15"/>
    <n v="17.362500000000001"/>
    <n v="17.363"/>
    <n v="0.75000000000000011"/>
    <n v="0"/>
    <n v="0"/>
    <n v="0"/>
    <n v="0"/>
    <n v="0"/>
    <n v="0"/>
    <n v="0"/>
    <n v="0"/>
    <n v="0"/>
    <n v="0"/>
    <n v="0"/>
    <n v="0"/>
    <n v="0"/>
    <n v="0"/>
    <x v="0"/>
    <n v="17.363"/>
    <n v="0"/>
    <n v="2"/>
  </r>
  <r>
    <s v="AJEET KUMAR"/>
    <d v="2026-06-03T00:00:00"/>
    <s v="SR-W/O-RTN/26-27/2304"/>
    <s v="NONE"/>
    <s v="B-GOLD-FILING"/>
    <s v="GOLD-FILLING-WK"/>
    <x v="0"/>
    <s v="G-NA-91.70-YG"/>
    <n v="17.14"/>
    <n v="15.71738"/>
    <n v="0.91700000000000004"/>
    <n v="16.87"/>
    <n v="15.46979"/>
    <n v="15.469999999999999"/>
    <n v="0.91699999999999993"/>
    <n v="0.27"/>
    <n v="0.24759"/>
    <n v="0.91699999999999993"/>
    <n v="0"/>
    <n v="0"/>
    <n v="0"/>
    <n v="0"/>
    <n v="0"/>
    <n v="0"/>
    <n v="0"/>
    <n v="0"/>
    <n v="0"/>
    <n v="-0.53999999999999959"/>
    <n v="-4.4408920985006262E-16"/>
    <x v="1"/>
    <n v="0"/>
    <n v="15.469999999999999"/>
    <n v="67"/>
  </r>
  <r>
    <s v="AJEET KUMAR"/>
    <d v="2026-06-03T00:00:00"/>
    <s v="SR-W/O-RTN/26-27/2319"/>
    <s v="NONE"/>
    <s v="B-GOLD-FILING"/>
    <s v="GOLD-FILLING-WK"/>
    <x v="1"/>
    <s v="G-NA-75.00-RG"/>
    <n v="8.18"/>
    <n v="6.1349999999999998"/>
    <n v="0.75"/>
    <n v="7.53"/>
    <n v="5.6475"/>
    <n v="5.6480000000000006"/>
    <n v="0.75"/>
    <n v="0"/>
    <n v="0"/>
    <n v="0"/>
    <n v="0"/>
    <n v="0"/>
    <n v="0"/>
    <n v="0"/>
    <n v="0"/>
    <n v="0"/>
    <n v="0.65"/>
    <n v="0.48749999999999999"/>
    <n v="0.75"/>
    <n v="-0.64999999999999947"/>
    <n v="0.64999999999999947"/>
    <x v="1"/>
    <n v="0"/>
    <n v="5.6480000000000006"/>
    <n v="67"/>
  </r>
  <r>
    <s v="AJEET KUMAR"/>
    <d v="2026-06-03T00:00:00"/>
    <s v="SR-W/O-RTN/26-27/2319"/>
    <s v="NONE"/>
    <s v="B-GOLD-FILING"/>
    <s v="GOLD-FILLING-WK"/>
    <x v="1"/>
    <s v="G-NA-75.00-WG"/>
    <n v="3.64"/>
    <n v="2.73"/>
    <n v="0.75"/>
    <n v="3.64"/>
    <n v="2.73"/>
    <n v="2.73"/>
    <n v="0.75"/>
    <n v="0"/>
    <n v="0"/>
    <n v="0"/>
    <n v="0"/>
    <n v="0"/>
    <n v="0"/>
    <n v="0"/>
    <n v="0"/>
    <n v="0"/>
    <n v="0"/>
    <n v="0"/>
    <n v="0"/>
    <n v="0"/>
    <n v="0"/>
    <x v="1"/>
    <n v="0"/>
    <n v="2.73"/>
    <n v="67"/>
  </r>
  <r>
    <s v="AJEET KUMAR"/>
    <d v="2026-06-03T00:00:00"/>
    <s v="SR-W/O-RTN/26-27/2319"/>
    <s v="NONE"/>
    <s v="B-GOLD-FILING"/>
    <s v="GOLD-FILLING-WK"/>
    <x v="1"/>
    <s v="G-NA-75.00-YG"/>
    <n v="10.87"/>
    <n v="8.1524999999999999"/>
    <n v="0.75"/>
    <n v="10.48"/>
    <n v="7.86"/>
    <n v="7.86"/>
    <n v="0.75"/>
    <n v="0"/>
    <n v="0"/>
    <n v="0"/>
    <n v="0"/>
    <n v="0"/>
    <n v="0"/>
    <n v="0"/>
    <n v="0"/>
    <n v="0"/>
    <n v="0.39"/>
    <n v="0.29249999999999998"/>
    <n v="0.74999999999999989"/>
    <n v="-0.38999999999999879"/>
    <n v="0.38999999999999879"/>
    <x v="1"/>
    <n v="0"/>
    <n v="7.86"/>
    <n v="67"/>
  </r>
  <r>
    <s v="AJEET KUMAR"/>
    <d v="2026-06-03T00:00:00"/>
    <s v="SR-W/O-RTN/26-27/2319"/>
    <s v="NONE"/>
    <s v="B-GOLD-FILING"/>
    <s v="GOLD-FILLING-WK"/>
    <x v="0"/>
    <s v="G-NA-91.70-YG"/>
    <n v="16.87"/>
    <n v="15.46979"/>
    <n v="0.91699999999999993"/>
    <n v="15.44"/>
    <n v="14.158480000000001"/>
    <n v="14.158999999999999"/>
    <n v="0.91700000000000004"/>
    <n v="0"/>
    <n v="0"/>
    <n v="0"/>
    <n v="0"/>
    <n v="0"/>
    <n v="0"/>
    <n v="0"/>
    <n v="0"/>
    <n v="0"/>
    <n v="1.43"/>
    <n v="1.31131"/>
    <n v="0.91700000000000004"/>
    <n v="-1.4300000000000015"/>
    <n v="1.4300000000000015"/>
    <x v="1"/>
    <n v="0"/>
    <n v="14.158999999999999"/>
    <n v="67"/>
  </r>
  <r>
    <s v="AJEET KUMAR"/>
    <d v="2026-06-04T00:00:00"/>
    <s v="RTN-8672094"/>
    <s v="SR-41783"/>
    <s v="CAST-FILLING"/>
    <s v="GOLD-FILLING-WK"/>
    <x v="1"/>
    <s v="G-NA-75.00-RG"/>
    <n v="115.88"/>
    <n v="86.91"/>
    <n v="0.75"/>
    <n v="105.67"/>
    <n v="79.252499999999998"/>
    <n v="79.253"/>
    <n v="0.75"/>
    <n v="0"/>
    <n v="0"/>
    <n v="0"/>
    <n v="0"/>
    <n v="0"/>
    <n v="0"/>
    <n v="0"/>
    <n v="0"/>
    <n v="0"/>
    <n v="10.210000000000001"/>
    <n v="7.6574999999999998"/>
    <n v="0.74999999999999989"/>
    <n v="-10.209999999999994"/>
    <n v="10.209999999999994"/>
    <x v="0"/>
    <n v="79.253"/>
    <n v="0"/>
    <n v="1"/>
  </r>
  <r>
    <s v="AJEET KUMAR"/>
    <d v="2026-06-04T00:00:00"/>
    <s v="RTN-8678159"/>
    <s v="SR-41862"/>
    <s v="CAST-FILLING"/>
    <s v="GOLD-FILLING-WK"/>
    <x v="0"/>
    <s v="G-NA-91.70-YG"/>
    <n v="10.07"/>
    <n v="9.2341899999999999"/>
    <n v="0.91699999999999993"/>
    <n v="9.77"/>
    <n v="8.9590899999999998"/>
    <n v="8.9599999999999991"/>
    <n v="0.91700000000000004"/>
    <n v="0"/>
    <n v="0"/>
    <n v="0"/>
    <n v="0"/>
    <n v="0"/>
    <n v="0"/>
    <n v="0"/>
    <n v="0"/>
    <n v="0"/>
    <n v="0.3"/>
    <n v="0.27510000000000001"/>
    <n v="0.91700000000000004"/>
    <n v="-0.30000000000000071"/>
    <n v="0.30000000000000071"/>
    <x v="0"/>
    <n v="8.9599999999999991"/>
    <n v="0"/>
    <n v="1"/>
  </r>
  <r>
    <s v="AJEET KUMAR"/>
    <d v="2026-06-04T00:00:00"/>
    <s v="RTN-8680061"/>
    <s v="SR-41739"/>
    <s v="CAST-FILLING"/>
    <s v="GOLD-FILLING-WK"/>
    <x v="1"/>
    <s v="G-NA-75.00-RG"/>
    <n v="153.11000000000001"/>
    <n v="114.8325"/>
    <n v="0.74999999999999989"/>
    <n v="138.02000000000001"/>
    <n v="103.515"/>
    <n v="103.515"/>
    <n v="0.75"/>
    <n v="0"/>
    <n v="0"/>
    <n v="0"/>
    <n v="0"/>
    <n v="0"/>
    <n v="0"/>
    <n v="0"/>
    <n v="0"/>
    <n v="0"/>
    <n v="15.09"/>
    <n v="11.317500000000001"/>
    <n v="0.75000000000000011"/>
    <n v="-15.090000000000003"/>
    <n v="15.090000000000003"/>
    <x v="0"/>
    <n v="103.515"/>
    <n v="0"/>
    <n v="1"/>
  </r>
  <r>
    <s v="AJEET KUMAR"/>
    <d v="2026-06-04T00:00:00"/>
    <s v="RTN-8684410"/>
    <s v="SR-41789"/>
    <s v="CAST-FILLING"/>
    <s v="GOLD-FILLING-WK"/>
    <x v="1"/>
    <s v="G-NA-75.00-RG"/>
    <n v="146.77000000000001"/>
    <n v="110.0775"/>
    <n v="0.75"/>
    <n v="130.99"/>
    <n v="98.242500000000007"/>
    <n v="98.243000000000009"/>
    <n v="0.75"/>
    <n v="0"/>
    <n v="0"/>
    <n v="0"/>
    <n v="0"/>
    <n v="0"/>
    <n v="0"/>
    <n v="0"/>
    <n v="0"/>
    <n v="0"/>
    <n v="15.78"/>
    <n v="11.835000000000001"/>
    <n v="0.75000000000000011"/>
    <n v="-15.78"/>
    <n v="15.78"/>
    <x v="0"/>
    <n v="98.243000000000009"/>
    <n v="0"/>
    <n v="1"/>
  </r>
  <r>
    <s v="AJEET KUMAR"/>
    <d v="2026-06-04T00:00:00"/>
    <s v="SR-RTN/26-27/31939"/>
    <s v="B-295620"/>
    <s v="B-GOLD-FILING"/>
    <s v="GOLD-FILLING-WK"/>
    <x v="0"/>
    <s v="G-NA-91.70-YG"/>
    <n v="12.17"/>
    <n v="11.159890000000001"/>
    <n v="0.91700000000000004"/>
    <n v="12.17"/>
    <n v="11.159890000000001"/>
    <n v="11.16"/>
    <n v="0.91700000000000004"/>
    <n v="0"/>
    <n v="0"/>
    <n v="0"/>
    <n v="0"/>
    <n v="0"/>
    <n v="0"/>
    <n v="0"/>
    <n v="0"/>
    <n v="0"/>
    <n v="0"/>
    <n v="0"/>
    <n v="0"/>
    <n v="0"/>
    <n v="0"/>
    <x v="0"/>
    <n v="11.16"/>
    <n v="0"/>
    <n v="2"/>
  </r>
  <r>
    <s v="AJEET KUMAR"/>
    <d v="2026-06-04T00:00:00"/>
    <s v="SR-RTN/26-27/31939"/>
    <s v="B-295621"/>
    <s v="B-GOLD-FILING"/>
    <s v="GOLD-FILLING-WK"/>
    <x v="0"/>
    <s v="G-NA-91.70-YG"/>
    <n v="13.05"/>
    <n v="11.966850000000001"/>
    <n v="0.91700000000000004"/>
    <n v="13.05"/>
    <n v="11.966850000000001"/>
    <n v="11.966999999999999"/>
    <n v="0.91700000000000004"/>
    <n v="0"/>
    <n v="0"/>
    <n v="0"/>
    <n v="0"/>
    <n v="0"/>
    <n v="0"/>
    <n v="0"/>
    <n v="0"/>
    <n v="0"/>
    <n v="0"/>
    <n v="0"/>
    <n v="0"/>
    <n v="0"/>
    <n v="0"/>
    <x v="0"/>
    <n v="11.966999999999999"/>
    <n v="0"/>
    <n v="2"/>
  </r>
  <r>
    <s v="AJEET KUMAR"/>
    <d v="2026-06-04T00:00:00"/>
    <s v="SR-RTN/26-27/31939"/>
    <s v="B-295622"/>
    <s v="B-GOLD-FILING"/>
    <s v="GOLD-FILLING-WK"/>
    <x v="0"/>
    <s v="G-NA-91.70-YG"/>
    <n v="12.17"/>
    <n v="11.159890000000001"/>
    <n v="0.91700000000000004"/>
    <n v="12.17"/>
    <n v="11.159890000000001"/>
    <n v="11.16"/>
    <n v="0.91700000000000004"/>
    <n v="0"/>
    <n v="0"/>
    <n v="0"/>
    <n v="0"/>
    <n v="0"/>
    <n v="0"/>
    <n v="0"/>
    <n v="0"/>
    <n v="0"/>
    <n v="0"/>
    <n v="0"/>
    <n v="0"/>
    <n v="0"/>
    <n v="0"/>
    <x v="0"/>
    <n v="11.16"/>
    <n v="0"/>
    <n v="2"/>
  </r>
  <r>
    <s v="AJEET KUMAR"/>
    <d v="2026-06-04T00:00:00"/>
    <s v="SR-RTN/26-27/31939"/>
    <s v="B-295623"/>
    <s v="B-GOLD-FILING"/>
    <s v="GOLD-FILLING-WK"/>
    <x v="0"/>
    <s v="G-NA-91.70-YG"/>
    <n v="13.46"/>
    <n v="12.34282"/>
    <n v="0.91699999999999993"/>
    <n v="13.46"/>
    <n v="12.34282"/>
    <n v="12.343"/>
    <n v="0.91699999999999993"/>
    <n v="0"/>
    <n v="0"/>
    <n v="0"/>
    <n v="0"/>
    <n v="0"/>
    <n v="0"/>
    <n v="0"/>
    <n v="0"/>
    <n v="0"/>
    <n v="0"/>
    <n v="0"/>
    <n v="0"/>
    <n v="0"/>
    <n v="0"/>
    <x v="0"/>
    <n v="12.343"/>
    <n v="0"/>
    <n v="2"/>
  </r>
  <r>
    <s v="AJEET KUMAR"/>
    <d v="2026-06-04T00:00:00"/>
    <s v="SR-RTN/26-27/31939"/>
    <s v="B-295624"/>
    <s v="B-GOLD-FILING"/>
    <s v="GOLD-FILLING-WK"/>
    <x v="0"/>
    <s v="G-NA-91.70-YG"/>
    <n v="10.8"/>
    <n v="9.9036000000000008"/>
    <n v="0.91700000000000004"/>
    <n v="10.8"/>
    <n v="9.9036000000000008"/>
    <n v="9.9039999999999999"/>
    <n v="0.91700000000000004"/>
    <n v="0"/>
    <n v="0"/>
    <n v="0"/>
    <n v="0"/>
    <n v="0"/>
    <n v="0"/>
    <n v="0"/>
    <n v="0"/>
    <n v="0"/>
    <n v="0"/>
    <n v="0"/>
    <n v="0"/>
    <n v="0"/>
    <n v="0"/>
    <x v="0"/>
    <n v="9.9039999999999999"/>
    <n v="0"/>
    <n v="2"/>
  </r>
  <r>
    <s v="AJEET KUMAR"/>
    <d v="2026-06-04T00:00:00"/>
    <s v="SR-RTN/26-27/31939"/>
    <s v="B-295896"/>
    <s v="B-GOLD-FILING"/>
    <s v="GOLD-FILLING-WK"/>
    <x v="0"/>
    <s v="G-NA-91.70-YG"/>
    <n v="35.299999999999997"/>
    <n v="32.370100000000001"/>
    <n v="0.91700000000000015"/>
    <n v="35.19"/>
    <n v="32.26923"/>
    <n v="32.269999999999996"/>
    <n v="0.91700000000000004"/>
    <n v="0"/>
    <n v="0"/>
    <n v="0"/>
    <n v="0"/>
    <n v="0"/>
    <n v="0"/>
    <n v="0"/>
    <n v="0"/>
    <n v="0"/>
    <n v="0.11"/>
    <n v="0.10087"/>
    <n v="0.91700000000000004"/>
    <n v="-0.10999999999999943"/>
    <n v="0.10999999999999943"/>
    <x v="1"/>
    <n v="31.068000000000001"/>
    <n v="1.2019999999999946"/>
    <n v="2"/>
  </r>
  <r>
    <s v="AJEET KUMAR"/>
    <d v="2026-06-04T00:00:00"/>
    <s v="SR-RTN/26-27/31939"/>
    <s v="B-295902"/>
    <s v="B-GOLD-FILING"/>
    <s v="GOLD-FILLING-WK"/>
    <x v="1"/>
    <s v="G-NA-75.00-RG"/>
    <n v="14.75"/>
    <n v="11.0625"/>
    <n v="0.75"/>
    <n v="14.7"/>
    <n v="11.025"/>
    <n v="11.025"/>
    <n v="0.75000000000000011"/>
    <n v="0"/>
    <n v="0"/>
    <n v="0"/>
    <n v="0"/>
    <n v="0"/>
    <n v="0"/>
    <n v="0"/>
    <n v="0"/>
    <n v="0"/>
    <n v="0.05"/>
    <n v="3.7499999999999999E-2"/>
    <n v="0.74999999999999989"/>
    <n v="-5.0000000000000711E-2"/>
    <n v="5.0000000000000711E-2"/>
    <x v="1"/>
    <n v="10.763"/>
    <n v="0.26200000000000045"/>
    <n v="2"/>
  </r>
  <r>
    <s v="AJEET KUMAR"/>
    <d v="2026-06-04T00:00:00"/>
    <s v="SR-RTN/26-27/31939"/>
    <s v="B-296371"/>
    <s v="B-GOLD-FILING"/>
    <s v="GOLD-FILLING-WK"/>
    <x v="1"/>
    <s v="G-NA-75.00-YG"/>
    <n v="21.66"/>
    <n v="16.245000000000001"/>
    <n v="0.75"/>
    <n v="20.37"/>
    <n v="15.2775"/>
    <n v="15.277999999999999"/>
    <n v="0.75"/>
    <n v="0"/>
    <n v="0"/>
    <n v="0"/>
    <n v="0"/>
    <n v="0"/>
    <n v="0"/>
    <n v="0"/>
    <n v="0"/>
    <n v="0"/>
    <n v="1.29"/>
    <n v="0.96750000000000003"/>
    <n v="0.75"/>
    <n v="-1.2899999999999991"/>
    <n v="1.2899999999999991"/>
    <x v="0"/>
    <n v="15.277999999999999"/>
    <n v="0"/>
    <n v="1"/>
  </r>
  <r>
    <s v="AJEET KUMAR"/>
    <d v="2026-06-04T00:00:00"/>
    <s v="SR-RTN/26-27/31939"/>
    <s v="B-296897"/>
    <s v="B-GOLD-FILING"/>
    <s v="GOLD-FILLING-WK"/>
    <x v="0"/>
    <s v="G-NA-91.70-YG"/>
    <n v="11.67"/>
    <n v="10.70139"/>
    <n v="0.91700000000000004"/>
    <n v="10.79"/>
    <n v="9.8944299999999998"/>
    <n v="9.8949999999999996"/>
    <n v="0.91700000000000004"/>
    <n v="0"/>
    <n v="0"/>
    <n v="0"/>
    <n v="0"/>
    <n v="0"/>
    <n v="0"/>
    <n v="0"/>
    <n v="0"/>
    <n v="0"/>
    <n v="0.88"/>
    <n v="0.80696000000000001"/>
    <n v="0.91700000000000004"/>
    <n v="-0.88000000000000078"/>
    <n v="0.88000000000000078"/>
    <x v="0"/>
    <n v="9.8949999999999996"/>
    <n v="0"/>
    <n v="1"/>
  </r>
  <r>
    <s v="AJEET KUMAR"/>
    <d v="2026-06-04T00:00:00"/>
    <s v="SR-RTN/26-27/31939"/>
    <s v="B-296929"/>
    <s v="B-GOLD-FILING"/>
    <s v="GOLD-FILLING-WK"/>
    <x v="0"/>
    <s v="G-NA-91.70-YG"/>
    <n v="12.23"/>
    <n v="11.21491"/>
    <n v="0.91699999999999993"/>
    <n v="12.23"/>
    <n v="11.21491"/>
    <n v="11.215"/>
    <n v="0.91699999999999993"/>
    <n v="0"/>
    <n v="0"/>
    <n v="0"/>
    <n v="0"/>
    <n v="0"/>
    <n v="0"/>
    <n v="0"/>
    <n v="0"/>
    <n v="0"/>
    <n v="0"/>
    <n v="0"/>
    <n v="0"/>
    <n v="0"/>
    <n v="0"/>
    <x v="1"/>
    <n v="10.664999999999999"/>
    <n v="0.55000000000000071"/>
    <n v="2"/>
  </r>
  <r>
    <s v="AJEET KUMAR"/>
    <d v="2026-06-04T00:00:00"/>
    <s v="SR-RTN/26-27/31943"/>
    <s v="B-291362"/>
    <s v="B-GOLD-FILING"/>
    <s v="GOLD-FILLING-WK"/>
    <x v="0"/>
    <s v="G-NA-91.70-YG"/>
    <n v="24.7"/>
    <n v="22.649899999999999"/>
    <n v="0.91699999999999993"/>
    <n v="24.5"/>
    <n v="22.4665"/>
    <n v="22.467000000000002"/>
    <n v="0.91700000000000004"/>
    <n v="0"/>
    <n v="0"/>
    <n v="0"/>
    <n v="0"/>
    <n v="0"/>
    <n v="0"/>
    <n v="0"/>
    <n v="0"/>
    <n v="0"/>
    <n v="0.2"/>
    <n v="0.18340000000000001"/>
    <n v="0.91700000000000004"/>
    <n v="-0.19999999999999929"/>
    <n v="0.19999999999999929"/>
    <x v="0"/>
    <n v="22.467000000000002"/>
    <n v="0"/>
    <n v="1"/>
  </r>
  <r>
    <s v="AJEET KUMAR"/>
    <d v="2026-06-04T00:00:00"/>
    <s v="SR-RTN/26-27/32057"/>
    <s v="B-295884"/>
    <s v="B-GOLD-FILING"/>
    <s v="GOLD-FILLING-WK"/>
    <x v="1"/>
    <s v="G-NA-75.00-RG"/>
    <n v="166.98"/>
    <n v="125.235"/>
    <n v="0.75"/>
    <n v="157"/>
    <n v="117.75"/>
    <n v="117.75"/>
    <n v="0.75"/>
    <n v="0"/>
    <n v="0"/>
    <n v="0"/>
    <n v="0"/>
    <n v="0"/>
    <n v="0"/>
    <n v="0"/>
    <n v="0"/>
    <n v="0"/>
    <n v="9.98"/>
    <n v="7.4850000000000003"/>
    <n v="0.75"/>
    <n v="-9.9799999999999898"/>
    <n v="9.9799999999999898"/>
    <x v="0"/>
    <n v="117.75"/>
    <n v="0"/>
    <n v="1"/>
  </r>
  <r>
    <s v="AJEET KUMAR"/>
    <d v="2026-06-04T00:00:00"/>
    <s v="SR-RTN/26-27/32060"/>
    <s v="B-295649"/>
    <s v="B-GOLD-FILING"/>
    <s v="GOLD-FILLING-WK"/>
    <x v="1"/>
    <s v="G-NA-75.00-YG"/>
    <n v="13.29"/>
    <n v="9.9674999999999994"/>
    <n v="0.75"/>
    <n v="12.75"/>
    <n v="9.5625"/>
    <n v="9.5629999999999988"/>
    <n v="0.75"/>
    <n v="0"/>
    <n v="0"/>
    <n v="0"/>
    <n v="0"/>
    <n v="0"/>
    <n v="0"/>
    <n v="0"/>
    <n v="0"/>
    <n v="0"/>
    <n v="0.54"/>
    <n v="0.40500000000000003"/>
    <n v="0.75"/>
    <n v="-0.53999999999999915"/>
    <n v="0.53999999999999915"/>
    <x v="0"/>
    <n v="9.5629999999999988"/>
    <n v="0"/>
    <n v="1"/>
  </r>
  <r>
    <s v="AJEET KUMAR"/>
    <d v="2026-06-04T00:00:00"/>
    <s v="SR-RTN/26-27/32062"/>
    <s v="B-295889"/>
    <s v="B-GOLD-FILING"/>
    <s v="GOLD-FILLING-WK"/>
    <x v="1"/>
    <s v="G-NA-75.00-YG"/>
    <n v="204.22"/>
    <n v="153.16499999999999"/>
    <n v="0.75"/>
    <n v="188.4"/>
    <n v="141.30000000000001"/>
    <n v="141.30000000000001"/>
    <n v="0.75"/>
    <n v="0"/>
    <n v="0"/>
    <n v="0"/>
    <n v="0"/>
    <n v="0"/>
    <n v="0"/>
    <n v="0"/>
    <n v="0"/>
    <n v="0"/>
    <n v="15.82"/>
    <n v="11.865"/>
    <n v="0.75"/>
    <n v="-15.819999999999993"/>
    <n v="15.819999999999993"/>
    <x v="0"/>
    <n v="141.30000000000001"/>
    <n v="0"/>
    <n v="1"/>
  </r>
  <r>
    <s v="AJEET KUMAR"/>
    <d v="2026-06-04T00:00:00"/>
    <s v="SR-RTN/26-27/32064"/>
    <s v="B-295652"/>
    <s v="B-GOLD-FILING"/>
    <s v="GOLD-FILLING-WK"/>
    <x v="1"/>
    <s v="G-NA-75.00-YG"/>
    <n v="9.58"/>
    <n v="7.1849999999999996"/>
    <n v="0.75"/>
    <n v="9.14"/>
    <n v="6.8550000000000004"/>
    <n v="6.8550000000000004"/>
    <n v="0.75"/>
    <n v="0"/>
    <n v="0"/>
    <n v="0"/>
    <n v="0"/>
    <n v="0"/>
    <n v="0"/>
    <n v="0"/>
    <n v="0"/>
    <n v="0"/>
    <n v="0.44"/>
    <n v="0.33"/>
    <n v="0.75"/>
    <n v="-0.4399999999999995"/>
    <n v="0.4399999999999995"/>
    <x v="0"/>
    <n v="6.8550000000000004"/>
    <n v="0"/>
    <n v="1"/>
  </r>
  <r>
    <s v="AJEET KUMAR"/>
    <d v="2026-06-04T00:00:00"/>
    <s v="SR-RTN/26-27/32065"/>
    <s v="B-295650"/>
    <s v="B-GOLD-FILING"/>
    <s v="GOLD-FILLING-WK"/>
    <x v="1"/>
    <s v="G-NA-75.00-YG"/>
    <n v="13.5"/>
    <n v="10.125"/>
    <n v="0.75"/>
    <n v="13.5"/>
    <n v="10.125"/>
    <n v="10.125"/>
    <n v="0.75"/>
    <n v="0"/>
    <n v="0"/>
    <n v="0"/>
    <n v="0"/>
    <n v="0"/>
    <n v="0"/>
    <n v="0"/>
    <n v="0"/>
    <n v="0"/>
    <n v="0"/>
    <n v="0"/>
    <n v="0"/>
    <n v="0"/>
    <n v="0"/>
    <x v="1"/>
    <n v="10.125"/>
    <n v="0"/>
    <n v="2"/>
  </r>
  <r>
    <s v="AJEET KUMAR"/>
    <d v="2026-06-04T00:00:00"/>
    <s v="SR-RTN/26-27/32066"/>
    <s v="B-296084"/>
    <s v="B-GOLD-FILING"/>
    <s v="GOLD-FILLING-WK"/>
    <x v="0"/>
    <s v="G-NA-91.70-YG"/>
    <n v="78.62"/>
    <n v="72.094539999999995"/>
    <n v="0.91699999999999993"/>
    <n v="75.7"/>
    <n v="69.416899999999998"/>
    <n v="69.417000000000002"/>
    <n v="0.91699999999999993"/>
    <n v="0"/>
    <n v="0"/>
    <n v="0"/>
    <n v="0"/>
    <n v="0"/>
    <n v="0"/>
    <n v="0"/>
    <n v="0"/>
    <n v="0"/>
    <n v="2.92"/>
    <n v="2.6776399999999998"/>
    <n v="0.91699999999999993"/>
    <n v="-2.9200000000000017"/>
    <n v="2.9200000000000017"/>
    <x v="0"/>
    <n v="69.417000000000002"/>
    <n v="0"/>
    <n v="1"/>
  </r>
  <r>
    <s v="AJEET KUMAR"/>
    <d v="2026-06-04T00:00:00"/>
    <s v="SR-RTN/26-27/32068"/>
    <s v="B-296329"/>
    <s v="B-GOLD-FILING"/>
    <s v="GOLD-FILLING-WK"/>
    <x v="1"/>
    <s v="G-NA-75.00-RG"/>
    <n v="16.23"/>
    <n v="12.172499999999999"/>
    <n v="0.75"/>
    <n v="14.98"/>
    <n v="11.234999999999999"/>
    <n v="11.234999999999999"/>
    <n v="0.74999999999999989"/>
    <n v="0"/>
    <n v="0"/>
    <n v="0"/>
    <n v="0"/>
    <n v="0"/>
    <n v="0"/>
    <n v="0"/>
    <n v="0"/>
    <n v="0"/>
    <n v="1.25"/>
    <n v="0.9375"/>
    <n v="0.75"/>
    <n v="-1.25"/>
    <n v="1.25"/>
    <x v="0"/>
    <n v="11.234999999999999"/>
    <n v="0"/>
    <n v="2"/>
  </r>
  <r>
    <s v="AJEET KUMAR"/>
    <d v="2026-06-04T00:00:00"/>
    <s v="SR-RTN/26-27/32069"/>
    <s v="B-295888"/>
    <s v="B-GOLD-FILING"/>
    <s v="GOLD-FILLING-WK"/>
    <x v="1"/>
    <s v="G-NA-75.00-YG"/>
    <n v="128.11000000000001"/>
    <n v="96.082499999999996"/>
    <n v="0.74999999999999989"/>
    <n v="107.56"/>
    <n v="80.67"/>
    <n v="80.67"/>
    <n v="0.75"/>
    <n v="0"/>
    <n v="0"/>
    <n v="0"/>
    <n v="0"/>
    <n v="0"/>
    <n v="0"/>
    <n v="0"/>
    <n v="0"/>
    <n v="0"/>
    <n v="20.55"/>
    <n v="15.4125"/>
    <n v="0.75"/>
    <n v="-20.550000000000011"/>
    <n v="20.550000000000011"/>
    <x v="0"/>
    <n v="80.67"/>
    <n v="0"/>
    <n v="1"/>
  </r>
  <r>
    <s v="AJEET KUMAR"/>
    <d v="2026-06-04T00:00:00"/>
    <s v="SR-RTN/26-27/32137"/>
    <s v="B-295913"/>
    <s v="B-GOLD-FILING"/>
    <s v="GOLD-FILLING-WK"/>
    <x v="0"/>
    <s v="G-NA-91.70-YG"/>
    <n v="39.78"/>
    <n v="36.478259999999999"/>
    <n v="0.91699999999999993"/>
    <n v="39.78"/>
    <n v="36.478259999999999"/>
    <n v="36.478999999999999"/>
    <n v="0.91699999999999993"/>
    <n v="0"/>
    <n v="0"/>
    <n v="0"/>
    <n v="0"/>
    <n v="0"/>
    <n v="0"/>
    <n v="0"/>
    <n v="0"/>
    <n v="0"/>
    <n v="0"/>
    <n v="0"/>
    <n v="0"/>
    <n v="0"/>
    <n v="0"/>
    <x v="0"/>
    <n v="36.478999999999999"/>
    <n v="0"/>
    <n v="2"/>
  </r>
  <r>
    <s v="AJEET KUMAR"/>
    <d v="2026-06-04T00:00:00"/>
    <s v="SR-RTN/26-27/32139"/>
    <s v="B-291337"/>
    <s v="B-GOLD-FILING"/>
    <s v="GOLD-FILLING-WK"/>
    <x v="0"/>
    <s v="G-NA-91.70-YG"/>
    <n v="6.21"/>
    <n v="5.6945699999999997"/>
    <n v="0.91699999999999993"/>
    <n v="5.78"/>
    <n v="5.3002599999999997"/>
    <n v="5.3010000000000002"/>
    <n v="0.91699999999999993"/>
    <n v="0"/>
    <n v="0"/>
    <n v="0"/>
    <n v="0"/>
    <n v="0"/>
    <n v="0"/>
    <n v="0"/>
    <n v="0"/>
    <n v="0"/>
    <n v="0.43"/>
    <n v="0.39430999999999999"/>
    <n v="0.91700000000000004"/>
    <n v="-0.42999999999999972"/>
    <n v="0.42999999999999972"/>
    <x v="0"/>
    <n v="5.3010000000000002"/>
    <n v="0"/>
    <n v="2"/>
  </r>
  <r>
    <s v="AJEET KUMAR"/>
    <d v="2026-06-04T00:00:00"/>
    <s v="SR-RTN/26-27/32139"/>
    <s v="B-296042/1"/>
    <s v="B-GOLD-FILING"/>
    <s v="GOLD-FILLING-WK"/>
    <x v="1"/>
    <s v="G-NA-75.00-RG"/>
    <n v="23.33"/>
    <n v="17.497499999999999"/>
    <n v="0.75"/>
    <n v="20.66"/>
    <n v="15.494999999999999"/>
    <n v="15.494999999999999"/>
    <n v="0.75"/>
    <n v="0"/>
    <n v="0"/>
    <n v="0"/>
    <n v="0"/>
    <n v="0"/>
    <n v="0"/>
    <n v="0"/>
    <n v="0"/>
    <n v="0"/>
    <n v="2.67"/>
    <n v="2.0024999999999999"/>
    <n v="0.75"/>
    <n v="-2.6699999999999982"/>
    <n v="2.6699999999999982"/>
    <x v="0"/>
    <n v="15.494999999999999"/>
    <n v="0"/>
    <n v="1"/>
  </r>
  <r>
    <s v="AJEET KUMAR"/>
    <d v="2026-06-04T00:00:00"/>
    <s v="SR-RTN/26-27/32139"/>
    <s v="B-296370"/>
    <s v="B-GOLD-FILING"/>
    <s v="GOLD-FILLING-WK"/>
    <x v="1"/>
    <s v="G-NA-75.00-YG"/>
    <n v="29.2"/>
    <n v="21.9"/>
    <n v="0.75"/>
    <n v="26.46"/>
    <n v="19.844999999999999"/>
    <n v="19.844999999999999"/>
    <n v="0.74999999999999989"/>
    <n v="0"/>
    <n v="0"/>
    <n v="0"/>
    <n v="0"/>
    <n v="0"/>
    <n v="0"/>
    <n v="0"/>
    <n v="0"/>
    <n v="0"/>
    <n v="2.74"/>
    <n v="2.0550000000000002"/>
    <n v="0.75"/>
    <n v="-2.7399999999999984"/>
    <n v="2.7399999999999984"/>
    <x v="0"/>
    <n v="19.844999999999999"/>
    <n v="0"/>
    <n v="1"/>
  </r>
  <r>
    <s v="AJEET KUMAR"/>
    <d v="2026-06-04T00:00:00"/>
    <s v="SR-RTN/26-27/32139"/>
    <s v="B-296844"/>
    <s v="B-GOLD-FILING"/>
    <s v="GOLD-FILLING-WK"/>
    <x v="1"/>
    <s v="G-NA-75.00-RG"/>
    <n v="15.97"/>
    <n v="11.977499999999999"/>
    <n v="0.74999999999999989"/>
    <n v="14.55"/>
    <n v="10.9125"/>
    <n v="10.913"/>
    <n v="0.74999999999999989"/>
    <n v="0"/>
    <n v="0"/>
    <n v="0"/>
    <n v="0"/>
    <n v="0"/>
    <n v="0"/>
    <n v="0"/>
    <n v="0"/>
    <n v="0"/>
    <n v="1.42"/>
    <n v="1.0649999999999999"/>
    <n v="0.75"/>
    <n v="-1.42"/>
    <n v="1.42"/>
    <x v="0"/>
    <n v="10.913"/>
    <n v="0"/>
    <n v="1"/>
  </r>
  <r>
    <s v="AJEET KUMAR"/>
    <d v="2026-06-04T00:00:00"/>
    <s v="SR-RTN/26-27/32144"/>
    <s v="B-296879"/>
    <s v="B-GOLD-FILING"/>
    <s v="GOLD-FILLING-WK"/>
    <x v="1"/>
    <s v="G-NA-75.00-RG"/>
    <n v="15.75"/>
    <n v="11.8125"/>
    <n v="0.75"/>
    <n v="14.53"/>
    <n v="10.897500000000001"/>
    <n v="10.898"/>
    <n v="0.75000000000000011"/>
    <n v="0"/>
    <n v="0"/>
    <n v="0"/>
    <n v="0"/>
    <n v="0"/>
    <n v="0"/>
    <n v="0"/>
    <n v="0"/>
    <n v="0"/>
    <n v="1.22"/>
    <n v="0.91500000000000004"/>
    <n v="0.75"/>
    <n v="-1.2200000000000006"/>
    <n v="1.2200000000000006"/>
    <x v="0"/>
    <n v="10.898"/>
    <n v="0"/>
    <n v="1"/>
  </r>
  <r>
    <s v="AJEET KUMAR"/>
    <d v="2026-06-04T00:00:00"/>
    <s v="SR-RTN/26-27/32145"/>
    <s v="B-296301"/>
    <s v="B-GOLD-FILING"/>
    <s v="GOLD-FILLING-WK"/>
    <x v="1"/>
    <s v="G-NA-75.00-RG"/>
    <n v="26.349"/>
    <n v="19.761749999999999"/>
    <n v="0.75"/>
    <n v="24.009"/>
    <n v="18.00675"/>
    <n v="18.007000000000001"/>
    <n v="0.75"/>
    <n v="0"/>
    <n v="0"/>
    <n v="0"/>
    <n v="0"/>
    <n v="0"/>
    <n v="0"/>
    <n v="0"/>
    <n v="0"/>
    <n v="0"/>
    <n v="2.34"/>
    <n v="1.7549999999999999"/>
    <n v="0.75"/>
    <n v="-2.34"/>
    <n v="2.34"/>
    <x v="1"/>
    <n v="14.045999999999999"/>
    <n v="3.9610000000000021"/>
    <n v="2"/>
  </r>
  <r>
    <s v="AJEET KUMAR"/>
    <d v="2026-06-04T00:00:00"/>
    <s v="SR-RTN/26-27/32164"/>
    <s v="B-295598"/>
    <s v="B-GOLD-FILING"/>
    <s v="GOLD-FILLING-WK"/>
    <x v="0"/>
    <s v="G-NA-91.70-YG"/>
    <n v="36.58"/>
    <n v="33.543860000000002"/>
    <n v="0.91700000000000015"/>
    <n v="34.409999999999997"/>
    <n v="31.55397"/>
    <n v="31.554000000000002"/>
    <n v="0.91700000000000004"/>
    <n v="0"/>
    <n v="0"/>
    <n v="0"/>
    <n v="0"/>
    <n v="0"/>
    <n v="0"/>
    <n v="0"/>
    <n v="0"/>
    <n v="0"/>
    <n v="2.17"/>
    <n v="1.9898899999999999"/>
    <n v="0.91700000000000004"/>
    <n v="-2.1700000000000017"/>
    <n v="2.1700000000000017"/>
    <x v="0"/>
    <n v="31.554000000000002"/>
    <n v="0"/>
    <n v="1"/>
  </r>
  <r>
    <s v="AJEET KUMAR"/>
    <d v="2026-06-04T00:00:00"/>
    <s v="SR-RTN/26-27/32164"/>
    <s v="B-295788"/>
    <s v="B-GOLD-FILING"/>
    <s v="GOLD-FILLING-WK"/>
    <x v="1"/>
    <s v="G-NA-75.00-YG"/>
    <n v="27.32"/>
    <n v="20.49"/>
    <n v="0.74999999999999989"/>
    <n v="26.33"/>
    <n v="19.747499999999999"/>
    <n v="19.748000000000001"/>
    <n v="0.75"/>
    <n v="0"/>
    <n v="0"/>
    <n v="0"/>
    <n v="0"/>
    <n v="0"/>
    <n v="0"/>
    <n v="0"/>
    <n v="0"/>
    <n v="0"/>
    <n v="0.99"/>
    <n v="0.74250000000000005"/>
    <n v="0.75000000000000011"/>
    <n v="-0.99000000000000199"/>
    <n v="0.99000000000000199"/>
    <x v="0"/>
    <n v="19.748000000000001"/>
    <n v="0"/>
    <n v="1"/>
  </r>
  <r>
    <s v="AJEET KUMAR"/>
    <d v="2026-06-04T00:00:00"/>
    <s v="SR-RTN/26-27/32165"/>
    <s v="B-296073"/>
    <s v="B-GOLD-FILING"/>
    <s v="GOLD-FILLING-WK"/>
    <x v="1"/>
    <s v="G-NA-75.00-RG"/>
    <n v="42.97"/>
    <n v="32.227499999999999"/>
    <n v="0.75"/>
    <n v="39.82"/>
    <n v="29.864999999999998"/>
    <n v="29.864999999999998"/>
    <n v="0.75"/>
    <n v="0"/>
    <n v="0"/>
    <n v="0"/>
    <n v="0"/>
    <n v="0"/>
    <n v="0"/>
    <n v="0"/>
    <n v="0"/>
    <n v="0"/>
    <n v="3.15"/>
    <n v="2.3624999999999998"/>
    <n v="0.75"/>
    <n v="-3.1499999999999986"/>
    <n v="3.1499999999999986"/>
    <x v="0"/>
    <n v="29.864999999999998"/>
    <n v="0"/>
    <n v="1"/>
  </r>
  <r>
    <s v="AJEET KUMAR"/>
    <d v="2026-06-04T00:00:00"/>
    <s v="SR-RTN/26-27/32166"/>
    <s v="B-296299"/>
    <s v="B-GOLD-FILING"/>
    <s v="GOLD-FILLING-WK"/>
    <x v="1"/>
    <s v="G-NA-75.00-RG"/>
    <n v="19.95"/>
    <n v="14.9625"/>
    <n v="0.75"/>
    <n v="18.8"/>
    <n v="14.1"/>
    <n v="14.1"/>
    <n v="0.75"/>
    <n v="0"/>
    <n v="0"/>
    <n v="0"/>
    <n v="0"/>
    <n v="0"/>
    <n v="0"/>
    <n v="0"/>
    <n v="0"/>
    <n v="0"/>
    <n v="1.1499999999999999"/>
    <n v="0.86250000000000004"/>
    <n v="0.75000000000000011"/>
    <n v="-1.1499999999999986"/>
    <n v="1.1499999999999986"/>
    <x v="0"/>
    <n v="14.1"/>
    <n v="0"/>
    <n v="1"/>
  </r>
  <r>
    <s v="AJEET KUMAR"/>
    <d v="2026-06-04T00:00:00"/>
    <s v="SR-RTN/26-27/32168"/>
    <s v="B-296354"/>
    <s v="B-GOLD-FILING"/>
    <s v="GOLD-FILLING-WK"/>
    <x v="1"/>
    <s v="G-NA-75.00-YG"/>
    <n v="39.29"/>
    <n v="29.467500000000001"/>
    <n v="0.75"/>
    <n v="37.03"/>
    <n v="27.772500000000001"/>
    <n v="27.773"/>
    <n v="0.75"/>
    <n v="0"/>
    <n v="0"/>
    <n v="0"/>
    <n v="0"/>
    <n v="0"/>
    <n v="0"/>
    <n v="0"/>
    <n v="0"/>
    <n v="0"/>
    <n v="2.2599999999999998"/>
    <n v="1.6950000000000001"/>
    <n v="0.75000000000000011"/>
    <n v="-2.259999999999998"/>
    <n v="2.259999999999998"/>
    <x v="0"/>
    <n v="27.773"/>
    <n v="0"/>
    <n v="1"/>
  </r>
  <r>
    <s v="AJEET KUMAR"/>
    <d v="2026-06-04T00:00:00"/>
    <s v="SR-RTN/26-27/32169"/>
    <s v="B-296315"/>
    <s v="B-GOLD-FILING"/>
    <s v="GOLD-FILLING-WK"/>
    <x v="1"/>
    <s v="G-NA-75.00-RG"/>
    <n v="21.26"/>
    <n v="15.945"/>
    <n v="0.75"/>
    <n v="20.18"/>
    <n v="15.135"/>
    <n v="15.135"/>
    <n v="0.75"/>
    <n v="0"/>
    <n v="0"/>
    <n v="0"/>
    <n v="0"/>
    <n v="0"/>
    <n v="0"/>
    <n v="0"/>
    <n v="0"/>
    <n v="0"/>
    <n v="1.08"/>
    <n v="0.81"/>
    <n v="0.75"/>
    <n v="-1.0800000000000018"/>
    <n v="1.0800000000000018"/>
    <x v="0"/>
    <n v="15.135"/>
    <n v="0"/>
    <n v="1"/>
  </r>
  <r>
    <s v="AJEET KUMAR"/>
    <d v="2026-06-04T00:00:00"/>
    <s v="SR-RTN/26-27/32170"/>
    <s v="B-293406"/>
    <s v="B-GOLD-FILING"/>
    <s v="GOLD-FILLING-WK"/>
    <x v="0"/>
    <s v="G-NA-91.70-YG"/>
    <n v="6.05"/>
    <n v="5.5478500000000004"/>
    <n v="0.91700000000000004"/>
    <n v="5.82"/>
    <n v="5.3369400000000002"/>
    <n v="5.3370000000000006"/>
    <n v="0.91700000000000004"/>
    <n v="0"/>
    <n v="0"/>
    <n v="0"/>
    <n v="0"/>
    <n v="0"/>
    <n v="0"/>
    <n v="0"/>
    <n v="0"/>
    <n v="0"/>
    <n v="0.23"/>
    <n v="0.21090999999999999"/>
    <n v="0.91699999999999993"/>
    <n v="-0.22999999999999954"/>
    <n v="0.22999999999999954"/>
    <x v="0"/>
    <n v="5.3370000000000006"/>
    <n v="0"/>
    <n v="1"/>
  </r>
  <r>
    <s v="AJEET KUMAR"/>
    <d v="2026-06-04T00:00:00"/>
    <s v="SR-RTN/26-27/32171"/>
    <s v="B-293387"/>
    <s v="B-GOLD-FILING"/>
    <s v="GOLD-FILLING-WK"/>
    <x v="0"/>
    <s v="G-NA-91.70-YG"/>
    <n v="2.57"/>
    <n v="2.35669"/>
    <n v="0.91700000000000004"/>
    <n v="2.5099999999999998"/>
    <n v="2.3016700000000001"/>
    <n v="2.302"/>
    <n v="0.91700000000000015"/>
    <n v="0"/>
    <n v="0"/>
    <n v="0"/>
    <n v="0"/>
    <n v="0"/>
    <n v="0"/>
    <n v="0"/>
    <n v="0"/>
    <n v="0"/>
    <n v="0.06"/>
    <n v="5.5019999999999999E-2"/>
    <n v="0.91700000000000004"/>
    <n v="-6.0000000000000053E-2"/>
    <n v="6.0000000000000053E-2"/>
    <x v="0"/>
    <n v="2.302"/>
    <n v="0"/>
    <n v="1"/>
  </r>
  <r>
    <s v="AJEET KUMAR"/>
    <d v="2026-06-04T00:00:00"/>
    <s v="SR-RTN/26-27/32172"/>
    <s v="B-293410"/>
    <s v="B-GOLD-FILING"/>
    <s v="GOLD-FILLING-WK"/>
    <x v="0"/>
    <s v="G-NA-91.70-YG"/>
    <n v="6.17"/>
    <n v="5.6578900000000001"/>
    <n v="0.91700000000000004"/>
    <n v="6.01"/>
    <n v="5.5111699999999999"/>
    <n v="5.5120000000000005"/>
    <n v="0.91700000000000004"/>
    <n v="0"/>
    <n v="0"/>
    <n v="0"/>
    <n v="0"/>
    <n v="0"/>
    <n v="0"/>
    <n v="0"/>
    <n v="0"/>
    <n v="0"/>
    <n v="0.16"/>
    <n v="0.14671999999999999"/>
    <n v="0.91699999999999993"/>
    <n v="-0.16000000000000014"/>
    <n v="0.16000000000000014"/>
    <x v="0"/>
    <n v="5.5120000000000005"/>
    <n v="0"/>
    <n v="1"/>
  </r>
  <r>
    <s v="AJEET KUMAR"/>
    <d v="2026-06-04T00:00:00"/>
    <s v="SR-RTN/26-27/32184"/>
    <s v="B-295910"/>
    <s v="B-GOLD-FILING"/>
    <s v="GOLD-FILLING-WK"/>
    <x v="1"/>
    <s v="G-NA-75.00-RG"/>
    <n v="67.25"/>
    <n v="50.4375"/>
    <n v="0.75"/>
    <n v="67.209999999999994"/>
    <n v="50.407499999999999"/>
    <n v="50.407999999999994"/>
    <n v="0.75"/>
    <n v="0"/>
    <n v="0"/>
    <n v="0"/>
    <n v="0"/>
    <n v="0"/>
    <n v="0"/>
    <n v="0"/>
    <n v="0"/>
    <n v="0"/>
    <n v="0.04"/>
    <n v="0.03"/>
    <n v="0.75"/>
    <n v="-4.0000000000006253E-2"/>
    <n v="4.0000000000006253E-2"/>
    <x v="0"/>
    <n v="50.407999999999994"/>
    <n v="0"/>
    <n v="3"/>
  </r>
  <r>
    <s v="AJEET KUMAR"/>
    <d v="2026-06-04T00:00:00"/>
    <s v="SR-RTN/26-27/32248"/>
    <s v="B-296338"/>
    <s v="B-GOLD-FILING"/>
    <s v="GOLD-FILLING-WK"/>
    <x v="1"/>
    <s v="G-NA-75.00-RG"/>
    <n v="18.37"/>
    <n v="13.7775"/>
    <n v="0.75"/>
    <n v="16.760000000000002"/>
    <n v="12.57"/>
    <n v="12.57"/>
    <n v="0.75"/>
    <n v="0"/>
    <n v="0"/>
    <n v="0"/>
    <n v="0"/>
    <n v="0"/>
    <n v="0"/>
    <n v="0"/>
    <n v="0"/>
    <n v="0"/>
    <n v="1.61"/>
    <n v="1.2075"/>
    <n v="0.75"/>
    <n v="-1.6099999999999994"/>
    <n v="1.6099999999999994"/>
    <x v="0"/>
    <n v="12.57"/>
    <n v="0"/>
    <n v="1"/>
  </r>
  <r>
    <s v="AJEET KUMAR"/>
    <d v="2026-06-04T00:00:00"/>
    <s v="SR-RTN/26-27/32248"/>
    <s v="B-297124"/>
    <s v="B-GOLD-FILING"/>
    <s v="GOLD-FILLING-WK"/>
    <x v="1"/>
    <s v="G-NA-75.00-RG"/>
    <n v="26.89"/>
    <n v="20.1675"/>
    <n v="0.75"/>
    <n v="25.15"/>
    <n v="18.862500000000001"/>
    <n v="18.863"/>
    <n v="0.75000000000000011"/>
    <n v="0"/>
    <n v="0"/>
    <n v="0"/>
    <n v="0"/>
    <n v="0"/>
    <n v="0"/>
    <n v="0"/>
    <n v="0"/>
    <n v="0"/>
    <n v="1.74"/>
    <n v="1.3049999999999999"/>
    <n v="0.75"/>
    <n v="-1.740000000000002"/>
    <n v="1.740000000000002"/>
    <x v="0"/>
    <n v="18.863"/>
    <n v="0"/>
    <n v="1"/>
  </r>
  <r>
    <s v="AJEET KUMAR"/>
    <d v="2026-06-04T00:00:00"/>
    <s v="SR-RTN/26-27/32252"/>
    <s v="B-291392"/>
    <s v="B-GOLD-FILING"/>
    <s v="GOLD-FILLING-WK"/>
    <x v="0"/>
    <s v="G-NA-91.70-YG"/>
    <n v="7.74"/>
    <n v="7.0975799999999998"/>
    <n v="0.91699999999999993"/>
    <n v="7.45"/>
    <n v="6.8316499999999998"/>
    <n v="6.8320000000000007"/>
    <n v="0.91699999999999993"/>
    <n v="0"/>
    <n v="0"/>
    <n v="0"/>
    <n v="0"/>
    <n v="0"/>
    <n v="0"/>
    <n v="0"/>
    <n v="0"/>
    <n v="0"/>
    <n v="0.28999999999999998"/>
    <n v="0.26593"/>
    <n v="0.91700000000000004"/>
    <n v="-0.29000000000000004"/>
    <n v="0.29000000000000004"/>
    <x v="0"/>
    <n v="6.8320000000000007"/>
    <n v="0"/>
    <n v="1"/>
  </r>
  <r>
    <s v="AJEET KUMAR"/>
    <d v="2026-06-04T00:00:00"/>
    <s v="SR-RTN/26-27/32252"/>
    <s v="B-291413"/>
    <s v="B-GOLD-FILING"/>
    <s v="GOLD-FILLING-WK"/>
    <x v="0"/>
    <s v="G-NA-91.70-YG"/>
    <n v="15.73"/>
    <n v="14.42441"/>
    <n v="0.91699999999999993"/>
    <n v="15.57"/>
    <n v="14.27769"/>
    <n v="14.277999999999999"/>
    <n v="0.91699999999999993"/>
    <n v="0"/>
    <n v="0"/>
    <n v="0"/>
    <n v="0"/>
    <n v="0"/>
    <n v="0"/>
    <n v="0"/>
    <n v="0"/>
    <n v="0"/>
    <n v="0.16"/>
    <n v="0.14671999999999999"/>
    <n v="0.91699999999999993"/>
    <n v="-0.16000000000000014"/>
    <n v="0.16000000000000014"/>
    <x v="0"/>
    <n v="14.277999999999999"/>
    <n v="0"/>
    <n v="1"/>
  </r>
  <r>
    <s v="AJEET KUMAR"/>
    <d v="2026-06-04T00:00:00"/>
    <s v="SR-RTN/26-27/32273"/>
    <s v="B-291358"/>
    <s v="B-GOLD-FILING"/>
    <s v="GOLD-FILLING-WK"/>
    <x v="0"/>
    <s v="G-NA-91.70-YG"/>
    <n v="16.16"/>
    <n v="14.818720000000001"/>
    <n v="0.91700000000000004"/>
    <n v="15.84"/>
    <n v="14.52528"/>
    <n v="14.526"/>
    <n v="0.91700000000000004"/>
    <n v="0"/>
    <n v="0"/>
    <n v="0"/>
    <n v="0"/>
    <n v="0"/>
    <n v="0"/>
    <n v="0"/>
    <n v="0"/>
    <n v="0"/>
    <n v="0.32"/>
    <n v="0.29343999999999998"/>
    <n v="0.91699999999999993"/>
    <n v="-0.32000000000000028"/>
    <n v="0.32000000000000028"/>
    <x v="0"/>
    <n v="14.526"/>
    <n v="0"/>
    <n v="1"/>
  </r>
  <r>
    <s v="AJEET KUMAR"/>
    <d v="2026-06-04T00:00:00"/>
    <s v="SR-RTN/26-27/32273"/>
    <s v="B-291422"/>
    <s v="B-GOLD-FILING"/>
    <s v="GOLD-FILLING-WK"/>
    <x v="0"/>
    <s v="G-NA-91.70-YG"/>
    <n v="8.41"/>
    <n v="7.71197"/>
    <n v="0.91700000000000004"/>
    <n v="7.99"/>
    <n v="7.3268300000000002"/>
    <n v="7.327"/>
    <n v="0.91700000000000004"/>
    <n v="0"/>
    <n v="0"/>
    <n v="0"/>
    <n v="0"/>
    <n v="0"/>
    <n v="0"/>
    <n v="0"/>
    <n v="0"/>
    <n v="0"/>
    <n v="0.42"/>
    <n v="0.38513999999999998"/>
    <n v="0.91700000000000004"/>
    <n v="-0.41999999999999993"/>
    <n v="0.41999999999999993"/>
    <x v="0"/>
    <n v="7.327"/>
    <n v="0"/>
    <n v="1"/>
  </r>
  <r>
    <s v="AJEET KUMAR"/>
    <d v="2026-06-04T00:00:00"/>
    <s v="SR-RTN/26-27/32273"/>
    <s v="B-295655"/>
    <s v="B-GOLD-FILING"/>
    <s v="GOLD-FILLING-WK"/>
    <x v="0"/>
    <s v="G-NA-91.70-YG"/>
    <n v="7.19"/>
    <n v="6.5932300000000001"/>
    <n v="0.91699999999999993"/>
    <n v="7.05"/>
    <n v="6.4648500000000002"/>
    <n v="6.4650000000000007"/>
    <n v="0.91700000000000004"/>
    <n v="0"/>
    <n v="0"/>
    <n v="0"/>
    <n v="0"/>
    <n v="0"/>
    <n v="0"/>
    <n v="0"/>
    <n v="0"/>
    <n v="0"/>
    <n v="0.14000000000000001"/>
    <n v="0.12837999999999999"/>
    <n v="0.91699999999999982"/>
    <n v="-0.14000000000000057"/>
    <n v="0.14000000000000057"/>
    <x v="0"/>
    <n v="6.4650000000000007"/>
    <n v="0"/>
    <n v="1"/>
  </r>
  <r>
    <s v="AJEET KUMAR"/>
    <d v="2026-06-04T00:00:00"/>
    <s v="SR-RTN/26-27/32277"/>
    <s v="B-296352"/>
    <s v="B-GOLD-FILING"/>
    <s v="GOLD-FILLING-WK"/>
    <x v="1"/>
    <s v="G-NA-75.00-YG"/>
    <n v="29.27"/>
    <n v="21.952500000000001"/>
    <n v="0.75"/>
    <n v="27.76"/>
    <n v="20.82"/>
    <n v="20.82"/>
    <n v="0.75"/>
    <n v="0"/>
    <n v="0"/>
    <n v="0"/>
    <n v="0"/>
    <n v="0"/>
    <n v="0"/>
    <n v="0"/>
    <n v="0"/>
    <n v="0"/>
    <n v="1.51"/>
    <n v="1.1325000000000001"/>
    <n v="0.75"/>
    <n v="-1.509999999999998"/>
    <n v="1.509999999999998"/>
    <x v="0"/>
    <n v="20.82"/>
    <n v="0"/>
    <n v="1"/>
  </r>
  <r>
    <s v="AJEET KUMAR"/>
    <d v="2026-06-04T00:00:00"/>
    <s v="SR-RTN/26-27/32277"/>
    <s v="B-296369"/>
    <s v="B-GOLD-FILING"/>
    <s v="GOLD-FILLING-WK"/>
    <x v="1"/>
    <s v="G-NA-75.00-YG"/>
    <n v="14.41"/>
    <n v="10.807499999999999"/>
    <n v="0.74999999999999989"/>
    <n v="12.74"/>
    <n v="9.5549999999999997"/>
    <n v="9.5549999999999997"/>
    <n v="0.75"/>
    <n v="0"/>
    <n v="0"/>
    <n v="0"/>
    <n v="0"/>
    <n v="0"/>
    <n v="0"/>
    <n v="0"/>
    <n v="0"/>
    <n v="0"/>
    <n v="1.67"/>
    <n v="1.2524999999999999"/>
    <n v="0.75"/>
    <n v="-1.67"/>
    <n v="1.67"/>
    <x v="0"/>
    <n v="9.5549999999999997"/>
    <n v="0"/>
    <n v="1"/>
  </r>
  <r>
    <s v="AJEET KUMAR"/>
    <d v="2026-06-04T00:00:00"/>
    <s v="SR-RTN/26-27/32277"/>
    <s v="B-296919"/>
    <s v="B-GOLD-FILING"/>
    <s v="GOLD-FILLING-WK"/>
    <x v="1"/>
    <s v="G-NA-75.00-YG"/>
    <n v="42.3"/>
    <n v="31.725000000000001"/>
    <n v="0.75000000000000011"/>
    <n v="38.85"/>
    <n v="29.137499999999999"/>
    <n v="29.138000000000002"/>
    <n v="0.75"/>
    <n v="0"/>
    <n v="0"/>
    <n v="0"/>
    <n v="0"/>
    <n v="0"/>
    <n v="0"/>
    <n v="0"/>
    <n v="0"/>
    <n v="0"/>
    <n v="3.45"/>
    <n v="2.5874999999999999"/>
    <n v="0.74999999999999989"/>
    <n v="-3.4499999999999957"/>
    <n v="3.4499999999999957"/>
    <x v="1"/>
    <n v="27.57"/>
    <n v="1.5680000000000014"/>
    <n v="2"/>
  </r>
  <r>
    <s v="AJEET KUMAR"/>
    <d v="2026-06-04T00:00:00"/>
    <s v="SR-RTN/26-27/32284"/>
    <s v="B-296351"/>
    <s v="B-GOLD-FILING"/>
    <s v="GOLD-FILLING-WK"/>
    <x v="1"/>
    <s v="G-NA-75.00-YG"/>
    <n v="36.020000000000003"/>
    <n v="27.015000000000001"/>
    <n v="0.75"/>
    <n v="33.75"/>
    <n v="25.3125"/>
    <n v="25.313000000000002"/>
    <n v="0.75"/>
    <n v="0"/>
    <n v="0"/>
    <n v="0"/>
    <n v="0"/>
    <n v="0"/>
    <n v="0"/>
    <n v="0"/>
    <n v="0"/>
    <n v="0"/>
    <n v="2.27"/>
    <n v="1.7024999999999999"/>
    <n v="0.75"/>
    <n v="-2.2700000000000031"/>
    <n v="2.2700000000000031"/>
    <x v="0"/>
    <n v="25.313000000000002"/>
    <n v="0"/>
    <n v="1"/>
  </r>
  <r>
    <s v="AJEET KUMAR"/>
    <d v="2026-06-04T00:00:00"/>
    <s v="SR-RTN/26-27/32286"/>
    <s v="B-295574"/>
    <s v="B-GOLD-FILING"/>
    <s v="GOLD-FILLING-WK"/>
    <x v="0"/>
    <s v="G-NA-91.70-YG"/>
    <n v="26.140999999999998"/>
    <n v="23.971297"/>
    <n v="0.91700000000000004"/>
    <n v="26.120999999999999"/>
    <n v="23.952957000000001"/>
    <n v="23.953000000000003"/>
    <n v="0.91700000000000015"/>
    <n v="0"/>
    <n v="0"/>
    <n v="0"/>
    <n v="0"/>
    <n v="0"/>
    <n v="0"/>
    <n v="0"/>
    <n v="0"/>
    <n v="0"/>
    <n v="0.02"/>
    <n v="1.8339999999999999E-2"/>
    <n v="0.91699999999999993"/>
    <n v="-1.9999999999999574E-2"/>
    <n v="1.9999999999999574E-2"/>
    <x v="1"/>
    <n v="23.788"/>
    <n v="0.1650000000000027"/>
    <n v="2"/>
  </r>
  <r>
    <s v="AJEET KUMAR"/>
    <d v="2026-06-04T00:00:00"/>
    <s v="SR-RTN/26-27/32287"/>
    <s v="B-296307"/>
    <s v="B-GOLD-FILING"/>
    <s v="GOLD-FILLING-WK"/>
    <x v="1"/>
    <s v="G-NA-75.00-RG"/>
    <n v="17.920000000000002"/>
    <n v="13.44"/>
    <n v="0.74999999999999989"/>
    <n v="16.62"/>
    <n v="12.465"/>
    <n v="12.465"/>
    <n v="0.75"/>
    <n v="0"/>
    <n v="0"/>
    <n v="0"/>
    <n v="0"/>
    <n v="0"/>
    <n v="0"/>
    <n v="0"/>
    <n v="0"/>
    <n v="0"/>
    <n v="1.3"/>
    <n v="0.97499999999999998"/>
    <n v="0.75"/>
    <n v="-1.3000000000000007"/>
    <n v="1.3000000000000007"/>
    <x v="0"/>
    <n v="12.465"/>
    <n v="0"/>
    <n v="1"/>
  </r>
  <r>
    <s v="AJEET KUMAR"/>
    <d v="2026-06-04T00:00:00"/>
    <s v="SR-RTN/26-27/32288"/>
    <s v="B-289481"/>
    <s v="B-GOLD-FILING"/>
    <s v="GOLD-FILLING-WK"/>
    <x v="0"/>
    <s v="G-NA-91.70-YG"/>
    <n v="2.2400000000000002"/>
    <n v="2.0540799999999999"/>
    <n v="0.91699999999999982"/>
    <n v="2.06"/>
    <n v="1.8890199999999999"/>
    <n v="1.89"/>
    <n v="0.91699999999999993"/>
    <n v="0"/>
    <n v="0"/>
    <n v="0"/>
    <n v="0"/>
    <n v="0"/>
    <n v="0"/>
    <n v="0"/>
    <n v="0"/>
    <n v="0"/>
    <n v="0.18"/>
    <n v="0.16506000000000001"/>
    <n v="0.91700000000000015"/>
    <n v="-0.18000000000000016"/>
    <n v="0.18000000000000016"/>
    <x v="0"/>
    <n v="1.89"/>
    <n v="0"/>
    <n v="1"/>
  </r>
  <r>
    <s v="AJEET KUMAR"/>
    <d v="2026-06-04T00:00:00"/>
    <s v="SR-RTN/26-27/32290"/>
    <s v="B-296062"/>
    <s v="B-GOLD-FILING"/>
    <s v="GOLD-FILLING-WK"/>
    <x v="1"/>
    <s v="G-NA-75.00-RG"/>
    <n v="44.79"/>
    <n v="33.592500000000001"/>
    <n v="0.75"/>
    <n v="41.24"/>
    <n v="30.93"/>
    <n v="30.93"/>
    <n v="0.75"/>
    <n v="0"/>
    <n v="0"/>
    <n v="0"/>
    <n v="0"/>
    <n v="0"/>
    <n v="0"/>
    <n v="0"/>
    <n v="0"/>
    <n v="0"/>
    <n v="3.55"/>
    <n v="2.6625000000000001"/>
    <n v="0.75000000000000011"/>
    <n v="-3.5499999999999972"/>
    <n v="3.5499999999999972"/>
    <x v="0"/>
    <n v="30.93"/>
    <n v="0"/>
    <n v="1"/>
  </r>
  <r>
    <s v="AJEET KUMAR"/>
    <d v="2026-06-04T00:00:00"/>
    <s v="SR-RTN/26-27/32298"/>
    <s v="B-297318"/>
    <s v="B-GOLD-FILING"/>
    <s v="GOLD-FILLING-WK"/>
    <x v="1"/>
    <s v="G-NA-75.00-RG"/>
    <n v="5.18"/>
    <n v="3.8849999999999998"/>
    <n v="0.75"/>
    <n v="4.93"/>
    <n v="3.6974999999999998"/>
    <n v="3.698"/>
    <n v="0.75"/>
    <n v="0"/>
    <n v="0"/>
    <n v="0"/>
    <n v="0"/>
    <n v="0"/>
    <n v="0"/>
    <n v="0"/>
    <n v="0"/>
    <n v="0"/>
    <n v="0.25"/>
    <n v="0.1875"/>
    <n v="0.75"/>
    <n v="-0.25"/>
    <n v="0.25"/>
    <x v="0"/>
    <n v="3.698"/>
    <n v="0"/>
    <n v="1"/>
  </r>
  <r>
    <s v="AJEET KUMAR"/>
    <d v="2026-06-04T00:00:00"/>
    <s v="SR-RTN/26-27/32299"/>
    <s v="B-297329"/>
    <s v="B-GOLD-FILING"/>
    <s v="GOLD-FILLING-WK"/>
    <x v="0"/>
    <s v="G-NA-91.70-YG"/>
    <n v="14.72"/>
    <n v="13.498239999999999"/>
    <n v="0.91699999999999993"/>
    <n v="14.44"/>
    <n v="13.241479999999999"/>
    <n v="13.241999999999999"/>
    <n v="0.91699999999999993"/>
    <n v="0"/>
    <n v="0"/>
    <n v="0"/>
    <n v="0"/>
    <n v="0"/>
    <n v="0"/>
    <n v="0"/>
    <n v="0"/>
    <n v="0"/>
    <n v="0.28000000000000003"/>
    <n v="0.25675999999999999"/>
    <n v="0.91699999999999982"/>
    <n v="-0.28000000000000114"/>
    <n v="0.28000000000000114"/>
    <x v="0"/>
    <n v="13.241999999999999"/>
    <n v="0"/>
    <n v="1"/>
  </r>
  <r>
    <s v="AJEET KUMAR"/>
    <d v="2026-06-04T00:00:00"/>
    <s v="SR-RTN/26-27/32300"/>
    <s v="B-296337"/>
    <s v="B-GOLD-FILING"/>
    <s v="GOLD-FILLING-WK"/>
    <x v="1"/>
    <s v="G-NA-75.00-RG"/>
    <n v="32.659999999999997"/>
    <n v="24.495000000000001"/>
    <n v="0.75000000000000011"/>
    <n v="30.74"/>
    <n v="23.055"/>
    <n v="23.055"/>
    <n v="0.75"/>
    <n v="0"/>
    <n v="0"/>
    <n v="0"/>
    <n v="0"/>
    <n v="0"/>
    <n v="0"/>
    <n v="0"/>
    <n v="0"/>
    <n v="0"/>
    <n v="1.92"/>
    <n v="1.44"/>
    <n v="0.75"/>
    <n v="-1.9199999999999982"/>
    <n v="1.9199999999999982"/>
    <x v="0"/>
    <n v="23.055"/>
    <n v="0"/>
    <n v="1"/>
  </r>
  <r>
    <s v="AJEET KUMAR"/>
    <d v="2026-06-04T00:00:00"/>
    <s v="SR-RTN/26-27/32302"/>
    <s v="B-295901"/>
    <s v="B-GOLD-FILING"/>
    <s v="GOLD-FILLING-WK"/>
    <x v="1"/>
    <s v="G-NA-75.00-WG"/>
    <n v="19.66"/>
    <n v="14.744999999999999"/>
    <n v="0.75"/>
    <n v="17.93"/>
    <n v="13.4475"/>
    <n v="13.447999999999999"/>
    <n v="0.75"/>
    <n v="0"/>
    <n v="0"/>
    <n v="0"/>
    <n v="0"/>
    <n v="0"/>
    <n v="0"/>
    <n v="0"/>
    <n v="0"/>
    <n v="0"/>
    <n v="1.73"/>
    <n v="1.2975000000000001"/>
    <n v="0.75000000000000011"/>
    <n v="-1.7300000000000004"/>
    <n v="1.7300000000000004"/>
    <x v="0"/>
    <n v="13.447999999999999"/>
    <n v="0"/>
    <n v="1"/>
  </r>
  <r>
    <s v="AJEET KUMAR"/>
    <d v="2026-06-04T00:00:00"/>
    <s v="SR-RTN/26-27/32303"/>
    <s v="B-296118"/>
    <s v="B-GOLD-FILING"/>
    <s v="GOLD-FILLING-WK"/>
    <x v="1"/>
    <s v="G-NA-75.00-RG"/>
    <n v="39.81"/>
    <n v="29.857500000000002"/>
    <n v="0.75"/>
    <n v="37.64"/>
    <n v="28.23"/>
    <n v="28.23"/>
    <n v="0.75"/>
    <n v="0"/>
    <n v="0"/>
    <n v="0"/>
    <n v="0"/>
    <n v="0"/>
    <n v="0"/>
    <n v="0"/>
    <n v="0"/>
    <n v="0"/>
    <n v="2.17"/>
    <n v="1.6274999999999999"/>
    <n v="0.75"/>
    <n v="-2.1700000000000017"/>
    <n v="2.1700000000000017"/>
    <x v="0"/>
    <n v="28.23"/>
    <n v="0"/>
    <n v="1"/>
  </r>
  <r>
    <s v="AJEET KUMAR"/>
    <d v="2026-06-04T00:00:00"/>
    <s v="SR-RTN/26-27/32304"/>
    <s v="B-296287"/>
    <s v="B-GOLD-FILING"/>
    <s v="GOLD-FILLING-WK"/>
    <x v="1"/>
    <s v="G-NA-75.00-RG"/>
    <n v="19.16"/>
    <n v="14.37"/>
    <n v="0.75"/>
    <n v="17.600000000000001"/>
    <n v="13.2"/>
    <n v="13.2"/>
    <n v="0.74999999999999989"/>
    <n v="0"/>
    <n v="0"/>
    <n v="0"/>
    <n v="0"/>
    <n v="0"/>
    <n v="0"/>
    <n v="0"/>
    <n v="0"/>
    <n v="0"/>
    <n v="1.56"/>
    <n v="1.17"/>
    <n v="0.74999999999999989"/>
    <n v="-1.5599999999999987"/>
    <n v="1.5599999999999987"/>
    <x v="0"/>
    <n v="13.2"/>
    <n v="0"/>
    <n v="1"/>
  </r>
  <r>
    <s v="AJEET KUMAR"/>
    <d v="2026-06-04T00:00:00"/>
    <s v="SR-RTN/26-27/32305"/>
    <s v="B-296920"/>
    <s v="B-GOLD-FILING"/>
    <s v="GOLD-FILLING-WK"/>
    <x v="1"/>
    <s v="G-NA-75.00-RG"/>
    <n v="32.79"/>
    <n v="24.592500000000001"/>
    <n v="0.75"/>
    <n v="29.79"/>
    <n v="22.342500000000001"/>
    <n v="22.343"/>
    <n v="0.75000000000000011"/>
    <n v="0"/>
    <n v="0"/>
    <n v="0"/>
    <n v="0"/>
    <n v="0"/>
    <n v="0"/>
    <n v="0"/>
    <n v="0"/>
    <n v="0"/>
    <n v="3"/>
    <n v="2.25"/>
    <n v="0.75"/>
    <n v="-3"/>
    <n v="3"/>
    <x v="0"/>
    <n v="22.343"/>
    <n v="0"/>
    <n v="1"/>
  </r>
  <r>
    <s v="AJEET KUMAR"/>
    <d v="2026-06-04T00:00:00"/>
    <s v="SR-RTN/26-27/32318"/>
    <s v="B-296929"/>
    <s v="B-GOLD-FILING"/>
    <s v="GOLD-FILLING-WK"/>
    <x v="0"/>
    <s v="G-NA-91.70-YG"/>
    <n v="12.21"/>
    <n v="11.196569999999999"/>
    <n v="0.91699999999999993"/>
    <n v="11.63"/>
    <n v="10.664709999999999"/>
    <n v="10.664999999999999"/>
    <n v="0.91699999999999993"/>
    <n v="0"/>
    <n v="0"/>
    <n v="0"/>
    <n v="0"/>
    <n v="0"/>
    <n v="0"/>
    <n v="0"/>
    <n v="0"/>
    <n v="0"/>
    <n v="0.57999999999999996"/>
    <n v="0.53186"/>
    <n v="0.91700000000000004"/>
    <n v="-0.58000000000000007"/>
    <n v="0.58000000000000007"/>
    <x v="0"/>
    <n v="10.664999999999999"/>
    <n v="0"/>
    <n v="2"/>
  </r>
  <r>
    <s v="AJEET KUMAR"/>
    <d v="2026-06-04T00:00:00"/>
    <s v="SR-RTN/26-27/32324"/>
    <s v="B-290130"/>
    <s v="B-GOLD-FILING"/>
    <s v="GOLD-FILLING-WK"/>
    <x v="0"/>
    <s v="G-NA-91.70-YG"/>
    <n v="39.22"/>
    <n v="35.964739999999999"/>
    <n v="0.91700000000000004"/>
    <n v="38.76"/>
    <n v="35.542920000000002"/>
    <n v="35.542999999999999"/>
    <n v="0.91700000000000015"/>
    <n v="0"/>
    <n v="0"/>
    <n v="0"/>
    <n v="0"/>
    <n v="0"/>
    <n v="0"/>
    <n v="0"/>
    <n v="0"/>
    <n v="0"/>
    <n v="0.46"/>
    <n v="0.42181999999999997"/>
    <n v="0.91699999999999993"/>
    <n v="-0.46000000000000085"/>
    <n v="0.46000000000000085"/>
    <x v="0"/>
    <n v="35.542999999999999"/>
    <n v="0"/>
    <n v="1"/>
  </r>
  <r>
    <s v="AJEET KUMAR"/>
    <d v="2026-06-04T00:00:00"/>
    <s v="SR-RTN/26-27/32328"/>
    <s v="B-291415"/>
    <s v="B-GOLD-FILING"/>
    <s v="GOLD-FILLING-WK"/>
    <x v="0"/>
    <s v="G-NA-91.70-YG"/>
    <n v="3.73"/>
    <n v="3.42041"/>
    <n v="0.91700000000000004"/>
    <n v="3.73"/>
    <n v="3.42041"/>
    <n v="3.4209999999999998"/>
    <n v="0.91700000000000004"/>
    <n v="0"/>
    <n v="0"/>
    <n v="0"/>
    <n v="0"/>
    <n v="0"/>
    <n v="0"/>
    <n v="0"/>
    <n v="0"/>
    <n v="0"/>
    <n v="0"/>
    <n v="0"/>
    <n v="0"/>
    <n v="0"/>
    <n v="0"/>
    <x v="1"/>
    <n v="2.871"/>
    <n v="0.54999999999999982"/>
    <n v="4"/>
  </r>
  <r>
    <s v="AJEET KUMAR"/>
    <d v="2026-06-04T00:00:00"/>
    <s v="SR-RTN/26-27/32340"/>
    <s v="B-296068"/>
    <s v="B-GOLD-FILING"/>
    <s v="GOLD-FILLING-WK"/>
    <x v="1"/>
    <s v="G-NA-75.00-RG"/>
    <n v="49.38"/>
    <n v="37.034999999999997"/>
    <n v="0.74999999999999989"/>
    <n v="46.93"/>
    <n v="35.197499999999998"/>
    <n v="35.198"/>
    <n v="0.75"/>
    <n v="0"/>
    <n v="0"/>
    <n v="0"/>
    <n v="0"/>
    <n v="0"/>
    <n v="0"/>
    <n v="0"/>
    <n v="0"/>
    <n v="0"/>
    <n v="2.4500000000000002"/>
    <n v="1.8374999999999999"/>
    <n v="0.74999999999999989"/>
    <n v="-2.4500000000000028"/>
    <n v="2.4500000000000028"/>
    <x v="1"/>
    <n v="31.05"/>
    <n v="4.1479999999999997"/>
    <n v="2"/>
  </r>
  <r>
    <s v="AJEET KUMAR"/>
    <d v="2026-06-04T00:00:00"/>
    <s v="SR-RTN/26-27/32343"/>
    <s v="B-291382"/>
    <s v="B-GOLD-FILING"/>
    <s v="GOLD-FILLING-WK"/>
    <x v="0"/>
    <s v="G-NA-91.70-YG"/>
    <n v="3.95"/>
    <n v="3.62215"/>
    <n v="0.91699999999999993"/>
    <n v="3.95"/>
    <n v="3.62215"/>
    <n v="3.6229999999999998"/>
    <n v="0.91699999999999993"/>
    <n v="0"/>
    <n v="0"/>
    <n v="0"/>
    <n v="0"/>
    <n v="0"/>
    <n v="0"/>
    <n v="0"/>
    <n v="0"/>
    <n v="0"/>
    <n v="0"/>
    <n v="0"/>
    <n v="0"/>
    <n v="0"/>
    <n v="0"/>
    <x v="1"/>
    <n v="3.3289999999999997"/>
    <n v="0.29400000000000004"/>
    <n v="3"/>
  </r>
  <r>
    <s v="AJEET KUMAR"/>
    <d v="2026-06-04T00:00:00"/>
    <s v="SR-RTN/26-27/32345"/>
    <s v="B-291342/1"/>
    <s v="B-GOLD-FILING"/>
    <s v="GOLD-FILLING-WK"/>
    <x v="0"/>
    <s v="G-NA-91.70-YG"/>
    <n v="4.59"/>
    <n v="4.2090300000000003"/>
    <n v="0.91700000000000004"/>
    <n v="4.59"/>
    <n v="4.2090300000000003"/>
    <n v="4.21"/>
    <n v="0.91700000000000004"/>
    <n v="0"/>
    <n v="0"/>
    <n v="0"/>
    <n v="0"/>
    <n v="0"/>
    <n v="0"/>
    <n v="0"/>
    <n v="0"/>
    <n v="0"/>
    <n v="0"/>
    <n v="0"/>
    <n v="0"/>
    <n v="0"/>
    <n v="0"/>
    <x v="0"/>
    <n v="4.21"/>
    <n v="0"/>
    <n v="3"/>
  </r>
  <r>
    <s v="AJEET KUMAR"/>
    <d v="2026-06-04T00:00:00"/>
    <s v="SR-RTN/26-27/32392"/>
    <s v="B-295886"/>
    <s v="B-GOLD-FILING"/>
    <s v="GOLD-FILLING-WK"/>
    <x v="1"/>
    <s v="G-NA-75.00-YG"/>
    <n v="128.33000000000001"/>
    <n v="96.247500000000002"/>
    <n v="0.75"/>
    <n v="128.33000000000001"/>
    <n v="96.247500000000002"/>
    <n v="96.248000000000005"/>
    <n v="0.75"/>
    <n v="0"/>
    <n v="0"/>
    <n v="0"/>
    <n v="0"/>
    <n v="0"/>
    <n v="0"/>
    <n v="0"/>
    <n v="0"/>
    <n v="0"/>
    <n v="0"/>
    <n v="0"/>
    <n v="0"/>
    <n v="0"/>
    <n v="0"/>
    <x v="0"/>
    <n v="96.248000000000005"/>
    <n v="0"/>
    <n v="2"/>
  </r>
  <r>
    <s v="AJEET KUMAR"/>
    <d v="2026-06-04T00:00:00"/>
    <s v="SR-RTN/26-27/32430"/>
    <s v="B-295665"/>
    <s v="B-GOLD-FILING"/>
    <s v="GOLD-FILLING-WK"/>
    <x v="1"/>
    <s v="G-NA-75.00-YG"/>
    <n v="5.74"/>
    <n v="4.3049999999999997"/>
    <n v="0.74999999999999989"/>
    <n v="5.27"/>
    <n v="3.9525000000000001"/>
    <n v="3.9529999999999998"/>
    <n v="0.75000000000000011"/>
    <n v="0"/>
    <n v="0"/>
    <n v="0"/>
    <n v="0"/>
    <n v="0"/>
    <n v="0"/>
    <n v="0"/>
    <n v="0"/>
    <n v="0"/>
    <n v="0.47"/>
    <n v="0.35249999999999998"/>
    <n v="0.75"/>
    <n v="-0.47000000000000064"/>
    <n v="0.47000000000000064"/>
    <x v="0"/>
    <n v="3.9529999999999998"/>
    <n v="0"/>
    <n v="1"/>
  </r>
  <r>
    <s v="AJEET KUMAR"/>
    <d v="2026-06-04T00:00:00"/>
    <s v="SR-RTN/26-27/32431"/>
    <s v="B-295666"/>
    <s v="B-GOLD-FILING"/>
    <s v="GOLD-FILLING-WK"/>
    <x v="1"/>
    <s v="G-NA-75.00-YG"/>
    <n v="8.52"/>
    <n v="6.39"/>
    <n v="0.75"/>
    <n v="7.65"/>
    <n v="5.7374999999999998"/>
    <n v="5.7380000000000004"/>
    <n v="0.74999999999999989"/>
    <n v="0"/>
    <n v="0"/>
    <n v="0"/>
    <n v="0"/>
    <n v="0"/>
    <n v="0"/>
    <n v="0"/>
    <n v="0"/>
    <n v="0"/>
    <n v="0.87"/>
    <n v="0.65249999999999997"/>
    <n v="0.75"/>
    <n v="-0.86999999999999922"/>
    <n v="0.86999999999999922"/>
    <x v="0"/>
    <n v="5.7380000000000004"/>
    <n v="0"/>
    <n v="1"/>
  </r>
  <r>
    <s v="AJEET KUMAR"/>
    <d v="2026-06-04T00:00:00"/>
    <s v="SR-RTN/26-27/32432"/>
    <s v="B-295885"/>
    <s v="B-GOLD-FILING"/>
    <s v="GOLD-FILLING-WK"/>
    <x v="1"/>
    <s v="G-NA-75.00-YG"/>
    <n v="138.72999999999999"/>
    <n v="104.0475"/>
    <n v="0.75"/>
    <n v="122.72"/>
    <n v="92.04"/>
    <n v="92.04"/>
    <n v="0.75000000000000011"/>
    <n v="0"/>
    <n v="0"/>
    <n v="0"/>
    <n v="0"/>
    <n v="0"/>
    <n v="0"/>
    <n v="0"/>
    <n v="0"/>
    <n v="0"/>
    <n v="16.010000000000002"/>
    <n v="12.0075"/>
    <n v="0.75"/>
    <n v="-16.009999999999991"/>
    <n v="16.009999999999991"/>
    <x v="0"/>
    <n v="92.04"/>
    <n v="0"/>
    <n v="1"/>
  </r>
  <r>
    <s v="AJEET KUMAR"/>
    <d v="2026-06-04T00:00:00"/>
    <s v="SR-RTN/26-27/32433"/>
    <s v="B-296064"/>
    <s v="B-GOLD-FILING"/>
    <s v="GOLD-FILLING-WK"/>
    <x v="1"/>
    <s v="G-NA-75.00-RG"/>
    <n v="28.44"/>
    <n v="21.33"/>
    <n v="0.74999999999999989"/>
    <n v="26.24"/>
    <n v="19.68"/>
    <n v="19.68"/>
    <n v="0.75"/>
    <n v="0"/>
    <n v="0"/>
    <n v="0"/>
    <n v="0"/>
    <n v="0"/>
    <n v="0"/>
    <n v="0"/>
    <n v="0"/>
    <n v="0"/>
    <n v="2.2000000000000002"/>
    <n v="1.65"/>
    <n v="0.74999999999999989"/>
    <n v="-2.2000000000000028"/>
    <n v="2.2000000000000028"/>
    <x v="0"/>
    <n v="19.68"/>
    <n v="0"/>
    <n v="1"/>
  </r>
  <r>
    <s v="AJEET KUMAR"/>
    <d v="2026-06-04T00:00:00"/>
    <s v="SR-RTN/26-27/32435"/>
    <s v="B-296913"/>
    <s v="B-GOLD-FILING"/>
    <s v="GOLD-FILLING-WK"/>
    <x v="0"/>
    <s v="G-NA-91.70-YG"/>
    <n v="98.76"/>
    <n v="90.562920000000005"/>
    <n v="0.91700000000000004"/>
    <n v="93.49"/>
    <n v="85.730329999999995"/>
    <n v="85.731000000000009"/>
    <n v="0.91700000000000004"/>
    <n v="0"/>
    <n v="0"/>
    <n v="0"/>
    <n v="0"/>
    <n v="0"/>
    <n v="0"/>
    <n v="0"/>
    <n v="0"/>
    <n v="0"/>
    <n v="5.27"/>
    <n v="4.8325899999999997"/>
    <n v="0.91700000000000004"/>
    <n v="-5.2700000000000102"/>
    <n v="5.2700000000000102"/>
    <x v="0"/>
    <n v="85.731000000000009"/>
    <n v="0"/>
    <n v="1"/>
  </r>
  <r>
    <s v="AJEET KUMAR"/>
    <d v="2026-06-04T00:00:00"/>
    <s v="SR-RTN/26-27/32436"/>
    <s v="B-296282"/>
    <s v="B-GOLD-FILING"/>
    <s v="GOLD-FILLING-WK"/>
    <x v="1"/>
    <s v="G-NA-75.00-RG"/>
    <n v="20.6"/>
    <n v="15.45"/>
    <n v="0.74999999999999989"/>
    <n v="18.8"/>
    <n v="14.1"/>
    <n v="14.1"/>
    <n v="0.75"/>
    <n v="0"/>
    <n v="0"/>
    <n v="0"/>
    <n v="0"/>
    <n v="0"/>
    <n v="0"/>
    <n v="0"/>
    <n v="0"/>
    <n v="0"/>
    <n v="1.8"/>
    <n v="1.35"/>
    <n v="0.75"/>
    <n v="-1.8000000000000007"/>
    <n v="1.8000000000000007"/>
    <x v="0"/>
    <n v="14.1"/>
    <n v="0"/>
    <n v="1"/>
  </r>
  <r>
    <s v="AJEET KUMAR"/>
    <d v="2026-06-04T00:00:00"/>
    <s v="SR-RTN/26-27/32443"/>
    <s v="B-291327"/>
    <s v="B-GOLD-FILING"/>
    <s v="GOLD-FILLING-WK"/>
    <x v="0"/>
    <s v="G-NA-91.70-YG"/>
    <n v="8.44"/>
    <n v="7.7394800000000004"/>
    <n v="0.91700000000000015"/>
    <n v="7.77"/>
    <n v="7.1250900000000001"/>
    <n v="7.1260000000000003"/>
    <n v="0.91700000000000004"/>
    <n v="0"/>
    <n v="0"/>
    <n v="0"/>
    <n v="0"/>
    <n v="0"/>
    <n v="0"/>
    <n v="0"/>
    <n v="0"/>
    <n v="0"/>
    <n v="0.67"/>
    <n v="0.61438999999999999"/>
    <n v="0.91699999999999993"/>
    <n v="-0.67"/>
    <n v="0.67"/>
    <x v="0"/>
    <n v="7.1260000000000003"/>
    <n v="0"/>
    <n v="1"/>
  </r>
  <r>
    <s v="AJEET KUMAR"/>
    <d v="2026-06-04T00:00:00"/>
    <s v="SR-RTN/26-27/32443"/>
    <s v="B-291361"/>
    <s v="B-GOLD-FILING"/>
    <s v="GOLD-FILLING-WK"/>
    <x v="0"/>
    <s v="G-NA-91.70-YG"/>
    <n v="5.73"/>
    <n v="5.25441"/>
    <n v="0.91699999999999993"/>
    <n v="5.59"/>
    <n v="5.1260300000000001"/>
    <n v="5.1270000000000007"/>
    <n v="0.91700000000000004"/>
    <n v="0"/>
    <n v="0"/>
    <n v="0"/>
    <n v="0"/>
    <n v="0"/>
    <n v="0"/>
    <n v="0"/>
    <n v="0"/>
    <n v="0"/>
    <n v="0.14000000000000001"/>
    <n v="0.12837999999999999"/>
    <n v="0.91699999999999982"/>
    <n v="-0.14000000000000057"/>
    <n v="0.14000000000000057"/>
    <x v="0"/>
    <n v="5.1270000000000007"/>
    <n v="0"/>
    <n v="1"/>
  </r>
  <r>
    <s v="AJEET KUMAR"/>
    <d v="2026-06-04T00:00:00"/>
    <s v="SR-RTN/26-27/32443"/>
    <s v="B-291386"/>
    <s v="B-GOLD-FILING"/>
    <s v="GOLD-FILLING-WK"/>
    <x v="0"/>
    <s v="G-NA-91.70-YG"/>
    <n v="8.2200000000000006"/>
    <n v="7.5377400000000003"/>
    <n v="0.91699999999999993"/>
    <n v="7.89"/>
    <n v="7.2351299999999998"/>
    <n v="7.2360000000000007"/>
    <n v="0.91700000000000004"/>
    <n v="0"/>
    <n v="0"/>
    <n v="0"/>
    <n v="0"/>
    <n v="0"/>
    <n v="0"/>
    <n v="0"/>
    <n v="0"/>
    <n v="0"/>
    <n v="0.33"/>
    <n v="0.30260999999999999"/>
    <n v="0.91699999999999993"/>
    <n v="-0.33000000000000096"/>
    <n v="0.33000000000000096"/>
    <x v="0"/>
    <n v="7.2360000000000007"/>
    <n v="0"/>
    <n v="1"/>
  </r>
  <r>
    <s v="AJEET KUMAR"/>
    <d v="2026-06-04T00:00:00"/>
    <s v="SR-RTN/26-27/32443"/>
    <s v="B-291426"/>
    <s v="B-GOLD-FILING"/>
    <s v="GOLD-FILLING-WK"/>
    <x v="0"/>
    <s v="G-NA-91.70-YG"/>
    <n v="10.6501"/>
    <n v="9.7661417000000004"/>
    <n v="0.91700000000000004"/>
    <n v="10.199999999999999"/>
    <n v="9.3534000000000006"/>
    <n v="9.3539999999999992"/>
    <n v="0.91700000000000015"/>
    <n v="0"/>
    <n v="0"/>
    <n v="0"/>
    <n v="0"/>
    <n v="0"/>
    <n v="0"/>
    <n v="0"/>
    <n v="0"/>
    <n v="0"/>
    <n v="0.4501"/>
    <n v="0.41274169999999999"/>
    <n v="0.91699999999999993"/>
    <n v="-0.45010000000000083"/>
    <n v="0.45010000000000083"/>
    <x v="0"/>
    <n v="9.3539999999999992"/>
    <n v="0"/>
    <n v="1"/>
  </r>
  <r>
    <s v="AJEET KUMAR"/>
    <d v="2026-06-04T00:00:00"/>
    <s v="SR-RTN/26-27/32443"/>
    <s v="B-296345"/>
    <s v="B-GOLD-FILING"/>
    <s v="GOLD-FILLING-WK"/>
    <x v="1"/>
    <s v="G-NA-75.00-RG"/>
    <n v="21.89"/>
    <n v="16.4175"/>
    <n v="0.75"/>
    <n v="20.399999999999999"/>
    <n v="15.3"/>
    <n v="15.3"/>
    <n v="0.75000000000000011"/>
    <n v="0"/>
    <n v="0"/>
    <n v="0"/>
    <n v="0"/>
    <n v="0"/>
    <n v="0"/>
    <n v="0"/>
    <n v="0"/>
    <n v="0"/>
    <n v="1.49"/>
    <n v="1.1174999999999999"/>
    <n v="0.75"/>
    <n v="-1.490000000000002"/>
    <n v="1.490000000000002"/>
    <x v="0"/>
    <n v="15.3"/>
    <n v="0"/>
    <n v="2"/>
  </r>
  <r>
    <s v="AJEET KUMAR"/>
    <d v="2026-06-04T00:00:00"/>
    <s v="SR-RTN/26-27/32458"/>
    <s v="B-296061"/>
    <s v="B-GOLD-FILING"/>
    <s v="GOLD-FILLING-WK"/>
    <x v="1"/>
    <s v="G-NA-75.00-RG"/>
    <n v="63.47"/>
    <n v="47.602499999999999"/>
    <n v="0.75"/>
    <n v="59.33"/>
    <n v="44.497500000000002"/>
    <n v="44.497999999999998"/>
    <n v="0.75000000000000011"/>
    <n v="0"/>
    <n v="0"/>
    <n v="0"/>
    <n v="0"/>
    <n v="0"/>
    <n v="0"/>
    <n v="0"/>
    <n v="0"/>
    <n v="0"/>
    <n v="4.1399999999999997"/>
    <n v="3.105"/>
    <n v="0.75"/>
    <n v="-4.1400000000000006"/>
    <n v="4.1400000000000006"/>
    <x v="0"/>
    <n v="44.497999999999998"/>
    <n v="0"/>
    <n v="1"/>
  </r>
  <r>
    <s v="AJEET KUMAR"/>
    <d v="2026-06-04T00:00:00"/>
    <s v="SR-RTN/26-27/32458"/>
    <s v="B-296340"/>
    <s v="B-GOLD-FILING"/>
    <s v="GOLD-FILLING-WK"/>
    <x v="1"/>
    <s v="G-NA-75.00-RG"/>
    <n v="22.72"/>
    <n v="17.04"/>
    <n v="0.75"/>
    <n v="21.92"/>
    <n v="16.440000000000001"/>
    <n v="16.440000000000001"/>
    <n v="0.75"/>
    <n v="0"/>
    <n v="0"/>
    <n v="0"/>
    <n v="0"/>
    <n v="0"/>
    <n v="0"/>
    <n v="0"/>
    <n v="0"/>
    <n v="0"/>
    <n v="0.8"/>
    <n v="0.6"/>
    <n v="0.74999999999999989"/>
    <n v="-0.79999999999999716"/>
    <n v="0.79999999999999716"/>
    <x v="0"/>
    <n v="16.440000000000001"/>
    <n v="0"/>
    <n v="1"/>
  </r>
  <r>
    <s v="AJEET KUMAR"/>
    <d v="2026-06-04T00:00:00"/>
    <s v="SR-RTN/26-27/32458"/>
    <s v="B-296348"/>
    <s v="B-GOLD-FILING"/>
    <s v="GOLD-FILLING-WK"/>
    <x v="1"/>
    <s v="G-NA-75.00-RG"/>
    <n v="20.71"/>
    <n v="15.532500000000001"/>
    <n v="0.75"/>
    <n v="19.12"/>
    <n v="14.34"/>
    <n v="14.34"/>
    <n v="0.75"/>
    <n v="0"/>
    <n v="0"/>
    <n v="0"/>
    <n v="0"/>
    <n v="0"/>
    <n v="0"/>
    <n v="0"/>
    <n v="0"/>
    <n v="0"/>
    <n v="1.59"/>
    <n v="1.1924999999999999"/>
    <n v="0.74999999999999989"/>
    <n v="-1.59"/>
    <n v="1.59"/>
    <x v="0"/>
    <n v="14.34"/>
    <n v="0"/>
    <n v="1"/>
  </r>
  <r>
    <s v="AJEET KUMAR"/>
    <d v="2026-06-04T00:00:00"/>
    <s v="SR-RTN/26-27/32458"/>
    <s v="B-296901"/>
    <s v="B-GOLD-FILING"/>
    <s v="GOLD-FILLING-WK"/>
    <x v="0"/>
    <s v="G-NA-91.70-YG"/>
    <n v="131.09"/>
    <n v="120.20953"/>
    <n v="0.91700000000000004"/>
    <n v="124.48"/>
    <n v="114.14816"/>
    <n v="114.149"/>
    <n v="0.91700000000000004"/>
    <n v="0"/>
    <n v="0"/>
    <n v="0"/>
    <n v="0"/>
    <n v="0"/>
    <n v="0"/>
    <n v="0"/>
    <n v="0"/>
    <n v="0"/>
    <n v="6.61"/>
    <n v="6.0613700000000001"/>
    <n v="0.91699999999999993"/>
    <n v="-6.61"/>
    <n v="6.61"/>
    <x v="0"/>
    <n v="114.149"/>
    <n v="0"/>
    <n v="1"/>
  </r>
  <r>
    <s v="AJEET KUMAR"/>
    <d v="2026-06-04T00:00:00"/>
    <s v="SR-RTN/26-27/32510"/>
    <s v="B-296317"/>
    <s v="B-GOLD-FILING"/>
    <s v="GOLD-FILLING-WK"/>
    <x v="1"/>
    <s v="G-NA-75.00-RG"/>
    <n v="21.75"/>
    <n v="16.3125"/>
    <n v="0.75"/>
    <n v="19.98"/>
    <n v="14.984999999999999"/>
    <n v="14.984999999999999"/>
    <n v="0.75"/>
    <n v="0"/>
    <n v="0"/>
    <n v="0"/>
    <n v="0"/>
    <n v="0"/>
    <n v="0"/>
    <n v="0"/>
    <n v="0"/>
    <n v="0"/>
    <n v="1.77"/>
    <n v="1.3274999999999999"/>
    <n v="0.74999999999999989"/>
    <n v="-1.7699999999999996"/>
    <n v="1.7699999999999996"/>
    <x v="0"/>
    <n v="14.984999999999999"/>
    <n v="0"/>
    <n v="1"/>
  </r>
  <r>
    <s v="AJEET KUMAR"/>
    <d v="2026-06-04T00:00:00"/>
    <s v="SR-RTN/26-27/32511"/>
    <s v="B-297799"/>
    <s v="B-GOLD-FILING"/>
    <s v="GOLD-FILLING-WK"/>
    <x v="1"/>
    <s v="G-NA-75.00-YG"/>
    <n v="2.056"/>
    <n v="1.542"/>
    <n v="0.75"/>
    <n v="1.8859999999999999"/>
    <n v="1.4145000000000001"/>
    <n v="1.4149999999999998"/>
    <n v="0.75000000000000011"/>
    <n v="0"/>
    <n v="0"/>
    <n v="0"/>
    <n v="0"/>
    <n v="0"/>
    <n v="0"/>
    <n v="0"/>
    <n v="0"/>
    <n v="0"/>
    <n v="0.17"/>
    <n v="0.1275"/>
    <n v="0.75"/>
    <n v="-0.17000000000000015"/>
    <n v="0.17000000000000015"/>
    <x v="0"/>
    <n v="1.4149999999999998"/>
    <n v="0"/>
    <n v="1"/>
  </r>
  <r>
    <s v="AJEET KUMAR"/>
    <d v="2026-06-04T00:00:00"/>
    <s v="SR-RTN/26-27/32514"/>
    <s v="B-297800"/>
    <s v="B-GOLD-FILING"/>
    <s v="GOLD-FILLING-WK"/>
    <x v="1"/>
    <s v="G-NA-75.00-YG"/>
    <n v="2.19"/>
    <n v="1.6425000000000001"/>
    <n v="0.75"/>
    <n v="2.0499999999999998"/>
    <n v="1.5375000000000001"/>
    <n v="1.5379999999999998"/>
    <n v="0.75000000000000011"/>
    <n v="0"/>
    <n v="0"/>
    <n v="0"/>
    <n v="0"/>
    <n v="0"/>
    <n v="0"/>
    <n v="0"/>
    <n v="0"/>
    <n v="0"/>
    <n v="0.14000000000000001"/>
    <n v="0.105"/>
    <n v="0.74999999999999989"/>
    <n v="-0.14000000000000012"/>
    <n v="0.14000000000000012"/>
    <x v="0"/>
    <n v="1.5379999999999998"/>
    <n v="0"/>
    <n v="1"/>
  </r>
  <r>
    <s v="AJEET KUMAR"/>
    <d v="2026-06-04T00:00:00"/>
    <s v="SR-RTN/26-27/32515"/>
    <s v="B-296286"/>
    <s v="B-GOLD-FILING"/>
    <s v="GOLD-FILLING-WK"/>
    <x v="1"/>
    <s v="G-NA-75.00-RG"/>
    <n v="14.29"/>
    <n v="10.717499999999999"/>
    <n v="0.75"/>
    <n v="13.56"/>
    <n v="10.17"/>
    <n v="10.17"/>
    <n v="0.75"/>
    <n v="0"/>
    <n v="0"/>
    <n v="0"/>
    <n v="0"/>
    <n v="0"/>
    <n v="0"/>
    <n v="0"/>
    <n v="0"/>
    <n v="0"/>
    <n v="0.73"/>
    <n v="0.54749999999999999"/>
    <n v="0.75"/>
    <n v="-0.72999999999999865"/>
    <n v="0.72999999999999865"/>
    <x v="0"/>
    <n v="10.17"/>
    <n v="0"/>
    <n v="1"/>
  </r>
  <r>
    <s v="AJEET KUMAR"/>
    <d v="2026-06-04T00:00:00"/>
    <s v="SR-RTN/26-27/32517"/>
    <s v="B-296079"/>
    <s v="B-GOLD-FILING"/>
    <s v="GOLD-FILLING-WK"/>
    <x v="0"/>
    <s v="G-NA-91.70-YG"/>
    <n v="90.88"/>
    <n v="83.336960000000005"/>
    <n v="0.91700000000000015"/>
    <n v="86.31"/>
    <n v="79.146270000000001"/>
    <n v="79.147000000000006"/>
    <n v="0.91700000000000004"/>
    <n v="0"/>
    <n v="0"/>
    <n v="0"/>
    <n v="0"/>
    <n v="0"/>
    <n v="0"/>
    <n v="0"/>
    <n v="0"/>
    <n v="0"/>
    <n v="4.57"/>
    <n v="4.19069"/>
    <n v="0.91699999999999993"/>
    <n v="-4.5699999999999932"/>
    <n v="4.5699999999999932"/>
    <x v="0"/>
    <n v="79.147000000000006"/>
    <n v="0"/>
    <n v="1"/>
  </r>
  <r>
    <s v="AJEET KUMAR"/>
    <d v="2026-06-04T00:00:00"/>
    <s v="SR-RTN/26-27/32518"/>
    <s v="B-295663"/>
    <s v="B-GOLD-FILING"/>
    <s v="GOLD-FILLING-WK"/>
    <x v="1"/>
    <s v="G-NA-75.00-YG"/>
    <n v="6.66"/>
    <n v="4.9950000000000001"/>
    <n v="0.75"/>
    <n v="5.86"/>
    <n v="4.3949999999999996"/>
    <n v="4.3949999999999996"/>
    <n v="0.74999999999999989"/>
    <n v="0"/>
    <n v="0"/>
    <n v="0"/>
    <n v="0"/>
    <n v="0"/>
    <n v="0"/>
    <n v="0"/>
    <n v="0"/>
    <n v="0"/>
    <n v="0.8"/>
    <n v="0.6"/>
    <n v="0.74999999999999989"/>
    <n v="-0.79999999999999982"/>
    <n v="0.79999999999999982"/>
    <x v="0"/>
    <n v="4.3949999999999996"/>
    <n v="0"/>
    <n v="1"/>
  </r>
  <r>
    <s v="AJEET KUMAR"/>
    <d v="2026-06-04T00:00:00"/>
    <s v="SR-RTN/26-27/32519"/>
    <s v="B-297798"/>
    <s v="B-GOLD-FILING"/>
    <s v="GOLD-FILLING-WK"/>
    <x v="1"/>
    <s v="G-NA-75.00-YG"/>
    <n v="2.66"/>
    <n v="1.9950000000000001"/>
    <n v="0.75"/>
    <n v="2.34"/>
    <n v="1.7549999999999999"/>
    <n v="1.7549999999999999"/>
    <n v="0.75"/>
    <n v="0"/>
    <n v="0"/>
    <n v="0"/>
    <n v="0"/>
    <n v="0"/>
    <n v="0"/>
    <n v="0"/>
    <n v="0"/>
    <n v="0"/>
    <n v="0.32"/>
    <n v="0.24"/>
    <n v="0.75"/>
    <n v="-0.32000000000000028"/>
    <n v="0.32000000000000028"/>
    <x v="0"/>
    <n v="1.7549999999999999"/>
    <n v="0"/>
    <n v="1"/>
  </r>
  <r>
    <s v="AJEET KUMAR"/>
    <d v="2026-06-04T00:00:00"/>
    <s v="SR-RTN/26-27/32520"/>
    <s v="B-291969"/>
    <s v="B-GOLD-FILING"/>
    <s v="GOLD-FILLING-WK"/>
    <x v="1"/>
    <s v="G-NA-75.00-RG"/>
    <n v="63.38"/>
    <n v="47.534999999999997"/>
    <n v="0.74999999999999989"/>
    <n v="59.44"/>
    <n v="44.58"/>
    <n v="44.58"/>
    <n v="0.75"/>
    <n v="0"/>
    <n v="0"/>
    <n v="0"/>
    <n v="0"/>
    <n v="0"/>
    <n v="0"/>
    <n v="0"/>
    <n v="0"/>
    <n v="0"/>
    <n v="3.94"/>
    <n v="2.9550000000000001"/>
    <n v="0.75"/>
    <n v="-3.9400000000000048"/>
    <n v="3.9400000000000048"/>
    <x v="0"/>
    <n v="44.58"/>
    <n v="0"/>
    <n v="1"/>
  </r>
  <r>
    <s v="AJEET KUMAR"/>
    <d v="2026-06-04T00:00:00"/>
    <s v="SR-RTN/26-27/32521"/>
    <s v="B-291355"/>
    <s v="B-GOLD-FILING"/>
    <s v="GOLD-FILLING-WK"/>
    <x v="0"/>
    <s v="G-NA-91.70-YG"/>
    <n v="16.809999999999999"/>
    <n v="15.414770000000001"/>
    <n v="0.91700000000000015"/>
    <n v="16.53"/>
    <n v="15.158010000000001"/>
    <n v="15.158999999999999"/>
    <n v="0.91700000000000004"/>
    <n v="0"/>
    <n v="0"/>
    <n v="0"/>
    <n v="0"/>
    <n v="0"/>
    <n v="0"/>
    <n v="0"/>
    <n v="0"/>
    <n v="0"/>
    <n v="0.28000000000000003"/>
    <n v="0.25675999999999999"/>
    <n v="0.91699999999999982"/>
    <n v="-0.27999999999999758"/>
    <n v="0.27999999999999758"/>
    <x v="0"/>
    <n v="15.158999999999999"/>
    <n v="0"/>
    <n v="1"/>
  </r>
  <r>
    <s v="AJEET KUMAR"/>
    <d v="2026-06-04T00:00:00"/>
    <s v="SR-RTN/26-27/32521"/>
    <s v="B-291406"/>
    <s v="B-GOLD-FILING"/>
    <s v="GOLD-FILLING-WK"/>
    <x v="0"/>
    <s v="G-NA-91.70-YG"/>
    <n v="18.100000000000001"/>
    <n v="16.5977"/>
    <n v="0.91699999999999993"/>
    <n v="17.73"/>
    <n v="16.258410000000001"/>
    <n v="16.259"/>
    <n v="0.91700000000000004"/>
    <n v="0"/>
    <n v="0"/>
    <n v="0"/>
    <n v="0"/>
    <n v="0"/>
    <n v="0"/>
    <n v="0"/>
    <n v="0"/>
    <n v="0"/>
    <n v="0.37"/>
    <n v="0.33928999999999998"/>
    <n v="0.91699999999999993"/>
    <n v="-0.37000000000000099"/>
    <n v="0.37000000000000099"/>
    <x v="0"/>
    <n v="16.259"/>
    <n v="0"/>
    <n v="1"/>
  </r>
  <r>
    <s v="AJEET KUMAR"/>
    <d v="2026-06-04T00:00:00"/>
    <s v="SR-RTN/26-27/32525"/>
    <s v="B-296043"/>
    <s v="B-GOLD-FILING"/>
    <s v="GOLD-FILLING-WK"/>
    <x v="1"/>
    <s v="G-NA-75.00-RG"/>
    <n v="51.5"/>
    <n v="38.625"/>
    <n v="0.75"/>
    <n v="45.88"/>
    <n v="34.409999999999997"/>
    <n v="34.409999999999997"/>
    <n v="0.74999999999999989"/>
    <n v="0"/>
    <n v="0"/>
    <n v="0"/>
    <n v="0"/>
    <n v="0"/>
    <n v="0"/>
    <n v="0"/>
    <n v="0"/>
    <n v="0"/>
    <n v="5.62"/>
    <n v="4.2149999999999999"/>
    <n v="0.75"/>
    <n v="-5.6199999999999974"/>
    <n v="5.6199999999999974"/>
    <x v="0"/>
    <n v="34.409999999999997"/>
    <n v="0"/>
    <n v="1"/>
  </r>
  <r>
    <s v="AJEET KUMAR"/>
    <d v="2026-06-04T00:00:00"/>
    <s v="SR-RTN/26-27/32529"/>
    <s v="B-296861"/>
    <s v="B-GOLD-FILING"/>
    <s v="GOLD-FILLING-WK"/>
    <x v="1"/>
    <s v="G-NA-75.00-RG"/>
    <n v="14.55"/>
    <n v="10.9125"/>
    <n v="0.74999999999999989"/>
    <n v="12.75"/>
    <n v="9.5625"/>
    <n v="9.5629999999999988"/>
    <n v="0.75"/>
    <n v="0"/>
    <n v="0"/>
    <n v="0"/>
    <n v="0"/>
    <n v="0"/>
    <n v="0"/>
    <n v="0"/>
    <n v="0"/>
    <n v="0"/>
    <n v="1.8"/>
    <n v="1.35"/>
    <n v="0.75"/>
    <n v="-1.8000000000000007"/>
    <n v="1.8000000000000007"/>
    <x v="0"/>
    <n v="9.5629999999999988"/>
    <n v="0"/>
    <n v="1"/>
  </r>
  <r>
    <s v="AJEET KUMAR"/>
    <d v="2026-06-04T00:00:00"/>
    <s v="SR-RTN/26-27/32530"/>
    <s v="B-289415"/>
    <s v="B-GOLD-FILING"/>
    <s v="GOLD-FILLING-WK"/>
    <x v="0"/>
    <s v="G-NA-91.70-YG"/>
    <n v="11.56"/>
    <n v="10.600519999999999"/>
    <n v="0.91699999999999993"/>
    <n v="11.03"/>
    <n v="10.114509999999999"/>
    <n v="10.115"/>
    <n v="0.91700000000000004"/>
    <n v="0"/>
    <n v="0"/>
    <n v="0"/>
    <n v="0"/>
    <n v="0"/>
    <n v="0"/>
    <n v="0"/>
    <n v="0"/>
    <n v="0"/>
    <n v="0.53"/>
    <n v="0.48601"/>
    <n v="0.91699999999999993"/>
    <n v="-0.53000000000000114"/>
    <n v="0.53000000000000114"/>
    <x v="0"/>
    <n v="10.115"/>
    <n v="0"/>
    <n v="1"/>
  </r>
  <r>
    <s v="AJEET KUMAR"/>
    <d v="2026-06-05T00:00:00"/>
    <s v="RTN-8686761"/>
    <s v="SR-41771"/>
    <s v="CAST-FILLING"/>
    <s v="GOLD-FILLING-WK"/>
    <x v="1"/>
    <s v="G-NA-75.00-RG"/>
    <n v="115.4"/>
    <n v="86.55"/>
    <n v="0.74999999999999989"/>
    <n v="101.24"/>
    <n v="75.930000000000007"/>
    <n v="75.930000000000007"/>
    <n v="0.75000000000000011"/>
    <n v="0"/>
    <n v="0"/>
    <n v="0"/>
    <n v="0"/>
    <n v="0"/>
    <n v="0"/>
    <n v="0"/>
    <n v="0"/>
    <n v="0"/>
    <n v="14.16"/>
    <n v="10.62"/>
    <n v="0.74999999999999989"/>
    <n v="-14.160000000000011"/>
    <n v="14.160000000000011"/>
    <x v="0"/>
    <n v="75.930000000000007"/>
    <n v="0"/>
    <n v="1"/>
  </r>
  <r>
    <s v="AJEET KUMAR"/>
    <d v="2026-06-05T00:00:00"/>
    <s v="RTN-8686765"/>
    <s v="SR-41855"/>
    <s v="CAST-FILLING"/>
    <s v="GOLD-FILLING-WK"/>
    <x v="1"/>
    <s v="G-NA-75.00-RG"/>
    <n v="164.59"/>
    <n v="123.4425"/>
    <n v="0.75"/>
    <n v="151.83000000000001"/>
    <n v="113.8725"/>
    <n v="113.873"/>
    <n v="0.75"/>
    <n v="0"/>
    <n v="0"/>
    <n v="0"/>
    <n v="0"/>
    <n v="0"/>
    <n v="0"/>
    <n v="0"/>
    <n v="0"/>
    <n v="0"/>
    <n v="12.76"/>
    <n v="9.57"/>
    <n v="0.75"/>
    <n v="-12.759999999999991"/>
    <n v="12.759999999999991"/>
    <x v="0"/>
    <n v="113.873"/>
    <n v="0"/>
    <n v="1"/>
  </r>
  <r>
    <s v="AJEET KUMAR"/>
    <d v="2026-06-05T00:00:00"/>
    <s v="RTN-8689072"/>
    <s v="SR-41835"/>
    <s v="CAST-FILLING"/>
    <s v="GOLD-FILLING-WK"/>
    <x v="1"/>
    <s v="G-NA-75.00-RG"/>
    <n v="85.16"/>
    <n v="63.87"/>
    <n v="0.75"/>
    <n v="76.84"/>
    <n v="57.63"/>
    <n v="57.63"/>
    <n v="0.75"/>
    <n v="0"/>
    <n v="0"/>
    <n v="0"/>
    <n v="0"/>
    <n v="0"/>
    <n v="0"/>
    <n v="0"/>
    <n v="0"/>
    <n v="0"/>
    <n v="8.32"/>
    <n v="6.24"/>
    <n v="0.75"/>
    <n v="-8.3199999999999932"/>
    <n v="8.3199999999999932"/>
    <x v="0"/>
    <n v="57.63"/>
    <n v="0"/>
    <n v="1"/>
  </r>
  <r>
    <s v="AJEET KUMAR"/>
    <d v="2026-06-05T00:00:00"/>
    <s v="RTN-8693928"/>
    <s v="SR-41736"/>
    <s v="CAST-FILLING"/>
    <s v="GOLD-FILLING-WK"/>
    <x v="1"/>
    <s v="G-NA-75.00-RG"/>
    <n v="113.03"/>
    <n v="84.772499999999994"/>
    <n v="0.74999999999999989"/>
    <n v="101.34"/>
    <n v="76.004999999999995"/>
    <n v="76.004999999999995"/>
    <n v="0.74999999999999989"/>
    <n v="0"/>
    <n v="0"/>
    <n v="0"/>
    <n v="0"/>
    <n v="0"/>
    <n v="0"/>
    <n v="0"/>
    <n v="0"/>
    <n v="0"/>
    <n v="11.69"/>
    <n v="8.7675000000000001"/>
    <n v="0.75"/>
    <n v="-11.689999999999998"/>
    <n v="11.689999999999998"/>
    <x v="0"/>
    <n v="76.004999999999995"/>
    <n v="0"/>
    <n v="1"/>
  </r>
  <r>
    <s v="AJEET KUMAR"/>
    <d v="2026-06-05T00:00:00"/>
    <s v="RTN-8696901"/>
    <s v="SR-41905"/>
    <s v="CAST-FILLING"/>
    <s v="GOLD-FILLING-WK"/>
    <x v="0"/>
    <s v="G-NA-91.70-YG"/>
    <n v="110.24"/>
    <n v="101.09008"/>
    <n v="0.91700000000000004"/>
    <n v="110.24"/>
    <n v="101.09008"/>
    <n v="101.09100000000001"/>
    <n v="0.91700000000000004"/>
    <n v="0"/>
    <n v="0"/>
    <n v="0"/>
    <n v="0"/>
    <n v="0"/>
    <n v="0"/>
    <n v="0"/>
    <n v="0"/>
    <n v="0"/>
    <n v="0"/>
    <n v="0"/>
    <n v="0"/>
    <n v="0"/>
    <n v="0"/>
    <x v="1"/>
    <n v="86.822000000000003"/>
    <n v="14.269000000000005"/>
    <n v="2"/>
  </r>
  <r>
    <s v="AJEET KUMAR"/>
    <d v="2026-06-05T00:00:00"/>
    <s v="RTN-8699007"/>
    <s v="SR-41839"/>
    <s v="CAST-FILLING"/>
    <s v="GOLD-FILLING-WK"/>
    <x v="0"/>
    <s v="G-NA-91.70-YG"/>
    <n v="200.54"/>
    <n v="183.89518000000001"/>
    <n v="0.91700000000000004"/>
    <n v="182.99"/>
    <n v="167.80183"/>
    <n v="167.80199999999999"/>
    <n v="0.91699999999999993"/>
    <n v="0"/>
    <n v="0"/>
    <n v="0"/>
    <n v="0"/>
    <n v="0"/>
    <n v="0"/>
    <n v="0"/>
    <n v="0"/>
    <n v="0"/>
    <n v="17.55"/>
    <n v="16.093350000000001"/>
    <n v="0.91700000000000004"/>
    <n v="-17.549999999999983"/>
    <n v="17.549999999999983"/>
    <x v="0"/>
    <n v="167.80199999999999"/>
    <n v="0"/>
    <n v="1"/>
  </r>
  <r>
    <s v="AJEET KUMAR"/>
    <d v="2026-06-05T00:00:00"/>
    <s v="SR-ROA/26-27/973"/>
    <s v="NONE"/>
    <s v="CAST-FILLING"/>
    <s v="GOLD-FILLING-WK"/>
    <x v="0"/>
    <s v="G-NA-91.70-YG"/>
    <n v="15.3"/>
    <n v="14.030099999999999"/>
    <n v="0.91699999999999993"/>
    <n v="11.75"/>
    <n v="10.774749999999999"/>
    <n v="10.774999999999999"/>
    <n v="0.91699999999999993"/>
    <n v="0"/>
    <n v="0"/>
    <n v="0"/>
    <n v="0"/>
    <n v="0"/>
    <n v="0"/>
    <n v="0"/>
    <n v="0"/>
    <n v="0"/>
    <n v="3.55"/>
    <n v="3.25535"/>
    <n v="0.91700000000000004"/>
    <n v="-3.5500000000000007"/>
    <n v="3.5500000000000007"/>
    <x v="1"/>
    <n v="0"/>
    <n v="10.774999999999999"/>
    <n v="67"/>
  </r>
  <r>
    <s v="AJEET KUMAR"/>
    <d v="2026-06-05T00:00:00"/>
    <s v="SR-RTN/26-27/32604"/>
    <s v="B-296083"/>
    <s v="B-GOLD-FILING"/>
    <s v="GOLD-FILLING-WK"/>
    <x v="0"/>
    <s v="G-NA-91.70-YG"/>
    <n v="102.39"/>
    <n v="93.891630000000006"/>
    <n v="0.91700000000000004"/>
    <n v="98.48"/>
    <n v="90.306160000000006"/>
    <n v="90.307000000000002"/>
    <n v="0.91700000000000004"/>
    <n v="0"/>
    <n v="0"/>
    <n v="0"/>
    <n v="0"/>
    <n v="0"/>
    <n v="0"/>
    <n v="0"/>
    <n v="0"/>
    <n v="0"/>
    <n v="3.91"/>
    <n v="3.5854699999999999"/>
    <n v="0.91699999999999993"/>
    <n v="-3.9099999999999966"/>
    <n v="3.9099999999999966"/>
    <x v="0"/>
    <n v="90.307000000000002"/>
    <n v="0"/>
    <n v="1"/>
  </r>
  <r>
    <s v="AJEET KUMAR"/>
    <d v="2026-06-05T00:00:00"/>
    <s v="SR-RTN/26-27/32605"/>
    <s v="B-296353"/>
    <s v="B-GOLD-FILING"/>
    <s v="GOLD-FILLING-WK"/>
    <x v="1"/>
    <s v="G-NA-75.00-YG"/>
    <n v="23.53"/>
    <n v="17.647500000000001"/>
    <n v="0.75"/>
    <n v="22.02"/>
    <n v="16.515000000000001"/>
    <n v="16.515000000000001"/>
    <n v="0.75"/>
    <n v="0"/>
    <n v="0"/>
    <n v="0"/>
    <n v="0"/>
    <n v="0"/>
    <n v="0"/>
    <n v="0"/>
    <n v="0"/>
    <n v="0"/>
    <n v="1.51"/>
    <n v="1.1325000000000001"/>
    <n v="0.75"/>
    <n v="-1.5100000000000016"/>
    <n v="1.5100000000000016"/>
    <x v="0"/>
    <n v="16.515000000000001"/>
    <n v="0"/>
    <n v="1"/>
  </r>
  <r>
    <s v="AJEET KUMAR"/>
    <d v="2026-06-05T00:00:00"/>
    <s v="SR-RTN/26-27/32606"/>
    <s v="B-295658"/>
    <s v="B-GOLD-FILING"/>
    <s v="GOLD-FILLING-WK"/>
    <x v="1"/>
    <s v="G-NA-75.00-YG"/>
    <n v="6.73"/>
    <n v="5.0475000000000003"/>
    <n v="0.75"/>
    <n v="5.89"/>
    <n v="4.4175000000000004"/>
    <n v="4.4180000000000001"/>
    <n v="0.75000000000000011"/>
    <n v="0"/>
    <n v="0"/>
    <n v="0"/>
    <n v="0"/>
    <n v="0"/>
    <n v="0"/>
    <n v="0"/>
    <n v="0"/>
    <n v="0"/>
    <n v="0.84"/>
    <n v="0.63"/>
    <n v="0.75"/>
    <n v="-0.84000000000000075"/>
    <n v="0.84000000000000075"/>
    <x v="1"/>
    <n v="4.0280000000000005"/>
    <n v="0.38999999999999968"/>
    <n v="2"/>
  </r>
  <r>
    <s v="AJEET KUMAR"/>
    <d v="2026-06-05T00:00:00"/>
    <s v="SR-RTN/26-27/32607"/>
    <s v="B-297048"/>
    <s v="B-GOLD-FILING"/>
    <s v="GOLD-FILLING-WK"/>
    <x v="0"/>
    <s v="G-NA-91.70-YG"/>
    <n v="10.98"/>
    <n v="10.068659999999999"/>
    <n v="0.91699999999999993"/>
    <n v="10.35"/>
    <n v="9.4909499999999998"/>
    <n v="9.4909999999999997"/>
    <n v="0.91700000000000004"/>
    <n v="0"/>
    <n v="0"/>
    <n v="0"/>
    <n v="0"/>
    <n v="0"/>
    <n v="0"/>
    <n v="0"/>
    <n v="0"/>
    <n v="0"/>
    <n v="0.63"/>
    <n v="0.57770999999999995"/>
    <n v="0.91699999999999993"/>
    <n v="-0.63000000000000078"/>
    <n v="0.63000000000000078"/>
    <x v="0"/>
    <n v="9.4909999999999997"/>
    <n v="0"/>
    <n v="1"/>
  </r>
  <r>
    <s v="AJEET KUMAR"/>
    <d v="2026-06-05T00:00:00"/>
    <s v="SR-RTN/26-27/32609"/>
    <s v="B-295657"/>
    <s v="B-GOLD-FILING"/>
    <s v="GOLD-FILLING-WK"/>
    <x v="1"/>
    <s v="G-NA-75.00-YG"/>
    <n v="7.59"/>
    <n v="5.6924999999999999"/>
    <n v="0.75"/>
    <n v="6.82"/>
    <n v="5.1150000000000002"/>
    <n v="5.1150000000000002"/>
    <n v="0.75"/>
    <n v="0"/>
    <n v="0"/>
    <n v="0"/>
    <n v="0"/>
    <n v="0"/>
    <n v="0"/>
    <n v="0"/>
    <n v="0"/>
    <n v="0"/>
    <n v="0.77"/>
    <n v="0.57750000000000001"/>
    <n v="0.75"/>
    <n v="-0.76999999999999957"/>
    <n v="0.76999999999999957"/>
    <x v="0"/>
    <n v="5.1150000000000002"/>
    <n v="0"/>
    <n v="1"/>
  </r>
  <r>
    <s v="AJEET KUMAR"/>
    <d v="2026-06-05T00:00:00"/>
    <s v="SR-RTN/26-27/32610"/>
    <s v="B-296080"/>
    <s v="B-GOLD-FILING"/>
    <s v="GOLD-FILLING-WK"/>
    <x v="0"/>
    <s v="G-NA-91.70-YG"/>
    <n v="102.49"/>
    <n v="93.983329999999995"/>
    <n v="0.91700000000000004"/>
    <n v="98.7"/>
    <n v="90.507900000000006"/>
    <n v="90.50800000000001"/>
    <n v="0.91700000000000004"/>
    <n v="0"/>
    <n v="0"/>
    <n v="0"/>
    <n v="0"/>
    <n v="0"/>
    <n v="0"/>
    <n v="0"/>
    <n v="0"/>
    <n v="0"/>
    <n v="3.79"/>
    <n v="3.4754299999999998"/>
    <n v="0.91699999999999993"/>
    <n v="-3.789999999999992"/>
    <n v="3.789999999999992"/>
    <x v="0"/>
    <n v="90.50800000000001"/>
    <n v="0"/>
    <n v="1"/>
  </r>
  <r>
    <s v="AJEET KUMAR"/>
    <d v="2026-06-05T00:00:00"/>
    <s v="SR-RTN/26-27/32612"/>
    <s v="B-296912"/>
    <s v="B-GOLD-FILING"/>
    <s v="GOLD-FILLING-WK"/>
    <x v="0"/>
    <s v="G-NA-91.70-YG"/>
    <n v="113.84"/>
    <n v="104.39127999999999"/>
    <n v="0.91699999999999993"/>
    <n v="103.36"/>
    <n v="94.781120000000001"/>
    <n v="94.782000000000011"/>
    <n v="0.91700000000000004"/>
    <n v="0"/>
    <n v="0"/>
    <n v="0"/>
    <n v="0"/>
    <n v="0"/>
    <n v="0"/>
    <n v="0"/>
    <n v="0"/>
    <n v="0"/>
    <n v="10.48"/>
    <n v="9.6101600000000005"/>
    <n v="0.91700000000000004"/>
    <n v="-10.480000000000004"/>
    <n v="10.480000000000004"/>
    <x v="1"/>
    <n v="90.472000000000008"/>
    <n v="4.3100000000000023"/>
    <n v="2"/>
  </r>
  <r>
    <s v="AJEET KUMAR"/>
    <d v="2026-06-05T00:00:00"/>
    <s v="SR-RTN/26-27/32613"/>
    <s v="B-297290"/>
    <s v="B-GOLD-FILING"/>
    <s v="GOLD-FILLING-WK"/>
    <x v="0"/>
    <s v="G-NA-91.70-YG"/>
    <n v="22.48"/>
    <n v="20.614159999999998"/>
    <n v="0.91699999999999993"/>
    <n v="21.26"/>
    <n v="19.495419999999999"/>
    <n v="19.496000000000002"/>
    <n v="0.91699999999999993"/>
    <n v="0"/>
    <n v="0"/>
    <n v="0"/>
    <n v="0"/>
    <n v="0"/>
    <n v="0"/>
    <n v="0"/>
    <n v="0"/>
    <n v="0"/>
    <n v="1.22"/>
    <n v="1.1187400000000001"/>
    <n v="0.91700000000000004"/>
    <n v="-1.2199999999999989"/>
    <n v="1.2199999999999989"/>
    <x v="0"/>
    <n v="19.496000000000002"/>
    <n v="0"/>
    <n v="1"/>
  </r>
  <r>
    <s v="AJEET KUMAR"/>
    <d v="2026-06-05T00:00:00"/>
    <s v="SR-RTN/26-27/32634"/>
    <s v="B-296042"/>
    <s v="B-GOLD-FILING"/>
    <s v="GOLD-FILLING-WK"/>
    <x v="1"/>
    <s v="G-NA-75.00-RG"/>
    <n v="304.02999999999997"/>
    <n v="228.02250000000001"/>
    <n v="0.75000000000000011"/>
    <n v="269.86"/>
    <n v="202.39500000000001"/>
    <n v="202.39500000000001"/>
    <n v="0.75"/>
    <n v="0"/>
    <n v="0"/>
    <n v="0"/>
    <n v="0"/>
    <n v="0"/>
    <n v="0"/>
    <n v="0"/>
    <n v="0"/>
    <n v="0"/>
    <n v="34.17"/>
    <n v="25.627500000000001"/>
    <n v="0.75"/>
    <n v="-34.169999999999959"/>
    <n v="34.169999999999959"/>
    <x v="0"/>
    <n v="202.39500000000001"/>
    <n v="0"/>
    <n v="1"/>
  </r>
  <r>
    <s v="AJEET KUMAR"/>
    <d v="2026-06-05T00:00:00"/>
    <s v="SR-RTN/26-27/32686"/>
    <s v="B-293176"/>
    <s v="B-GOLD-FILING"/>
    <s v="GOLD-FILLING-WK"/>
    <x v="1"/>
    <s v="G-NA-75.00-RG"/>
    <n v="18.93"/>
    <n v="14.1975"/>
    <n v="0.75"/>
    <n v="18.420000000000002"/>
    <n v="13.815"/>
    <n v="13.815"/>
    <n v="0.74999999999999989"/>
    <n v="0"/>
    <n v="0"/>
    <n v="0"/>
    <n v="0"/>
    <n v="0"/>
    <n v="0"/>
    <n v="0"/>
    <n v="0"/>
    <n v="0"/>
    <n v="0.51"/>
    <n v="0.38250000000000001"/>
    <n v="0.75"/>
    <n v="-0.50999999999999801"/>
    <n v="0.50999999999999801"/>
    <x v="0"/>
    <n v="13.815"/>
    <n v="0"/>
    <n v="1"/>
  </r>
  <r>
    <s v="AJEET KUMAR"/>
    <d v="2026-06-05T00:00:00"/>
    <s v="SR-RTN/26-27/32687"/>
    <s v="B-293172"/>
    <s v="B-GOLD-FILING"/>
    <s v="GOLD-FILLING-WK"/>
    <x v="1"/>
    <s v="G-NA-75.00-RG"/>
    <n v="17.87"/>
    <n v="13.4025"/>
    <n v="0.75"/>
    <n v="17.62"/>
    <n v="13.215"/>
    <n v="13.215"/>
    <n v="0.75"/>
    <n v="0"/>
    <n v="0"/>
    <n v="0"/>
    <n v="0"/>
    <n v="0"/>
    <n v="0"/>
    <n v="0"/>
    <n v="0"/>
    <n v="0"/>
    <n v="0.25"/>
    <n v="0.1875"/>
    <n v="0.75"/>
    <n v="-0.25"/>
    <n v="0.25"/>
    <x v="0"/>
    <n v="13.215"/>
    <n v="0"/>
    <n v="1"/>
  </r>
  <r>
    <s v="AJEET KUMAR"/>
    <d v="2026-06-05T00:00:00"/>
    <s v="SR-RTN/26-27/32716"/>
    <s v="B-296847"/>
    <s v="B-GOLD-FILING"/>
    <s v="GOLD-FILLING-WK"/>
    <x v="1"/>
    <s v="G-NA-75.00-RG"/>
    <n v="8.1999999999999993"/>
    <n v="6.15"/>
    <n v="0.75000000000000011"/>
    <n v="8.1999999999999993"/>
    <n v="6.15"/>
    <n v="6.15"/>
    <n v="0.75000000000000011"/>
    <n v="0"/>
    <n v="0"/>
    <n v="0"/>
    <n v="0"/>
    <n v="0"/>
    <n v="0"/>
    <n v="0"/>
    <n v="0"/>
    <n v="0"/>
    <n v="0"/>
    <n v="0"/>
    <n v="0"/>
    <n v="0"/>
    <n v="0"/>
    <x v="1"/>
    <n v="5.79"/>
    <n v="0.36000000000000032"/>
    <n v="2"/>
  </r>
  <r>
    <s v="AJEET KUMAR"/>
    <d v="2026-06-05T00:00:00"/>
    <s v="SR-RTN/26-27/32716"/>
    <s v="B-296909"/>
    <s v="B-GOLD-FILING"/>
    <s v="GOLD-FILLING-WK"/>
    <x v="0"/>
    <s v="G-NA-91.70-YG"/>
    <n v="137.93"/>
    <n v="126.48181"/>
    <n v="0.91699999999999993"/>
    <n v="137.93"/>
    <n v="126.48181"/>
    <n v="126.482"/>
    <n v="0.91699999999999993"/>
    <n v="0"/>
    <n v="0"/>
    <n v="0"/>
    <n v="0"/>
    <n v="0"/>
    <n v="0"/>
    <n v="0"/>
    <n v="0"/>
    <n v="0"/>
    <n v="0"/>
    <n v="0"/>
    <n v="0"/>
    <n v="0"/>
    <n v="0"/>
    <x v="1"/>
    <n v="119.376"/>
    <n v="7.1059999999999945"/>
    <n v="2"/>
  </r>
  <r>
    <s v="AJEET KUMAR"/>
    <d v="2026-06-05T00:00:00"/>
    <s v="SR-RTN/26-27/32716"/>
    <s v="B-297104"/>
    <s v="B-GOLD-FILING"/>
    <s v="GOLD-FILLING-WK"/>
    <x v="1"/>
    <s v="G-NA-75.00-RG"/>
    <n v="3.72"/>
    <n v="2.79"/>
    <n v="0.75"/>
    <n v="3.6"/>
    <n v="2.7"/>
    <n v="2.7"/>
    <n v="0.75"/>
    <n v="0"/>
    <n v="0"/>
    <n v="0"/>
    <n v="0"/>
    <n v="0"/>
    <n v="0"/>
    <n v="0"/>
    <n v="0"/>
    <n v="0"/>
    <n v="0.12"/>
    <n v="0.09"/>
    <n v="0.75"/>
    <n v="-0.12000000000000011"/>
    <n v="0.12000000000000011"/>
    <x v="0"/>
    <n v="2.7"/>
    <n v="0"/>
    <n v="1"/>
  </r>
  <r>
    <s v="AJEET KUMAR"/>
    <d v="2026-06-05T00:00:00"/>
    <s v="SR-RTN/26-27/32716"/>
    <s v="B-297320"/>
    <s v="B-GOLD-FILING"/>
    <s v="GOLD-FILLING-WK"/>
    <x v="1"/>
    <s v="G-NA-75.00-RG"/>
    <n v="3.72"/>
    <n v="2.79"/>
    <n v="0.75"/>
    <n v="3.6"/>
    <n v="2.7"/>
    <n v="2.7"/>
    <n v="0.75"/>
    <n v="0"/>
    <n v="0"/>
    <n v="0"/>
    <n v="0"/>
    <n v="0"/>
    <n v="0"/>
    <n v="0"/>
    <n v="0"/>
    <n v="0"/>
    <n v="0.12"/>
    <n v="0.09"/>
    <n v="0.75"/>
    <n v="-0.12000000000000011"/>
    <n v="0.12000000000000011"/>
    <x v="0"/>
    <n v="2.7"/>
    <n v="0"/>
    <n v="1"/>
  </r>
  <r>
    <s v="AJEET KUMAR"/>
    <d v="2026-06-05T00:00:00"/>
    <s v="SR-RTN/26-27/32717"/>
    <s v="B-291396"/>
    <s v="B-GOLD-FILING"/>
    <s v="GOLD-FILLING-WK"/>
    <x v="0"/>
    <s v="G-NA-91.70-YG"/>
    <n v="11.94"/>
    <n v="10.948980000000001"/>
    <n v="0.91700000000000004"/>
    <n v="11.73"/>
    <n v="10.756410000000001"/>
    <n v="10.757"/>
    <n v="0.91700000000000004"/>
    <n v="0"/>
    <n v="0"/>
    <n v="0"/>
    <n v="0"/>
    <n v="0"/>
    <n v="0"/>
    <n v="0"/>
    <n v="0"/>
    <n v="0"/>
    <n v="0.21"/>
    <n v="0.19256999999999999"/>
    <n v="0.91700000000000004"/>
    <n v="-0.20999999999999908"/>
    <n v="0.20999999999999908"/>
    <x v="0"/>
    <n v="10.757"/>
    <n v="0"/>
    <n v="1"/>
  </r>
  <r>
    <s v="AJEET KUMAR"/>
    <d v="2026-06-05T00:00:00"/>
    <s v="SR-RTN/26-27/32779"/>
    <s v="B-295904"/>
    <s v="B-GOLD-FILING"/>
    <s v="GOLD-FILLING-WK"/>
    <x v="1"/>
    <s v="G-NA-75.00-YG"/>
    <n v="25.58"/>
    <n v="19.184999999999999"/>
    <n v="0.75"/>
    <n v="23.7"/>
    <n v="17.774999999999999"/>
    <n v="17.774999999999999"/>
    <n v="0.75"/>
    <n v="0"/>
    <n v="0"/>
    <n v="0"/>
    <n v="0"/>
    <n v="0"/>
    <n v="0"/>
    <n v="0"/>
    <n v="0"/>
    <n v="0"/>
    <n v="1.88"/>
    <n v="1.41"/>
    <n v="0.75"/>
    <n v="-1.879999999999999"/>
    <n v="1.879999999999999"/>
    <x v="0"/>
    <n v="17.774999999999999"/>
    <n v="0"/>
    <n v="2"/>
  </r>
  <r>
    <s v="AJEET KUMAR"/>
    <d v="2026-06-05T00:00:00"/>
    <s v="SR-RTN/26-27/32779"/>
    <s v="B-296320"/>
    <s v="B-GOLD-FILING"/>
    <s v="GOLD-FILLING-WK"/>
    <x v="1"/>
    <s v="G-NA-75.00-RG"/>
    <n v="14.56"/>
    <n v="10.92"/>
    <n v="0.75"/>
    <n v="13.46"/>
    <n v="10.095000000000001"/>
    <n v="10.095000000000001"/>
    <n v="0.75"/>
    <n v="0"/>
    <n v="0"/>
    <n v="0"/>
    <n v="0"/>
    <n v="0"/>
    <n v="0"/>
    <n v="0"/>
    <n v="0"/>
    <n v="0"/>
    <n v="1.1000000000000001"/>
    <n v="0.82499999999999996"/>
    <n v="0.74999999999999989"/>
    <n v="-1.0999999999999996"/>
    <n v="1.0999999999999996"/>
    <x v="0"/>
    <n v="10.095000000000001"/>
    <n v="0"/>
    <n v="1"/>
  </r>
  <r>
    <s v="AJEET KUMAR"/>
    <d v="2026-06-05T00:00:00"/>
    <s v="SR-RTN/26-27/32779"/>
    <s v="B-296930"/>
    <s v="B-GOLD-FILING"/>
    <s v="GOLD-FILLING-WK"/>
    <x v="0"/>
    <s v="G-NA-91.70-YG"/>
    <n v="23.63"/>
    <n v="21.668710000000001"/>
    <n v="0.91700000000000004"/>
    <n v="22.54"/>
    <n v="20.669180000000001"/>
    <n v="20.67"/>
    <n v="0.91700000000000004"/>
    <n v="0"/>
    <n v="0"/>
    <n v="0"/>
    <n v="0"/>
    <n v="0"/>
    <n v="0"/>
    <n v="0"/>
    <n v="0"/>
    <n v="0"/>
    <n v="1.0900000000000001"/>
    <n v="0.99953000000000003"/>
    <n v="0.91699999999999993"/>
    <n v="-1.0899999999999999"/>
    <n v="1.0899999999999999"/>
    <x v="0"/>
    <n v="20.67"/>
    <n v="0"/>
    <n v="1"/>
  </r>
  <r>
    <s v="AJEET KUMAR"/>
    <d v="2026-06-05T00:00:00"/>
    <s v="SR-RTN/26-27/32779"/>
    <s v="B-297090"/>
    <s v="B-GOLD-FILING"/>
    <s v="GOLD-FILLING-WK"/>
    <x v="0"/>
    <s v="G-NA-91.70-YG"/>
    <n v="50.25"/>
    <n v="46.079250000000002"/>
    <n v="0.91700000000000004"/>
    <n v="49.25"/>
    <n v="45.16225"/>
    <n v="45.162999999999997"/>
    <n v="0.91700000000000004"/>
    <n v="0"/>
    <n v="0"/>
    <n v="0"/>
    <n v="0"/>
    <n v="0"/>
    <n v="0"/>
    <n v="0"/>
    <n v="0"/>
    <n v="0"/>
    <n v="1"/>
    <n v="0.91700000000000004"/>
    <n v="0.91700000000000004"/>
    <n v="-1"/>
    <n v="1"/>
    <x v="0"/>
    <n v="45.162999999999997"/>
    <n v="0"/>
    <n v="1"/>
  </r>
  <r>
    <s v="AJEET KUMAR"/>
    <d v="2026-06-05T00:00:00"/>
    <s v="SR-RTN/26-27/32784"/>
    <s v="B-291379"/>
    <s v="B-GOLD-FILING"/>
    <s v="GOLD-FILLING-WK"/>
    <x v="0"/>
    <s v="G-NA-91.70-YG"/>
    <n v="8.9"/>
    <n v="8.1613000000000007"/>
    <n v="0.91700000000000004"/>
    <n v="8.9"/>
    <n v="8.1613000000000007"/>
    <n v="8.161999999999999"/>
    <n v="0.91700000000000004"/>
    <n v="0"/>
    <n v="0"/>
    <n v="0"/>
    <n v="0"/>
    <n v="0"/>
    <n v="0"/>
    <n v="0"/>
    <n v="0"/>
    <n v="0"/>
    <n v="0"/>
    <n v="0"/>
    <n v="0"/>
    <n v="0"/>
    <n v="0"/>
    <x v="1"/>
    <n v="7.9510000000000005"/>
    <n v="0.21099999999999852"/>
    <n v="2"/>
  </r>
  <r>
    <s v="AJEET KUMAR"/>
    <d v="2026-06-05T00:00:00"/>
    <s v="SR-RTN/26-27/32797"/>
    <s v="B-296081/1"/>
    <s v="B-GOLD-FILING"/>
    <s v="GOLD-FILLING-WK"/>
    <x v="0"/>
    <s v="G-NA-91.70-YG"/>
    <n v="20.99"/>
    <n v="19.24783"/>
    <n v="0.91700000000000004"/>
    <n v="20.16"/>
    <n v="18.486719999999998"/>
    <n v="18.487000000000002"/>
    <n v="0.91699999999999993"/>
    <n v="0"/>
    <n v="0"/>
    <n v="0"/>
    <n v="0"/>
    <n v="0"/>
    <n v="0"/>
    <n v="0"/>
    <n v="0"/>
    <n v="0"/>
    <n v="0.83"/>
    <n v="0.76110999999999995"/>
    <n v="0.91700000000000004"/>
    <n v="-0.82999999999999829"/>
    <n v="0.82999999999999829"/>
    <x v="0"/>
    <n v="18.487000000000002"/>
    <n v="0"/>
    <n v="1"/>
  </r>
  <r>
    <s v="AJEET KUMAR"/>
    <d v="2026-06-05T00:00:00"/>
    <s v="SR-RTN/26-27/32799"/>
    <s v="B-295549"/>
    <s v="B-GOLD-FILING"/>
    <s v="GOLD-FILLING-WK"/>
    <x v="1"/>
    <s v="G-NA-75.00-RG"/>
    <n v="11.55"/>
    <n v="8.6624999999999996"/>
    <n v="0.74999999999999989"/>
    <n v="11.37"/>
    <n v="8.5274999999999999"/>
    <n v="8.5279999999999987"/>
    <n v="0.75"/>
    <n v="0"/>
    <n v="0"/>
    <n v="0"/>
    <n v="0"/>
    <n v="0"/>
    <n v="0"/>
    <n v="0"/>
    <n v="0"/>
    <n v="0"/>
    <n v="0.18"/>
    <n v="0.13500000000000001"/>
    <n v="0.75000000000000011"/>
    <n v="-0.18000000000000149"/>
    <n v="0.18000000000000149"/>
    <x v="0"/>
    <n v="8.5279999999999987"/>
    <n v="0"/>
    <n v="1"/>
  </r>
  <r>
    <s v="AJEET KUMAR"/>
    <d v="2026-06-05T00:00:00"/>
    <s v="SR-RTN/26-27/32827"/>
    <s v="B-295906"/>
    <s v="B-GOLD-FILING"/>
    <s v="GOLD-FILLING-WK"/>
    <x v="1"/>
    <s v="G-NA-75.00-YG"/>
    <n v="17.46"/>
    <n v="13.095000000000001"/>
    <n v="0.75"/>
    <n v="16.38"/>
    <n v="12.285"/>
    <n v="12.285"/>
    <n v="0.75"/>
    <n v="0"/>
    <n v="0"/>
    <n v="0"/>
    <n v="0"/>
    <n v="0"/>
    <n v="0"/>
    <n v="0"/>
    <n v="0"/>
    <n v="0"/>
    <n v="1.08"/>
    <n v="0.81"/>
    <n v="0.75"/>
    <n v="-1.0800000000000018"/>
    <n v="1.0800000000000018"/>
    <x v="0"/>
    <n v="12.285"/>
    <n v="0"/>
    <n v="1"/>
  </r>
  <r>
    <s v="AJEET KUMAR"/>
    <d v="2026-06-05T00:00:00"/>
    <s v="SR-RTN/26-27/32827"/>
    <s v="B-296915"/>
    <s v="B-GOLD-FILING"/>
    <s v="GOLD-FILLING-WK"/>
    <x v="1"/>
    <s v="G-NA-75.00-RG"/>
    <n v="21.97"/>
    <n v="16.477499999999999"/>
    <n v="0.75"/>
    <n v="21.04"/>
    <n v="15.78"/>
    <n v="15.78"/>
    <n v="0.75"/>
    <n v="0"/>
    <n v="0"/>
    <n v="0"/>
    <n v="0"/>
    <n v="0"/>
    <n v="0"/>
    <n v="0"/>
    <n v="0"/>
    <n v="0"/>
    <n v="0.93"/>
    <n v="0.69750000000000001"/>
    <n v="0.75"/>
    <n v="-0.92999999999999972"/>
    <n v="0.92999999999999972"/>
    <x v="0"/>
    <n v="15.78"/>
    <n v="0"/>
    <n v="1"/>
  </r>
  <r>
    <s v="AJEET KUMAR"/>
    <d v="2026-06-05T00:00:00"/>
    <s v="SR-RTN/26-27/32827"/>
    <s v="B-296916"/>
    <s v="B-GOLD-FILING"/>
    <s v="GOLD-FILLING-WK"/>
    <x v="1"/>
    <s v="G-NA-75.00-RG"/>
    <n v="36.729999999999997"/>
    <n v="27.547499999999999"/>
    <n v="0.75"/>
    <n v="35.21"/>
    <n v="26.407499999999999"/>
    <n v="26.408000000000001"/>
    <n v="0.75"/>
    <n v="0"/>
    <n v="0"/>
    <n v="0"/>
    <n v="0"/>
    <n v="0"/>
    <n v="0"/>
    <n v="0"/>
    <n v="0"/>
    <n v="0"/>
    <n v="1.52"/>
    <n v="1.1399999999999999"/>
    <n v="0.74999999999999989"/>
    <n v="-1.519999999999996"/>
    <n v="1.519999999999996"/>
    <x v="0"/>
    <n v="26.408000000000001"/>
    <n v="0"/>
    <n v="1"/>
  </r>
  <r>
    <s v="AJEET KUMAR"/>
    <d v="2026-06-05T00:00:00"/>
    <s v="SR-RTN/26-27/32827"/>
    <s v="B-297101"/>
    <s v="B-GOLD-FILING"/>
    <s v="GOLD-FILLING-WK"/>
    <x v="1"/>
    <s v="G-NA-75.00-RG"/>
    <n v="40.51"/>
    <n v="30.3825"/>
    <n v="0.75"/>
    <n v="37.28"/>
    <n v="27.96"/>
    <n v="27.96"/>
    <n v="0.75"/>
    <n v="0"/>
    <n v="0"/>
    <n v="0"/>
    <n v="0"/>
    <n v="0"/>
    <n v="0"/>
    <n v="0"/>
    <n v="0"/>
    <n v="0"/>
    <n v="3.23"/>
    <n v="2.4224999999999999"/>
    <n v="0.75"/>
    <n v="-3.2299999999999969"/>
    <n v="3.2299999999999969"/>
    <x v="0"/>
    <n v="27.96"/>
    <n v="0"/>
    <n v="1"/>
  </r>
  <r>
    <s v="AJEET KUMAR"/>
    <d v="2026-06-05T00:00:00"/>
    <s v="SR-RTN/26-27/32827"/>
    <s v="B-297123"/>
    <s v="B-GOLD-FILING"/>
    <s v="GOLD-FILLING-WK"/>
    <x v="1"/>
    <s v="G-NA-75.00-RG"/>
    <n v="17.32"/>
    <n v="12.99"/>
    <n v="0.75"/>
    <n v="16.760000000000002"/>
    <n v="12.57"/>
    <n v="12.57"/>
    <n v="0.75"/>
    <n v="0"/>
    <n v="0"/>
    <n v="0"/>
    <n v="0"/>
    <n v="0"/>
    <n v="0"/>
    <n v="0"/>
    <n v="0"/>
    <n v="0"/>
    <n v="0.56000000000000005"/>
    <n v="0.42"/>
    <n v="0.74999999999999989"/>
    <n v="-0.55999999999999872"/>
    <n v="0.55999999999999872"/>
    <x v="0"/>
    <n v="12.57"/>
    <n v="0"/>
    <n v="1"/>
  </r>
  <r>
    <s v="AJEET KUMAR"/>
    <d v="2026-06-05T00:00:00"/>
    <s v="SR-RTN/26-27/32829"/>
    <s v="B-291426/1"/>
    <s v="B-GOLD-FILING"/>
    <s v="GOLD-FILLING-WK"/>
    <x v="0"/>
    <s v="G-NA-91.70-YG"/>
    <n v="11.58"/>
    <n v="10.61886"/>
    <n v="0.91699999999999993"/>
    <n v="11.2"/>
    <n v="10.2704"/>
    <n v="10.270999999999999"/>
    <n v="0.91700000000000015"/>
    <n v="0"/>
    <n v="0"/>
    <n v="0"/>
    <n v="0"/>
    <n v="0"/>
    <n v="0"/>
    <n v="0"/>
    <n v="0"/>
    <n v="0"/>
    <n v="0.38"/>
    <n v="0.34845999999999999"/>
    <n v="0.91699999999999993"/>
    <n v="-0.38000000000000078"/>
    <n v="0.38000000000000078"/>
    <x v="0"/>
    <n v="10.270999999999999"/>
    <n v="0"/>
    <n v="1"/>
  </r>
  <r>
    <s v="AJEET KUMAR"/>
    <d v="2026-06-05T00:00:00"/>
    <s v="SR-RTN/26-27/32829"/>
    <s v="B-295864"/>
    <s v="B-GOLD-FILING"/>
    <s v="GOLD-FILLING-WK"/>
    <x v="0"/>
    <s v="G-NA-91.70-YG"/>
    <n v="34.21"/>
    <n v="31.370570000000001"/>
    <n v="0.91700000000000004"/>
    <n v="33.97"/>
    <n v="31.150490000000001"/>
    <n v="31.151"/>
    <n v="0.91700000000000004"/>
    <n v="0"/>
    <n v="0"/>
    <n v="0"/>
    <n v="0"/>
    <n v="0"/>
    <n v="0"/>
    <n v="0"/>
    <n v="0"/>
    <n v="0"/>
    <n v="0.24"/>
    <n v="0.22008"/>
    <n v="0.91700000000000004"/>
    <n v="-0.24000000000000199"/>
    <n v="0.24000000000000199"/>
    <x v="0"/>
    <n v="31.151"/>
    <n v="0"/>
    <n v="1"/>
  </r>
  <r>
    <s v="AJEET KUMAR"/>
    <d v="2026-06-05T00:00:00"/>
    <s v="SR-RTN/26-27/32889"/>
    <s v="B-296069"/>
    <s v="B-GOLD-FILING"/>
    <s v="GOLD-FILLING-WK"/>
    <x v="1"/>
    <s v="G-NA-75.00-RG"/>
    <n v="44.88"/>
    <n v="33.659999999999997"/>
    <n v="0.74999999999999989"/>
    <n v="38.93"/>
    <n v="29.197500000000002"/>
    <n v="29.198"/>
    <n v="0.75"/>
    <n v="0"/>
    <n v="0"/>
    <n v="0"/>
    <n v="0"/>
    <n v="0"/>
    <n v="0"/>
    <n v="0"/>
    <n v="0"/>
    <n v="0"/>
    <n v="5.95"/>
    <n v="4.4625000000000004"/>
    <n v="0.75"/>
    <n v="-5.9500000000000028"/>
    <n v="5.9500000000000028"/>
    <x v="0"/>
    <n v="29.198"/>
    <n v="0"/>
    <n v="1"/>
  </r>
  <r>
    <s v="AJEET KUMAR"/>
    <d v="2026-06-05T00:00:00"/>
    <s v="SR-RTN/26-27/32890"/>
    <s v="B-297716"/>
    <s v="B-GOLD-FILING"/>
    <s v="GOLD-FILLING-WK"/>
    <x v="0"/>
    <s v="G-NA-91.70-YG"/>
    <n v="6.88"/>
    <n v="6.3089599999999999"/>
    <n v="0.91700000000000004"/>
    <n v="6.24"/>
    <n v="5.7220800000000001"/>
    <n v="5.7230000000000008"/>
    <n v="0.91699999999999993"/>
    <n v="0"/>
    <n v="0"/>
    <n v="0"/>
    <n v="0"/>
    <n v="0"/>
    <n v="0"/>
    <n v="0"/>
    <n v="0"/>
    <n v="0"/>
    <n v="0.64"/>
    <n v="0.58687999999999996"/>
    <n v="0.91699999999999993"/>
    <n v="-0.63999999999999968"/>
    <n v="0.63999999999999968"/>
    <x v="0"/>
    <n v="5.7230000000000008"/>
    <n v="0"/>
    <n v="1"/>
  </r>
  <r>
    <s v="AJEET KUMAR"/>
    <d v="2026-06-05T00:00:00"/>
    <s v="SR-RTN/26-27/32892"/>
    <s v="B-296044"/>
    <s v="B-GOLD-FILING"/>
    <s v="GOLD-FILLING-WK"/>
    <x v="1"/>
    <s v="G-NA-75.00-RG"/>
    <n v="206.44"/>
    <n v="154.83000000000001"/>
    <n v="0.75000000000000011"/>
    <n v="182.34"/>
    <n v="136.755"/>
    <n v="136.755"/>
    <n v="0.75"/>
    <n v="0"/>
    <n v="0"/>
    <n v="0"/>
    <n v="0"/>
    <n v="0"/>
    <n v="0"/>
    <n v="0"/>
    <n v="0"/>
    <n v="0"/>
    <n v="24.1"/>
    <n v="18.074999999999999"/>
    <n v="0.74999999999999989"/>
    <n v="-24.099999999999994"/>
    <n v="24.099999999999994"/>
    <x v="0"/>
    <n v="136.755"/>
    <n v="0"/>
    <n v="1"/>
  </r>
  <r>
    <s v="AJEET KUMAR"/>
    <d v="2026-06-05T00:00:00"/>
    <s v="SR-RTN/26-27/32894"/>
    <s v="B-296078"/>
    <s v="B-GOLD-FILING"/>
    <s v="GOLD-FILLING-WK"/>
    <x v="0"/>
    <s v="G-NA-91.70-YG"/>
    <n v="68.260000000000005"/>
    <n v="62.59442"/>
    <n v="0.91699999999999993"/>
    <n v="65.540000000000006"/>
    <n v="60.100180000000002"/>
    <n v="60.100999999999999"/>
    <n v="0.91699999999999993"/>
    <n v="0"/>
    <n v="0"/>
    <n v="0"/>
    <n v="0"/>
    <n v="0"/>
    <n v="0"/>
    <n v="0"/>
    <n v="0"/>
    <n v="0"/>
    <n v="2.72"/>
    <n v="2.49424"/>
    <n v="0.91699999999999993"/>
    <n v="-2.7199999999999989"/>
    <n v="2.7199999999999989"/>
    <x v="0"/>
    <n v="60.100999999999999"/>
    <n v="0"/>
    <n v="1"/>
  </r>
  <r>
    <s v="AJEET KUMAR"/>
    <d v="2026-06-05T00:00:00"/>
    <s v="SR-RTN/26-27/32895"/>
    <s v="B-297715"/>
    <s v="B-GOLD-FILING"/>
    <s v="GOLD-FILLING-WK"/>
    <x v="0"/>
    <s v="G-NA-91.70-YG"/>
    <n v="7.74"/>
    <n v="7.0975799999999998"/>
    <n v="0.91699999999999993"/>
    <n v="7.2"/>
    <n v="6.6024000000000003"/>
    <n v="6.6030000000000006"/>
    <n v="0.91700000000000004"/>
    <n v="0"/>
    <n v="0"/>
    <n v="0"/>
    <n v="0"/>
    <n v="0"/>
    <n v="0"/>
    <n v="0"/>
    <n v="0"/>
    <n v="0"/>
    <n v="0.54"/>
    <n v="0.49518000000000001"/>
    <n v="0.91699999999999993"/>
    <n v="-0.54"/>
    <n v="0.54"/>
    <x v="0"/>
    <n v="6.6030000000000006"/>
    <n v="0"/>
    <n v="1"/>
  </r>
  <r>
    <s v="AJEET KUMAR"/>
    <d v="2026-06-05T00:00:00"/>
    <s v="SR-RTN/26-27/32897"/>
    <s v="B-296295"/>
    <s v="B-GOLD-FILING"/>
    <s v="GOLD-FILLING-WK"/>
    <x v="1"/>
    <s v="G-NA-75.00-RG"/>
    <n v="14.02"/>
    <n v="10.515000000000001"/>
    <n v="0.75000000000000011"/>
    <n v="12.61"/>
    <n v="9.4574999999999996"/>
    <n v="9.4580000000000002"/>
    <n v="0.75"/>
    <n v="0"/>
    <n v="0"/>
    <n v="0"/>
    <n v="0"/>
    <n v="0"/>
    <n v="0"/>
    <n v="0"/>
    <n v="0"/>
    <n v="0"/>
    <n v="1.41"/>
    <n v="1.0575000000000001"/>
    <n v="0.75000000000000011"/>
    <n v="-1.41"/>
    <n v="1.41"/>
    <x v="0"/>
    <n v="9.4580000000000002"/>
    <n v="0"/>
    <n v="1"/>
  </r>
  <r>
    <s v="AJEET KUMAR"/>
    <d v="2026-06-05T00:00:00"/>
    <s v="SR-RTN/26-27/32921"/>
    <s v="B-293642"/>
    <s v="B-GOLD-FILING"/>
    <s v="GOLD-FILLING-WK"/>
    <x v="1"/>
    <s v="G-NA-75.00-YG"/>
    <n v="7.47"/>
    <n v="5.6025"/>
    <n v="0.75"/>
    <n v="7.05"/>
    <n v="5.2874999999999996"/>
    <n v="5.2880000000000003"/>
    <n v="0.75"/>
    <n v="0"/>
    <n v="0"/>
    <n v="0"/>
    <n v="0"/>
    <n v="0"/>
    <n v="0"/>
    <n v="0"/>
    <n v="0"/>
    <n v="0"/>
    <n v="0.42"/>
    <n v="0.315"/>
    <n v="0.75"/>
    <n v="-0.41999999999999993"/>
    <n v="0.41999999999999993"/>
    <x v="0"/>
    <n v="5.2880000000000003"/>
    <n v="0"/>
    <n v="1"/>
  </r>
  <r>
    <s v="AJEET KUMAR"/>
    <d v="2026-06-05T00:00:00"/>
    <s v="SR-RTN/26-27/32923"/>
    <s v="B-293638"/>
    <s v="B-GOLD-FILING"/>
    <s v="GOLD-FILLING-WK"/>
    <x v="1"/>
    <s v="G-NA-75.00-YG"/>
    <n v="6.79"/>
    <n v="5.0925000000000002"/>
    <n v="0.75"/>
    <n v="6.43"/>
    <n v="4.8224999999999998"/>
    <n v="4.8230000000000004"/>
    <n v="0.75"/>
    <n v="0"/>
    <n v="0"/>
    <n v="0"/>
    <n v="0"/>
    <n v="0"/>
    <n v="0"/>
    <n v="0"/>
    <n v="0"/>
    <n v="0"/>
    <n v="0.36"/>
    <n v="0.27"/>
    <n v="0.75000000000000011"/>
    <n v="-0.36000000000000032"/>
    <n v="0.36000000000000032"/>
    <x v="0"/>
    <n v="4.8230000000000004"/>
    <n v="0"/>
    <n v="1"/>
  </r>
  <r>
    <s v="AJEET KUMAR"/>
    <d v="2026-06-05T00:00:00"/>
    <s v="SR-RTN/26-27/32924"/>
    <s v="B-293645"/>
    <s v="B-GOLD-FILING"/>
    <s v="GOLD-FILLING-WK"/>
    <x v="1"/>
    <s v="G-NA-75.00-YG"/>
    <n v="7.16"/>
    <n v="5.37"/>
    <n v="0.75"/>
    <n v="6.67"/>
    <n v="5.0025000000000004"/>
    <n v="5.0030000000000001"/>
    <n v="0.75000000000000011"/>
    <n v="0"/>
    <n v="0"/>
    <n v="0"/>
    <n v="0"/>
    <n v="0"/>
    <n v="0"/>
    <n v="0"/>
    <n v="0"/>
    <n v="0"/>
    <n v="0.49"/>
    <n v="0.36749999999999999"/>
    <n v="0.75"/>
    <n v="-0.49000000000000021"/>
    <n v="0.49000000000000021"/>
    <x v="0"/>
    <n v="5.0030000000000001"/>
    <n v="0"/>
    <n v="1"/>
  </r>
  <r>
    <s v="AJEET KUMAR"/>
    <d v="2026-06-05T00:00:00"/>
    <s v="SR-RTN/26-27/32925"/>
    <s v="B-293643"/>
    <s v="B-GOLD-FILING"/>
    <s v="GOLD-FILLING-WK"/>
    <x v="1"/>
    <s v="G-NA-75.00-YG"/>
    <n v="7.26"/>
    <n v="5.4450000000000003"/>
    <n v="0.75000000000000011"/>
    <n v="6.85"/>
    <n v="5.1375000000000002"/>
    <n v="5.1379999999999999"/>
    <n v="0.75000000000000011"/>
    <n v="0"/>
    <n v="0"/>
    <n v="0"/>
    <n v="0"/>
    <n v="0"/>
    <n v="0"/>
    <n v="0"/>
    <n v="0"/>
    <n v="0"/>
    <n v="0.41"/>
    <n v="0.3075"/>
    <n v="0.75"/>
    <n v="-0.41000000000000014"/>
    <n v="0.41000000000000014"/>
    <x v="0"/>
    <n v="5.1379999999999999"/>
    <n v="0"/>
    <n v="1"/>
  </r>
  <r>
    <s v="AJEET KUMAR"/>
    <d v="2026-06-05T00:00:00"/>
    <s v="SR-RTN/26-27/32929"/>
    <s v="B-297102"/>
    <s v="B-GOLD-FILING"/>
    <s v="GOLD-FILLING-WK"/>
    <x v="1"/>
    <s v="G-NA-75.00-RG"/>
    <n v="53.51"/>
    <n v="40.1325"/>
    <n v="0.75"/>
    <n v="51.87"/>
    <n v="38.902500000000003"/>
    <n v="38.902999999999999"/>
    <n v="0.75000000000000011"/>
    <n v="0"/>
    <n v="0"/>
    <n v="0"/>
    <n v="0"/>
    <n v="0"/>
    <n v="0"/>
    <n v="0"/>
    <n v="0"/>
    <n v="0"/>
    <n v="1.64"/>
    <n v="1.23"/>
    <n v="0.75"/>
    <n v="-1.6400000000000006"/>
    <n v="1.6400000000000006"/>
    <x v="1"/>
    <n v="38.67"/>
    <n v="0.23299999999999699"/>
    <n v="2"/>
  </r>
  <r>
    <s v="AJEET KUMAR"/>
    <d v="2026-06-05T00:00:00"/>
    <s v="SR-RTN/26-27/32938"/>
    <s v="B-296884"/>
    <s v="B-GOLD-FILING"/>
    <s v="GOLD-FILLING-WK"/>
    <x v="1"/>
    <s v="G-NA-75.00-RG"/>
    <n v="17.71"/>
    <n v="13.282500000000001"/>
    <n v="0.75"/>
    <n v="16.149999999999999"/>
    <n v="12.112500000000001"/>
    <n v="12.113"/>
    <n v="0.75000000000000011"/>
    <n v="0"/>
    <n v="0"/>
    <n v="0"/>
    <n v="0"/>
    <n v="0"/>
    <n v="0"/>
    <n v="0"/>
    <n v="0"/>
    <n v="0"/>
    <n v="1.56"/>
    <n v="1.17"/>
    <n v="0.74999999999999989"/>
    <n v="-1.5600000000000023"/>
    <n v="1.5600000000000023"/>
    <x v="0"/>
    <n v="12.113"/>
    <n v="0"/>
    <n v="1"/>
  </r>
  <r>
    <s v="AJEET KUMAR"/>
    <d v="2026-06-05T00:00:00"/>
    <s v="SR-RTN/26-27/32950"/>
    <s v="B-295639"/>
    <s v="B-GOLD-FILING"/>
    <s v="GOLD-FILLING-WK"/>
    <x v="1"/>
    <s v="G-NA-75.00-RG"/>
    <n v="6.1449999999999996"/>
    <n v="4.6087499999999997"/>
    <n v="0.75"/>
    <n v="5.4950000000000001"/>
    <n v="4.1212499999999999"/>
    <n v="4.1220000000000008"/>
    <n v="0.75"/>
    <n v="0"/>
    <n v="0"/>
    <n v="0"/>
    <n v="0"/>
    <n v="0"/>
    <n v="0"/>
    <n v="0"/>
    <n v="0"/>
    <n v="0"/>
    <n v="0.65"/>
    <n v="0.48749999999999999"/>
    <n v="0.75"/>
    <n v="-0.64999999999999947"/>
    <n v="0.64999999999999947"/>
    <x v="0"/>
    <n v="4.1220000000000008"/>
    <n v="0"/>
    <n v="1"/>
  </r>
  <r>
    <s v="AJEET KUMAR"/>
    <d v="2026-06-05T00:00:00"/>
    <s v="SR-RTN/26-27/32961"/>
    <s v="B-293635"/>
    <s v="B-GOLD-FILING"/>
    <s v="GOLD-FILLING-WK"/>
    <x v="1"/>
    <s v="G-NA-75.00-YG"/>
    <n v="7.1"/>
    <n v="5.3250000000000002"/>
    <n v="0.75000000000000011"/>
    <n v="6.59"/>
    <n v="4.9424999999999999"/>
    <n v="4.9430000000000005"/>
    <n v="0.75"/>
    <n v="0"/>
    <n v="0"/>
    <n v="0"/>
    <n v="0"/>
    <n v="0"/>
    <n v="0"/>
    <n v="0"/>
    <n v="0"/>
    <n v="0"/>
    <n v="0.51"/>
    <n v="0.38250000000000001"/>
    <n v="0.75"/>
    <n v="-0.50999999999999979"/>
    <n v="0.50999999999999979"/>
    <x v="0"/>
    <n v="4.9430000000000005"/>
    <n v="0"/>
    <n v="1"/>
  </r>
  <r>
    <s v="AJEET KUMAR"/>
    <d v="2026-06-05T00:00:00"/>
    <s v="SR-RTN/26-27/32961"/>
    <s v="B-293639"/>
    <s v="B-GOLD-FILING"/>
    <s v="GOLD-FILLING-WK"/>
    <x v="1"/>
    <s v="G-NA-75.00-YG"/>
    <n v="7.58"/>
    <n v="5.6849999999999996"/>
    <n v="0.74999999999999989"/>
    <n v="7.14"/>
    <n v="5.3550000000000004"/>
    <n v="5.3550000000000004"/>
    <n v="0.75000000000000011"/>
    <n v="0"/>
    <n v="0"/>
    <n v="0"/>
    <n v="0"/>
    <n v="0"/>
    <n v="0"/>
    <n v="0"/>
    <n v="0"/>
    <n v="0"/>
    <n v="0.44"/>
    <n v="0.33"/>
    <n v="0.75"/>
    <n v="-0.44000000000000039"/>
    <n v="0.44000000000000039"/>
    <x v="0"/>
    <n v="5.3550000000000004"/>
    <n v="0"/>
    <n v="1"/>
  </r>
  <r>
    <s v="AJEET KUMAR"/>
    <d v="2026-06-05T00:00:00"/>
    <s v="SR-RTN/26-27/32962"/>
    <s v="B-295641"/>
    <s v="B-GOLD-FILING"/>
    <s v="GOLD-FILLING-WK"/>
    <x v="1"/>
    <s v="G-NA-75.00-RG"/>
    <n v="7.5789999999999997"/>
    <n v="5.6842499999999996"/>
    <n v="0.75"/>
    <n v="7.1189999999999998"/>
    <n v="5.3392499999999998"/>
    <n v="5.3400000000000007"/>
    <n v="0.75"/>
    <n v="0"/>
    <n v="0"/>
    <n v="0"/>
    <n v="0"/>
    <n v="0"/>
    <n v="0"/>
    <n v="0"/>
    <n v="0"/>
    <n v="0"/>
    <n v="0.46"/>
    <n v="0.34499999999999997"/>
    <n v="0.74999999999999989"/>
    <n v="-0.46"/>
    <n v="0.46"/>
    <x v="0"/>
    <n v="5.3400000000000007"/>
    <n v="0"/>
    <n v="2"/>
  </r>
  <r>
    <s v="AJEET KUMAR"/>
    <d v="2026-06-05T00:00:00"/>
    <s v="SR-RTN/26-27/32962"/>
    <s v="B-295642"/>
    <s v="B-GOLD-FILING"/>
    <s v="GOLD-FILLING-WK"/>
    <x v="1"/>
    <s v="G-NA-75.00-RG"/>
    <n v="5.81"/>
    <n v="4.3574999999999999"/>
    <n v="0.75"/>
    <n v="5.36"/>
    <n v="4.0199999999999996"/>
    <n v="4.0199999999999996"/>
    <n v="0.74999999999999989"/>
    <n v="0"/>
    <n v="0"/>
    <n v="0"/>
    <n v="0"/>
    <n v="0"/>
    <n v="0"/>
    <n v="0"/>
    <n v="0"/>
    <n v="0"/>
    <n v="0.45"/>
    <n v="0.33750000000000002"/>
    <n v="0.75"/>
    <n v="-0.44999999999999929"/>
    <n v="0.44999999999999929"/>
    <x v="0"/>
    <n v="4.0199999999999996"/>
    <n v="0"/>
    <n v="2"/>
  </r>
  <r>
    <s v="AJEET KUMAR"/>
    <d v="2026-06-05T00:00:00"/>
    <s v="SR-RTN/26-27/32985"/>
    <s v="B-295643"/>
    <s v="B-GOLD-FILING"/>
    <s v="GOLD-FILLING-WK"/>
    <x v="1"/>
    <s v="G-NA-75.00-RG"/>
    <n v="6.3579999999999997"/>
    <n v="4.7685000000000004"/>
    <n v="0.75000000000000011"/>
    <n v="5.8079999999999998"/>
    <n v="4.3559999999999999"/>
    <n v="4.3559999999999999"/>
    <n v="0.75"/>
    <n v="0"/>
    <n v="0"/>
    <n v="0"/>
    <n v="0"/>
    <n v="0"/>
    <n v="0"/>
    <n v="0"/>
    <n v="0"/>
    <n v="0"/>
    <n v="0.55000000000000004"/>
    <n v="0.41249999999999998"/>
    <n v="0.74999999999999989"/>
    <n v="-0.54999999999999982"/>
    <n v="0.54999999999999982"/>
    <x v="0"/>
    <n v="4.3559999999999999"/>
    <n v="0"/>
    <n v="2"/>
  </r>
  <r>
    <s v="AJEET KUMAR"/>
    <d v="2026-06-05T00:00:00"/>
    <s v="SR-RTN/26-27/32985"/>
    <s v="B-295644"/>
    <s v="B-GOLD-FILING"/>
    <s v="GOLD-FILLING-WK"/>
    <x v="1"/>
    <s v="G-NA-75.00-RG"/>
    <n v="6.5419999999999998"/>
    <n v="4.9065000000000003"/>
    <n v="0.75000000000000011"/>
    <n v="6.1420000000000003"/>
    <n v="4.6064999999999996"/>
    <n v="4.6070000000000002"/>
    <n v="0.74999999999999989"/>
    <n v="0"/>
    <n v="0"/>
    <n v="0"/>
    <n v="0"/>
    <n v="0"/>
    <n v="0"/>
    <n v="0"/>
    <n v="0"/>
    <n v="0"/>
    <n v="0.4"/>
    <n v="0.3"/>
    <n v="0.74999999999999989"/>
    <n v="-0.39999999999999947"/>
    <n v="0.39999999999999947"/>
    <x v="0"/>
    <n v="4.6070000000000002"/>
    <n v="0"/>
    <n v="1"/>
  </r>
  <r>
    <s v="AJEET KUMAR"/>
    <d v="2026-06-05T00:00:00"/>
    <s v="SR-RTN/26-27/32987"/>
    <s v="B-297122"/>
    <s v="B-GOLD-FILING"/>
    <s v="GOLD-FILLING-WK"/>
    <x v="1"/>
    <s v="G-NA-75.00-RG"/>
    <n v="16.52"/>
    <n v="12.39"/>
    <n v="0.75"/>
    <n v="16.02"/>
    <n v="12.015000000000001"/>
    <n v="12.015000000000001"/>
    <n v="0.75"/>
    <n v="0"/>
    <n v="0"/>
    <n v="0"/>
    <n v="0"/>
    <n v="0"/>
    <n v="0"/>
    <n v="0"/>
    <n v="0"/>
    <n v="0"/>
    <n v="0.5"/>
    <n v="0.375"/>
    <n v="0.75"/>
    <n v="-0.5"/>
    <n v="0.5"/>
    <x v="0"/>
    <n v="12.015000000000001"/>
    <n v="0"/>
    <n v="1"/>
  </r>
  <r>
    <s v="AJEET KUMAR"/>
    <d v="2026-06-05T00:00:00"/>
    <s v="SR-RTN/26-27/32989"/>
    <s v="B-295637"/>
    <s v="B-GOLD-FILING"/>
    <s v="GOLD-FILLING-WK"/>
    <x v="1"/>
    <s v="G-NA-75.00-RG"/>
    <n v="6.0890000000000004"/>
    <n v="4.5667499999999999"/>
    <n v="0.74999999999999989"/>
    <n v="5.649"/>
    <n v="4.2367499999999998"/>
    <n v="4.2370000000000001"/>
    <n v="0.75"/>
    <n v="0"/>
    <n v="0"/>
    <n v="0"/>
    <n v="0"/>
    <n v="0"/>
    <n v="0"/>
    <n v="0"/>
    <n v="0"/>
    <n v="0"/>
    <n v="0.44"/>
    <n v="0.33"/>
    <n v="0.75"/>
    <n v="-0.44000000000000039"/>
    <n v="0.44000000000000039"/>
    <x v="0"/>
    <n v="4.2370000000000001"/>
    <n v="0"/>
    <n v="2"/>
  </r>
  <r>
    <s v="AJEET KUMAR"/>
    <d v="2026-06-05T00:00:00"/>
    <s v="SR-RTN/26-27/32991"/>
    <s v="B-296925"/>
    <s v="B-GOLD-FILING"/>
    <s v="GOLD-FILLING-WK"/>
    <x v="1"/>
    <s v="G-NA-75.00-RG"/>
    <n v="64.75"/>
    <n v="48.5625"/>
    <n v="0.75"/>
    <n v="61.34"/>
    <n v="46.005000000000003"/>
    <n v="46.005000000000003"/>
    <n v="0.75"/>
    <n v="0"/>
    <n v="0"/>
    <n v="0"/>
    <n v="0"/>
    <n v="0"/>
    <n v="0"/>
    <n v="0"/>
    <n v="0"/>
    <n v="0"/>
    <n v="3.41"/>
    <n v="2.5575000000000001"/>
    <n v="0.75"/>
    <n v="-3.4099999999999966"/>
    <n v="3.4099999999999966"/>
    <x v="0"/>
    <n v="46.005000000000003"/>
    <n v="0"/>
    <n v="1"/>
  </r>
  <r>
    <s v="AJEET KUMAR"/>
    <d v="2026-06-05T00:00:00"/>
    <s v="SR-RTN/26-27/33000"/>
    <s v="B-291372/1"/>
    <s v="B-GOLD-FILING"/>
    <s v="GOLD-FILLING-WK"/>
    <x v="0"/>
    <s v="G-NA-91.70-YG"/>
    <n v="9.06"/>
    <n v="8.3080200000000008"/>
    <n v="0.91700000000000004"/>
    <n v="8.8800000000000008"/>
    <n v="8.1429600000000004"/>
    <n v="8.1429999999999989"/>
    <n v="0.91699999999999993"/>
    <n v="0"/>
    <n v="0"/>
    <n v="0"/>
    <n v="0"/>
    <n v="0"/>
    <n v="0"/>
    <n v="0"/>
    <n v="0"/>
    <n v="0"/>
    <n v="0.18"/>
    <n v="0.16506000000000001"/>
    <n v="0.91700000000000015"/>
    <n v="-0.17999999999999972"/>
    <n v="0.17999999999999972"/>
    <x v="0"/>
    <n v="8.1429999999999989"/>
    <n v="0"/>
    <n v="1"/>
  </r>
  <r>
    <s v="AJEET KUMAR"/>
    <d v="2026-06-05T00:00:00"/>
    <s v="SR-RTN/26-27/33001"/>
    <s v="B-291401"/>
    <s v="B-GOLD-FILING"/>
    <s v="GOLD-FILLING-WK"/>
    <x v="0"/>
    <s v="G-NA-91.70-YG"/>
    <n v="10.11"/>
    <n v="9.2708700000000004"/>
    <n v="0.91700000000000004"/>
    <n v="9.9600000000000009"/>
    <n v="9.1333199999999994"/>
    <n v="9.1339999999999986"/>
    <n v="0.91699999999999982"/>
    <n v="0"/>
    <n v="0"/>
    <n v="0"/>
    <n v="0"/>
    <n v="0"/>
    <n v="0"/>
    <n v="0"/>
    <n v="0"/>
    <n v="0"/>
    <n v="0.15"/>
    <n v="0.13755000000000001"/>
    <n v="0.91700000000000004"/>
    <n v="-0.14999999999999858"/>
    <n v="0.14999999999999858"/>
    <x v="0"/>
    <n v="9.1339999999999986"/>
    <n v="0"/>
    <n v="1"/>
  </r>
  <r>
    <s v="AJEET KUMAR"/>
    <d v="2026-06-05T00:00:00"/>
    <s v="SR-RTN/26-27/33002"/>
    <s v="B-291317"/>
    <s v="B-GOLD-FILING"/>
    <s v="GOLD-FILLING-WK"/>
    <x v="0"/>
    <s v="G-NA-91.70-YG"/>
    <n v="14.9"/>
    <n v="13.6633"/>
    <n v="0.91699999999999993"/>
    <n v="14.83"/>
    <n v="13.59911"/>
    <n v="13.6"/>
    <n v="0.91699999999999993"/>
    <n v="0"/>
    <n v="0"/>
    <n v="0"/>
    <n v="0"/>
    <n v="0"/>
    <n v="0"/>
    <n v="0"/>
    <n v="0"/>
    <n v="0"/>
    <n v="7.0000000000000007E-2"/>
    <n v="6.4189999999999997E-2"/>
    <n v="0.91699999999999982"/>
    <n v="-7.0000000000000284E-2"/>
    <n v="7.0000000000000284E-2"/>
    <x v="0"/>
    <n v="13.6"/>
    <n v="0"/>
    <n v="1"/>
  </r>
  <r>
    <s v="AJEET KUMAR"/>
    <d v="2026-06-05T00:00:00"/>
    <s v="SR-RTN/26-27/33003"/>
    <s v="B-291421/1"/>
    <s v="B-GOLD-FILING"/>
    <s v="GOLD-FILLING-WK"/>
    <x v="0"/>
    <s v="G-NA-91.70-YG"/>
    <n v="4.2300000000000004"/>
    <n v="3.8789099999999999"/>
    <n v="0.91699999999999993"/>
    <n v="3.98"/>
    <n v="3.6496599999999999"/>
    <n v="3.65"/>
    <n v="0.91699999999999993"/>
    <n v="0"/>
    <n v="0"/>
    <n v="0"/>
    <n v="0"/>
    <n v="0"/>
    <n v="0"/>
    <n v="0"/>
    <n v="0"/>
    <n v="0"/>
    <n v="0.25"/>
    <n v="0.22925000000000001"/>
    <n v="0.91700000000000004"/>
    <n v="-0.25000000000000044"/>
    <n v="0.25000000000000044"/>
    <x v="0"/>
    <n v="3.65"/>
    <n v="0"/>
    <n v="1"/>
  </r>
  <r>
    <s v="AJEET KUMAR"/>
    <d v="2026-06-05T00:00:00"/>
    <s v="SR-RTN/26-27/33004"/>
    <s v="B-294277"/>
    <s v="B-GOLD-FILING"/>
    <s v="GOLD-FILLING-WK"/>
    <x v="0"/>
    <s v="G-NA-91.70-YG"/>
    <n v="24.04"/>
    <n v="22.04468"/>
    <n v="0.91700000000000004"/>
    <n v="23.77"/>
    <n v="21.797090000000001"/>
    <n v="21.798000000000002"/>
    <n v="0.91700000000000004"/>
    <n v="0"/>
    <n v="0"/>
    <n v="0"/>
    <n v="0"/>
    <n v="0"/>
    <n v="0"/>
    <n v="0"/>
    <n v="0"/>
    <n v="0"/>
    <n v="0.27"/>
    <n v="0.24759"/>
    <n v="0.91699999999999993"/>
    <n v="-0.26999999999999957"/>
    <n v="0.26999999999999957"/>
    <x v="1"/>
    <n v="20.037000000000003"/>
    <n v="1.7609999999999992"/>
    <n v="2"/>
  </r>
  <r>
    <s v="AJEET KUMAR"/>
    <d v="2026-06-05T00:00:00"/>
    <s v="SR-RTN/26-27/33006"/>
    <s v="B-293637"/>
    <s v="B-GOLD-FILING"/>
    <s v="GOLD-FILLING-WK"/>
    <x v="1"/>
    <s v="G-NA-75.00-YG"/>
    <n v="7.88"/>
    <n v="5.91"/>
    <n v="0.75"/>
    <n v="7.26"/>
    <n v="5.4450000000000003"/>
    <n v="5.4450000000000003"/>
    <n v="0.75000000000000011"/>
    <n v="0"/>
    <n v="0"/>
    <n v="0"/>
    <n v="0"/>
    <n v="0"/>
    <n v="0"/>
    <n v="0"/>
    <n v="0"/>
    <n v="0"/>
    <n v="0.62"/>
    <n v="0.46500000000000002"/>
    <n v="0.75"/>
    <n v="-0.62000000000000011"/>
    <n v="0.62000000000000011"/>
    <x v="0"/>
    <n v="5.4450000000000003"/>
    <n v="0"/>
    <n v="1"/>
  </r>
  <r>
    <s v="AJEET KUMAR"/>
    <d v="2026-06-05T00:00:00"/>
    <s v="SR-RTN/26-27/33007"/>
    <s v="B-293640"/>
    <s v="B-GOLD-FILING"/>
    <s v="GOLD-FILLING-WK"/>
    <x v="1"/>
    <s v="G-NA-75.00-YG"/>
    <n v="7.01"/>
    <n v="5.2575000000000003"/>
    <n v="0.75000000000000011"/>
    <n v="6.57"/>
    <n v="4.9275000000000002"/>
    <n v="4.9279999999999999"/>
    <n v="0.75"/>
    <n v="0"/>
    <n v="0"/>
    <n v="0"/>
    <n v="0"/>
    <n v="0"/>
    <n v="0"/>
    <n v="0"/>
    <n v="0"/>
    <n v="0"/>
    <n v="0.44"/>
    <n v="0.33"/>
    <n v="0.75"/>
    <n v="-0.4399999999999995"/>
    <n v="0.4399999999999995"/>
    <x v="0"/>
    <n v="4.9279999999999999"/>
    <n v="0"/>
    <n v="1"/>
  </r>
  <r>
    <s v="AJEET KUMAR"/>
    <d v="2026-06-05T00:00:00"/>
    <s v="SR-RTN/26-27/33008"/>
    <s v="B-293641"/>
    <s v="B-GOLD-FILING"/>
    <s v="GOLD-FILLING-WK"/>
    <x v="1"/>
    <s v="G-NA-75.00-YG"/>
    <n v="8.7799999999999994"/>
    <n v="6.585"/>
    <n v="0.75"/>
    <n v="8.35"/>
    <n v="6.2625000000000002"/>
    <n v="6.2629999999999999"/>
    <n v="0.75"/>
    <n v="0"/>
    <n v="0"/>
    <n v="0"/>
    <n v="0"/>
    <n v="0"/>
    <n v="0"/>
    <n v="0"/>
    <n v="0"/>
    <n v="0"/>
    <n v="0.43"/>
    <n v="0.32250000000000001"/>
    <n v="0.75"/>
    <n v="-0.42999999999999972"/>
    <n v="0.42999999999999972"/>
    <x v="0"/>
    <n v="6.2629999999999999"/>
    <n v="0"/>
    <n v="1"/>
  </r>
  <r>
    <s v="AJEET KUMAR"/>
    <d v="2026-06-05T00:00:00"/>
    <s v="SR-RTN/26-27/33009"/>
    <s v="B-293634"/>
    <s v="B-GOLD-FILING"/>
    <s v="GOLD-FILLING-WK"/>
    <x v="1"/>
    <s v="G-NA-75.00-YG"/>
    <n v="7.28"/>
    <n v="5.46"/>
    <n v="0.75"/>
    <n v="6.86"/>
    <n v="5.1449999999999996"/>
    <n v="5.1449999999999996"/>
    <n v="0.74999999999999989"/>
    <n v="0"/>
    <n v="0"/>
    <n v="0"/>
    <n v="0"/>
    <n v="0"/>
    <n v="0"/>
    <n v="0"/>
    <n v="0"/>
    <n v="0"/>
    <n v="0.42"/>
    <n v="0.315"/>
    <n v="0.75"/>
    <n v="-0.41999999999999993"/>
    <n v="0.41999999999999993"/>
    <x v="0"/>
    <n v="5.1449999999999996"/>
    <n v="0"/>
    <n v="1"/>
  </r>
  <r>
    <s v="AJEET KUMAR"/>
    <d v="2026-06-05T00:00:00"/>
    <s v="SR-RTN/26-27/33025"/>
    <s v="B-295903"/>
    <s v="B-GOLD-FILING"/>
    <s v="GOLD-FILLING-WK"/>
    <x v="1"/>
    <s v="G-NA-75.00-YG"/>
    <n v="32.46"/>
    <n v="24.344999999999999"/>
    <n v="0.75"/>
    <n v="30.32"/>
    <n v="22.74"/>
    <n v="22.74"/>
    <n v="0.74999999999999989"/>
    <n v="0"/>
    <n v="0"/>
    <n v="0"/>
    <n v="0"/>
    <n v="0"/>
    <n v="0"/>
    <n v="0"/>
    <n v="0"/>
    <n v="0"/>
    <n v="2.14"/>
    <n v="1.605"/>
    <n v="0.75"/>
    <n v="-2.1400000000000006"/>
    <n v="2.1400000000000006"/>
    <x v="1"/>
    <n v="18.585000000000001"/>
    <n v="4.1549999999999976"/>
    <n v="2"/>
  </r>
  <r>
    <s v="AJEET KUMAR"/>
    <d v="2026-06-05T00:00:00"/>
    <s v="SR-RTN/26-27/33025"/>
    <s v="B-296922"/>
    <s v="B-GOLD-FILING"/>
    <s v="GOLD-FILLING-WK"/>
    <x v="1"/>
    <s v="G-NA-75.00-RG"/>
    <n v="27.47"/>
    <n v="20.602499999999999"/>
    <n v="0.75"/>
    <n v="25.55"/>
    <n v="19.162500000000001"/>
    <n v="19.163"/>
    <n v="0.75"/>
    <n v="0"/>
    <n v="0"/>
    <n v="0"/>
    <n v="0"/>
    <n v="0"/>
    <n v="0"/>
    <n v="0"/>
    <n v="0"/>
    <n v="0"/>
    <n v="1.92"/>
    <n v="1.44"/>
    <n v="0.75"/>
    <n v="-1.9199999999999982"/>
    <n v="1.9199999999999982"/>
    <x v="0"/>
    <n v="19.163"/>
    <n v="0"/>
    <n v="1"/>
  </r>
  <r>
    <s v="AJEET KUMAR"/>
    <d v="2026-06-05T00:00:00"/>
    <s v="SR-RTN/26-27/33025"/>
    <s v="B-297092"/>
    <s v="B-GOLD-FILING"/>
    <s v="GOLD-FILLING-WK"/>
    <x v="0"/>
    <s v="G-NA-91.70-YG"/>
    <n v="123.95"/>
    <n v="113.66215"/>
    <n v="0.91699999999999993"/>
    <n v="119.75"/>
    <n v="109.81075"/>
    <n v="109.81100000000001"/>
    <n v="0.91700000000000004"/>
    <n v="0"/>
    <n v="0"/>
    <n v="0"/>
    <n v="0"/>
    <n v="0"/>
    <n v="0"/>
    <n v="0"/>
    <n v="0"/>
    <n v="0"/>
    <n v="4.2"/>
    <n v="3.8513999999999999"/>
    <n v="0.91699999999999993"/>
    <n v="-4.2000000000000028"/>
    <n v="4.2000000000000028"/>
    <x v="0"/>
    <n v="109.81100000000001"/>
    <n v="0"/>
    <n v="1"/>
  </r>
  <r>
    <s v="AJEET KUMAR"/>
    <d v="2026-06-05T00:00:00"/>
    <s v="SR-RTN/26-27/33025"/>
    <s v="B-297128"/>
    <s v="B-GOLD-FILING"/>
    <s v="GOLD-FILLING-WK"/>
    <x v="0"/>
    <s v="G-NA-91.70-YG"/>
    <n v="39.89"/>
    <n v="36.579129999999999"/>
    <n v="0.91699999999999993"/>
    <n v="37.119999999999997"/>
    <n v="34.03904"/>
    <n v="34.04"/>
    <n v="0.91700000000000004"/>
    <n v="0"/>
    <n v="0"/>
    <n v="0"/>
    <n v="0"/>
    <n v="0"/>
    <n v="0"/>
    <n v="0"/>
    <n v="0"/>
    <n v="0"/>
    <n v="2.77"/>
    <n v="2.5400900000000002"/>
    <n v="0.91700000000000004"/>
    <n v="-2.7700000000000031"/>
    <n v="2.7700000000000031"/>
    <x v="0"/>
    <n v="34.04"/>
    <n v="0"/>
    <n v="1"/>
  </r>
  <r>
    <s v="AJEET KUMAR"/>
    <d v="2026-06-05T00:00:00"/>
    <s v="SR-RTN/26-27/33025"/>
    <s v="B-297133"/>
    <s v="B-GOLD-FILING"/>
    <s v="GOLD-FILLING-WK"/>
    <x v="0"/>
    <s v="G-NA-91.70-YG"/>
    <n v="42.26"/>
    <n v="38.752420000000001"/>
    <n v="0.91700000000000004"/>
    <n v="39.06"/>
    <n v="35.818019999999997"/>
    <n v="35.818999999999996"/>
    <n v="0.91699999999999993"/>
    <n v="0"/>
    <n v="0"/>
    <n v="0"/>
    <n v="0"/>
    <n v="0"/>
    <n v="0"/>
    <n v="0"/>
    <n v="0"/>
    <n v="0"/>
    <n v="3.2"/>
    <n v="2.9344000000000001"/>
    <n v="0.91700000000000004"/>
    <n v="-3.1999999999999957"/>
    <n v="3.1999999999999957"/>
    <x v="0"/>
    <n v="35.818999999999996"/>
    <n v="0"/>
    <n v="1"/>
  </r>
  <r>
    <s v="AJEET KUMAR"/>
    <d v="2026-06-05T00:00:00"/>
    <s v="SR-RTN/26-27/33033"/>
    <s v="B-297336"/>
    <s v="B-GOLD-FILING"/>
    <s v="GOLD-FILLING-WK"/>
    <x v="0"/>
    <s v="G-NA-91.70-YG"/>
    <n v="34.591999999999999"/>
    <n v="31.720863999999999"/>
    <n v="0.91700000000000004"/>
    <n v="33.161999999999999"/>
    <n v="30.409554"/>
    <n v="30.41"/>
    <n v="0.91700000000000004"/>
    <n v="0"/>
    <n v="0"/>
    <n v="0"/>
    <n v="0"/>
    <n v="0"/>
    <n v="0"/>
    <n v="0"/>
    <n v="0"/>
    <n v="0"/>
    <n v="1.43"/>
    <n v="1.31131"/>
    <n v="0.91700000000000004"/>
    <n v="-1.4299999999999997"/>
    <n v="1.4299999999999997"/>
    <x v="0"/>
    <n v="30.41"/>
    <n v="0"/>
    <n v="1"/>
  </r>
  <r>
    <s v="AJEET KUMAR"/>
    <d v="2026-06-05T00:00:00"/>
    <s v="SR-RTN/26-27/33035"/>
    <s v="B-291401/1"/>
    <s v="B-GOLD-FILING"/>
    <s v="GOLD-FILLING-WK"/>
    <x v="0"/>
    <s v="G-NA-91.70-YG"/>
    <n v="9.02"/>
    <n v="8.2713400000000004"/>
    <n v="0.91700000000000004"/>
    <n v="8.9600000000000009"/>
    <n v="8.2163199999999996"/>
    <n v="8.2169999999999987"/>
    <n v="0.91699999999999982"/>
    <n v="0"/>
    <n v="0"/>
    <n v="0"/>
    <n v="0"/>
    <n v="0"/>
    <n v="0"/>
    <n v="0"/>
    <n v="0"/>
    <n v="0"/>
    <n v="0.06"/>
    <n v="5.5019999999999999E-2"/>
    <n v="0.91700000000000004"/>
    <n v="-5.9999999999998721E-2"/>
    <n v="5.9999999999998721E-2"/>
    <x v="0"/>
    <n v="8.2169999999999987"/>
    <n v="0"/>
    <n v="1"/>
  </r>
  <r>
    <s v="AJEET KUMAR"/>
    <d v="2026-06-05T00:00:00"/>
    <s v="SR-RTN/26-27/33052"/>
    <s v="B-292217"/>
    <s v="B-GOLD-FILING"/>
    <s v="GOLD-FILLING-WK"/>
    <x v="0"/>
    <s v="G-NA-91.70-YG"/>
    <n v="13.62"/>
    <n v="12.48954"/>
    <n v="0.91700000000000004"/>
    <n v="12.93"/>
    <n v="11.856809999999999"/>
    <n v="11.856999999999999"/>
    <n v="0.91699999999999993"/>
    <n v="0"/>
    <n v="0"/>
    <n v="0"/>
    <n v="0"/>
    <n v="0"/>
    <n v="0"/>
    <n v="0"/>
    <n v="0"/>
    <n v="0"/>
    <n v="0.69"/>
    <n v="0.63273000000000001"/>
    <n v="0.91700000000000004"/>
    <n v="-0.6899999999999995"/>
    <n v="0.6899999999999995"/>
    <x v="0"/>
    <n v="11.856999999999999"/>
    <n v="0"/>
    <n v="1"/>
  </r>
  <r>
    <s v="AJEET KUMAR"/>
    <d v="2026-06-05T00:00:00"/>
    <s v="SR-RTN/26-27/33053"/>
    <s v="B-296301"/>
    <s v="B-GOLD-FILING"/>
    <s v="GOLD-FILLING-WK"/>
    <x v="1"/>
    <s v="G-NA-75.00-RG"/>
    <n v="18.727"/>
    <n v="14.045249999999999"/>
    <n v="0.75"/>
    <n v="18.727"/>
    <n v="14.045249999999999"/>
    <n v="14.045999999999999"/>
    <n v="0.75"/>
    <n v="0"/>
    <n v="0"/>
    <n v="0"/>
    <n v="0"/>
    <n v="0"/>
    <n v="0"/>
    <n v="0"/>
    <n v="0"/>
    <n v="0"/>
    <n v="0"/>
    <n v="0"/>
    <n v="0"/>
    <n v="0"/>
    <n v="0"/>
    <x v="0"/>
    <n v="14.045999999999999"/>
    <n v="0"/>
    <n v="2"/>
  </r>
  <r>
    <s v="AJEET KUMAR"/>
    <d v="2026-06-05T00:00:00"/>
    <s v="SR-RTN/26-27/33053"/>
    <s v="B-297091"/>
    <s v="B-GOLD-FILING"/>
    <s v="GOLD-FILLING-WK"/>
    <x v="0"/>
    <s v="G-NA-91.70-YG"/>
    <n v="91.03"/>
    <n v="83.474509999999995"/>
    <n v="0.91699999999999993"/>
    <n v="83.44"/>
    <n v="76.514480000000006"/>
    <n v="76.515000000000001"/>
    <n v="0.91700000000000015"/>
    <n v="0"/>
    <n v="0"/>
    <n v="0"/>
    <n v="0"/>
    <n v="0"/>
    <n v="0"/>
    <n v="0"/>
    <n v="0"/>
    <n v="0"/>
    <n v="7.59"/>
    <n v="6.9600299999999997"/>
    <n v="0.91699999999999993"/>
    <n v="-7.5900000000000034"/>
    <n v="7.5900000000000034"/>
    <x v="1"/>
    <n v="75.286000000000001"/>
    <n v="1.2289999999999992"/>
    <n v="3"/>
  </r>
  <r>
    <s v="AJEET KUMAR"/>
    <d v="2026-06-05T00:00:00"/>
    <s v="SR-RTN/26-27/33072"/>
    <s v="B-296904"/>
    <s v="B-GOLD-FILING"/>
    <s v="GOLD-FILLING-WK"/>
    <x v="0"/>
    <s v="G-NA-91.70-YG"/>
    <n v="55.83"/>
    <n v="51.196109999999997"/>
    <n v="0.91699999999999993"/>
    <n v="55.83"/>
    <n v="51.196109999999997"/>
    <n v="51.196999999999996"/>
    <n v="0.91699999999999993"/>
    <n v="0"/>
    <n v="0"/>
    <n v="0"/>
    <n v="0"/>
    <n v="0"/>
    <n v="0"/>
    <n v="0"/>
    <n v="0"/>
    <n v="0"/>
    <n v="0"/>
    <n v="0"/>
    <n v="0"/>
    <n v="0"/>
    <n v="0"/>
    <x v="0"/>
    <n v="51.196999999999996"/>
    <n v="0"/>
    <n v="2"/>
  </r>
  <r>
    <s v="AJEET KUMAR"/>
    <d v="2026-06-05T00:00:00"/>
    <s v="SR-RTN/26-27/33081"/>
    <s v="B-291341"/>
    <s v="B-GOLD-FILING"/>
    <s v="GOLD-FILLING-WK"/>
    <x v="0"/>
    <s v="G-NA-91.70-YG"/>
    <n v="3.23"/>
    <n v="2.96191"/>
    <n v="0.91700000000000004"/>
    <n v="3.23"/>
    <n v="2.96191"/>
    <n v="2.9619999999999997"/>
    <n v="0.91700000000000004"/>
    <n v="0"/>
    <n v="0"/>
    <n v="0"/>
    <n v="0"/>
    <n v="0"/>
    <n v="0"/>
    <n v="0"/>
    <n v="0"/>
    <n v="0"/>
    <n v="0"/>
    <n v="0"/>
    <n v="0"/>
    <n v="0"/>
    <n v="0"/>
    <x v="0"/>
    <n v="2.9619999999999997"/>
    <n v="0"/>
    <n v="1"/>
  </r>
  <r>
    <s v="AJEET KUMAR"/>
    <d v="2026-06-05T00:00:00"/>
    <s v="SR-RTN/26-27/33095"/>
    <s v="B-297877"/>
    <s v="B-GOLD-FILING"/>
    <s v="GOLD-FILLING-WK"/>
    <x v="1"/>
    <s v="G-NA-75.00-YG"/>
    <n v="4.7699999999999996"/>
    <n v="3.5775000000000001"/>
    <n v="0.75000000000000011"/>
    <n v="4.7699999999999996"/>
    <n v="3.5775000000000001"/>
    <n v="3.5779999999999998"/>
    <n v="0.75000000000000011"/>
    <n v="0"/>
    <n v="0"/>
    <n v="0"/>
    <n v="0"/>
    <n v="0"/>
    <n v="0"/>
    <n v="0"/>
    <n v="0"/>
    <n v="0"/>
    <n v="0"/>
    <n v="0"/>
    <n v="0"/>
    <n v="0"/>
    <n v="0"/>
    <x v="1"/>
    <n v="3.4049999999999998"/>
    <n v="0.17300000000000004"/>
    <n v="2"/>
  </r>
  <r>
    <s v="AJEET KUMAR"/>
    <d v="2026-06-05T00:00:00"/>
    <s v="SR-RTN/26-27/33095"/>
    <s v="B-297878"/>
    <s v="B-GOLD-FILING"/>
    <s v="GOLD-FILLING-WK"/>
    <x v="1"/>
    <s v="G-NA-75.00-YG"/>
    <n v="1.56"/>
    <n v="1.17"/>
    <n v="0.74999999999999989"/>
    <n v="1.56"/>
    <n v="1.17"/>
    <n v="1.17"/>
    <n v="0.74999999999999989"/>
    <n v="0"/>
    <n v="0"/>
    <n v="0"/>
    <n v="0"/>
    <n v="0"/>
    <n v="0"/>
    <n v="0"/>
    <n v="0"/>
    <n v="0"/>
    <n v="0"/>
    <n v="0"/>
    <n v="0"/>
    <n v="0"/>
    <n v="0"/>
    <x v="0"/>
    <n v="1.17"/>
    <n v="0"/>
    <n v="2"/>
  </r>
  <r>
    <s v="AJEET KUMAR"/>
    <d v="2026-06-05T00:00:00"/>
    <s v="SR-RTN/26-27/33140"/>
    <s v="B-296057"/>
    <s v="B-GOLD-FILING"/>
    <s v="GOLD-FILLING-WK"/>
    <x v="0"/>
    <s v="G-NA-91.70-YG"/>
    <n v="220.78"/>
    <n v="202.45526000000001"/>
    <n v="0.91700000000000004"/>
    <n v="209.51"/>
    <n v="192.12066999999999"/>
    <n v="192.12100000000001"/>
    <n v="0.91700000000000004"/>
    <n v="0"/>
    <n v="0"/>
    <n v="0"/>
    <n v="0"/>
    <n v="0"/>
    <n v="0"/>
    <n v="0"/>
    <n v="0"/>
    <n v="0"/>
    <n v="11.27"/>
    <n v="10.33459"/>
    <n v="0.91700000000000004"/>
    <n v="-11.27000000000001"/>
    <n v="11.27000000000001"/>
    <x v="0"/>
    <n v="192.12100000000001"/>
    <n v="0"/>
    <n v="1"/>
  </r>
  <r>
    <s v="AJEET KUMAR"/>
    <d v="2026-06-05T00:00:00"/>
    <s v="SR-RTN/26-27/33140"/>
    <s v="B-296303"/>
    <s v="B-GOLD-FILING"/>
    <s v="GOLD-FILLING-WK"/>
    <x v="1"/>
    <s v="G-NA-75.00-RG"/>
    <n v="32.11"/>
    <n v="24.0825"/>
    <n v="0.75"/>
    <n v="30.7"/>
    <n v="23.024999999999999"/>
    <n v="23.024999999999999"/>
    <n v="0.75"/>
    <n v="0"/>
    <n v="0"/>
    <n v="0"/>
    <n v="0"/>
    <n v="0"/>
    <n v="0"/>
    <n v="0"/>
    <n v="0"/>
    <n v="0"/>
    <n v="1.41"/>
    <n v="1.0575000000000001"/>
    <n v="0.75000000000000011"/>
    <n v="-1.41"/>
    <n v="1.41"/>
    <x v="0"/>
    <n v="23.024999999999999"/>
    <n v="0"/>
    <n v="1"/>
  </r>
  <r>
    <s v="AJEET KUMAR"/>
    <d v="2026-06-05T00:00:00"/>
    <s v="SR-RTN/26-27/33140"/>
    <s v="B-296840"/>
    <s v="B-GOLD-FILING"/>
    <s v="GOLD-FILLING-WK"/>
    <x v="1"/>
    <s v="G-NA-75.00-RG"/>
    <n v="16.71"/>
    <n v="12.532500000000001"/>
    <n v="0.75"/>
    <n v="14.93"/>
    <n v="11.1975"/>
    <n v="11.197999999999999"/>
    <n v="0.75"/>
    <n v="0"/>
    <n v="0"/>
    <n v="0"/>
    <n v="0"/>
    <n v="0"/>
    <n v="0"/>
    <n v="0"/>
    <n v="0"/>
    <n v="0"/>
    <n v="1.78"/>
    <n v="1.335"/>
    <n v="0.75"/>
    <n v="-1.7800000000000011"/>
    <n v="1.7800000000000011"/>
    <x v="0"/>
    <n v="11.197999999999999"/>
    <n v="0"/>
    <n v="1"/>
  </r>
  <r>
    <s v="AJEET KUMAR"/>
    <d v="2026-06-05T00:00:00"/>
    <s v="SR-RTN/26-27/33140"/>
    <s v="B-296965"/>
    <s v="B-GOLD-FILING"/>
    <s v="GOLD-FILLING-WK"/>
    <x v="1"/>
    <s v="G-NA-75.00-YG"/>
    <n v="20.22"/>
    <n v="15.164999999999999"/>
    <n v="0.75"/>
    <n v="19.649999999999999"/>
    <n v="14.737500000000001"/>
    <n v="14.738"/>
    <n v="0.75000000000000011"/>
    <n v="0"/>
    <n v="0"/>
    <n v="0"/>
    <n v="0"/>
    <n v="0"/>
    <n v="0"/>
    <n v="0"/>
    <n v="0"/>
    <n v="0"/>
    <n v="0.56999999999999995"/>
    <n v="0.42749999999999999"/>
    <n v="0.75"/>
    <n v="-0.57000000000000028"/>
    <n v="0.57000000000000028"/>
    <x v="0"/>
    <n v="14.738"/>
    <n v="0"/>
    <n v="1"/>
  </r>
  <r>
    <s v="AJEET KUMAR"/>
    <d v="2026-06-05T00:00:00"/>
    <s v="SR-RTN/26-27/33140"/>
    <s v="B-297130"/>
    <s v="B-GOLD-FILING"/>
    <s v="GOLD-FILLING-WK"/>
    <x v="0"/>
    <s v="G-NA-91.70-YG"/>
    <n v="48.78"/>
    <n v="44.731259999999999"/>
    <n v="0.91699999999999993"/>
    <n v="46.33"/>
    <n v="42.484610000000004"/>
    <n v="42.484999999999999"/>
    <n v="0.91700000000000015"/>
    <n v="0"/>
    <n v="0"/>
    <n v="0"/>
    <n v="0"/>
    <n v="0"/>
    <n v="0"/>
    <n v="0"/>
    <n v="0"/>
    <n v="0"/>
    <n v="2.4500000000000002"/>
    <n v="2.2466499999999998"/>
    <n v="0.91699999999999982"/>
    <n v="-2.4500000000000028"/>
    <n v="2.4500000000000028"/>
    <x v="0"/>
    <n v="42.484999999999999"/>
    <n v="0"/>
    <n v="1"/>
  </r>
  <r>
    <s v="AJEET KUMAR"/>
    <d v="2026-06-05T00:00:00"/>
    <s v="SR-RTN/26-27/33156"/>
    <s v="B-296330"/>
    <s v="B-GOLD-FILING"/>
    <s v="GOLD-FILLING-WK"/>
    <x v="1"/>
    <s v="G-NA-75.00-RG"/>
    <n v="19.68"/>
    <n v="14.76"/>
    <n v="0.75"/>
    <n v="17.190000000000001"/>
    <n v="12.8925"/>
    <n v="12.892999999999999"/>
    <n v="0.75"/>
    <n v="0"/>
    <n v="0"/>
    <n v="0"/>
    <n v="0"/>
    <n v="0"/>
    <n v="0"/>
    <n v="0"/>
    <n v="0"/>
    <n v="0"/>
    <n v="2.4900000000000002"/>
    <n v="1.8674999999999999"/>
    <n v="0.74999999999999989"/>
    <n v="-2.4899999999999984"/>
    <n v="2.4899999999999984"/>
    <x v="0"/>
    <n v="12.892999999999999"/>
    <n v="0"/>
    <n v="1"/>
  </r>
  <r>
    <s v="AJEET KUMAR"/>
    <d v="2026-06-05T00:00:00"/>
    <s v="SR-RTN/26-27/33156"/>
    <s v="B-297126"/>
    <s v="B-GOLD-FILING"/>
    <s v="GOLD-FILLING-WK"/>
    <x v="0"/>
    <s v="G-NA-91.70-YG"/>
    <n v="56.09"/>
    <n v="51.434530000000002"/>
    <n v="0.91700000000000004"/>
    <n v="53.32"/>
    <n v="48.894440000000003"/>
    <n v="48.894999999999996"/>
    <n v="0.91700000000000004"/>
    <n v="0"/>
    <n v="0"/>
    <n v="0"/>
    <n v="0"/>
    <n v="0"/>
    <n v="0"/>
    <n v="0"/>
    <n v="0"/>
    <n v="0"/>
    <n v="2.77"/>
    <n v="2.5400900000000002"/>
    <n v="0.91700000000000004"/>
    <n v="-2.7700000000000031"/>
    <n v="2.7700000000000031"/>
    <x v="0"/>
    <n v="48.894999999999996"/>
    <n v="0"/>
    <n v="1"/>
  </r>
  <r>
    <s v="AJEET KUMAR"/>
    <d v="2026-06-05T00:00:00"/>
    <s v="SR-RTN/26-27/33156"/>
    <s v="B-297134"/>
    <s v="B-GOLD-FILING"/>
    <s v="GOLD-FILLING-WK"/>
    <x v="0"/>
    <s v="G-NA-91.70-YG"/>
    <n v="47.99"/>
    <n v="44.006830000000001"/>
    <n v="0.91699999999999993"/>
    <n v="45.67"/>
    <n v="41.879390000000001"/>
    <n v="41.879999999999995"/>
    <n v="0.91700000000000004"/>
    <n v="0"/>
    <n v="0"/>
    <n v="0"/>
    <n v="0"/>
    <n v="0"/>
    <n v="0"/>
    <n v="0"/>
    <n v="0"/>
    <n v="0"/>
    <n v="2.3199999999999998"/>
    <n v="2.12744"/>
    <n v="0.91700000000000004"/>
    <n v="-2.3200000000000003"/>
    <n v="2.3200000000000003"/>
    <x v="0"/>
    <n v="41.879999999999995"/>
    <n v="0"/>
    <n v="1"/>
  </r>
  <r>
    <s v="AJEET KUMAR"/>
    <d v="2026-06-05T00:00:00"/>
    <s v="SR-W/O-RTN/26-27/2383"/>
    <s v="NONE"/>
    <s v="B-GOLD-FILING"/>
    <s v="GOLD-FILLING-WK"/>
    <x v="1"/>
    <s v="G-NA-75.00-RG"/>
    <n v="7.53"/>
    <n v="5.6475"/>
    <n v="0.75"/>
    <n v="5.59"/>
    <n v="4.1924999999999999"/>
    <n v="4.1930000000000005"/>
    <n v="0.75"/>
    <n v="0"/>
    <n v="0"/>
    <n v="0"/>
    <n v="0"/>
    <n v="0"/>
    <n v="0"/>
    <n v="0"/>
    <n v="0"/>
    <n v="0"/>
    <n v="1.94"/>
    <n v="1.4550000000000001"/>
    <n v="0.75000000000000011"/>
    <n v="-1.9400000000000004"/>
    <n v="1.9400000000000004"/>
    <x v="1"/>
    <n v="0"/>
    <n v="4.1930000000000005"/>
    <n v="67"/>
  </r>
  <r>
    <s v="AJEET KUMAR"/>
    <d v="2026-06-05T00:00:00"/>
    <s v="SR-W/O-RTN/26-27/2383"/>
    <s v="NONE"/>
    <s v="B-GOLD-FILING"/>
    <s v="GOLD-FILLING-WK"/>
    <x v="1"/>
    <s v="G-NA-75.00-YG"/>
    <n v="10.48"/>
    <n v="7.86"/>
    <n v="0.75"/>
    <n v="10.16"/>
    <n v="7.62"/>
    <n v="7.62"/>
    <n v="0.75"/>
    <n v="0"/>
    <n v="0"/>
    <n v="0"/>
    <n v="0"/>
    <n v="0"/>
    <n v="0"/>
    <n v="0"/>
    <n v="0"/>
    <n v="0"/>
    <n v="0.32"/>
    <n v="0.24"/>
    <n v="0.75"/>
    <n v="-0.32000000000000028"/>
    <n v="0.32000000000000028"/>
    <x v="1"/>
    <n v="0"/>
    <n v="7.62"/>
    <n v="67"/>
  </r>
  <r>
    <s v="AJEET KUMAR"/>
    <d v="2026-06-06T00:00:00"/>
    <s v="RTN-8700982"/>
    <s v="SR-41841"/>
    <s v="CAST-FILLING"/>
    <s v="GOLD-FILLING-WK"/>
    <x v="1"/>
    <s v="G-NA-75.00-RG"/>
    <n v="54.02"/>
    <n v="40.515000000000001"/>
    <n v="0.75"/>
    <n v="49.55"/>
    <n v="37.162500000000001"/>
    <n v="37.162999999999997"/>
    <n v="0.75000000000000011"/>
    <n v="0"/>
    <n v="0"/>
    <n v="0"/>
    <n v="0"/>
    <n v="0"/>
    <n v="0"/>
    <n v="0"/>
    <n v="0"/>
    <n v="0"/>
    <n v="4.47"/>
    <n v="3.3525"/>
    <n v="0.75"/>
    <n v="-4.470000000000006"/>
    <n v="4.470000000000006"/>
    <x v="0"/>
    <n v="37.162999999999997"/>
    <n v="0"/>
    <n v="1"/>
  </r>
  <r>
    <s v="AJEET KUMAR"/>
    <d v="2026-06-06T00:00:00"/>
    <s v="RTN-8704782"/>
    <s v="SR-42013"/>
    <s v="CAST-FILLING"/>
    <s v="GOLD-FILLING-WK"/>
    <x v="0"/>
    <s v="G-NA-91.70-YG"/>
    <n v="47.13"/>
    <n v="43.218209999999999"/>
    <n v="0.91699999999999993"/>
    <n v="45.35"/>
    <n v="41.585949999999997"/>
    <n v="41.585999999999999"/>
    <n v="0.91699999999999993"/>
    <n v="0"/>
    <n v="0"/>
    <n v="0"/>
    <n v="0"/>
    <n v="0"/>
    <n v="0"/>
    <n v="0"/>
    <n v="0"/>
    <n v="0"/>
    <n v="1.78"/>
    <n v="1.63226"/>
    <n v="0.91700000000000004"/>
    <n v="-1.7800000000000011"/>
    <n v="1.7800000000000011"/>
    <x v="0"/>
    <n v="41.585999999999999"/>
    <n v="0"/>
    <n v="1"/>
  </r>
  <r>
    <s v="AJEET KUMAR"/>
    <d v="2026-06-06T00:00:00"/>
    <s v="RTN-8708386"/>
    <s v="SR-41846"/>
    <s v="CAST-FILLING"/>
    <s v="GOLD-FILLING-WK"/>
    <x v="1"/>
    <s v="G-NA-75.00-RG"/>
    <n v="103.89"/>
    <n v="77.917500000000004"/>
    <n v="0.75"/>
    <n v="93.95"/>
    <n v="70.462500000000006"/>
    <n v="70.463000000000008"/>
    <n v="0.75"/>
    <n v="0"/>
    <n v="0"/>
    <n v="0"/>
    <n v="0"/>
    <n v="0"/>
    <n v="0"/>
    <n v="0"/>
    <n v="0"/>
    <n v="0"/>
    <n v="9.94"/>
    <n v="7.4550000000000001"/>
    <n v="0.75"/>
    <n v="-9.9399999999999977"/>
    <n v="9.9399999999999977"/>
    <x v="0"/>
    <n v="70.463000000000008"/>
    <n v="0"/>
    <n v="1"/>
  </r>
  <r>
    <s v="AJEET KUMAR"/>
    <d v="2026-06-06T00:00:00"/>
    <s v="RTN-8712681"/>
    <s v="SR-41791"/>
    <s v="CAST-FILLING"/>
    <s v="GOLD-FILLING-WK"/>
    <x v="1"/>
    <s v="G-NA-75.00-RG"/>
    <n v="171.41"/>
    <n v="128.5575"/>
    <n v="0.75"/>
    <n v="155.59"/>
    <n v="116.6925"/>
    <n v="116.693"/>
    <n v="0.75"/>
    <n v="0"/>
    <n v="0"/>
    <n v="0"/>
    <n v="0"/>
    <n v="0"/>
    <n v="0"/>
    <n v="0"/>
    <n v="0"/>
    <n v="0"/>
    <n v="15.82"/>
    <n v="11.865"/>
    <n v="0.75"/>
    <n v="-15.819999999999993"/>
    <n v="15.819999999999993"/>
    <x v="0"/>
    <n v="116.693"/>
    <n v="0"/>
    <n v="2"/>
  </r>
  <r>
    <s v="AJEET KUMAR"/>
    <d v="2026-06-06T00:00:00"/>
    <s v="RTN-8712704"/>
    <s v="SR-41696"/>
    <s v="CAST-FILLING"/>
    <s v="GOLD-FILLING-WK"/>
    <x v="0"/>
    <s v="G-NA-91.70-YG"/>
    <n v="66.715999999999994"/>
    <n v="61.178572000000003"/>
    <n v="0.91700000000000015"/>
    <n v="65.665999999999997"/>
    <n v="60.215722"/>
    <n v="60.216000000000001"/>
    <n v="0.91700000000000004"/>
    <n v="0"/>
    <n v="0"/>
    <n v="0"/>
    <n v="0"/>
    <n v="0"/>
    <n v="0"/>
    <n v="0"/>
    <n v="0"/>
    <n v="0"/>
    <n v="1.05"/>
    <n v="0.96284999999999998"/>
    <n v="0.91699999999999993"/>
    <n v="-1.0499999999999972"/>
    <n v="1.0499999999999972"/>
    <x v="1"/>
    <n v="18.456"/>
    <n v="41.760000000000005"/>
    <n v="3"/>
  </r>
  <r>
    <s v="AJEET KUMAR"/>
    <d v="2026-06-06T00:00:00"/>
    <s v="SR-ROA/26-27/982"/>
    <s v="NONE"/>
    <s v="CAST-FILLING"/>
    <s v="GOLD-FILLING-WK"/>
    <x v="0"/>
    <s v="G-NA-91.70-YG"/>
    <n v="11.75"/>
    <n v="10.774749999999999"/>
    <n v="0.91699999999999993"/>
    <n v="7.21"/>
    <n v="6.6115700000000004"/>
    <n v="6.6120000000000001"/>
    <n v="0.91700000000000004"/>
    <n v="0"/>
    <n v="0"/>
    <n v="0"/>
    <n v="0"/>
    <n v="0"/>
    <n v="0"/>
    <n v="0"/>
    <n v="0"/>
    <n v="0"/>
    <n v="4.54"/>
    <n v="4.1631799999999997"/>
    <n v="0.91699999999999993"/>
    <n v="-4.54"/>
    <n v="4.54"/>
    <x v="1"/>
    <n v="0"/>
    <n v="6.6120000000000001"/>
    <n v="67"/>
  </r>
  <r>
    <s v="AJEET KUMAR"/>
    <d v="2026-06-06T00:00:00"/>
    <s v="SR-RTN/26-27/33214"/>
    <s v="B-296952"/>
    <s v="B-GOLD-FILING"/>
    <s v="GOLD-FILLING-WK"/>
    <x v="1"/>
    <s v="G-NA-75.00-RG"/>
    <n v="23.33"/>
    <n v="17.497499999999999"/>
    <n v="0.75"/>
    <n v="21.84"/>
    <n v="16.38"/>
    <n v="16.38"/>
    <n v="0.75"/>
    <n v="0"/>
    <n v="0"/>
    <n v="0"/>
    <n v="0"/>
    <n v="0"/>
    <n v="0"/>
    <n v="0"/>
    <n v="0"/>
    <n v="0"/>
    <n v="1.49"/>
    <n v="1.1174999999999999"/>
    <n v="0.75"/>
    <n v="-1.4899999999999984"/>
    <n v="1.4899999999999984"/>
    <x v="0"/>
    <n v="16.38"/>
    <n v="0"/>
    <n v="1"/>
  </r>
  <r>
    <s v="AJEET KUMAR"/>
    <d v="2026-06-06T00:00:00"/>
    <s v="SR-RTN/26-27/33215"/>
    <s v="B-295907"/>
    <s v="B-GOLD-FILING"/>
    <s v="GOLD-FILLING-WK"/>
    <x v="1"/>
    <s v="G-NA-75.00-YG"/>
    <n v="14.5"/>
    <n v="10.875"/>
    <n v="0.75"/>
    <n v="13.92"/>
    <n v="10.44"/>
    <n v="10.44"/>
    <n v="0.75"/>
    <n v="0"/>
    <n v="0"/>
    <n v="0"/>
    <n v="0"/>
    <n v="0"/>
    <n v="0"/>
    <n v="0"/>
    <n v="0"/>
    <n v="0"/>
    <n v="0.57999999999999996"/>
    <n v="0.435"/>
    <n v="0.75"/>
    <n v="-0.58000000000000007"/>
    <n v="0.58000000000000007"/>
    <x v="0"/>
    <n v="10.44"/>
    <n v="0"/>
    <n v="1"/>
  </r>
  <r>
    <s v="AJEET KUMAR"/>
    <d v="2026-06-06T00:00:00"/>
    <s v="SR-RTN/26-27/33216"/>
    <s v="B-293190"/>
    <s v="B-GOLD-FILING"/>
    <s v="GOLD-FILLING-WK"/>
    <x v="1"/>
    <s v="G-NA-75.00-RG"/>
    <n v="15.86"/>
    <n v="11.895"/>
    <n v="0.75"/>
    <n v="15.75"/>
    <n v="11.8125"/>
    <n v="11.812999999999999"/>
    <n v="0.75"/>
    <n v="0"/>
    <n v="0"/>
    <n v="0"/>
    <n v="0"/>
    <n v="0"/>
    <n v="0"/>
    <n v="0"/>
    <n v="0"/>
    <n v="0"/>
    <n v="0.11"/>
    <n v="8.2500000000000004E-2"/>
    <n v="0.75"/>
    <n v="-0.10999999999999943"/>
    <n v="0.10999999999999943"/>
    <x v="1"/>
    <n v="10.808"/>
    <n v="1.004999999999999"/>
    <n v="4"/>
  </r>
  <r>
    <s v="AJEET KUMAR"/>
    <d v="2026-06-06T00:00:00"/>
    <s v="SR-RTN/26-27/33217"/>
    <s v="B-295638"/>
    <s v="B-GOLD-FILING"/>
    <s v="GOLD-FILLING-WK"/>
    <x v="1"/>
    <s v="G-NA-75.00-RG"/>
    <n v="5.88"/>
    <n v="4.41"/>
    <n v="0.75"/>
    <n v="5.39"/>
    <n v="4.0425000000000004"/>
    <n v="4.0430000000000001"/>
    <n v="0.75000000000000011"/>
    <n v="0"/>
    <n v="0"/>
    <n v="0"/>
    <n v="0"/>
    <n v="0"/>
    <n v="0"/>
    <n v="0"/>
    <n v="0"/>
    <n v="0"/>
    <n v="0.49"/>
    <n v="0.36749999999999999"/>
    <n v="0.75"/>
    <n v="-0.49000000000000021"/>
    <n v="0.49000000000000021"/>
    <x v="0"/>
    <n v="4.0430000000000001"/>
    <n v="0"/>
    <n v="1"/>
  </r>
  <r>
    <s v="AJEET KUMAR"/>
    <d v="2026-06-06T00:00:00"/>
    <s v="SR-RTN/26-27/33218"/>
    <s v="B-296907"/>
    <s v="B-GOLD-FILING"/>
    <s v="GOLD-FILLING-WK"/>
    <x v="0"/>
    <s v="G-NA-91.70-YG"/>
    <n v="87.99"/>
    <n v="80.68683"/>
    <n v="0.91700000000000004"/>
    <n v="84.21"/>
    <n v="77.220569999999995"/>
    <n v="77.221000000000004"/>
    <n v="0.91700000000000004"/>
    <n v="0"/>
    <n v="0"/>
    <n v="0"/>
    <n v="0"/>
    <n v="0"/>
    <n v="0"/>
    <n v="0"/>
    <n v="0"/>
    <n v="0"/>
    <n v="3.78"/>
    <n v="3.4662600000000001"/>
    <n v="0.91700000000000004"/>
    <n v="-3.7800000000000011"/>
    <n v="3.7800000000000011"/>
    <x v="0"/>
    <n v="77.221000000000004"/>
    <n v="0"/>
    <n v="2"/>
  </r>
  <r>
    <s v="AJEET KUMAR"/>
    <d v="2026-06-06T00:00:00"/>
    <s v="SR-RTN/26-27/33219"/>
    <s v="B-297093"/>
    <s v="B-GOLD-FILING"/>
    <s v="GOLD-FILLING-WK"/>
    <x v="0"/>
    <s v="G-NA-91.70-YG"/>
    <n v="73"/>
    <n v="66.941000000000003"/>
    <n v="0.91700000000000004"/>
    <n v="71.91"/>
    <n v="65.941469999999995"/>
    <n v="65.942000000000007"/>
    <n v="0.91699999999999993"/>
    <n v="0"/>
    <n v="0"/>
    <n v="0"/>
    <n v="0"/>
    <n v="0"/>
    <n v="0"/>
    <n v="0"/>
    <n v="0"/>
    <n v="0"/>
    <n v="1.0900000000000001"/>
    <n v="0.99953000000000003"/>
    <n v="0.91699999999999993"/>
    <n v="-1.0900000000000034"/>
    <n v="1.0900000000000034"/>
    <x v="0"/>
    <n v="65.942000000000007"/>
    <n v="0"/>
    <n v="1"/>
  </r>
  <r>
    <s v="AJEET KUMAR"/>
    <d v="2026-06-06T00:00:00"/>
    <s v="SR-RTN/26-27/33220"/>
    <s v="B-297292"/>
    <s v="B-GOLD-FILING"/>
    <s v="GOLD-FILLING-WK"/>
    <x v="1"/>
    <s v="G-NA-75.00-RG"/>
    <n v="68.2"/>
    <n v="51.15"/>
    <n v="0.75"/>
    <n v="61.51"/>
    <n v="46.1325"/>
    <n v="46.132999999999996"/>
    <n v="0.75"/>
    <n v="0"/>
    <n v="0"/>
    <n v="0"/>
    <n v="0"/>
    <n v="0"/>
    <n v="0"/>
    <n v="0"/>
    <n v="0"/>
    <n v="0"/>
    <n v="6.69"/>
    <n v="5.0175000000000001"/>
    <n v="0.75"/>
    <n v="-6.6900000000000048"/>
    <n v="6.6900000000000048"/>
    <x v="0"/>
    <n v="46.132999999999996"/>
    <n v="0"/>
    <n v="1"/>
  </r>
  <r>
    <s v="AJEET KUMAR"/>
    <d v="2026-06-06T00:00:00"/>
    <s v="SR-RTN/26-27/33221"/>
    <s v="B-296290"/>
    <s v="B-GOLD-FILING"/>
    <s v="GOLD-FILLING-WK"/>
    <x v="1"/>
    <s v="G-NA-75.00-RG"/>
    <n v="30.38"/>
    <n v="22.785"/>
    <n v="0.75"/>
    <n v="26.1"/>
    <n v="19.574999999999999"/>
    <n v="19.574999999999999"/>
    <n v="0.74999999999999989"/>
    <n v="0"/>
    <n v="0"/>
    <n v="0"/>
    <n v="0"/>
    <n v="0"/>
    <n v="0"/>
    <n v="0"/>
    <n v="0"/>
    <n v="0"/>
    <n v="4.28"/>
    <n v="3.21"/>
    <n v="0.75"/>
    <n v="-4.2799999999999976"/>
    <n v="4.2799999999999976"/>
    <x v="0"/>
    <n v="19.574999999999999"/>
    <n v="0"/>
    <n v="1"/>
  </r>
  <r>
    <s v="AJEET KUMAR"/>
    <d v="2026-06-06T00:00:00"/>
    <s v="SR-RTN/26-27/33222"/>
    <s v="B-296323"/>
    <s v="B-GOLD-FILING"/>
    <s v="GOLD-FILLING-WK"/>
    <x v="1"/>
    <s v="G-NA-75.00-RG"/>
    <n v="18.440000000000001"/>
    <n v="13.83"/>
    <n v="0.75"/>
    <n v="15.56"/>
    <n v="11.67"/>
    <n v="11.67"/>
    <n v="0.75"/>
    <n v="0"/>
    <n v="0"/>
    <n v="0"/>
    <n v="0"/>
    <n v="0"/>
    <n v="0"/>
    <n v="0"/>
    <n v="0"/>
    <n v="0"/>
    <n v="2.88"/>
    <n v="2.16"/>
    <n v="0.75000000000000011"/>
    <n v="-2.8800000000000008"/>
    <n v="2.8800000000000008"/>
    <x v="0"/>
    <n v="11.67"/>
    <n v="0"/>
    <n v="1"/>
  </r>
  <r>
    <s v="AJEET KUMAR"/>
    <d v="2026-06-06T00:00:00"/>
    <s v="SR-RTN/26-27/33224"/>
    <s v="B-297811"/>
    <s v="B-GOLD-FILING"/>
    <s v="GOLD-FILLING-WK"/>
    <x v="0"/>
    <s v="G-NA-91.70-YG"/>
    <n v="21.31"/>
    <n v="19.541270000000001"/>
    <n v="0.91700000000000015"/>
    <n v="20.29"/>
    <n v="18.605930000000001"/>
    <n v="18.606000000000002"/>
    <n v="0.91700000000000004"/>
    <n v="0"/>
    <n v="0"/>
    <n v="0"/>
    <n v="0"/>
    <n v="0"/>
    <n v="0"/>
    <n v="0"/>
    <n v="0"/>
    <n v="0"/>
    <n v="1.02"/>
    <n v="0.93533999999999995"/>
    <n v="0.91699999999999993"/>
    <n v="-1.0199999999999996"/>
    <n v="1.0199999999999996"/>
    <x v="0"/>
    <n v="18.606000000000002"/>
    <n v="0"/>
    <n v="1"/>
  </r>
  <r>
    <s v="AJEET KUMAR"/>
    <d v="2026-06-06T00:00:00"/>
    <s v="SR-RTN/26-27/33225"/>
    <s v="B-296974"/>
    <s v="B-GOLD-FILING"/>
    <s v="GOLD-FILLING-WK"/>
    <x v="1"/>
    <s v="G-NA-75.00-RG"/>
    <n v="18.579999999999998"/>
    <n v="13.935"/>
    <n v="0.75000000000000011"/>
    <n v="17.05"/>
    <n v="12.7875"/>
    <n v="12.788"/>
    <n v="0.75"/>
    <n v="0"/>
    <n v="0"/>
    <n v="0"/>
    <n v="0"/>
    <n v="0"/>
    <n v="0"/>
    <n v="0"/>
    <n v="0"/>
    <n v="0"/>
    <n v="1.53"/>
    <n v="1.1475"/>
    <n v="0.75"/>
    <n v="-1.5299999999999976"/>
    <n v="1.5299999999999976"/>
    <x v="0"/>
    <n v="12.788"/>
    <n v="0"/>
    <n v="1"/>
  </r>
  <r>
    <s v="AJEET KUMAR"/>
    <d v="2026-06-06T00:00:00"/>
    <s v="SR-RTN/26-27/33226"/>
    <s v="B-296313"/>
    <s v="B-GOLD-FILING"/>
    <s v="GOLD-FILLING-WK"/>
    <x v="1"/>
    <s v="G-NA-75.00-RG"/>
    <n v="19.100000000000001"/>
    <n v="14.324999999999999"/>
    <n v="0.74999999999999989"/>
    <n v="16.41"/>
    <n v="12.307499999999999"/>
    <n v="12.308"/>
    <n v="0.75"/>
    <n v="0"/>
    <n v="0"/>
    <n v="0"/>
    <n v="0"/>
    <n v="0"/>
    <n v="0"/>
    <n v="0"/>
    <n v="0"/>
    <n v="0"/>
    <n v="2.69"/>
    <n v="2.0175000000000001"/>
    <n v="0.75"/>
    <n v="-2.6900000000000013"/>
    <n v="2.6900000000000013"/>
    <x v="0"/>
    <n v="12.308"/>
    <n v="0"/>
    <n v="1"/>
  </r>
  <r>
    <s v="AJEET KUMAR"/>
    <d v="2026-06-06T00:00:00"/>
    <s v="SR-RTN/26-27/33227"/>
    <s v="B-297317"/>
    <s v="B-GOLD-FILING"/>
    <s v="GOLD-FILLING-WK"/>
    <x v="1"/>
    <s v="G-NA-75.00-YG"/>
    <n v="45.59"/>
    <n v="34.192500000000003"/>
    <n v="0.75"/>
    <n v="42.4"/>
    <n v="31.8"/>
    <n v="31.8"/>
    <n v="0.75"/>
    <n v="0"/>
    <n v="0"/>
    <n v="0"/>
    <n v="0"/>
    <n v="0"/>
    <n v="0"/>
    <n v="0"/>
    <n v="0"/>
    <n v="0"/>
    <n v="3.19"/>
    <n v="2.3925000000000001"/>
    <n v="0.75"/>
    <n v="-3.1900000000000048"/>
    <n v="3.1900000000000048"/>
    <x v="1"/>
    <n v="29.843"/>
    <n v="1.9570000000000007"/>
    <n v="2"/>
  </r>
  <r>
    <s v="AJEET KUMAR"/>
    <d v="2026-06-06T00:00:00"/>
    <s v="SR-RTN/26-27/33228"/>
    <s v="B-296060"/>
    <s v="B-GOLD-FILING"/>
    <s v="GOLD-FILLING-WK"/>
    <x v="1"/>
    <s v="G-NA-75.00-RG"/>
    <n v="47.82"/>
    <n v="35.865000000000002"/>
    <n v="0.75"/>
    <n v="41.88"/>
    <n v="31.41"/>
    <n v="31.41"/>
    <n v="0.75"/>
    <n v="0"/>
    <n v="0"/>
    <n v="0"/>
    <n v="0"/>
    <n v="0"/>
    <n v="0"/>
    <n v="0"/>
    <n v="0"/>
    <n v="0"/>
    <n v="5.94"/>
    <n v="4.4550000000000001"/>
    <n v="0.75"/>
    <n v="-5.9399999999999977"/>
    <n v="5.9399999999999977"/>
    <x v="0"/>
    <n v="31.41"/>
    <n v="0"/>
    <n v="1"/>
  </r>
  <r>
    <s v="AJEET KUMAR"/>
    <d v="2026-06-06T00:00:00"/>
    <s v="SR-RTN/26-27/33230"/>
    <s v="B-291389"/>
    <s v="B-GOLD-FILING"/>
    <s v="GOLD-FILLING-WK"/>
    <x v="0"/>
    <s v="G-NA-91.70-YG"/>
    <n v="3.68"/>
    <n v="3.3745599999999998"/>
    <n v="0.91699999999999993"/>
    <n v="3.67"/>
    <n v="3.3653900000000001"/>
    <n v="3.3660000000000001"/>
    <n v="0.91700000000000004"/>
    <n v="0"/>
    <n v="0"/>
    <n v="0"/>
    <n v="0"/>
    <n v="0"/>
    <n v="0"/>
    <n v="0"/>
    <n v="0"/>
    <n v="0"/>
    <n v="0.01"/>
    <n v="9.1699999999999993E-3"/>
    <n v="0.91699999999999993"/>
    <n v="-1.0000000000000231E-2"/>
    <n v="1.0000000000000231E-2"/>
    <x v="1"/>
    <n v="3.3660000000000001"/>
    <n v="0"/>
    <n v="2"/>
  </r>
  <r>
    <s v="AJEET KUMAR"/>
    <d v="2026-06-06T00:00:00"/>
    <s v="SR-RTN/26-27/33230"/>
    <s v="B-292248"/>
    <s v="B-GOLD-FILING"/>
    <s v="GOLD-FILLING-WK"/>
    <x v="0"/>
    <s v="G-NA-91.70-YG"/>
    <n v="13.94"/>
    <n v="12.78298"/>
    <n v="0.91700000000000004"/>
    <n v="13.34"/>
    <n v="12.23278"/>
    <n v="12.232999999999999"/>
    <n v="0.91700000000000004"/>
    <n v="0"/>
    <n v="0"/>
    <n v="0"/>
    <n v="0"/>
    <n v="0"/>
    <n v="0"/>
    <n v="0"/>
    <n v="0"/>
    <n v="0"/>
    <n v="0.6"/>
    <n v="0.55020000000000002"/>
    <n v="0.91700000000000004"/>
    <n v="-0.59999999999999964"/>
    <n v="0.59999999999999964"/>
    <x v="0"/>
    <n v="12.232999999999999"/>
    <n v="0"/>
    <n v="1"/>
  </r>
  <r>
    <s v="AJEET KUMAR"/>
    <d v="2026-06-06T00:00:00"/>
    <s v="SR-RTN/26-27/33230"/>
    <s v="B-295510"/>
    <s v="B-GOLD-FILING"/>
    <s v="GOLD-FILLING-WK"/>
    <x v="1"/>
    <s v="G-NA-75.00-YG"/>
    <n v="20.12"/>
    <n v="15.09"/>
    <n v="0.75"/>
    <n v="19.82"/>
    <n v="14.865"/>
    <n v="14.865"/>
    <n v="0.75"/>
    <n v="0"/>
    <n v="0"/>
    <n v="0"/>
    <n v="0"/>
    <n v="0"/>
    <n v="0"/>
    <n v="0"/>
    <n v="0"/>
    <n v="0"/>
    <n v="0.3"/>
    <n v="0.22500000000000001"/>
    <n v="0.75"/>
    <n v="-0.30000000000000071"/>
    <n v="0.30000000000000071"/>
    <x v="0"/>
    <n v="14.865"/>
    <n v="0"/>
    <n v="1"/>
  </r>
  <r>
    <s v="AJEET KUMAR"/>
    <d v="2026-06-06T00:00:00"/>
    <s v="SR-RTN/26-27/33276"/>
    <s v="B-296887"/>
    <s v="B-GOLD-FILING"/>
    <s v="GOLD-FILLING-WK"/>
    <x v="1"/>
    <s v="G-NA-75.00-RG"/>
    <n v="10.19"/>
    <n v="7.6425000000000001"/>
    <n v="0.75"/>
    <n v="9.68"/>
    <n v="7.26"/>
    <n v="7.26"/>
    <n v="0.75"/>
    <n v="0"/>
    <n v="0"/>
    <n v="0"/>
    <n v="0"/>
    <n v="0"/>
    <n v="0"/>
    <n v="0"/>
    <n v="0"/>
    <n v="0"/>
    <n v="0.51"/>
    <n v="0.38250000000000001"/>
    <n v="0.75"/>
    <n v="-0.50999999999999979"/>
    <n v="0.50999999999999979"/>
    <x v="0"/>
    <n v="7.26"/>
    <n v="0"/>
    <n v="1"/>
  </r>
  <r>
    <s v="AJEET KUMAR"/>
    <d v="2026-06-06T00:00:00"/>
    <s v="SR-RTN/26-27/33306"/>
    <s v="B-296972"/>
    <s v="B-GOLD-FILING"/>
    <s v="GOLD-FILLING-WK"/>
    <x v="1"/>
    <s v="G-NA-75.00-RG"/>
    <n v="69.05"/>
    <n v="51.787500000000001"/>
    <n v="0.75"/>
    <n v="67.36"/>
    <n v="50.52"/>
    <n v="50.52"/>
    <n v="0.75"/>
    <n v="0"/>
    <n v="0"/>
    <n v="0"/>
    <n v="0"/>
    <n v="0"/>
    <n v="0"/>
    <n v="0"/>
    <n v="0"/>
    <n v="0"/>
    <n v="1.69"/>
    <n v="1.2675000000000001"/>
    <n v="0.75000000000000011"/>
    <n v="-1.6899999999999977"/>
    <n v="1.6899999999999977"/>
    <x v="0"/>
    <n v="50.52"/>
    <n v="0"/>
    <n v="1"/>
  </r>
  <r>
    <s v="AJEET KUMAR"/>
    <d v="2026-06-06T00:00:00"/>
    <s v="SR-RTN/26-27/33322"/>
    <s v="B-296970"/>
    <s v="B-GOLD-FILING"/>
    <s v="GOLD-FILLING-WK"/>
    <x v="1"/>
    <s v="G-NA-75.00-RG"/>
    <n v="39.909999999999997"/>
    <n v="29.932500000000001"/>
    <n v="0.75000000000000011"/>
    <n v="37.6"/>
    <n v="28.2"/>
    <n v="28.2"/>
    <n v="0.75"/>
    <n v="0"/>
    <n v="0"/>
    <n v="0"/>
    <n v="0"/>
    <n v="0"/>
    <n v="0"/>
    <n v="0"/>
    <n v="0"/>
    <n v="0"/>
    <n v="2.31"/>
    <n v="1.7324999999999999"/>
    <n v="0.75"/>
    <n v="-2.3099999999999952"/>
    <n v="2.3099999999999952"/>
    <x v="0"/>
    <n v="28.2"/>
    <n v="0"/>
    <n v="1"/>
  </r>
  <r>
    <s v="AJEET KUMAR"/>
    <d v="2026-06-06T00:00:00"/>
    <s v="SR-RTN/26-27/33322"/>
    <s v="B-297131"/>
    <s v="B-GOLD-FILING"/>
    <s v="GOLD-FILLING-WK"/>
    <x v="0"/>
    <s v="G-NA-91.70-YG"/>
    <n v="54.46"/>
    <n v="49.939819999999997"/>
    <n v="0.91699999999999993"/>
    <n v="51.25"/>
    <n v="46.996250000000003"/>
    <n v="46.997"/>
    <n v="0.91700000000000004"/>
    <n v="0"/>
    <n v="0"/>
    <n v="0"/>
    <n v="0"/>
    <n v="0"/>
    <n v="0"/>
    <n v="0"/>
    <n v="0"/>
    <n v="0"/>
    <n v="3.21"/>
    <n v="2.9435699999999998"/>
    <n v="0.91699999999999993"/>
    <n v="-3.2100000000000009"/>
    <n v="3.2100000000000009"/>
    <x v="0"/>
    <n v="46.997"/>
    <n v="0"/>
    <n v="1"/>
  </r>
  <r>
    <s v="AJEET KUMAR"/>
    <d v="2026-06-06T00:00:00"/>
    <s v="SR-RTN/26-27/33325"/>
    <s v="B-295667"/>
    <s v="B-GOLD-FILING"/>
    <s v="GOLD-FILLING-WK"/>
    <x v="1"/>
    <s v="G-NA-75.00-YG"/>
    <n v="7.96"/>
    <n v="5.97"/>
    <n v="0.75"/>
    <n v="7.19"/>
    <n v="5.3925000000000001"/>
    <n v="5.3930000000000007"/>
    <n v="0.75"/>
    <n v="0"/>
    <n v="0"/>
    <n v="0"/>
    <n v="0"/>
    <n v="0"/>
    <n v="0"/>
    <n v="0"/>
    <n v="0"/>
    <n v="0"/>
    <n v="0.77"/>
    <n v="0.57750000000000001"/>
    <n v="0.75"/>
    <n v="-0.76999999999999957"/>
    <n v="0.76999999999999957"/>
    <x v="0"/>
    <n v="5.3930000000000007"/>
    <n v="0"/>
    <n v="1"/>
  </r>
  <r>
    <s v="AJEET KUMAR"/>
    <d v="2026-06-06T00:00:00"/>
    <s v="SR-RTN/26-27/33325"/>
    <s v="B-297322"/>
    <s v="B-GOLD-FILING"/>
    <s v="GOLD-FILLING-WK"/>
    <x v="1"/>
    <s v="G-NA-75.00-RG"/>
    <n v="18.63"/>
    <n v="13.9725"/>
    <n v="0.75"/>
    <n v="16.989999999999998"/>
    <n v="12.7425"/>
    <n v="12.743"/>
    <n v="0.75"/>
    <n v="0"/>
    <n v="0"/>
    <n v="0"/>
    <n v="0"/>
    <n v="0"/>
    <n v="0"/>
    <n v="0"/>
    <n v="0"/>
    <n v="0"/>
    <n v="1.64"/>
    <n v="1.23"/>
    <n v="0.75"/>
    <n v="-1.6400000000000006"/>
    <n v="1.6400000000000006"/>
    <x v="0"/>
    <n v="12.743"/>
    <n v="0"/>
    <n v="1"/>
  </r>
  <r>
    <s v="AJEET KUMAR"/>
    <d v="2026-06-06T00:00:00"/>
    <s v="SR-RTN/26-27/33331"/>
    <s v="B-296973"/>
    <s v="B-GOLD-FILING"/>
    <s v="GOLD-FILLING-WK"/>
    <x v="1"/>
    <s v="G-NA-75.00-RG"/>
    <n v="43.19"/>
    <n v="32.392499999999998"/>
    <n v="0.75"/>
    <n v="41.74"/>
    <n v="31.305"/>
    <n v="31.305"/>
    <n v="0.75"/>
    <n v="0"/>
    <n v="0"/>
    <n v="0"/>
    <n v="0"/>
    <n v="0"/>
    <n v="0"/>
    <n v="0"/>
    <n v="0"/>
    <n v="0"/>
    <n v="1.45"/>
    <n v="1.0874999999999999"/>
    <n v="0.75"/>
    <n v="-1.4499999999999957"/>
    <n v="1.4499999999999957"/>
    <x v="0"/>
    <n v="31.305"/>
    <n v="0"/>
    <n v="1"/>
  </r>
  <r>
    <s v="AJEET KUMAR"/>
    <d v="2026-06-06T00:00:00"/>
    <s v="SR-RTN/26-27/33334"/>
    <s v="B-296342"/>
    <s v="B-GOLD-FILING"/>
    <s v="GOLD-FILLING-WK"/>
    <x v="1"/>
    <s v="G-NA-75.00-RG"/>
    <n v="47.04"/>
    <n v="35.28"/>
    <n v="0.75"/>
    <n v="43.54"/>
    <n v="32.655000000000001"/>
    <n v="32.655000000000001"/>
    <n v="0.75"/>
    <n v="0"/>
    <n v="0"/>
    <n v="0"/>
    <n v="0"/>
    <n v="0"/>
    <n v="0"/>
    <n v="0"/>
    <n v="0"/>
    <n v="0"/>
    <n v="3.5"/>
    <n v="2.625"/>
    <n v="0.75"/>
    <n v="-3.5"/>
    <n v="3.5"/>
    <x v="0"/>
    <n v="32.655000000000001"/>
    <n v="0"/>
    <n v="1"/>
  </r>
  <r>
    <s v="AJEET KUMAR"/>
    <d v="2026-06-06T00:00:00"/>
    <s v="SR-RTN/26-27/33365"/>
    <s v="B-296045"/>
    <s v="B-GOLD-FILING"/>
    <s v="GOLD-FILLING-WK"/>
    <x v="1"/>
    <s v="G-NA-75.00-RG"/>
    <n v="161.88999999999999"/>
    <n v="121.4175"/>
    <n v="0.75000000000000011"/>
    <n v="142.25"/>
    <n v="106.6875"/>
    <n v="106.688"/>
    <n v="0.75"/>
    <n v="0"/>
    <n v="0"/>
    <n v="0"/>
    <n v="0"/>
    <n v="0"/>
    <n v="0"/>
    <n v="0"/>
    <n v="0"/>
    <n v="0"/>
    <n v="19.64"/>
    <n v="14.73"/>
    <n v="0.75"/>
    <n v="-19.639999999999986"/>
    <n v="19.639999999999986"/>
    <x v="0"/>
    <n v="106.688"/>
    <n v="0"/>
    <n v="1"/>
  </r>
  <r>
    <s v="AJEET KUMAR"/>
    <d v="2026-06-06T00:00:00"/>
    <s v="SR-RTN/26-27/33365"/>
    <s v="B-296923"/>
    <s v="B-GOLD-FILING"/>
    <s v="GOLD-FILLING-WK"/>
    <x v="1"/>
    <s v="G-NA-75.00-RG"/>
    <n v="50.39"/>
    <n v="37.792499999999997"/>
    <n v="0.74999999999999989"/>
    <n v="45.38"/>
    <n v="34.034999999999997"/>
    <n v="34.034999999999997"/>
    <n v="0.74999999999999989"/>
    <n v="0"/>
    <n v="0"/>
    <n v="0"/>
    <n v="0"/>
    <n v="0"/>
    <n v="0"/>
    <n v="0"/>
    <n v="0"/>
    <n v="0"/>
    <n v="5.01"/>
    <n v="3.7574999999999998"/>
    <n v="0.75"/>
    <n v="-5.009999999999998"/>
    <n v="5.009999999999998"/>
    <x v="0"/>
    <n v="34.034999999999997"/>
    <n v="0"/>
    <n v="1"/>
  </r>
  <r>
    <s v="AJEET KUMAR"/>
    <d v="2026-06-06T00:00:00"/>
    <s v="SR-RTN/26-27/33365"/>
    <s v="B-296926"/>
    <s v="B-GOLD-FILING"/>
    <s v="GOLD-FILLING-WK"/>
    <x v="1"/>
    <s v="G-NA-75.00-RG"/>
    <n v="22.3"/>
    <n v="16.725000000000001"/>
    <n v="0.75"/>
    <n v="20.350000000000001"/>
    <n v="15.262499999999999"/>
    <n v="15.263"/>
    <n v="0.74999999999999989"/>
    <n v="0"/>
    <n v="0"/>
    <n v="0"/>
    <n v="0"/>
    <n v="0"/>
    <n v="0"/>
    <n v="0"/>
    <n v="0"/>
    <n v="0"/>
    <n v="1.95"/>
    <n v="1.4624999999999999"/>
    <n v="0.75"/>
    <n v="-1.9499999999999993"/>
    <n v="1.9499999999999993"/>
    <x v="0"/>
    <n v="15.263"/>
    <n v="0"/>
    <n v="1"/>
  </r>
  <r>
    <s v="AJEET KUMAR"/>
    <d v="2026-06-06T00:00:00"/>
    <s v="SR-RTN/26-27/33397"/>
    <s v="B-296332"/>
    <s v="B-GOLD-FILING"/>
    <s v="GOLD-FILLING-WK"/>
    <x v="1"/>
    <s v="G-NA-75.00-RG"/>
    <n v="22.53"/>
    <n v="16.897500000000001"/>
    <n v="0.75"/>
    <n v="21.05"/>
    <n v="15.7875"/>
    <n v="15.788"/>
    <n v="0.75"/>
    <n v="0"/>
    <n v="0"/>
    <n v="0"/>
    <n v="0"/>
    <n v="0"/>
    <n v="0"/>
    <n v="0"/>
    <n v="0"/>
    <n v="0"/>
    <n v="1.48"/>
    <n v="1.1100000000000001"/>
    <n v="0.75000000000000011"/>
    <n v="-1.4800000000000004"/>
    <n v="1.4800000000000004"/>
    <x v="0"/>
    <n v="15.788"/>
    <n v="0"/>
    <n v="1"/>
  </r>
  <r>
    <s v="AJEET KUMAR"/>
    <d v="2026-06-06T00:00:00"/>
    <s v="SR-RTN/26-27/33397"/>
    <s v="B-296921"/>
    <s v="B-GOLD-FILING"/>
    <s v="GOLD-FILLING-WK"/>
    <x v="1"/>
    <s v="G-NA-75.00-YG"/>
    <n v="14.14"/>
    <n v="10.605"/>
    <n v="0.75"/>
    <n v="13.56"/>
    <n v="10.17"/>
    <n v="10.17"/>
    <n v="0.75"/>
    <n v="0"/>
    <n v="0"/>
    <n v="0"/>
    <n v="0"/>
    <n v="0"/>
    <n v="0"/>
    <n v="0"/>
    <n v="0"/>
    <n v="0"/>
    <n v="0.57999999999999996"/>
    <n v="0.435"/>
    <n v="0.75"/>
    <n v="-0.58000000000000007"/>
    <n v="0.58000000000000007"/>
    <x v="0"/>
    <n v="10.17"/>
    <n v="0"/>
    <n v="1"/>
  </r>
  <r>
    <s v="AJEET KUMAR"/>
    <d v="2026-06-06T00:00:00"/>
    <s v="SR-RTN/26-27/33397"/>
    <s v="B-297321"/>
    <s v="B-GOLD-FILING"/>
    <s v="GOLD-FILLING-WK"/>
    <x v="1"/>
    <s v="G-NA-75.00-RG"/>
    <n v="14.76"/>
    <n v="11.07"/>
    <n v="0.75"/>
    <n v="14.41"/>
    <n v="10.807499999999999"/>
    <n v="10.808"/>
    <n v="0.74999999999999989"/>
    <n v="0"/>
    <n v="0"/>
    <n v="0"/>
    <n v="0"/>
    <n v="0"/>
    <n v="0"/>
    <n v="0"/>
    <n v="0"/>
    <n v="0"/>
    <n v="0.35"/>
    <n v="0.26250000000000001"/>
    <n v="0.75000000000000011"/>
    <n v="-0.34999999999999964"/>
    <n v="0.34999999999999964"/>
    <x v="0"/>
    <n v="10.808"/>
    <n v="0"/>
    <n v="1"/>
  </r>
  <r>
    <s v="AJEET KUMAR"/>
    <d v="2026-06-06T00:00:00"/>
    <s v="SR-RTN/26-27/33399"/>
    <s v="B-296919"/>
    <s v="B-GOLD-FILING"/>
    <s v="GOLD-FILLING-WK"/>
    <x v="1"/>
    <s v="G-NA-75.00-YG"/>
    <n v="36.85"/>
    <n v="27.637499999999999"/>
    <n v="0.75"/>
    <n v="36.76"/>
    <n v="27.57"/>
    <n v="27.57"/>
    <n v="0.75"/>
    <n v="0"/>
    <n v="0"/>
    <n v="0"/>
    <n v="0"/>
    <n v="0"/>
    <n v="0"/>
    <n v="0"/>
    <n v="0"/>
    <n v="0"/>
    <n v="0.09"/>
    <n v="6.7500000000000004E-2"/>
    <n v="0.75000000000000011"/>
    <n v="-9.0000000000003411E-2"/>
    <n v="9.0000000000003411E-2"/>
    <x v="0"/>
    <n v="27.57"/>
    <n v="0"/>
    <n v="2"/>
  </r>
  <r>
    <s v="AJEET KUMAR"/>
    <d v="2026-06-06T00:00:00"/>
    <s v="SR-RTN/26-27/33408"/>
    <s v="B-296300"/>
    <s v="B-GOLD-FILING"/>
    <s v="GOLD-FILLING-WK"/>
    <x v="1"/>
    <s v="G-NA-75.00-RG"/>
    <n v="15.78"/>
    <n v="11.835000000000001"/>
    <n v="0.75000000000000011"/>
    <n v="14.47"/>
    <n v="10.852499999999999"/>
    <n v="10.853"/>
    <n v="0.74999999999999989"/>
    <n v="0"/>
    <n v="0"/>
    <n v="0"/>
    <n v="0"/>
    <n v="0"/>
    <n v="0"/>
    <n v="0"/>
    <n v="0"/>
    <n v="0"/>
    <n v="1.31"/>
    <n v="0.98250000000000004"/>
    <n v="0.75"/>
    <n v="-1.3099999999999987"/>
    <n v="1.3099999999999987"/>
    <x v="0"/>
    <n v="10.853"/>
    <n v="0"/>
    <n v="1"/>
  </r>
  <r>
    <s v="AJEET KUMAR"/>
    <d v="2026-06-06T00:00:00"/>
    <s v="SR-RTN/26-27/33428"/>
    <s v="B-295887"/>
    <s v="B-GOLD-FILING"/>
    <s v="GOLD-FILLING-WK"/>
    <x v="1"/>
    <s v="G-NA-75.00-YG"/>
    <n v="181.07"/>
    <n v="135.80250000000001"/>
    <n v="0.75000000000000011"/>
    <n v="168.58"/>
    <n v="126.435"/>
    <n v="126.435"/>
    <n v="0.75"/>
    <n v="0"/>
    <n v="0"/>
    <n v="0"/>
    <n v="0"/>
    <n v="0"/>
    <n v="0"/>
    <n v="0"/>
    <n v="0"/>
    <n v="0"/>
    <n v="12.49"/>
    <n v="9.3674999999999997"/>
    <n v="0.75"/>
    <n v="-12.489999999999981"/>
    <n v="12.489999999999981"/>
    <x v="0"/>
    <n v="126.435"/>
    <n v="0"/>
    <n v="1"/>
  </r>
  <r>
    <s v="AJEET KUMAR"/>
    <d v="2026-06-06T00:00:00"/>
    <s v="SR-RTN/26-27/33428"/>
    <s v="B-295905"/>
    <s v="B-GOLD-FILING"/>
    <s v="GOLD-FILLING-WK"/>
    <x v="1"/>
    <s v="G-NA-75.00-YG"/>
    <n v="11.34"/>
    <n v="8.5050000000000008"/>
    <n v="0.75000000000000011"/>
    <n v="10.75"/>
    <n v="8.0625"/>
    <n v="8.0629999999999988"/>
    <n v="0.75"/>
    <n v="0"/>
    <n v="0"/>
    <n v="0"/>
    <n v="0"/>
    <n v="0"/>
    <n v="0"/>
    <n v="0"/>
    <n v="0"/>
    <n v="0"/>
    <n v="0.59"/>
    <n v="0.4425"/>
    <n v="0.75"/>
    <n v="-0.58999999999999986"/>
    <n v="0.58999999999999986"/>
    <x v="0"/>
    <n v="8.0629999999999988"/>
    <n v="0"/>
    <n v="1"/>
  </r>
  <r>
    <s v="AJEET KUMAR"/>
    <d v="2026-06-06T00:00:00"/>
    <s v="SR-RTN/26-27/33485"/>
    <s v="B-295659"/>
    <s v="B-GOLD-FILING"/>
    <s v="GOLD-FILLING-WK"/>
    <x v="1"/>
    <s v="G-NA-75.00-YG"/>
    <n v="6.62"/>
    <n v="4.9649999999999999"/>
    <n v="0.75"/>
    <n v="5.99"/>
    <n v="4.4924999999999997"/>
    <n v="4.4930000000000003"/>
    <n v="0.74999999999999989"/>
    <n v="0"/>
    <n v="0"/>
    <n v="0"/>
    <n v="0"/>
    <n v="0"/>
    <n v="0"/>
    <n v="0"/>
    <n v="0"/>
    <n v="0"/>
    <n v="0.63"/>
    <n v="0.47249999999999998"/>
    <n v="0.75"/>
    <n v="-0.62999999999999989"/>
    <n v="0.62999999999999989"/>
    <x v="0"/>
    <n v="4.4930000000000003"/>
    <n v="0"/>
    <n v="1"/>
  </r>
  <r>
    <s v="AJEET KUMAR"/>
    <d v="2026-06-06T00:00:00"/>
    <s v="SR-RTN/26-27/33485"/>
    <s v="B-296334"/>
    <s v="B-GOLD-FILING"/>
    <s v="GOLD-FILLING-WK"/>
    <x v="1"/>
    <s v="G-NA-75.00-RG"/>
    <n v="34.97"/>
    <n v="26.227499999999999"/>
    <n v="0.75"/>
    <n v="32.200000000000003"/>
    <n v="24.15"/>
    <n v="24.15"/>
    <n v="0.74999999999999989"/>
    <n v="0"/>
    <n v="0"/>
    <n v="0"/>
    <n v="0"/>
    <n v="0"/>
    <n v="0"/>
    <n v="0"/>
    <n v="0"/>
    <n v="0"/>
    <n v="2.77"/>
    <n v="2.0775000000000001"/>
    <n v="0.75"/>
    <n v="-2.769999999999996"/>
    <n v="2.769999999999996"/>
    <x v="0"/>
    <n v="24.15"/>
    <n v="0"/>
    <n v="1"/>
  </r>
  <r>
    <s v="AJEET KUMAR"/>
    <d v="2026-06-06T00:00:00"/>
    <s v="SR-RTN/26-27/33485"/>
    <s v="B-296343"/>
    <s v="B-GOLD-FILING"/>
    <s v="GOLD-FILLING-WK"/>
    <x v="1"/>
    <s v="G-NA-75.00-RG"/>
    <n v="17.73"/>
    <n v="13.297499999999999"/>
    <n v="0.75"/>
    <n v="15.86"/>
    <n v="11.895"/>
    <n v="11.895"/>
    <n v="0.75"/>
    <n v="0"/>
    <n v="0"/>
    <n v="0"/>
    <n v="0"/>
    <n v="0"/>
    <n v="0"/>
    <n v="0"/>
    <n v="0"/>
    <n v="0"/>
    <n v="1.87"/>
    <n v="1.4025000000000001"/>
    <n v="0.75"/>
    <n v="-1.870000000000001"/>
    <n v="1.870000000000001"/>
    <x v="0"/>
    <n v="11.895"/>
    <n v="0"/>
    <n v="1"/>
  </r>
  <r>
    <s v="AJEET KUMAR"/>
    <d v="2026-06-06T00:00:00"/>
    <s v="SR-RTN/26-27/33485"/>
    <s v="B-296855"/>
    <s v="B-GOLD-FILING"/>
    <s v="GOLD-FILLING-WK"/>
    <x v="1"/>
    <s v="G-NA-75.00-RG"/>
    <n v="14.64"/>
    <n v="10.98"/>
    <n v="0.75"/>
    <n v="13.67"/>
    <n v="10.2525"/>
    <n v="10.253"/>
    <n v="0.75"/>
    <n v="0"/>
    <n v="0"/>
    <n v="0"/>
    <n v="0"/>
    <n v="0"/>
    <n v="0"/>
    <n v="0"/>
    <n v="0"/>
    <n v="0"/>
    <n v="0.97"/>
    <n v="0.72750000000000004"/>
    <n v="0.75000000000000011"/>
    <n v="-0.97000000000000064"/>
    <n v="0.97000000000000064"/>
    <x v="0"/>
    <n v="10.253"/>
    <n v="0"/>
    <n v="1"/>
  </r>
  <r>
    <s v="AJEET KUMAR"/>
    <d v="2026-06-06T00:00:00"/>
    <s v="SR-RTN/26-27/33485"/>
    <s v="B-296893"/>
    <s v="B-GOLD-FILING"/>
    <s v="GOLD-FILLING-WK"/>
    <x v="1"/>
    <s v="G-NA-75.00-RG"/>
    <n v="14.45"/>
    <n v="10.8375"/>
    <n v="0.75000000000000011"/>
    <n v="13.28"/>
    <n v="9.9600000000000009"/>
    <n v="9.9600000000000009"/>
    <n v="0.75000000000000011"/>
    <n v="0"/>
    <n v="0"/>
    <n v="0"/>
    <n v="0"/>
    <n v="0"/>
    <n v="0"/>
    <n v="0"/>
    <n v="0"/>
    <n v="0"/>
    <n v="1.17"/>
    <n v="0.87749999999999995"/>
    <n v="0.75"/>
    <n v="-1.17"/>
    <n v="1.17"/>
    <x v="0"/>
    <n v="9.9600000000000009"/>
    <n v="0"/>
    <n v="1"/>
  </r>
  <r>
    <s v="AJEET KUMAR"/>
    <d v="2026-06-06T00:00:00"/>
    <s v="SR-RTN/26-27/33485"/>
    <s v="B-297127"/>
    <s v="B-GOLD-FILING"/>
    <s v="GOLD-FILLING-WK"/>
    <x v="0"/>
    <s v="G-NA-91.70-YG"/>
    <n v="51.22"/>
    <n v="46.968739999999997"/>
    <n v="0.91699999999999993"/>
    <n v="48.5"/>
    <n v="44.474499999999999"/>
    <n v="44.474999999999994"/>
    <n v="0.91699999999999993"/>
    <n v="0"/>
    <n v="0"/>
    <n v="0"/>
    <n v="0"/>
    <n v="0"/>
    <n v="0"/>
    <n v="0"/>
    <n v="0"/>
    <n v="0"/>
    <n v="2.72"/>
    <n v="2.49424"/>
    <n v="0.91699999999999993"/>
    <n v="-2.7199999999999989"/>
    <n v="2.7199999999999989"/>
    <x v="0"/>
    <n v="44.474999999999994"/>
    <n v="0"/>
    <n v="1"/>
  </r>
  <r>
    <s v="AJEET KUMAR"/>
    <d v="2026-06-06T00:00:00"/>
    <s v="SR-RTN/26-27/33564"/>
    <s v="B-296841"/>
    <s v="B-GOLD-FILING"/>
    <s v="GOLD-FILLING-WK"/>
    <x v="1"/>
    <s v="G-NA-75.00-RG"/>
    <n v="17.79"/>
    <n v="13.342499999999999"/>
    <n v="0.75"/>
    <n v="16.100000000000001"/>
    <n v="12.074999999999999"/>
    <n v="12.074999999999999"/>
    <n v="0.74999999999999989"/>
    <n v="0"/>
    <n v="0"/>
    <n v="0"/>
    <n v="0"/>
    <n v="0"/>
    <n v="0"/>
    <n v="0"/>
    <n v="0"/>
    <n v="0"/>
    <n v="1.69"/>
    <n v="1.2675000000000001"/>
    <n v="0.75000000000000011"/>
    <n v="-1.6899999999999977"/>
    <n v="1.6899999999999977"/>
    <x v="0"/>
    <n v="12.074999999999999"/>
    <n v="0"/>
    <n v="1"/>
  </r>
  <r>
    <s v="AJEET KUMAR"/>
    <d v="2026-06-06T00:00:00"/>
    <s v="SR-RTN/26-27/33564"/>
    <s v="B-296865"/>
    <s v="B-GOLD-FILING"/>
    <s v="GOLD-FILLING-WK"/>
    <x v="1"/>
    <s v="G-NA-75.00-RG"/>
    <n v="16.79"/>
    <n v="12.592499999999999"/>
    <n v="0.75"/>
    <n v="15.93"/>
    <n v="11.9475"/>
    <n v="11.947999999999999"/>
    <n v="0.75"/>
    <n v="0"/>
    <n v="0"/>
    <n v="0"/>
    <n v="0"/>
    <n v="0"/>
    <n v="0"/>
    <n v="0"/>
    <n v="0"/>
    <n v="0"/>
    <n v="0.86"/>
    <n v="0.64500000000000002"/>
    <n v="0.75"/>
    <n v="-0.85999999999999943"/>
    <n v="0.85999999999999943"/>
    <x v="0"/>
    <n v="11.947999999999999"/>
    <n v="0"/>
    <n v="1"/>
  </r>
  <r>
    <s v="AJEET KUMAR"/>
    <d v="2026-06-06T00:00:00"/>
    <s v="SR-RTN/26-27/33564"/>
    <s v="B-296873"/>
    <s v="B-GOLD-FILING"/>
    <s v="GOLD-FILLING-WK"/>
    <x v="1"/>
    <s v="G-NA-75.00-RG"/>
    <n v="14.59"/>
    <n v="10.942500000000001"/>
    <n v="0.75000000000000011"/>
    <n v="13.6"/>
    <n v="10.199999999999999"/>
    <n v="10.199999999999999"/>
    <n v="0.75"/>
    <n v="0"/>
    <n v="0"/>
    <n v="0"/>
    <n v="0"/>
    <n v="0"/>
    <n v="0"/>
    <n v="0"/>
    <n v="0"/>
    <n v="0"/>
    <n v="0.99"/>
    <n v="0.74250000000000005"/>
    <n v="0.75000000000000011"/>
    <n v="-0.99000000000000021"/>
    <n v="0.99000000000000021"/>
    <x v="0"/>
    <n v="10.199999999999999"/>
    <n v="0"/>
    <n v="1"/>
  </r>
  <r>
    <s v="AJEET KUMAR"/>
    <d v="2026-06-06T00:00:00"/>
    <s v="SR-RTN/26-27/33564"/>
    <s v="B-296875"/>
    <s v="B-GOLD-FILING"/>
    <s v="GOLD-FILLING-WK"/>
    <x v="1"/>
    <s v="G-NA-75.00-RG"/>
    <n v="18.510000000000002"/>
    <n v="13.8825"/>
    <n v="0.75"/>
    <n v="17.02"/>
    <n v="12.765000000000001"/>
    <n v="12.765000000000001"/>
    <n v="0.75"/>
    <n v="0"/>
    <n v="0"/>
    <n v="0"/>
    <n v="0"/>
    <n v="0"/>
    <n v="0"/>
    <n v="0"/>
    <n v="0"/>
    <n v="0"/>
    <n v="1.49"/>
    <n v="1.1174999999999999"/>
    <n v="0.75"/>
    <n v="-1.490000000000002"/>
    <n v="1.490000000000002"/>
    <x v="0"/>
    <n v="12.765000000000001"/>
    <n v="0"/>
    <n v="2"/>
  </r>
  <r>
    <s v="AJEET KUMAR"/>
    <d v="2026-06-06T00:00:00"/>
    <s v="SR-RTN/26-27/33564"/>
    <s v="B-296877"/>
    <s v="B-GOLD-FILING"/>
    <s v="GOLD-FILLING-WK"/>
    <x v="1"/>
    <s v="G-NA-75.00-RG"/>
    <n v="11.64"/>
    <n v="8.73"/>
    <n v="0.75"/>
    <n v="10.96"/>
    <n v="8.2200000000000006"/>
    <n v="8.2200000000000006"/>
    <n v="0.75"/>
    <n v="0"/>
    <n v="0"/>
    <n v="0"/>
    <n v="0"/>
    <n v="0"/>
    <n v="0"/>
    <n v="0"/>
    <n v="0"/>
    <n v="0"/>
    <n v="0.68"/>
    <n v="0.51"/>
    <n v="0.75"/>
    <n v="-0.67999999999999972"/>
    <n v="0.67999999999999972"/>
    <x v="0"/>
    <n v="8.2200000000000006"/>
    <n v="0"/>
    <n v="1"/>
  </r>
  <r>
    <s v="AJEET KUMAR"/>
    <d v="2026-06-06T00:00:00"/>
    <s v="SR-RTN/26-27/33564"/>
    <s v="B-296885"/>
    <s v="B-GOLD-FILING"/>
    <s v="GOLD-FILLING-WK"/>
    <x v="1"/>
    <s v="G-NA-75.00-RG"/>
    <n v="17.36"/>
    <n v="13.02"/>
    <n v="0.75"/>
    <n v="15.83"/>
    <n v="11.8725"/>
    <n v="11.872999999999999"/>
    <n v="0.75"/>
    <n v="0"/>
    <n v="0"/>
    <n v="0"/>
    <n v="0"/>
    <n v="0"/>
    <n v="0"/>
    <n v="0"/>
    <n v="0"/>
    <n v="0"/>
    <n v="1.53"/>
    <n v="1.1475"/>
    <n v="0.75"/>
    <n v="-1.5299999999999994"/>
    <n v="1.5299999999999994"/>
    <x v="0"/>
    <n v="11.872999999999999"/>
    <n v="0"/>
    <n v="1"/>
  </r>
  <r>
    <s v="AJEET KUMAR"/>
    <d v="2026-06-06T00:00:00"/>
    <s v="SR-RTN/26-27/33564"/>
    <s v="B-297643"/>
    <s v="B-GOLD-FILING"/>
    <s v="GOLD-FILLING-WK"/>
    <x v="1"/>
    <s v="G-NA-75.00-RG"/>
    <n v="20.88"/>
    <n v="15.66"/>
    <n v="0.75"/>
    <n v="19.399999999999999"/>
    <n v="14.55"/>
    <n v="14.55"/>
    <n v="0.75000000000000011"/>
    <n v="0"/>
    <n v="0"/>
    <n v="0"/>
    <n v="0"/>
    <n v="0"/>
    <n v="0"/>
    <n v="0"/>
    <n v="0"/>
    <n v="0"/>
    <n v="1.48"/>
    <n v="1.1100000000000001"/>
    <n v="0.75000000000000011"/>
    <n v="-1.4800000000000004"/>
    <n v="1.4800000000000004"/>
    <x v="0"/>
    <n v="14.55"/>
    <n v="0"/>
    <n v="1"/>
  </r>
  <r>
    <s v="AJEET KUMAR"/>
    <d v="2026-06-06T00:00:00"/>
    <s v="SR-RTN/26-27/33564"/>
    <s v="B-297649"/>
    <s v="B-GOLD-FILING"/>
    <s v="GOLD-FILLING-WK"/>
    <x v="1"/>
    <s v="G-NA-75.00-RG"/>
    <n v="20.22"/>
    <n v="15.164999999999999"/>
    <n v="0.75"/>
    <n v="18.829999999999998"/>
    <n v="14.1225"/>
    <n v="14.122999999999999"/>
    <n v="0.75000000000000011"/>
    <n v="0"/>
    <n v="0"/>
    <n v="0"/>
    <n v="0"/>
    <n v="0"/>
    <n v="0"/>
    <n v="0"/>
    <n v="0"/>
    <n v="0"/>
    <n v="1.39"/>
    <n v="1.0425"/>
    <n v="0.75"/>
    <n v="-1.3900000000000006"/>
    <n v="1.3900000000000006"/>
    <x v="0"/>
    <n v="14.122999999999999"/>
    <n v="0"/>
    <n v="1"/>
  </r>
  <r>
    <s v="AJEET KUMAR"/>
    <d v="2026-06-06T00:00:00"/>
    <s v="SR-RTN/26-27/33564"/>
    <s v="B-297673"/>
    <s v="B-GOLD-FILING"/>
    <s v="GOLD-FILLING-WK"/>
    <x v="1"/>
    <s v="G-NA-75.00-RG"/>
    <n v="18.700600000000001"/>
    <n v="14.025449999999999"/>
    <n v="0.74999999999999989"/>
    <n v="16.880600000000001"/>
    <n v="12.660450000000001"/>
    <n v="12.661"/>
    <n v="0.75"/>
    <n v="0"/>
    <n v="0"/>
    <n v="0"/>
    <n v="0"/>
    <n v="0"/>
    <n v="0"/>
    <n v="0"/>
    <n v="0"/>
    <n v="0"/>
    <n v="1.82"/>
    <n v="1.365"/>
    <n v="0.75"/>
    <n v="-1.8200000000000003"/>
    <n v="1.8200000000000003"/>
    <x v="0"/>
    <n v="12.661"/>
    <n v="0"/>
    <n v="1"/>
  </r>
  <r>
    <s v="AJEET KUMAR"/>
    <d v="2026-06-06T00:00:00"/>
    <s v="SR-RTN/26-27/33567"/>
    <s v="B-290138"/>
    <s v="B-GOLD-FILING"/>
    <s v="GOLD-FILLING-WK"/>
    <x v="1"/>
    <s v="G-NA-75.00-RG"/>
    <n v="35.979999999999997"/>
    <n v="26.984999999999999"/>
    <n v="0.75"/>
    <n v="35.28"/>
    <n v="26.46"/>
    <n v="26.46"/>
    <n v="0.75"/>
    <n v="0"/>
    <n v="0"/>
    <n v="0"/>
    <n v="0"/>
    <n v="0"/>
    <n v="0"/>
    <n v="0"/>
    <n v="0"/>
    <n v="0"/>
    <n v="0.7"/>
    <n v="0.52500000000000002"/>
    <n v="0.75000000000000011"/>
    <n v="-0.69999999999999574"/>
    <n v="0.69999999999999574"/>
    <x v="0"/>
    <n v="26.46"/>
    <n v="0"/>
    <n v="1"/>
  </r>
  <r>
    <s v="AJEET KUMAR"/>
    <d v="2026-06-06T00:00:00"/>
    <s v="SR-RTN/26-27/33575"/>
    <s v="B-298162"/>
    <s v="B-GOLD-FILING"/>
    <s v="GOLD-FILLING-WK"/>
    <x v="0"/>
    <s v="G-NA-91.70-YG"/>
    <n v="1.36"/>
    <n v="1.24712"/>
    <n v="0.91699999999999993"/>
    <n v="1.27"/>
    <n v="1.16459"/>
    <n v="1.1649999999999998"/>
    <n v="0.91700000000000004"/>
    <n v="0"/>
    <n v="0"/>
    <n v="0"/>
    <n v="0"/>
    <n v="0"/>
    <n v="0"/>
    <n v="0"/>
    <n v="0"/>
    <n v="0"/>
    <n v="0.09"/>
    <n v="8.2530000000000006E-2"/>
    <n v="0.91700000000000015"/>
    <n v="-9.000000000000008E-2"/>
    <n v="9.000000000000008E-2"/>
    <x v="0"/>
    <n v="1.1649999999999998"/>
    <n v="0"/>
    <n v="1"/>
  </r>
  <r>
    <s v="AJEET KUMAR"/>
    <d v="2026-06-06T00:00:00"/>
    <s v="SR-RTN/26-27/33576"/>
    <s v="B-297725"/>
    <s v="B-GOLD-FILING"/>
    <s v="GOLD-FILLING-WK"/>
    <x v="0"/>
    <s v="G-NA-91.70-YG"/>
    <n v="3.07"/>
    <n v="2.8151899999999999"/>
    <n v="0.91700000000000004"/>
    <n v="2.85"/>
    <n v="2.6134499999999998"/>
    <n v="2.6139999999999999"/>
    <n v="0.91699999999999993"/>
    <n v="0"/>
    <n v="0"/>
    <n v="0"/>
    <n v="0"/>
    <n v="0"/>
    <n v="0"/>
    <n v="0"/>
    <n v="0"/>
    <n v="0"/>
    <n v="0.22"/>
    <n v="0.20174"/>
    <n v="0.91700000000000004"/>
    <n v="-0.21999999999999975"/>
    <n v="0.21999999999999975"/>
    <x v="0"/>
    <n v="2.6139999999999999"/>
    <n v="0"/>
    <n v="1"/>
  </r>
  <r>
    <s v="AJEET KUMAR"/>
    <d v="2026-06-06T00:00:00"/>
    <s v="SR-RTN/26-27/33578"/>
    <s v="B-296314"/>
    <s v="B-GOLD-FILING"/>
    <s v="GOLD-FILLING-WK"/>
    <x v="1"/>
    <s v="G-NA-75.00-RG"/>
    <n v="19.010000000000002"/>
    <n v="14.2575"/>
    <n v="0.75"/>
    <n v="17.48"/>
    <n v="13.11"/>
    <n v="13.11"/>
    <n v="0.75"/>
    <n v="0"/>
    <n v="0"/>
    <n v="0"/>
    <n v="0"/>
    <n v="0"/>
    <n v="0"/>
    <n v="0"/>
    <n v="0"/>
    <n v="0"/>
    <n v="1.53"/>
    <n v="1.1475"/>
    <n v="0.75"/>
    <n v="-1.5300000000000011"/>
    <n v="1.5300000000000011"/>
    <x v="0"/>
    <n v="13.11"/>
    <n v="0"/>
    <n v="1"/>
  </r>
  <r>
    <s v="AJEET KUMAR"/>
    <d v="2026-06-06T00:00:00"/>
    <s v="SR-RTN/26-27/33579"/>
    <s v="B-297379"/>
    <s v="B-GOLD-FILING"/>
    <s v="GOLD-FILLING-WK"/>
    <x v="0"/>
    <s v="G-NA-91.70-YG"/>
    <n v="1.21"/>
    <n v="1.1095699999999999"/>
    <n v="0.91699999999999993"/>
    <n v="1.17"/>
    <n v="1.0728899999999999"/>
    <n v="1.073"/>
    <n v="0.91699999999999993"/>
    <n v="0"/>
    <n v="0"/>
    <n v="0"/>
    <n v="0"/>
    <n v="0"/>
    <n v="0"/>
    <n v="0"/>
    <n v="0"/>
    <n v="0"/>
    <n v="0.04"/>
    <n v="3.6679999999999997E-2"/>
    <n v="0.91699999999999993"/>
    <n v="-4.0000000000000036E-2"/>
    <n v="4.0000000000000036E-2"/>
    <x v="0"/>
    <n v="1.073"/>
    <n v="0"/>
    <n v="1"/>
  </r>
  <r>
    <s v="AJEET KUMAR"/>
    <d v="2026-06-06T00:00:00"/>
    <s v="SR-RTN/26-27/33580"/>
    <s v="B-297319"/>
    <s v="B-GOLD-FILING"/>
    <s v="GOLD-FILLING-WK"/>
    <x v="1"/>
    <s v="G-NA-75.00-YG"/>
    <n v="25.21"/>
    <n v="18.907499999999999"/>
    <n v="0.74999999999999989"/>
    <n v="22.48"/>
    <n v="16.86"/>
    <n v="16.86"/>
    <n v="0.75"/>
    <n v="0"/>
    <n v="0"/>
    <n v="0"/>
    <n v="0"/>
    <n v="0"/>
    <n v="0"/>
    <n v="0"/>
    <n v="0"/>
    <n v="0"/>
    <n v="2.73"/>
    <n v="2.0474999999999999"/>
    <n v="0.75"/>
    <n v="-2.7300000000000004"/>
    <n v="2.7300000000000004"/>
    <x v="0"/>
    <n v="16.86"/>
    <n v="0"/>
    <n v="1"/>
  </r>
  <r>
    <s v="AJEET KUMAR"/>
    <d v="2026-06-06T00:00:00"/>
    <s v="SR-RTN/26-27/33581"/>
    <s v="B-296318"/>
    <s v="B-GOLD-FILING"/>
    <s v="GOLD-FILLING-WK"/>
    <x v="1"/>
    <s v="G-NA-75.00-RG"/>
    <n v="18.09"/>
    <n v="13.567500000000001"/>
    <n v="0.75"/>
    <n v="16.850000000000001"/>
    <n v="12.637499999999999"/>
    <n v="12.638"/>
    <n v="0.74999999999999989"/>
    <n v="0"/>
    <n v="0"/>
    <n v="0"/>
    <n v="0"/>
    <n v="0"/>
    <n v="0"/>
    <n v="0"/>
    <n v="0"/>
    <n v="0"/>
    <n v="1.24"/>
    <n v="0.93"/>
    <n v="0.75"/>
    <n v="-1.2399999999999984"/>
    <n v="1.2399999999999984"/>
    <x v="0"/>
    <n v="12.638"/>
    <n v="0"/>
    <n v="1"/>
  </r>
  <r>
    <s v="AJEET KUMAR"/>
    <d v="2026-06-06T00:00:00"/>
    <s v="SR-RTN/26-27/33583"/>
    <s v="B-297135"/>
    <s v="B-GOLD-FILING"/>
    <s v="GOLD-FILLING-WK"/>
    <x v="0"/>
    <s v="G-NA-91.70-YG"/>
    <n v="68.099999999999994"/>
    <n v="62.447699999999998"/>
    <n v="0.91700000000000004"/>
    <n v="64.05"/>
    <n v="58.733849999999997"/>
    <n v="58.733999999999995"/>
    <n v="0.91700000000000004"/>
    <n v="0"/>
    <n v="0"/>
    <n v="0"/>
    <n v="0"/>
    <n v="0"/>
    <n v="0"/>
    <n v="0"/>
    <n v="0"/>
    <n v="0"/>
    <n v="4.05"/>
    <n v="3.7138499999999999"/>
    <n v="0.91700000000000004"/>
    <n v="-4.0499999999999972"/>
    <n v="4.0499999999999972"/>
    <x v="0"/>
    <n v="58.733999999999995"/>
    <n v="0"/>
    <n v="1"/>
  </r>
  <r>
    <s v="AJEET KUMAR"/>
    <d v="2026-06-06T00:00:00"/>
    <s v="SR-RTN/26-27/33584"/>
    <s v="B-296911"/>
    <s v="B-GOLD-FILING"/>
    <s v="GOLD-FILLING-WK"/>
    <x v="0"/>
    <s v="G-NA-91.70-YG"/>
    <n v="129.33000000000001"/>
    <n v="118.59560999999999"/>
    <n v="0.91699999999999982"/>
    <n v="123.2"/>
    <n v="112.9744"/>
    <n v="112.97500000000001"/>
    <n v="0.91700000000000004"/>
    <n v="0"/>
    <n v="0"/>
    <n v="0"/>
    <n v="0"/>
    <n v="0"/>
    <n v="0"/>
    <n v="0"/>
    <n v="0"/>
    <n v="0"/>
    <n v="6.13"/>
    <n v="5.6212099999999996"/>
    <n v="0.91699999999999993"/>
    <n v="-6.1300000000000097"/>
    <n v="6.1300000000000097"/>
    <x v="0"/>
    <n v="112.97500000000001"/>
    <n v="0"/>
    <n v="1"/>
  </r>
  <r>
    <s v="AJEET KUMAR"/>
    <d v="2026-06-06T00:00:00"/>
    <s v="SR-RTN/26-27/33585"/>
    <s v="B-296899"/>
    <s v="B-GOLD-FILING"/>
    <s v="GOLD-FILLING-WK"/>
    <x v="0"/>
    <s v="G-NA-91.70-YG"/>
    <n v="82.24"/>
    <n v="75.414079999999998"/>
    <n v="0.91700000000000004"/>
    <n v="77.02"/>
    <n v="70.627340000000004"/>
    <n v="70.628"/>
    <n v="0.91700000000000015"/>
    <n v="0"/>
    <n v="0"/>
    <n v="0"/>
    <n v="0"/>
    <n v="0"/>
    <n v="0"/>
    <n v="0"/>
    <n v="0"/>
    <n v="0"/>
    <n v="5.22"/>
    <n v="4.78674"/>
    <n v="0.91700000000000004"/>
    <n v="-5.2199999999999989"/>
    <n v="5.2199999999999989"/>
    <x v="0"/>
    <n v="70.628"/>
    <n v="0"/>
    <n v="1"/>
  </r>
  <r>
    <s v="AJEET KUMAR"/>
    <d v="2026-06-06T00:00:00"/>
    <s v="SR-RTN/26-27/33593"/>
    <s v="B-291397"/>
    <s v="B-GOLD-FILING"/>
    <s v="GOLD-FILLING-WK"/>
    <x v="0"/>
    <s v="G-NA-91.70-YG"/>
    <n v="7.47"/>
    <n v="6.84999"/>
    <n v="0.91700000000000004"/>
    <n v="7.09"/>
    <n v="6.5015299999999998"/>
    <n v="6.5020000000000007"/>
    <n v="0.91700000000000004"/>
    <n v="0"/>
    <n v="0"/>
    <n v="0"/>
    <n v="0"/>
    <n v="0"/>
    <n v="0"/>
    <n v="0"/>
    <n v="0"/>
    <n v="0"/>
    <n v="0.38"/>
    <n v="0.34845999999999999"/>
    <n v="0.91699999999999993"/>
    <n v="-0.37999999999999989"/>
    <n v="0.37999999999999989"/>
    <x v="1"/>
    <n v="6.0070000000000006"/>
    <n v="0.49500000000000011"/>
    <n v="2"/>
  </r>
  <r>
    <s v="AJEET KUMAR"/>
    <d v="2026-06-06T00:00:00"/>
    <s v="SR-RTN/26-27/33593"/>
    <s v="B-297717"/>
    <s v="B-GOLD-FILING"/>
    <s v="GOLD-FILLING-WK"/>
    <x v="0"/>
    <s v="G-NA-91.70-YG"/>
    <n v="36.340000000000003"/>
    <n v="33.323779999999999"/>
    <n v="0.91699999999999993"/>
    <n v="35.42"/>
    <n v="32.480139999999999"/>
    <n v="32.480999999999995"/>
    <n v="0.91699999999999993"/>
    <n v="0"/>
    <n v="0"/>
    <n v="0"/>
    <n v="0"/>
    <n v="0"/>
    <n v="0"/>
    <n v="0"/>
    <n v="0"/>
    <n v="0"/>
    <n v="0.92"/>
    <n v="0.84363999999999995"/>
    <n v="0.91699999999999993"/>
    <n v="-0.92000000000000171"/>
    <n v="0.92000000000000171"/>
    <x v="1"/>
    <n v="30.381"/>
    <n v="2.0999999999999943"/>
    <n v="2"/>
  </r>
  <r>
    <s v="AJEET KUMAR"/>
    <d v="2026-06-06T00:00:00"/>
    <s v="SR-RTN/26-27/33594"/>
    <s v="B-297293"/>
    <s v="B-GOLD-FILING"/>
    <s v="GOLD-FILLING-WK"/>
    <x v="1"/>
    <s v="G-NA-75.00-RG"/>
    <n v="38.723999999999997"/>
    <n v="29.042999999999999"/>
    <n v="0.75"/>
    <n v="36.314"/>
    <n v="27.235499999999998"/>
    <n v="27.236000000000001"/>
    <n v="0.75"/>
    <n v="0"/>
    <n v="0"/>
    <n v="0"/>
    <n v="0"/>
    <n v="0"/>
    <n v="0"/>
    <n v="0"/>
    <n v="0"/>
    <n v="0"/>
    <n v="2.41"/>
    <n v="1.8075000000000001"/>
    <n v="0.75"/>
    <n v="-2.4099999999999966"/>
    <n v="2.4099999999999966"/>
    <x v="1"/>
    <n v="26.597999999999999"/>
    <n v="0.63800000000000168"/>
    <n v="2"/>
  </r>
  <r>
    <s v="AJEET KUMAR"/>
    <d v="2026-06-06T00:00:00"/>
    <s v="SR-RTN/26-27/33598"/>
    <s v="B-296847"/>
    <s v="B-GOLD-FILING"/>
    <s v="GOLD-FILLING-WK"/>
    <x v="1"/>
    <s v="G-NA-75.00-RG"/>
    <n v="8.19"/>
    <n v="6.1425000000000001"/>
    <n v="0.75"/>
    <n v="7.72"/>
    <n v="5.79"/>
    <n v="5.79"/>
    <n v="0.75"/>
    <n v="0"/>
    <n v="0"/>
    <n v="0"/>
    <n v="0"/>
    <n v="0"/>
    <n v="0"/>
    <n v="0"/>
    <n v="0"/>
    <n v="0"/>
    <n v="0.47"/>
    <n v="0.35249999999999998"/>
    <n v="0.75"/>
    <n v="-0.46999999999999975"/>
    <n v="0.46999999999999975"/>
    <x v="0"/>
    <n v="5.79"/>
    <n v="0"/>
    <n v="2"/>
  </r>
  <r>
    <s v="AJEET KUMAR"/>
    <d v="2026-06-06T00:00:00"/>
    <s v="SR-RTN/26-27/33608"/>
    <s v="B-294736"/>
    <s v="B-GOLD-FILING"/>
    <s v="GOLD-FILLING-WK"/>
    <x v="0"/>
    <s v="G-NA-91.70-YG"/>
    <n v="14.82"/>
    <n v="13.58994"/>
    <n v="0.91700000000000004"/>
    <n v="13.83"/>
    <n v="12.68211"/>
    <n v="12.683"/>
    <n v="0.91699999999999993"/>
    <n v="0"/>
    <n v="0"/>
    <n v="0"/>
    <n v="0"/>
    <n v="0"/>
    <n v="0"/>
    <n v="0"/>
    <n v="0"/>
    <n v="0"/>
    <n v="0.99"/>
    <n v="0.90783000000000003"/>
    <n v="0.91700000000000004"/>
    <n v="-0.99000000000000021"/>
    <n v="0.99000000000000021"/>
    <x v="0"/>
    <n v="12.683"/>
    <n v="0"/>
    <n v="1"/>
  </r>
  <r>
    <s v="AJEET KUMAR"/>
    <d v="2026-06-06T00:00:00"/>
    <s v="SR-RTN/26-27/33633"/>
    <s v="B-291343"/>
    <s v="B-GOLD-FILING"/>
    <s v="GOLD-FILLING-WK"/>
    <x v="0"/>
    <s v="G-NA-91.70-YG"/>
    <n v="4.3099999999999996"/>
    <n v="3.9522699999999999"/>
    <n v="0.91700000000000004"/>
    <n v="4.0599999999999996"/>
    <n v="3.72302"/>
    <n v="3.7239999999999998"/>
    <n v="0.91700000000000004"/>
    <n v="0"/>
    <n v="0"/>
    <n v="0"/>
    <n v="0"/>
    <n v="0"/>
    <n v="0"/>
    <n v="0"/>
    <n v="0"/>
    <n v="0"/>
    <n v="0.25"/>
    <n v="0.22925000000000001"/>
    <n v="0.91700000000000004"/>
    <n v="-0.25"/>
    <n v="0.25"/>
    <x v="1"/>
    <n v="3.4670000000000001"/>
    <n v="0.25699999999999967"/>
    <n v="2"/>
  </r>
  <r>
    <s v="AJEET KUMAR"/>
    <d v="2026-06-06T00:00:00"/>
    <s v="SR-RTN/26-27/33633"/>
    <s v="B-291380"/>
    <s v="B-GOLD-FILING"/>
    <s v="GOLD-FILLING-WK"/>
    <x v="0"/>
    <s v="G-NA-91.70-YG"/>
    <n v="12.7"/>
    <n v="11.645899999999999"/>
    <n v="0.91700000000000004"/>
    <n v="8.61"/>
    <n v="7.8953699999999998"/>
    <n v="7.8959999999999999"/>
    <n v="0.91700000000000004"/>
    <n v="0"/>
    <n v="0"/>
    <n v="0"/>
    <n v="0"/>
    <n v="0"/>
    <n v="0"/>
    <n v="0"/>
    <n v="0"/>
    <n v="0"/>
    <n v="4.09"/>
    <n v="3.7505299999999999"/>
    <n v="0.91700000000000004"/>
    <n v="-4.09"/>
    <n v="4.09"/>
    <x v="1"/>
    <n v="7.8959999999999999"/>
    <n v="0"/>
    <n v="4"/>
  </r>
  <r>
    <s v="AJEET KUMAR"/>
    <d v="2026-06-06T00:00:00"/>
    <s v="SR-RTN/26-27/33633"/>
    <s v="B-298560"/>
    <s v="B-GOLD-FILING"/>
    <s v="GOLD-FILLING-WK"/>
    <x v="0"/>
    <s v="G-NA-91.70-YG"/>
    <n v="48.38"/>
    <n v="44.364460000000001"/>
    <n v="0.91699999999999993"/>
    <n v="47.87"/>
    <n v="43.896790000000003"/>
    <n v="43.896999999999998"/>
    <n v="0.91700000000000015"/>
    <n v="0"/>
    <n v="0"/>
    <n v="0"/>
    <n v="0"/>
    <n v="0"/>
    <n v="0"/>
    <n v="0"/>
    <n v="0"/>
    <n v="0"/>
    <n v="0.51"/>
    <n v="0.46766999999999997"/>
    <n v="0.91699999999999993"/>
    <n v="-0.51000000000000512"/>
    <n v="0.51000000000000512"/>
    <x v="0"/>
    <n v="43.896999999999998"/>
    <n v="0"/>
    <n v="1"/>
  </r>
  <r>
    <s v="AJEET KUMAR"/>
    <d v="2026-06-06T00:00:00"/>
    <s v="SR-RTN/26-27/33639"/>
    <s v="B-296834"/>
    <s v="B-GOLD-FILING"/>
    <s v="GOLD-FILLING-WK"/>
    <x v="1"/>
    <s v="G-NA-75.00-RG"/>
    <n v="20.09"/>
    <n v="15.067500000000001"/>
    <n v="0.75"/>
    <n v="18.27"/>
    <n v="13.702500000000001"/>
    <n v="13.702999999999999"/>
    <n v="0.75"/>
    <n v="0"/>
    <n v="0"/>
    <n v="0"/>
    <n v="0"/>
    <n v="0"/>
    <n v="0"/>
    <n v="0"/>
    <n v="0"/>
    <n v="0"/>
    <n v="1.82"/>
    <n v="1.365"/>
    <n v="0.75"/>
    <n v="-1.8200000000000003"/>
    <n v="1.8200000000000003"/>
    <x v="0"/>
    <n v="13.702999999999999"/>
    <n v="0"/>
    <n v="1"/>
  </r>
  <r>
    <s v="AJEET KUMAR"/>
    <d v="2026-06-06T00:00:00"/>
    <s v="SR-RTN/26-27/33639"/>
    <s v="B-296928"/>
    <s v="B-GOLD-FILING"/>
    <s v="GOLD-FILLING-WK"/>
    <x v="1"/>
    <s v="G-NA-75.00-RG"/>
    <n v="19.7"/>
    <n v="14.775"/>
    <n v="0.75"/>
    <n v="18.489999999999998"/>
    <n v="13.8675"/>
    <n v="13.868"/>
    <n v="0.75"/>
    <n v="0"/>
    <n v="0"/>
    <n v="0"/>
    <n v="0"/>
    <n v="0"/>
    <n v="0"/>
    <n v="0"/>
    <n v="0"/>
    <n v="0"/>
    <n v="1.21"/>
    <n v="0.90749999999999997"/>
    <n v="0.75"/>
    <n v="-1.2100000000000009"/>
    <n v="1.2100000000000009"/>
    <x v="0"/>
    <n v="13.868"/>
    <n v="0"/>
    <n v="1"/>
  </r>
  <r>
    <s v="AJEET KUMAR"/>
    <d v="2026-06-06T00:00:00"/>
    <s v="SR-RTN/26-27/33662"/>
    <s v="B-297726"/>
    <s v="B-GOLD-FILING"/>
    <s v="GOLD-FILLING-WK"/>
    <x v="0"/>
    <s v="G-NA-91.70-YG"/>
    <n v="14.05"/>
    <n v="12.883850000000001"/>
    <n v="0.91700000000000004"/>
    <n v="12.91"/>
    <n v="11.838469999999999"/>
    <n v="11.838999999999999"/>
    <n v="0.91699999999999993"/>
    <n v="0"/>
    <n v="0"/>
    <n v="0"/>
    <n v="0"/>
    <n v="0"/>
    <n v="0"/>
    <n v="0"/>
    <n v="0"/>
    <n v="0"/>
    <n v="1.1399999999999999"/>
    <n v="1.04538"/>
    <n v="0.91700000000000004"/>
    <n v="-1.1400000000000006"/>
    <n v="1.1400000000000006"/>
    <x v="0"/>
    <n v="11.838999999999999"/>
    <n v="0"/>
    <n v="1"/>
  </r>
  <r>
    <s v="AJEET KUMAR"/>
    <d v="2026-06-06T00:00:00"/>
    <s v="SR-RTN/26-27/33665"/>
    <s v="B-297877"/>
    <s v="B-GOLD-FILING"/>
    <s v="GOLD-FILLING-WK"/>
    <x v="1"/>
    <s v="G-NA-75.00-YG"/>
    <n v="4.7699999999999996"/>
    <n v="3.5775000000000001"/>
    <n v="0.75000000000000011"/>
    <n v="4.54"/>
    <n v="3.4049999999999998"/>
    <n v="3.4049999999999998"/>
    <n v="0.75"/>
    <n v="0"/>
    <n v="0"/>
    <n v="0"/>
    <n v="0"/>
    <n v="0"/>
    <n v="0"/>
    <n v="0"/>
    <n v="0"/>
    <n v="0"/>
    <n v="0.23"/>
    <n v="0.17249999999999999"/>
    <n v="0.74999999999999989"/>
    <n v="-0.22999999999999954"/>
    <n v="0.22999999999999954"/>
    <x v="0"/>
    <n v="3.4049999999999998"/>
    <n v="0"/>
    <n v="2"/>
  </r>
  <r>
    <s v="AJEET KUMAR"/>
    <d v="2026-06-06T00:00:00"/>
    <s v="SR-RTN/26-27/33668"/>
    <s v="B-291411"/>
    <s v="B-GOLD-FILING"/>
    <s v="GOLD-FILLING-WK"/>
    <x v="0"/>
    <s v="G-NA-91.70-YG"/>
    <n v="12.42"/>
    <n v="11.389139999999999"/>
    <n v="0.91699999999999993"/>
    <n v="12.28"/>
    <n v="11.260759999999999"/>
    <n v="11.260999999999999"/>
    <n v="0.91700000000000004"/>
    <n v="0"/>
    <n v="0"/>
    <n v="0"/>
    <n v="0"/>
    <n v="0"/>
    <n v="0"/>
    <n v="0"/>
    <n v="0"/>
    <n v="0"/>
    <n v="0.14000000000000001"/>
    <n v="0.12837999999999999"/>
    <n v="0.91699999999999982"/>
    <n v="-0.14000000000000057"/>
    <n v="0.14000000000000057"/>
    <x v="1"/>
    <n v="10.427"/>
    <n v="0.83399999999999963"/>
    <n v="3"/>
  </r>
  <r>
    <s v="AJEET KUMAR"/>
    <d v="2026-06-06T00:00:00"/>
    <s v="SR-RTN/26-27/33717"/>
    <s v="B-293814"/>
    <s v="B-GOLD-FILING"/>
    <s v="GOLD-FILLING-WK"/>
    <x v="1"/>
    <s v="G-NA-75.00-YG"/>
    <n v="22.61"/>
    <n v="16.9575"/>
    <n v="0.75"/>
    <n v="21.27"/>
    <n v="15.952500000000001"/>
    <n v="15.952999999999999"/>
    <n v="0.75"/>
    <n v="0"/>
    <n v="0"/>
    <n v="0"/>
    <n v="0"/>
    <n v="0"/>
    <n v="0"/>
    <n v="0"/>
    <n v="0"/>
    <n v="0"/>
    <n v="1.34"/>
    <n v="1.0049999999999999"/>
    <n v="0.74999999999999989"/>
    <n v="-1.34"/>
    <n v="1.34"/>
    <x v="0"/>
    <n v="15.952999999999999"/>
    <n v="0"/>
    <n v="1"/>
  </r>
  <r>
    <s v="AJEET KUMAR"/>
    <d v="2026-06-06T00:00:00"/>
    <s v="SR-RTN/26-27/33717"/>
    <s v="B-296924"/>
    <s v="B-GOLD-FILING"/>
    <s v="GOLD-FILLING-WK"/>
    <x v="1"/>
    <s v="G-NA-75.00-YG"/>
    <n v="21.29"/>
    <n v="15.967499999999999"/>
    <n v="0.75"/>
    <n v="20.27"/>
    <n v="15.202500000000001"/>
    <n v="15.202999999999999"/>
    <n v="0.75"/>
    <n v="0"/>
    <n v="0"/>
    <n v="0"/>
    <n v="0"/>
    <n v="0"/>
    <n v="0"/>
    <n v="0"/>
    <n v="0"/>
    <n v="0"/>
    <n v="1.02"/>
    <n v="0.76500000000000001"/>
    <n v="0.75"/>
    <n v="-1.0199999999999996"/>
    <n v="1.0199999999999996"/>
    <x v="0"/>
    <n v="15.202999999999999"/>
    <n v="0"/>
    <n v="1"/>
  </r>
  <r>
    <s v="AJEET KUMAR"/>
    <d v="2026-06-06T00:00:00"/>
    <s v="SR-RTN/26-27/33717"/>
    <s v="B-297102"/>
    <s v="B-GOLD-FILING"/>
    <s v="GOLD-FILLING-WK"/>
    <x v="1"/>
    <s v="G-NA-75.00-RG"/>
    <n v="51.87"/>
    <n v="38.902500000000003"/>
    <n v="0.75000000000000011"/>
    <n v="51.56"/>
    <n v="38.67"/>
    <n v="38.67"/>
    <n v="0.75"/>
    <n v="0"/>
    <n v="0"/>
    <n v="0"/>
    <n v="0"/>
    <n v="0"/>
    <n v="0"/>
    <n v="0"/>
    <n v="0"/>
    <n v="0"/>
    <n v="0.31"/>
    <n v="0.23250000000000001"/>
    <n v="0.75"/>
    <n v="-0.30999999999999517"/>
    <n v="0.30999999999999517"/>
    <x v="0"/>
    <n v="38.67"/>
    <n v="0"/>
    <n v="2"/>
  </r>
  <r>
    <s v="AJEET KUMAR"/>
    <d v="2026-06-06T00:00:00"/>
    <s v="SR-RTN/26-27/33717"/>
    <s v="B-297631"/>
    <s v="B-GOLD-FILING"/>
    <s v="GOLD-FILLING-WK"/>
    <x v="1"/>
    <s v="G-NA-75.00-RG"/>
    <n v="20.78"/>
    <n v="15.585000000000001"/>
    <n v="0.75"/>
    <n v="19.309999999999999"/>
    <n v="14.4825"/>
    <n v="14.482999999999999"/>
    <n v="0.75"/>
    <n v="0"/>
    <n v="0"/>
    <n v="0"/>
    <n v="0"/>
    <n v="0"/>
    <n v="0"/>
    <n v="0"/>
    <n v="0"/>
    <n v="0"/>
    <n v="1.47"/>
    <n v="1.1025"/>
    <n v="0.75"/>
    <n v="-1.4700000000000024"/>
    <n v="1.4700000000000024"/>
    <x v="0"/>
    <n v="14.482999999999999"/>
    <n v="0"/>
    <n v="1"/>
  </r>
  <r>
    <s v="AJEET KUMAR"/>
    <d v="2026-06-06T00:00:00"/>
    <s v="SR-RTN/26-27/33767"/>
    <s v="B-291320"/>
    <s v="B-GOLD-FILING"/>
    <s v="GOLD-FILLING-WK"/>
    <x v="0"/>
    <s v="G-NA-91.70-YG"/>
    <n v="14.32"/>
    <n v="13.13144"/>
    <n v="0.91699999999999993"/>
    <n v="13.96"/>
    <n v="12.80132"/>
    <n v="12.802"/>
    <n v="0.91699999999999993"/>
    <n v="0"/>
    <n v="0"/>
    <n v="0"/>
    <n v="0"/>
    <n v="0"/>
    <n v="0"/>
    <n v="0"/>
    <n v="0"/>
    <n v="0"/>
    <n v="0.36"/>
    <n v="0.33012000000000002"/>
    <n v="0.91700000000000015"/>
    <n v="-0.35999999999999943"/>
    <n v="0.35999999999999943"/>
    <x v="1"/>
    <n v="11.802"/>
    <n v="1"/>
    <n v="2"/>
  </r>
  <r>
    <s v="AJEET KUMAR"/>
    <d v="2026-06-06T00:00:00"/>
    <s v="SR-RTN/26-27/33767"/>
    <s v="B-291326"/>
    <s v="B-GOLD-FILING"/>
    <s v="GOLD-FILLING-WK"/>
    <x v="0"/>
    <s v="G-NA-91.70-YG"/>
    <n v="14.24"/>
    <n v="13.05808"/>
    <n v="0.91700000000000004"/>
    <n v="13.84"/>
    <n v="12.691280000000001"/>
    <n v="12.692"/>
    <n v="0.91700000000000004"/>
    <n v="0"/>
    <n v="0"/>
    <n v="0"/>
    <n v="0"/>
    <n v="0"/>
    <n v="0"/>
    <n v="0"/>
    <n v="0"/>
    <n v="0"/>
    <n v="0.4"/>
    <n v="0.36680000000000001"/>
    <n v="0.91700000000000004"/>
    <n v="-0.40000000000000036"/>
    <n v="0.40000000000000036"/>
    <x v="0"/>
    <n v="12.692"/>
    <n v="0"/>
    <n v="1"/>
  </r>
  <r>
    <s v="AJEET KUMAR"/>
    <d v="2026-06-06T00:00:00"/>
    <s v="SR-RTN/26-27/33767"/>
    <s v="B-291342"/>
    <s v="B-GOLD-FILING"/>
    <s v="GOLD-FILLING-WK"/>
    <x v="0"/>
    <s v="G-NA-91.70-YG"/>
    <n v="11.56"/>
    <n v="10.600519999999999"/>
    <n v="0.91699999999999993"/>
    <n v="11.36"/>
    <n v="10.417120000000001"/>
    <n v="10.417999999999999"/>
    <n v="0.91700000000000015"/>
    <n v="0"/>
    <n v="0"/>
    <n v="0"/>
    <n v="0"/>
    <n v="0"/>
    <n v="0"/>
    <n v="0"/>
    <n v="0"/>
    <n v="0"/>
    <n v="0.2"/>
    <n v="0.18340000000000001"/>
    <n v="0.91700000000000004"/>
    <n v="-0.20000000000000107"/>
    <n v="0.20000000000000107"/>
    <x v="0"/>
    <n v="10.417999999999999"/>
    <n v="0"/>
    <n v="1"/>
  </r>
  <r>
    <s v="AJEET KUMAR"/>
    <d v="2026-06-06T00:00:00"/>
    <s v="SR-RTN/26-27/33767"/>
    <s v="B-291356"/>
    <s v="B-GOLD-FILING"/>
    <s v="GOLD-FILLING-WK"/>
    <x v="0"/>
    <s v="G-NA-91.70-YG"/>
    <n v="4.5599999999999996"/>
    <n v="4.1815199999999999"/>
    <n v="0.91700000000000004"/>
    <n v="4.5"/>
    <n v="4.1265000000000001"/>
    <n v="4.1270000000000007"/>
    <n v="0.91700000000000004"/>
    <n v="0"/>
    <n v="0"/>
    <n v="0"/>
    <n v="0"/>
    <n v="0"/>
    <n v="0"/>
    <n v="0"/>
    <n v="0"/>
    <n v="0"/>
    <n v="0.06"/>
    <n v="5.5019999999999999E-2"/>
    <n v="0.91700000000000004"/>
    <n v="-5.9999999999999609E-2"/>
    <n v="5.9999999999999609E-2"/>
    <x v="1"/>
    <n v="3.6959999999999997"/>
    <n v="0.43100000000000094"/>
    <n v="2"/>
  </r>
  <r>
    <s v="AJEET KUMAR"/>
    <d v="2026-06-06T00:00:00"/>
    <s v="SR-RTN/26-27/33767"/>
    <s v="B-291400"/>
    <s v="B-GOLD-FILING"/>
    <s v="GOLD-FILLING-WK"/>
    <x v="0"/>
    <s v="G-NA-91.70-YG"/>
    <n v="2.66"/>
    <n v="2.4392200000000002"/>
    <n v="0.91700000000000004"/>
    <n v="2.61"/>
    <n v="2.39337"/>
    <n v="2.3939999999999997"/>
    <n v="0.91700000000000004"/>
    <n v="0"/>
    <n v="0"/>
    <n v="0"/>
    <n v="0"/>
    <n v="0"/>
    <n v="0"/>
    <n v="0"/>
    <n v="0"/>
    <n v="0"/>
    <n v="0.05"/>
    <n v="4.5850000000000002E-2"/>
    <n v="0.91700000000000004"/>
    <n v="-5.0000000000000266E-2"/>
    <n v="5.0000000000000266E-2"/>
    <x v="1"/>
    <n v="1.99"/>
    <n v="0.40399999999999969"/>
    <n v="2"/>
  </r>
  <r>
    <s v="AJEET KUMAR"/>
    <d v="2026-06-06T00:00:00"/>
    <s v="SR-RTN/26-27/33767"/>
    <s v="B-291415/1"/>
    <s v="B-GOLD-FILING"/>
    <s v="GOLD-FILLING-WK"/>
    <x v="0"/>
    <s v="G-NA-91.70-YG"/>
    <n v="7.97"/>
    <n v="7.3084899999999999"/>
    <n v="0.91700000000000004"/>
    <n v="7.83"/>
    <n v="7.18011"/>
    <n v="7.181"/>
    <n v="0.91700000000000004"/>
    <n v="0"/>
    <n v="0"/>
    <n v="0"/>
    <n v="0"/>
    <n v="0"/>
    <n v="0"/>
    <n v="0"/>
    <n v="0"/>
    <n v="0"/>
    <n v="0.14000000000000001"/>
    <n v="0.12837999999999999"/>
    <n v="0.91699999999999982"/>
    <n v="-0.13999999999999968"/>
    <n v="0.13999999999999968"/>
    <x v="1"/>
    <n v="6.4290000000000003"/>
    <n v="0.75199999999999978"/>
    <n v="2"/>
  </r>
  <r>
    <s v="AJEET KUMAR"/>
    <d v="2026-06-06T00:00:00"/>
    <s v="SR-RTN/26-27/33767"/>
    <s v="B-291429"/>
    <s v="B-GOLD-FILING"/>
    <s v="GOLD-FILLING-WK"/>
    <x v="0"/>
    <s v="G-NA-91.70-YG"/>
    <n v="19.170000000000002"/>
    <n v="17.578890000000001"/>
    <n v="0.91700000000000004"/>
    <n v="18.79"/>
    <n v="17.230429999999998"/>
    <n v="17.231000000000002"/>
    <n v="0.91699999999999993"/>
    <n v="0"/>
    <n v="0"/>
    <n v="0"/>
    <n v="0"/>
    <n v="0"/>
    <n v="0"/>
    <n v="0"/>
    <n v="0"/>
    <n v="0"/>
    <n v="0.38"/>
    <n v="0.34845999999999999"/>
    <n v="0.91699999999999993"/>
    <n v="-0.38000000000000256"/>
    <n v="0.38000000000000256"/>
    <x v="0"/>
    <n v="17.231000000000002"/>
    <n v="0"/>
    <n v="1"/>
  </r>
  <r>
    <s v="AJEET KUMAR"/>
    <d v="2026-06-06T00:00:00"/>
    <s v="SR-RTN/26-27/33770"/>
    <s v="B-297132"/>
    <s v="B-GOLD-FILING"/>
    <s v="GOLD-FILLING-WK"/>
    <x v="0"/>
    <s v="G-NA-91.70-YG"/>
    <n v="50.86"/>
    <n v="46.638620000000003"/>
    <n v="0.91700000000000004"/>
    <n v="47.12"/>
    <n v="43.209040000000002"/>
    <n v="43.21"/>
    <n v="0.91700000000000004"/>
    <n v="0"/>
    <n v="0"/>
    <n v="0"/>
    <n v="0"/>
    <n v="0"/>
    <n v="0"/>
    <n v="0"/>
    <n v="0"/>
    <n v="0"/>
    <n v="3.74"/>
    <n v="3.4295800000000001"/>
    <n v="0.91699999999999993"/>
    <n v="-3.740000000000002"/>
    <n v="3.740000000000002"/>
    <x v="0"/>
    <n v="43.21"/>
    <n v="0"/>
    <n v="1"/>
  </r>
  <r>
    <s v="AJEET KUMAR"/>
    <d v="2026-06-06T00:00:00"/>
    <s v="SR-RTN/26-27/33770"/>
    <s v="B-297293"/>
    <s v="B-GOLD-FILING"/>
    <s v="GOLD-FILLING-WK"/>
    <x v="1"/>
    <s v="G-NA-75.00-RG"/>
    <n v="35.463999999999999"/>
    <n v="26.597999999999999"/>
    <n v="0.75"/>
    <n v="35.463999999999999"/>
    <n v="26.597999999999999"/>
    <n v="26.597999999999999"/>
    <n v="0.75"/>
    <n v="0"/>
    <n v="0"/>
    <n v="0"/>
    <n v="0"/>
    <n v="0"/>
    <n v="0"/>
    <n v="0"/>
    <n v="0"/>
    <n v="0"/>
    <n v="0"/>
    <n v="0"/>
    <n v="0"/>
    <n v="0"/>
    <n v="0"/>
    <x v="0"/>
    <n v="26.597999999999999"/>
    <n v="0"/>
    <n v="2"/>
  </r>
  <r>
    <s v="AJEET KUMAR"/>
    <d v="2026-06-06T00:00:00"/>
    <s v="SR-RTN/26-27/33800"/>
    <s v="B-296288"/>
    <s v="B-GOLD-FILING"/>
    <s v="GOLD-FILLING-WK"/>
    <x v="1"/>
    <s v="G-NA-75.00-RG"/>
    <n v="14.25"/>
    <n v="10.6875"/>
    <n v="0.75"/>
    <n v="12.85"/>
    <n v="9.6374999999999993"/>
    <n v="9.6379999999999999"/>
    <n v="0.75"/>
    <n v="0"/>
    <n v="0"/>
    <n v="0"/>
    <n v="0"/>
    <n v="0"/>
    <n v="0"/>
    <n v="0"/>
    <n v="0"/>
    <n v="0"/>
    <n v="1.4"/>
    <n v="1.05"/>
    <n v="0.75000000000000011"/>
    <n v="-1.4000000000000004"/>
    <n v="1.4000000000000004"/>
    <x v="0"/>
    <n v="9.6379999999999999"/>
    <n v="0"/>
    <n v="1"/>
  </r>
  <r>
    <s v="AJEET KUMAR"/>
    <d v="2026-06-06T00:00:00"/>
    <s v="SR-RTN/26-27/33800"/>
    <s v="B-296904"/>
    <s v="B-GOLD-FILING"/>
    <s v="GOLD-FILLING-WK"/>
    <x v="0"/>
    <s v="G-NA-91.70-YG"/>
    <n v="63.47"/>
    <n v="58.201990000000002"/>
    <n v="0.91700000000000004"/>
    <n v="59.12"/>
    <n v="54.213039999999999"/>
    <n v="54.213999999999999"/>
    <n v="0.91700000000000004"/>
    <n v="0"/>
    <n v="0"/>
    <n v="0"/>
    <n v="0"/>
    <n v="0"/>
    <n v="0"/>
    <n v="0"/>
    <n v="0"/>
    <n v="0"/>
    <n v="4.3499999999999996"/>
    <n v="3.98895"/>
    <n v="0.91700000000000004"/>
    <n v="-4.3500000000000014"/>
    <n v="4.3500000000000014"/>
    <x v="1"/>
    <n v="51.196999999999996"/>
    <n v="3.017000000000003"/>
    <n v="2"/>
  </r>
  <r>
    <s v="AJEET KUMAR"/>
    <d v="2026-06-06T00:00:00"/>
    <s v="SR-RTN/26-27/33800"/>
    <s v="B-296964"/>
    <s v="B-GOLD-FILING"/>
    <s v="GOLD-FILLING-WK"/>
    <x v="1"/>
    <s v="G-NA-75.00-RG"/>
    <n v="42.28"/>
    <n v="31.71"/>
    <n v="0.75"/>
    <n v="41.43"/>
    <n v="31.072500000000002"/>
    <n v="31.073"/>
    <n v="0.75"/>
    <n v="0"/>
    <n v="0"/>
    <n v="0"/>
    <n v="0"/>
    <n v="0"/>
    <n v="0"/>
    <n v="0"/>
    <n v="0"/>
    <n v="0"/>
    <n v="0.85"/>
    <n v="0.63749999999999996"/>
    <n v="0.75"/>
    <n v="-0.85000000000000142"/>
    <n v="0.85000000000000142"/>
    <x v="0"/>
    <n v="31.073"/>
    <n v="0"/>
    <n v="1"/>
  </r>
  <r>
    <s v="AJEET KUMAR"/>
    <d v="2026-06-06T00:00:00"/>
    <s v="SR-RTN/26-27/33800"/>
    <s v="B-298161"/>
    <s v="B-GOLD-FILING"/>
    <s v="GOLD-FILLING-WK"/>
    <x v="0"/>
    <s v="G-NA-91.70-YG"/>
    <n v="29.52"/>
    <n v="27.069839999999999"/>
    <n v="0.91700000000000004"/>
    <n v="29.5"/>
    <n v="27.051500000000001"/>
    <n v="27.052"/>
    <n v="0.91700000000000004"/>
    <n v="0"/>
    <n v="0"/>
    <n v="0"/>
    <n v="0"/>
    <n v="0"/>
    <n v="0"/>
    <n v="0"/>
    <n v="0"/>
    <n v="0"/>
    <n v="0.02"/>
    <n v="1.8339999999999999E-2"/>
    <n v="0.91699999999999993"/>
    <n v="-1.9999999999999574E-2"/>
    <n v="1.9999999999999574E-2"/>
    <x v="1"/>
    <n v="26.052"/>
    <n v="1"/>
    <n v="2"/>
  </r>
  <r>
    <s v="AJEET KUMAR"/>
    <d v="2026-06-06T00:00:00"/>
    <s v="SR-RTN/26-27/33802"/>
    <s v="B-296349"/>
    <s v="B-GOLD-FILING"/>
    <s v="GOLD-FILLING-WK"/>
    <x v="1"/>
    <s v="G-NA-75.00-RG"/>
    <n v="17.829999999999998"/>
    <n v="13.3725"/>
    <n v="0.75000000000000011"/>
    <n v="14.43"/>
    <n v="10.8225"/>
    <n v="10.822999999999999"/>
    <n v="0.75"/>
    <n v="0"/>
    <n v="0"/>
    <n v="0"/>
    <n v="0"/>
    <n v="0"/>
    <n v="0"/>
    <n v="0"/>
    <n v="0"/>
    <n v="0"/>
    <n v="3.4"/>
    <n v="2.5499999999999998"/>
    <n v="0.75"/>
    <n v="-3.3999999999999986"/>
    <n v="3.3999999999999986"/>
    <x v="1"/>
    <n v="10.035"/>
    <n v="0.78799999999999848"/>
    <n v="2"/>
  </r>
  <r>
    <s v="AJEET KUMAR"/>
    <d v="2026-06-06T00:00:00"/>
    <s v="SR-RTN/26-27/33803"/>
    <s v="B-297699"/>
    <s v="B-GOLD-FILING"/>
    <s v="GOLD-FILLING-WK"/>
    <x v="0"/>
    <s v="G-NA-91.70-YG"/>
    <n v="87.35"/>
    <n v="80.099950000000007"/>
    <n v="0.91700000000000015"/>
    <n v="82.9"/>
    <n v="76.019300000000001"/>
    <n v="76.02000000000001"/>
    <n v="0.91699999999999993"/>
    <n v="0"/>
    <n v="0"/>
    <n v="0"/>
    <n v="0"/>
    <n v="0"/>
    <n v="0"/>
    <n v="0"/>
    <n v="0"/>
    <n v="0"/>
    <n v="4.45"/>
    <n v="4.0806500000000003"/>
    <n v="0.91700000000000004"/>
    <n v="-4.4499999999999886"/>
    <n v="4.4499999999999886"/>
    <x v="0"/>
    <n v="76.02000000000001"/>
    <n v="0"/>
    <n v="1"/>
  </r>
  <r>
    <s v="AJEET KUMAR"/>
    <d v="2026-06-06T00:00:00"/>
    <s v="SR-RTN/26-27/33847"/>
    <s v="B-297129"/>
    <s v="B-GOLD-FILING"/>
    <s v="GOLD-FILLING-WK"/>
    <x v="0"/>
    <s v="G-NA-91.70-YG"/>
    <n v="44.09"/>
    <n v="40.430529999999997"/>
    <n v="0.91699999999999982"/>
    <n v="40.99"/>
    <n v="37.587829999999997"/>
    <n v="37.588000000000001"/>
    <n v="0.91699999999999993"/>
    <n v="0"/>
    <n v="0"/>
    <n v="0"/>
    <n v="0"/>
    <n v="0"/>
    <n v="0"/>
    <n v="0"/>
    <n v="0"/>
    <n v="0"/>
    <n v="3.1"/>
    <n v="2.8426999999999998"/>
    <n v="0.91699999999999993"/>
    <n v="-3.1000000000000014"/>
    <n v="3.1000000000000014"/>
    <x v="0"/>
    <n v="37.588000000000001"/>
    <n v="0"/>
    <n v="1"/>
  </r>
  <r>
    <s v="AJEET KUMAR"/>
    <d v="2026-06-06T00:00:00"/>
    <s v="SR-RTN/26-27/33847"/>
    <s v="B-297324"/>
    <s v="B-GOLD-FILING"/>
    <s v="GOLD-FILLING-WK"/>
    <x v="0"/>
    <s v="G-NA-91.70-YG"/>
    <n v="31.02"/>
    <n v="28.445340000000002"/>
    <n v="0.91700000000000004"/>
    <n v="29.04"/>
    <n v="26.62968"/>
    <n v="26.630000000000003"/>
    <n v="0.91700000000000004"/>
    <n v="0"/>
    <n v="0"/>
    <n v="0"/>
    <n v="0"/>
    <n v="0"/>
    <n v="0"/>
    <n v="0"/>
    <n v="0"/>
    <n v="0"/>
    <n v="1.98"/>
    <n v="1.8156600000000001"/>
    <n v="0.91700000000000004"/>
    <n v="-1.9800000000000004"/>
    <n v="1.9800000000000004"/>
    <x v="1"/>
    <n v="26.016000000000002"/>
    <n v="0.61400000000000077"/>
    <n v="2"/>
  </r>
  <r>
    <s v="AJEET KUMAR"/>
    <d v="2026-06-06T00:00:00"/>
    <s v="SR-RTN/26-27/33848"/>
    <s v="B-296880"/>
    <s v="B-GOLD-FILING"/>
    <s v="GOLD-FILLING-WK"/>
    <x v="1"/>
    <s v="G-NA-75.00-RG"/>
    <n v="17.55"/>
    <n v="13.1625"/>
    <n v="0.75"/>
    <n v="16.079999999999998"/>
    <n v="12.06"/>
    <n v="12.06"/>
    <n v="0.75000000000000011"/>
    <n v="0"/>
    <n v="0"/>
    <n v="0"/>
    <n v="0"/>
    <n v="0"/>
    <n v="0"/>
    <n v="0"/>
    <n v="0"/>
    <n v="0"/>
    <n v="1.47"/>
    <n v="1.1025"/>
    <n v="0.75"/>
    <n v="-1.4700000000000024"/>
    <n v="1.4700000000000024"/>
    <x v="0"/>
    <n v="12.06"/>
    <n v="0"/>
    <n v="1"/>
  </r>
  <r>
    <s v="AJEET KUMAR"/>
    <d v="2026-06-06T00:00:00"/>
    <s v="SR-RTN/26-27/33860"/>
    <s v="B-291325"/>
    <s v="B-GOLD-FILING"/>
    <s v="GOLD-FILLING-WK"/>
    <x v="0"/>
    <s v="G-NA-91.70-YG"/>
    <n v="11.87"/>
    <n v="10.884790000000001"/>
    <n v="0.91700000000000015"/>
    <n v="11.84"/>
    <n v="10.857279999999999"/>
    <n v="10.857999999999999"/>
    <n v="0.91699999999999993"/>
    <n v="0"/>
    <n v="0"/>
    <n v="0"/>
    <n v="0"/>
    <n v="0"/>
    <n v="0"/>
    <n v="0"/>
    <n v="0"/>
    <n v="0"/>
    <n v="0.03"/>
    <n v="2.751E-2"/>
    <n v="0.91700000000000004"/>
    <n v="-2.9999999999999361E-2"/>
    <n v="2.9999999999999361E-2"/>
    <x v="0"/>
    <n v="10.857999999999999"/>
    <n v="0"/>
    <n v="1"/>
  </r>
  <r>
    <s v="AJEET KUMAR"/>
    <d v="2026-06-06T00:00:00"/>
    <s v="SR-RTN/26-27/33861"/>
    <s v="B-291374"/>
    <s v="B-GOLD-FILING"/>
    <s v="GOLD-FILLING-WK"/>
    <x v="0"/>
    <s v="G-NA-91.70-YG"/>
    <n v="10.08"/>
    <n v="9.2433599999999991"/>
    <n v="0.91699999999999993"/>
    <n v="9.94"/>
    <n v="9.1149799999999992"/>
    <n v="9.1150000000000002"/>
    <n v="0.91699999999999993"/>
    <n v="0"/>
    <n v="0"/>
    <n v="0"/>
    <n v="0"/>
    <n v="0"/>
    <n v="0"/>
    <n v="0"/>
    <n v="0"/>
    <n v="0"/>
    <n v="0.14000000000000001"/>
    <n v="0.12837999999999999"/>
    <n v="0.91699999999999982"/>
    <n v="-0.14000000000000057"/>
    <n v="0.14000000000000057"/>
    <x v="0"/>
    <n v="9.1150000000000002"/>
    <n v="0"/>
    <n v="1"/>
  </r>
  <r>
    <s v="AJEET KUMAR"/>
    <d v="2026-06-06T00:00:00"/>
    <s v="SR-RTN/26-27/33862"/>
    <s v="B-291421"/>
    <s v="B-GOLD-FILING"/>
    <s v="GOLD-FILLING-WK"/>
    <x v="0"/>
    <s v="G-NA-91.70-YG"/>
    <n v="21.26"/>
    <n v="19.495419999999999"/>
    <n v="0.91699999999999993"/>
    <n v="19.760000000000002"/>
    <n v="18.11992"/>
    <n v="18.12"/>
    <n v="0.91699999999999993"/>
    <n v="0"/>
    <n v="0"/>
    <n v="0"/>
    <n v="0"/>
    <n v="0"/>
    <n v="0"/>
    <n v="0"/>
    <n v="0"/>
    <n v="0"/>
    <n v="1.5"/>
    <n v="1.3754999999999999"/>
    <n v="0.91699999999999993"/>
    <n v="-1.5"/>
    <n v="1.5"/>
    <x v="0"/>
    <n v="18.12"/>
    <n v="0"/>
    <n v="1"/>
  </r>
  <r>
    <s v="AJEET KUMAR"/>
    <d v="2026-06-06T00:00:00"/>
    <s v="SR-W/O-RTN/26-27/2405"/>
    <s v="NONE"/>
    <s v="B-GOLD-FILING"/>
    <s v="GOLD-FILLING-WK"/>
    <x v="1"/>
    <s v="G-NA-75.00-RG"/>
    <n v="5.59"/>
    <n v="4.1924999999999999"/>
    <n v="0.75"/>
    <n v="4.78"/>
    <n v="3.585"/>
    <n v="3.585"/>
    <n v="0.75"/>
    <n v="0"/>
    <n v="0"/>
    <n v="0"/>
    <n v="0"/>
    <n v="0"/>
    <n v="0"/>
    <n v="0"/>
    <n v="0"/>
    <n v="0"/>
    <n v="0.81"/>
    <n v="0.60750000000000004"/>
    <n v="0.75"/>
    <n v="-0.80999999999999961"/>
    <n v="0.80999999999999961"/>
    <x v="1"/>
    <n v="0"/>
    <n v="3.585"/>
    <n v="67"/>
  </r>
  <r>
    <s v="AJEET KUMAR"/>
    <d v="2026-06-06T00:00:00"/>
    <s v="SR-W/O-RTN/26-27/2405"/>
    <s v="NONE"/>
    <s v="B-GOLD-FILING"/>
    <s v="GOLD-FILLING-WK"/>
    <x v="1"/>
    <s v="G-NA-75.00-YG"/>
    <n v="10.16"/>
    <n v="7.62"/>
    <n v="0.75"/>
    <n v="10"/>
    <n v="7.5"/>
    <n v="7.5"/>
    <n v="0.75"/>
    <n v="0"/>
    <n v="0"/>
    <n v="0"/>
    <n v="0"/>
    <n v="0"/>
    <n v="0"/>
    <n v="0"/>
    <n v="0"/>
    <n v="0"/>
    <n v="0.16"/>
    <n v="0.12"/>
    <n v="0.75"/>
    <n v="-0.16000000000000014"/>
    <n v="0.16000000000000014"/>
    <x v="1"/>
    <n v="0"/>
    <n v="7.5"/>
    <n v="67"/>
  </r>
  <r>
    <s v="AJEET KUMAR"/>
    <d v="2026-06-08T00:00:00"/>
    <s v="RTN-8715805"/>
    <s v="SR-41905"/>
    <s v="CAST-FILLING"/>
    <s v="GOLD-FILLING-WK"/>
    <x v="0"/>
    <s v="G-NA-91.70-YG"/>
    <n v="102.58"/>
    <n v="94.065860000000001"/>
    <n v="0.91700000000000004"/>
    <n v="94.68"/>
    <n v="86.821560000000005"/>
    <n v="86.822000000000003"/>
    <n v="0.91700000000000004"/>
    <n v="0"/>
    <n v="0"/>
    <n v="0"/>
    <n v="0"/>
    <n v="0"/>
    <n v="0"/>
    <n v="0"/>
    <n v="0"/>
    <n v="0"/>
    <n v="7.9"/>
    <n v="7.2443"/>
    <n v="0.91699999999999993"/>
    <n v="-7.8999999999999915"/>
    <n v="7.8999999999999915"/>
    <x v="0"/>
    <n v="86.822000000000003"/>
    <n v="0"/>
    <n v="2"/>
  </r>
  <r>
    <s v="AJEET KUMAR"/>
    <d v="2026-06-08T00:00:00"/>
    <s v="RTN-8715809"/>
    <s v="SR-41884"/>
    <s v="CAST-FILLING"/>
    <s v="GOLD-FILLING-WK"/>
    <x v="0"/>
    <s v="G-NA-91.70-YG"/>
    <n v="72.314999999999998"/>
    <n v="66.312854999999999"/>
    <n v="0.91700000000000004"/>
    <n v="68.704999999999998"/>
    <n v="63.002485"/>
    <n v="63.003"/>
    <n v="0.91700000000000004"/>
    <n v="0"/>
    <n v="0"/>
    <n v="0"/>
    <n v="0"/>
    <n v="0"/>
    <n v="0"/>
    <n v="0"/>
    <n v="0"/>
    <n v="0"/>
    <n v="3.61"/>
    <n v="3.3103699999999998"/>
    <n v="0.91699999999999993"/>
    <n v="-3.6099999999999994"/>
    <n v="3.6099999999999994"/>
    <x v="0"/>
    <n v="63.003"/>
    <n v="0"/>
    <n v="1"/>
  </r>
  <r>
    <s v="AJEET KUMAR"/>
    <d v="2026-06-08T00:00:00"/>
    <s v="RTN-8716725"/>
    <s v="SR-41767"/>
    <s v="CAST-FILLING"/>
    <s v="GOLD-FILLING-WK"/>
    <x v="1"/>
    <s v="G-NA-75.00-RG"/>
    <n v="158.13999999999999"/>
    <n v="118.605"/>
    <n v="0.75000000000000011"/>
    <n v="143.44"/>
    <n v="107.58"/>
    <n v="107.58"/>
    <n v="0.75"/>
    <n v="0"/>
    <n v="0"/>
    <n v="0"/>
    <n v="0"/>
    <n v="0"/>
    <n v="0"/>
    <n v="0"/>
    <n v="0"/>
    <n v="0"/>
    <n v="14.7"/>
    <n v="11.025"/>
    <n v="0.75000000000000011"/>
    <n v="-14.699999999999989"/>
    <n v="14.699999999999989"/>
    <x v="0"/>
    <n v="107.58"/>
    <n v="0"/>
    <n v="1"/>
  </r>
  <r>
    <s v="AJEET KUMAR"/>
    <d v="2026-06-08T00:00:00"/>
    <s v="RTN-8717151"/>
    <s v="SR-41698"/>
    <s v="CAST-FILLING"/>
    <s v="GOLD-FILLING-WK"/>
    <x v="0"/>
    <s v="G-NA-91.70-YG"/>
    <n v="271.52999999999997"/>
    <n v="248.99301"/>
    <n v="0.91700000000000004"/>
    <n v="266.51"/>
    <n v="244.38967"/>
    <n v="244.39000000000001"/>
    <n v="0.91700000000000004"/>
    <n v="0"/>
    <n v="0"/>
    <n v="0"/>
    <n v="0"/>
    <n v="0"/>
    <n v="0"/>
    <n v="0"/>
    <n v="0"/>
    <n v="0"/>
    <n v="5.0199999999999996"/>
    <n v="4.6033400000000002"/>
    <n v="0.91700000000000015"/>
    <n v="-5.0199999999999818"/>
    <n v="5.0199999999999818"/>
    <x v="1"/>
    <n v="77.826000000000008"/>
    <n v="166.56400000000002"/>
    <n v="3"/>
  </r>
  <r>
    <s v="AJEET KUMAR"/>
    <d v="2026-06-08T00:00:00"/>
    <s v="RTN-8717503"/>
    <s v="SR-41885"/>
    <s v="CAST-FILLING"/>
    <s v="GOLD-FILLING-WK"/>
    <x v="1"/>
    <s v="G-NA-75.00-RG"/>
    <n v="108.04"/>
    <n v="81.03"/>
    <n v="0.75"/>
    <n v="99.84"/>
    <n v="74.88"/>
    <n v="74.88"/>
    <n v="0.74999999999999989"/>
    <n v="0"/>
    <n v="0"/>
    <n v="0"/>
    <n v="0"/>
    <n v="0"/>
    <n v="0"/>
    <n v="0"/>
    <n v="0"/>
    <n v="0"/>
    <n v="8.1999999999999993"/>
    <n v="6.15"/>
    <n v="0.75000000000000011"/>
    <n v="-8.2000000000000028"/>
    <n v="8.2000000000000028"/>
    <x v="0"/>
    <n v="74.88"/>
    <n v="0"/>
    <n v="1"/>
  </r>
  <r>
    <s v="AJEET KUMAR"/>
    <d v="2026-06-08T00:00:00"/>
    <s v="RTN-8718751"/>
    <s v="SR-41784"/>
    <s v="CAST-FILLING"/>
    <s v="GOLD-FILLING-WK"/>
    <x v="1"/>
    <s v="G-NA-75.00-RG"/>
    <n v="60.24"/>
    <n v="45.18"/>
    <n v="0.75"/>
    <n v="54.23"/>
    <n v="40.672499999999999"/>
    <n v="40.672999999999995"/>
    <n v="0.75"/>
    <n v="0"/>
    <n v="0"/>
    <n v="0"/>
    <n v="0"/>
    <n v="0"/>
    <n v="0"/>
    <n v="0"/>
    <n v="0"/>
    <n v="0"/>
    <n v="6.01"/>
    <n v="4.5075000000000003"/>
    <n v="0.75000000000000011"/>
    <n v="-6.0100000000000051"/>
    <n v="6.0100000000000051"/>
    <x v="0"/>
    <n v="40.672999999999995"/>
    <n v="0"/>
    <n v="1"/>
  </r>
  <r>
    <s v="AJEET KUMAR"/>
    <d v="2026-06-08T00:00:00"/>
    <s v="RTN-8720948"/>
    <s v="SR-41904"/>
    <s v="CAST-FILLING"/>
    <s v="GOLD-FILLING-WK"/>
    <x v="0"/>
    <s v="G-NA-91.70-YG"/>
    <n v="64.477999999999994"/>
    <n v="59.126325999999999"/>
    <n v="0.91700000000000004"/>
    <n v="61.497999999999998"/>
    <n v="56.393666000000003"/>
    <n v="56.393999999999998"/>
    <n v="0.91700000000000004"/>
    <n v="0"/>
    <n v="0"/>
    <n v="0"/>
    <n v="0"/>
    <n v="0"/>
    <n v="0"/>
    <n v="0"/>
    <n v="0"/>
    <n v="0"/>
    <n v="2.98"/>
    <n v="2.7326600000000001"/>
    <n v="0.91700000000000004"/>
    <n v="-2.9799999999999969"/>
    <n v="2.9799999999999969"/>
    <x v="0"/>
    <n v="56.393999999999998"/>
    <n v="0"/>
    <n v="1"/>
  </r>
  <r>
    <s v="AJEET KUMAR"/>
    <d v="2026-06-08T00:00:00"/>
    <s v="RTN-8721727"/>
    <s v="SR-41828"/>
    <s v="CAST-FILLING"/>
    <s v="GOLD-FILLING-WK"/>
    <x v="1"/>
    <s v="G-NA-75.00-YG"/>
    <n v="50.03"/>
    <n v="37.522500000000001"/>
    <n v="0.75"/>
    <n v="46.17"/>
    <n v="34.627499999999998"/>
    <n v="34.628"/>
    <n v="0.74999999999999989"/>
    <n v="0"/>
    <n v="0"/>
    <n v="0"/>
    <n v="0"/>
    <n v="0"/>
    <n v="0"/>
    <n v="0"/>
    <n v="0"/>
    <n v="0"/>
    <n v="3.86"/>
    <n v="2.895"/>
    <n v="0.75"/>
    <n v="-3.8599999999999994"/>
    <n v="3.8599999999999994"/>
    <x v="0"/>
    <n v="34.628"/>
    <n v="0"/>
    <n v="1"/>
  </r>
  <r>
    <s v="AJEET KUMAR"/>
    <d v="2026-06-08T00:00:00"/>
    <s v="RTN-8721731"/>
    <s v="SR-41883"/>
    <s v="CAST-FILLING"/>
    <s v="GOLD-FILLING-WK"/>
    <x v="0"/>
    <s v="G-NA-91.70-YG"/>
    <n v="94.438999999999993"/>
    <n v="86.600562999999994"/>
    <n v="0.91700000000000004"/>
    <n v="91.299000000000007"/>
    <n v="83.721182999999996"/>
    <n v="83.722000000000008"/>
    <n v="0.91699999999999993"/>
    <n v="0"/>
    <n v="0"/>
    <n v="0"/>
    <n v="0"/>
    <n v="0"/>
    <n v="0"/>
    <n v="0"/>
    <n v="0"/>
    <n v="0"/>
    <n v="3.14"/>
    <n v="2.8793799999999998"/>
    <n v="0.91699999999999993"/>
    <n v="-3.1399999999999864"/>
    <n v="3.1399999999999864"/>
    <x v="0"/>
    <n v="83.722000000000008"/>
    <n v="0"/>
    <n v="1"/>
  </r>
  <r>
    <s v="AJEET KUMAR"/>
    <d v="2026-06-08T00:00:00"/>
    <s v="RTN-8723141"/>
    <s v="SR-41881"/>
    <s v="CAST-FILLING"/>
    <s v="GOLD-FILLING-WK"/>
    <x v="0"/>
    <s v="G-NA-91.70-YG"/>
    <n v="82.391999999999996"/>
    <n v="75.553464000000005"/>
    <n v="0.91700000000000015"/>
    <n v="78.361999999999995"/>
    <n v="71.857954000000007"/>
    <n v="71.858000000000004"/>
    <n v="0.91700000000000015"/>
    <n v="0"/>
    <n v="0"/>
    <n v="0"/>
    <n v="0"/>
    <n v="0"/>
    <n v="0"/>
    <n v="0"/>
    <n v="0"/>
    <n v="0"/>
    <n v="4.03"/>
    <n v="3.6955100000000001"/>
    <n v="0.91699999999999993"/>
    <n v="-4.0300000000000011"/>
    <n v="4.0300000000000011"/>
    <x v="0"/>
    <n v="71.858000000000004"/>
    <n v="0"/>
    <n v="1"/>
  </r>
  <r>
    <s v="AJEET KUMAR"/>
    <d v="2026-06-08T00:00:00"/>
    <s v="RTN-8723155"/>
    <s v="SR-41997"/>
    <s v="CAST-FILLING"/>
    <s v="GOLD-FILLING-WK"/>
    <x v="1"/>
    <s v="G-NA-75.00-RG"/>
    <n v="117.33"/>
    <n v="87.997500000000002"/>
    <n v="0.75"/>
    <n v="104.09"/>
    <n v="78.067499999999995"/>
    <n v="78.067999999999998"/>
    <n v="0.74999999999999989"/>
    <n v="0"/>
    <n v="0"/>
    <n v="0"/>
    <n v="0"/>
    <n v="0"/>
    <n v="0"/>
    <n v="0"/>
    <n v="0"/>
    <n v="0"/>
    <n v="13.24"/>
    <n v="9.93"/>
    <n v="0.75"/>
    <n v="-13.239999999999995"/>
    <n v="13.239999999999995"/>
    <x v="0"/>
    <n v="78.067999999999998"/>
    <n v="0"/>
    <n v="1"/>
  </r>
  <r>
    <s v="AJEET KUMAR"/>
    <d v="2026-06-08T00:00:00"/>
    <s v="RTN-8723166"/>
    <s v="SR-42036"/>
    <s v="CAST-FILLING"/>
    <s v="GOLD-FILLING-WK"/>
    <x v="1"/>
    <s v="G-NA-75.00-RG"/>
    <n v="9.18"/>
    <n v="6.8849999999999998"/>
    <n v="0.75"/>
    <n v="8.24"/>
    <n v="6.18"/>
    <n v="6.18"/>
    <n v="0.75"/>
    <n v="0"/>
    <n v="0"/>
    <n v="0"/>
    <n v="0"/>
    <n v="0"/>
    <n v="0"/>
    <n v="0"/>
    <n v="0"/>
    <n v="0"/>
    <n v="0.94"/>
    <n v="0.70499999999999996"/>
    <n v="0.75"/>
    <n v="-0.9399999999999995"/>
    <n v="0.9399999999999995"/>
    <x v="0"/>
    <n v="6.18"/>
    <n v="0"/>
    <n v="1"/>
  </r>
  <r>
    <s v="AJEET KUMAR"/>
    <d v="2026-06-08T00:00:00"/>
    <s v="RTN-8724025"/>
    <s v="SR-41902"/>
    <s v="CAST-FILLING"/>
    <s v="GOLD-FILLING-WK"/>
    <x v="0"/>
    <s v="G-NA-91.70-YG"/>
    <n v="49.783000000000001"/>
    <n v="45.651010999999997"/>
    <n v="0.91699999999999993"/>
    <n v="46.762999999999998"/>
    <n v="42.881670999999997"/>
    <n v="42.881999999999998"/>
    <n v="0.91699999999999993"/>
    <n v="0"/>
    <n v="0"/>
    <n v="0"/>
    <n v="0"/>
    <n v="0"/>
    <n v="0"/>
    <n v="0"/>
    <n v="0"/>
    <n v="0"/>
    <n v="3.02"/>
    <n v="2.7693400000000001"/>
    <n v="0.91700000000000004"/>
    <n v="-3.0200000000000031"/>
    <n v="3.0200000000000031"/>
    <x v="0"/>
    <n v="42.881999999999998"/>
    <n v="0"/>
    <n v="1"/>
  </r>
  <r>
    <s v="AJEET KUMAR"/>
    <d v="2026-06-08T00:00:00"/>
    <s v="RTN-8724633"/>
    <s v="SR-41995"/>
    <s v="CAST-FILLING"/>
    <s v="GOLD-FILLING-WK"/>
    <x v="1"/>
    <s v="G-NA-75.00-RG"/>
    <n v="143.13"/>
    <n v="107.3475"/>
    <n v="0.75"/>
    <n v="130.49"/>
    <n v="97.867500000000007"/>
    <n v="97.868000000000009"/>
    <n v="0.75"/>
    <n v="0"/>
    <n v="0"/>
    <n v="0"/>
    <n v="0"/>
    <n v="0"/>
    <n v="0"/>
    <n v="0"/>
    <n v="0"/>
    <n v="0"/>
    <n v="12.64"/>
    <n v="9.48"/>
    <n v="0.75"/>
    <n v="-12.639999999999986"/>
    <n v="12.639999999999986"/>
    <x v="1"/>
    <n v="97.763000000000005"/>
    <n v="0.10500000000000398"/>
    <n v="2"/>
  </r>
  <r>
    <s v="AJEET KUMAR"/>
    <d v="2026-06-08T00:00:00"/>
    <s v="RTN-8724786"/>
    <s v="SR-42043"/>
    <s v="CAST-FILLING"/>
    <s v="GOLD-FILLING-WK"/>
    <x v="0"/>
    <s v="G-NA-91.70-YG"/>
    <n v="195.76"/>
    <n v="179.51192"/>
    <n v="0.91700000000000004"/>
    <n v="184.87"/>
    <n v="169.52579"/>
    <n v="169.52600000000001"/>
    <n v="0.91699999999999993"/>
    <n v="0"/>
    <n v="0"/>
    <n v="0"/>
    <n v="0"/>
    <n v="0"/>
    <n v="0"/>
    <n v="0"/>
    <n v="0"/>
    <n v="0"/>
    <n v="10.89"/>
    <n v="9.9861299999999993"/>
    <n v="0.91699999999999993"/>
    <n v="-10.889999999999986"/>
    <n v="10.889999999999986"/>
    <x v="0"/>
    <n v="169.52600000000001"/>
    <n v="0"/>
    <n v="1"/>
  </r>
  <r>
    <s v="AJEET KUMAR"/>
    <d v="2026-06-08T00:00:00"/>
    <s v="RTN-8726566"/>
    <s v="SR-41882"/>
    <s v="CAST-FILLING"/>
    <s v="GOLD-FILLING-WK"/>
    <x v="0"/>
    <s v="G-NA-91.70-YG"/>
    <n v="79.668000000000006"/>
    <n v="73.055555999999996"/>
    <n v="0.91699999999999993"/>
    <n v="76.218000000000004"/>
    <n v="69.891906000000006"/>
    <n v="69.89200000000001"/>
    <n v="0.91700000000000004"/>
    <n v="0"/>
    <n v="0"/>
    <n v="0"/>
    <n v="0"/>
    <n v="0"/>
    <n v="0"/>
    <n v="0"/>
    <n v="0"/>
    <n v="0"/>
    <n v="3.45"/>
    <n v="3.1636500000000001"/>
    <n v="0.91699999999999993"/>
    <n v="-3.4500000000000028"/>
    <n v="3.4500000000000028"/>
    <x v="0"/>
    <n v="69.89200000000001"/>
    <n v="0"/>
    <n v="1"/>
  </r>
  <r>
    <s v="AJEET KUMAR"/>
    <d v="2026-06-08T00:00:00"/>
    <s v="RTN-8726593"/>
    <s v="SR-42057"/>
    <s v="CAST-FILLING"/>
    <s v="GOLD-FILLING-WK"/>
    <x v="1"/>
    <s v="G-NA-75.00-RG"/>
    <n v="56.51"/>
    <n v="42.3825"/>
    <n v="0.75"/>
    <n v="53.19"/>
    <n v="39.892499999999998"/>
    <n v="39.893000000000001"/>
    <n v="0.75"/>
    <n v="0"/>
    <n v="0"/>
    <n v="0"/>
    <n v="0"/>
    <n v="0"/>
    <n v="0"/>
    <n v="0"/>
    <n v="0"/>
    <n v="0"/>
    <n v="3.32"/>
    <n v="2.4900000000000002"/>
    <n v="0.75000000000000011"/>
    <n v="-3.32"/>
    <n v="3.32"/>
    <x v="0"/>
    <n v="39.893000000000001"/>
    <n v="0"/>
    <n v="1"/>
  </r>
  <r>
    <s v="AJEET KUMAR"/>
    <d v="2026-06-08T00:00:00"/>
    <s v="RTN-8727357"/>
    <s v="SR-42075"/>
    <s v="CAST-FILLING"/>
    <s v="GOLD-FILLING-WK"/>
    <x v="0"/>
    <s v="G-NA-91.70-YG"/>
    <n v="88.41"/>
    <n v="81.071969999999993"/>
    <n v="0.91699999999999993"/>
    <n v="83.79"/>
    <n v="76.835430000000002"/>
    <n v="76.835999999999999"/>
    <n v="0.91699999999999993"/>
    <n v="0"/>
    <n v="0"/>
    <n v="0"/>
    <n v="0"/>
    <n v="0"/>
    <n v="0"/>
    <n v="0"/>
    <n v="0"/>
    <n v="0"/>
    <n v="4.62"/>
    <n v="4.2365399999999998"/>
    <n v="0.91699999999999993"/>
    <n v="-4.6199999999999903"/>
    <n v="4.6199999999999903"/>
    <x v="0"/>
    <n v="76.835999999999999"/>
    <n v="0"/>
    <n v="1"/>
  </r>
  <r>
    <s v="AJEET KUMAR"/>
    <d v="2026-06-08T00:00:00"/>
    <s v="RTN-8727481"/>
    <s v="SR-42034"/>
    <s v="CAST-FILLING"/>
    <s v="GOLD-FILLING-WK"/>
    <x v="1"/>
    <s v="G-NA-75.00-RG"/>
    <n v="88.83"/>
    <n v="66.622500000000002"/>
    <n v="0.75"/>
    <n v="81.97"/>
    <n v="61.477499999999999"/>
    <n v="61.477999999999994"/>
    <n v="0.75"/>
    <n v="0"/>
    <n v="0"/>
    <n v="0"/>
    <n v="0"/>
    <n v="0"/>
    <n v="0"/>
    <n v="0"/>
    <n v="0"/>
    <n v="0"/>
    <n v="6.86"/>
    <n v="5.1449999999999996"/>
    <n v="0.74999999999999989"/>
    <n v="-6.86"/>
    <n v="6.86"/>
    <x v="0"/>
    <n v="61.477999999999994"/>
    <n v="0"/>
    <n v="1"/>
  </r>
  <r>
    <s v="AJEET KUMAR"/>
    <d v="2026-06-08T00:00:00"/>
    <s v="RTN-8728018"/>
    <s v="SR-41995"/>
    <s v="CAST-FILLING"/>
    <s v="GOLD-FILLING-WK"/>
    <x v="1"/>
    <s v="G-NA-75.00-RG"/>
    <n v="130.49"/>
    <n v="97.867500000000007"/>
    <n v="0.75"/>
    <n v="130.35"/>
    <n v="97.762500000000003"/>
    <n v="97.763000000000005"/>
    <n v="0.75"/>
    <n v="0"/>
    <n v="0"/>
    <n v="0"/>
    <n v="0"/>
    <n v="0"/>
    <n v="0"/>
    <n v="0"/>
    <n v="0"/>
    <n v="0"/>
    <n v="0.14000000000000001"/>
    <n v="0.105"/>
    <n v="0.74999999999999989"/>
    <n v="-0.14000000000001478"/>
    <n v="0.14000000000001478"/>
    <x v="0"/>
    <n v="97.763000000000005"/>
    <n v="0"/>
    <n v="2"/>
  </r>
  <r>
    <s v="AJEET KUMAR"/>
    <d v="2026-06-08T00:00:00"/>
    <s v="SR-RTN/26-27/33912"/>
    <s v="B-297801"/>
    <s v="B-GOLD-FILING"/>
    <s v="GOLD-FILLING-WK"/>
    <x v="1"/>
    <s v="G-NA-75.00-RG"/>
    <n v="23.83"/>
    <n v="17.872499999999999"/>
    <n v="0.75"/>
    <n v="22.24"/>
    <n v="16.68"/>
    <n v="16.68"/>
    <n v="0.75"/>
    <n v="0"/>
    <n v="0"/>
    <n v="0"/>
    <n v="0"/>
    <n v="0"/>
    <n v="0"/>
    <n v="0"/>
    <n v="0"/>
    <n v="0"/>
    <n v="1.59"/>
    <n v="1.1924999999999999"/>
    <n v="0.74999999999999989"/>
    <n v="-1.59"/>
    <n v="1.59"/>
    <x v="0"/>
    <n v="16.68"/>
    <n v="0"/>
    <n v="1"/>
  </r>
  <r>
    <s v="AJEET KUMAR"/>
    <d v="2026-06-08T00:00:00"/>
    <s v="SR-RTN/26-27/33913"/>
    <s v="B-296900"/>
    <s v="B-GOLD-FILING"/>
    <s v="GOLD-FILLING-WK"/>
    <x v="0"/>
    <s v="G-NA-91.70-YG"/>
    <n v="65.66"/>
    <n v="60.21022"/>
    <n v="0.91700000000000004"/>
    <n v="61.78"/>
    <n v="56.652259999999998"/>
    <n v="56.652999999999999"/>
    <n v="0.91699999999999993"/>
    <n v="0"/>
    <n v="0"/>
    <n v="0"/>
    <n v="0"/>
    <n v="0"/>
    <n v="0"/>
    <n v="0"/>
    <n v="0"/>
    <n v="0"/>
    <n v="3.88"/>
    <n v="3.55796"/>
    <n v="0.91700000000000004"/>
    <n v="-3.8799999999999955"/>
    <n v="3.8799999999999955"/>
    <x v="0"/>
    <n v="56.652999999999999"/>
    <n v="0"/>
    <n v="1"/>
  </r>
  <r>
    <s v="AJEET KUMAR"/>
    <d v="2026-06-08T00:00:00"/>
    <s v="SR-RTN/26-27/33914"/>
    <s v="B-297136"/>
    <s v="B-GOLD-FILING"/>
    <s v="GOLD-FILLING-WK"/>
    <x v="0"/>
    <s v="G-NA-91.70-YG"/>
    <n v="54.24"/>
    <n v="49.738079999999997"/>
    <n v="0.91699999999999993"/>
    <n v="49.99"/>
    <n v="45.840829999999997"/>
    <n v="45.841000000000001"/>
    <n v="0.91699999999999993"/>
    <n v="0"/>
    <n v="0"/>
    <n v="0"/>
    <n v="0"/>
    <n v="0"/>
    <n v="0"/>
    <n v="0"/>
    <n v="0"/>
    <n v="0"/>
    <n v="4.25"/>
    <n v="3.8972500000000001"/>
    <n v="0.91700000000000004"/>
    <n v="-4.25"/>
    <n v="4.25"/>
    <x v="0"/>
    <n v="45.841000000000001"/>
    <n v="0"/>
    <n v="1"/>
  </r>
  <r>
    <s v="AJEET KUMAR"/>
    <d v="2026-06-08T00:00:00"/>
    <s v="SR-RTN/26-27/33915"/>
    <s v="B-296864"/>
    <s v="B-GOLD-FILING"/>
    <s v="GOLD-FILLING-WK"/>
    <x v="1"/>
    <s v="G-NA-75.00-RG"/>
    <n v="10.16"/>
    <n v="7.62"/>
    <n v="0.75"/>
    <n v="9.57"/>
    <n v="7.1775000000000002"/>
    <n v="7.1779999999999999"/>
    <n v="0.75"/>
    <n v="0"/>
    <n v="0"/>
    <n v="0"/>
    <n v="0"/>
    <n v="0"/>
    <n v="0"/>
    <n v="0"/>
    <n v="0"/>
    <n v="0"/>
    <n v="0.59"/>
    <n v="0.4425"/>
    <n v="0.75"/>
    <n v="-0.58999999999999986"/>
    <n v="0.58999999999999986"/>
    <x v="0"/>
    <n v="7.1779999999999999"/>
    <n v="0"/>
    <n v="1"/>
  </r>
  <r>
    <s v="AJEET KUMAR"/>
    <d v="2026-06-08T00:00:00"/>
    <s v="SR-RTN/26-27/33916"/>
    <s v="B-296835"/>
    <s v="B-GOLD-FILING"/>
    <s v="GOLD-FILLING-WK"/>
    <x v="1"/>
    <s v="G-NA-75.00-RG"/>
    <n v="8.6999999999999993"/>
    <n v="6.5250000000000004"/>
    <n v="0.75000000000000011"/>
    <n v="7.55"/>
    <n v="5.6624999999999996"/>
    <n v="5.6630000000000003"/>
    <n v="0.75"/>
    <n v="0"/>
    <n v="0"/>
    <n v="0"/>
    <n v="0"/>
    <n v="0"/>
    <n v="0"/>
    <n v="0"/>
    <n v="0"/>
    <n v="0"/>
    <n v="1.1499999999999999"/>
    <n v="0.86250000000000004"/>
    <n v="0.75000000000000011"/>
    <n v="-1.1499999999999995"/>
    <n v="1.1499999999999995"/>
    <x v="0"/>
    <n v="5.6630000000000003"/>
    <n v="0"/>
    <n v="1"/>
  </r>
  <r>
    <s v="AJEET KUMAR"/>
    <d v="2026-06-08T00:00:00"/>
    <s v="SR-RTN/26-27/33917"/>
    <s v="B-295548"/>
    <s v="B-GOLD-FILING"/>
    <s v="GOLD-FILLING-WK"/>
    <x v="1"/>
    <s v="G-NA-75.00-RG"/>
    <n v="23.44"/>
    <n v="17.579999999999998"/>
    <n v="0.74999999999999989"/>
    <n v="23.19"/>
    <n v="17.392499999999998"/>
    <n v="17.393000000000001"/>
    <n v="0.74999999999999989"/>
    <n v="0"/>
    <n v="0"/>
    <n v="0"/>
    <n v="0"/>
    <n v="0"/>
    <n v="0"/>
    <n v="0"/>
    <n v="0"/>
    <n v="0"/>
    <n v="0.25"/>
    <n v="0.1875"/>
    <n v="0.75"/>
    <n v="-0.25"/>
    <n v="0.25"/>
    <x v="0"/>
    <n v="17.393000000000001"/>
    <n v="0"/>
    <n v="1"/>
  </r>
  <r>
    <s v="AJEET KUMAR"/>
    <d v="2026-06-08T00:00:00"/>
    <s v="SR-RTN/26-27/33917"/>
    <s v="B-296068"/>
    <s v="B-GOLD-FILING"/>
    <s v="GOLD-FILLING-WK"/>
    <x v="1"/>
    <s v="G-NA-75.00-RG"/>
    <n v="41.5"/>
    <n v="31.125"/>
    <n v="0.75"/>
    <n v="41.4"/>
    <n v="31.05"/>
    <n v="31.05"/>
    <n v="0.75"/>
    <n v="0"/>
    <n v="0"/>
    <n v="0"/>
    <n v="0"/>
    <n v="0"/>
    <n v="0"/>
    <n v="0"/>
    <n v="0"/>
    <n v="0"/>
    <n v="0.1"/>
    <n v="7.4999999999999997E-2"/>
    <n v="0.74999999999999989"/>
    <n v="-0.10000000000000142"/>
    <n v="0.10000000000000142"/>
    <x v="0"/>
    <n v="31.05"/>
    <n v="0"/>
    <n v="2"/>
  </r>
  <r>
    <s v="AJEET KUMAR"/>
    <d v="2026-06-08T00:00:00"/>
    <s v="SR-RTN/26-27/33960"/>
    <s v="B-291342/1"/>
    <s v="B-GOLD-FILING"/>
    <s v="GOLD-FILLING-WK"/>
    <x v="0"/>
    <s v="G-NA-91.70-YG"/>
    <n v="5.48"/>
    <n v="5.0251599999999996"/>
    <n v="0.91699999999999982"/>
    <n v="5.22"/>
    <n v="4.78674"/>
    <n v="4.7869999999999999"/>
    <n v="0.91700000000000004"/>
    <n v="0"/>
    <n v="0"/>
    <n v="0"/>
    <n v="0"/>
    <n v="0"/>
    <n v="0"/>
    <n v="0"/>
    <n v="0"/>
    <n v="0"/>
    <n v="0.26"/>
    <n v="0.23841999999999999"/>
    <n v="0.91699999999999993"/>
    <n v="-0.26000000000000068"/>
    <n v="0.26000000000000068"/>
    <x v="1"/>
    <n v="4.21"/>
    <n v="0.57699999999999996"/>
    <n v="3"/>
  </r>
  <r>
    <s v="AJEET KUMAR"/>
    <d v="2026-06-08T00:00:00"/>
    <s v="SR-RTN/26-27/33961"/>
    <s v="B-291382"/>
    <s v="B-GOLD-FILING"/>
    <s v="GOLD-FILLING-WK"/>
    <x v="0"/>
    <s v="G-NA-91.70-YG"/>
    <n v="4.18"/>
    <n v="3.8330600000000001"/>
    <n v="0.91700000000000015"/>
    <n v="3.63"/>
    <n v="3.3287100000000001"/>
    <n v="3.3289999999999997"/>
    <n v="0.91700000000000004"/>
    <n v="0"/>
    <n v="0"/>
    <n v="0"/>
    <n v="0"/>
    <n v="0"/>
    <n v="0"/>
    <n v="0"/>
    <n v="0"/>
    <n v="0"/>
    <n v="0.55000000000000004"/>
    <n v="0.50434999999999997"/>
    <n v="0.91699999999999982"/>
    <n v="-0.54999999999999982"/>
    <n v="0.54999999999999982"/>
    <x v="0"/>
    <n v="3.3289999999999997"/>
    <n v="0"/>
    <n v="3"/>
  </r>
  <r>
    <s v="AJEET KUMAR"/>
    <d v="2026-06-08T00:00:00"/>
    <s v="SR-RTN/26-27/33962"/>
    <s v="B-291415"/>
    <s v="B-GOLD-FILING"/>
    <s v="GOLD-FILLING-WK"/>
    <x v="0"/>
    <s v="G-NA-91.70-YG"/>
    <n v="9.5500000000000007"/>
    <n v="8.7573500000000006"/>
    <n v="0.91700000000000004"/>
    <n v="9.08"/>
    <n v="8.3263599999999993"/>
    <n v="8.327"/>
    <n v="0.91699999999999993"/>
    <n v="0"/>
    <n v="0"/>
    <n v="0"/>
    <n v="0"/>
    <n v="0"/>
    <n v="0"/>
    <n v="0"/>
    <n v="0"/>
    <n v="0"/>
    <n v="0.47"/>
    <n v="0.43098999999999998"/>
    <n v="0.91700000000000004"/>
    <n v="-0.47000000000000064"/>
    <n v="0.47000000000000064"/>
    <x v="1"/>
    <n v="2.871"/>
    <n v="5.4559999999999995"/>
    <n v="4"/>
  </r>
  <r>
    <s v="AJEET KUMAR"/>
    <d v="2026-06-08T00:00:00"/>
    <s v="SR-RTN/26-27/33963"/>
    <s v="B-296296"/>
    <s v="B-GOLD-FILING"/>
    <s v="GOLD-FILLING-WK"/>
    <x v="1"/>
    <s v="G-NA-75.00-YG"/>
    <n v="21.41"/>
    <n v="16.057500000000001"/>
    <n v="0.75"/>
    <n v="19.73"/>
    <n v="14.797499999999999"/>
    <n v="14.798"/>
    <n v="0.75"/>
    <n v="0"/>
    <n v="0"/>
    <n v="0"/>
    <n v="0"/>
    <n v="0"/>
    <n v="0"/>
    <n v="0"/>
    <n v="0"/>
    <n v="0"/>
    <n v="1.68"/>
    <n v="1.26"/>
    <n v="0.75"/>
    <n v="-1.6799999999999997"/>
    <n v="1.6799999999999997"/>
    <x v="0"/>
    <n v="14.798"/>
    <n v="0"/>
    <n v="1"/>
  </r>
  <r>
    <s v="AJEET KUMAR"/>
    <d v="2026-06-08T00:00:00"/>
    <s v="SR-RTN/26-27/33965"/>
    <s v="B-296341"/>
    <s v="B-GOLD-FILING"/>
    <s v="GOLD-FILLING-WK"/>
    <x v="1"/>
    <s v="G-NA-75.00-RG"/>
    <n v="21.79"/>
    <n v="16.342500000000001"/>
    <n v="0.75000000000000011"/>
    <n v="20.12"/>
    <n v="15.09"/>
    <n v="15.09"/>
    <n v="0.75"/>
    <n v="0"/>
    <n v="0"/>
    <n v="0"/>
    <n v="0"/>
    <n v="0"/>
    <n v="0"/>
    <n v="0"/>
    <n v="0"/>
    <n v="0"/>
    <n v="1.67"/>
    <n v="1.2524999999999999"/>
    <n v="0.75"/>
    <n v="-1.6699999999999982"/>
    <n v="1.6699999999999982"/>
    <x v="0"/>
    <n v="15.09"/>
    <n v="0"/>
    <n v="1"/>
  </r>
  <r>
    <s v="AJEET KUMAR"/>
    <d v="2026-06-08T00:00:00"/>
    <s v="SR-RTN/26-27/33967"/>
    <s v="B-297878"/>
    <s v="B-GOLD-FILING"/>
    <s v="GOLD-FILLING-WK"/>
    <x v="1"/>
    <s v="G-NA-75.00-YG"/>
    <n v="4.0599999999999996"/>
    <n v="3.0449999999999999"/>
    <n v="0.75"/>
    <n v="3.88"/>
    <n v="2.91"/>
    <n v="2.91"/>
    <n v="0.75000000000000011"/>
    <n v="0"/>
    <n v="0"/>
    <n v="0"/>
    <n v="0"/>
    <n v="0"/>
    <n v="0"/>
    <n v="0"/>
    <n v="0"/>
    <n v="0"/>
    <n v="0.18"/>
    <n v="0.13500000000000001"/>
    <n v="0.75000000000000011"/>
    <n v="-0.17999999999999972"/>
    <n v="0.17999999999999972"/>
    <x v="1"/>
    <n v="1.17"/>
    <n v="1.7400000000000002"/>
    <n v="2"/>
  </r>
  <r>
    <s v="AJEET KUMAR"/>
    <d v="2026-06-08T00:00:00"/>
    <s v="SR-RTN/26-27/33968"/>
    <s v="B-296866"/>
    <s v="B-GOLD-FILING"/>
    <s v="GOLD-FILLING-WK"/>
    <x v="1"/>
    <s v="G-NA-75.00-RG"/>
    <n v="9.56"/>
    <n v="7.17"/>
    <n v="0.75"/>
    <n v="8.9"/>
    <n v="6.6749999999999998"/>
    <n v="6.6749999999999998"/>
    <n v="0.75"/>
    <n v="0"/>
    <n v="0"/>
    <n v="0"/>
    <n v="0"/>
    <n v="0"/>
    <n v="0"/>
    <n v="0"/>
    <n v="0"/>
    <n v="0"/>
    <n v="0.66"/>
    <n v="0.495"/>
    <n v="0.75"/>
    <n v="-0.66000000000000014"/>
    <n v="0.66000000000000014"/>
    <x v="0"/>
    <n v="6.6749999999999998"/>
    <n v="0"/>
    <n v="1"/>
  </r>
  <r>
    <s v="AJEET KUMAR"/>
    <d v="2026-06-08T00:00:00"/>
    <s v="SR-RTN/26-27/33984"/>
    <s v="B-296845"/>
    <s v="B-GOLD-FILING"/>
    <s v="GOLD-FILLING-WK"/>
    <x v="1"/>
    <s v="G-NA-75.00-RG"/>
    <n v="18.07"/>
    <n v="13.5525"/>
    <n v="0.75"/>
    <n v="16.82"/>
    <n v="12.615"/>
    <n v="12.615"/>
    <n v="0.75"/>
    <n v="0"/>
    <n v="0"/>
    <n v="0"/>
    <n v="0"/>
    <n v="0"/>
    <n v="0"/>
    <n v="0"/>
    <n v="0"/>
    <n v="0"/>
    <n v="1.25"/>
    <n v="0.9375"/>
    <n v="0.75"/>
    <n v="-1.25"/>
    <n v="1.25"/>
    <x v="1"/>
    <n v="12.6"/>
    <n v="1.5000000000000568E-2"/>
    <n v="2"/>
  </r>
  <r>
    <s v="AJEET KUMAR"/>
    <d v="2026-06-08T00:00:00"/>
    <s v="SR-RTN/26-27/34013"/>
    <s v="B-296237"/>
    <s v="B-GOLD-FILING"/>
    <s v="GOLD-FILLING-WK"/>
    <x v="0"/>
    <s v="G-NA-91.70-YG"/>
    <n v="22.93"/>
    <n v="21.026810000000001"/>
    <n v="0.91700000000000004"/>
    <n v="21.82"/>
    <n v="20.008939999999999"/>
    <n v="20.009"/>
    <n v="0.91699999999999993"/>
    <n v="0"/>
    <n v="0"/>
    <n v="0"/>
    <n v="0"/>
    <n v="0"/>
    <n v="0"/>
    <n v="0"/>
    <n v="0"/>
    <n v="0"/>
    <n v="1.1100000000000001"/>
    <n v="1.0178700000000001"/>
    <n v="0.91699999999999993"/>
    <n v="-1.1099999999999994"/>
    <n v="1.1099999999999994"/>
    <x v="0"/>
    <n v="20.009"/>
    <n v="0"/>
    <n v="1"/>
  </r>
  <r>
    <s v="AJEET KUMAR"/>
    <d v="2026-06-08T00:00:00"/>
    <s v="SR-RTN/26-27/34013"/>
    <s v="B-298145"/>
    <s v="B-GOLD-FILING"/>
    <s v="GOLD-FILLING-WK"/>
    <x v="0"/>
    <s v="G-NA-91.70-YG"/>
    <n v="27.05"/>
    <n v="24.804849999999998"/>
    <n v="0.91699999999999993"/>
    <n v="25.09"/>
    <n v="23.007529999999999"/>
    <n v="23.008000000000003"/>
    <n v="0.91699999999999993"/>
    <n v="0"/>
    <n v="0"/>
    <n v="0"/>
    <n v="0"/>
    <n v="0"/>
    <n v="0"/>
    <n v="0"/>
    <n v="0"/>
    <n v="0"/>
    <n v="1.96"/>
    <n v="1.79732"/>
    <n v="0.91700000000000004"/>
    <n v="-1.9600000000000009"/>
    <n v="1.9600000000000009"/>
    <x v="0"/>
    <n v="23.008000000000003"/>
    <n v="0"/>
    <n v="1"/>
  </r>
  <r>
    <s v="AJEET KUMAR"/>
    <d v="2026-06-08T00:00:00"/>
    <s v="SR-RTN/26-27/34016"/>
    <s v="B-296329"/>
    <s v="B-GOLD-FILING"/>
    <s v="GOLD-FILLING-WK"/>
    <x v="1"/>
    <s v="G-NA-75.00-RG"/>
    <n v="16.68"/>
    <n v="12.51"/>
    <n v="0.75"/>
    <n v="16.64"/>
    <n v="12.48"/>
    <n v="12.48"/>
    <n v="0.75"/>
    <n v="0"/>
    <n v="0"/>
    <n v="0"/>
    <n v="0"/>
    <n v="0"/>
    <n v="0"/>
    <n v="0"/>
    <n v="0"/>
    <n v="0"/>
    <n v="0.04"/>
    <n v="0.03"/>
    <n v="0.75"/>
    <n v="-3.9999999999999147E-2"/>
    <n v="3.9999999999999147E-2"/>
    <x v="1"/>
    <n v="11.234999999999999"/>
    <n v="1.245000000000001"/>
    <n v="2"/>
  </r>
  <r>
    <s v="AJEET KUMAR"/>
    <d v="2026-06-08T00:00:00"/>
    <s v="SR-RTN/26-27/34016"/>
    <s v="B-296909"/>
    <s v="B-GOLD-FILING"/>
    <s v="GOLD-FILLING-WK"/>
    <x v="0"/>
    <s v="G-NA-91.70-YG"/>
    <n v="137.91999999999999"/>
    <n v="126.47264"/>
    <n v="0.91700000000000004"/>
    <n v="130.18"/>
    <n v="119.37506"/>
    <n v="119.376"/>
    <n v="0.91700000000000004"/>
    <n v="0"/>
    <n v="0"/>
    <n v="0"/>
    <n v="0"/>
    <n v="0"/>
    <n v="0"/>
    <n v="0"/>
    <n v="0"/>
    <n v="0"/>
    <n v="7.74"/>
    <n v="7.0975799999999998"/>
    <n v="0.91699999999999993"/>
    <n v="-7.7399999999999807"/>
    <n v="7.7399999999999807"/>
    <x v="0"/>
    <n v="119.376"/>
    <n v="0"/>
    <n v="2"/>
  </r>
  <r>
    <s v="AJEET KUMAR"/>
    <d v="2026-06-08T00:00:00"/>
    <s v="SR-RTN/26-27/34016"/>
    <s v="B-297724"/>
    <s v="B-GOLD-FILING"/>
    <s v="GOLD-FILLING-WK"/>
    <x v="0"/>
    <s v="G-NA-91.70-YG"/>
    <n v="14.45"/>
    <n v="13.25065"/>
    <n v="0.91700000000000004"/>
    <n v="12.93"/>
    <n v="11.856809999999999"/>
    <n v="11.856999999999999"/>
    <n v="0.91699999999999993"/>
    <n v="0"/>
    <n v="0"/>
    <n v="0"/>
    <n v="0"/>
    <n v="0"/>
    <n v="0"/>
    <n v="0"/>
    <n v="0"/>
    <n v="0"/>
    <n v="1.52"/>
    <n v="1.39384"/>
    <n v="0.91699999999999993"/>
    <n v="-1.5199999999999996"/>
    <n v="1.5199999999999996"/>
    <x v="0"/>
    <n v="11.856999999999999"/>
    <n v="0"/>
    <n v="1"/>
  </r>
  <r>
    <s v="AJEET KUMAR"/>
    <d v="2026-06-08T00:00:00"/>
    <s v="SR-RTN/26-27/34016"/>
    <s v="B-298115"/>
    <s v="B-GOLD-FILING"/>
    <s v="GOLD-FILLING-WK"/>
    <x v="0"/>
    <s v="G-NA-91.70-YG"/>
    <n v="12.89"/>
    <n v="11.820130000000001"/>
    <n v="0.91700000000000004"/>
    <n v="12.2"/>
    <n v="11.1874"/>
    <n v="11.187999999999999"/>
    <n v="0.91700000000000004"/>
    <n v="0"/>
    <n v="0"/>
    <n v="0"/>
    <n v="0"/>
    <n v="0"/>
    <n v="0"/>
    <n v="0"/>
    <n v="0"/>
    <n v="0"/>
    <n v="0.69"/>
    <n v="0.63273000000000001"/>
    <n v="0.91700000000000004"/>
    <n v="-0.69000000000000128"/>
    <n v="0.69000000000000128"/>
    <x v="0"/>
    <n v="11.187999999999999"/>
    <n v="0"/>
    <n v="1"/>
  </r>
  <r>
    <s v="AJEET KUMAR"/>
    <d v="2026-06-08T00:00:00"/>
    <s v="SR-RTN/26-27/34065"/>
    <s v="B-296836"/>
    <s v="B-GOLD-FILING"/>
    <s v="GOLD-FILLING-WK"/>
    <x v="1"/>
    <s v="G-NA-75.00-YG"/>
    <n v="9.77"/>
    <n v="7.3274999999999997"/>
    <n v="0.75"/>
    <n v="9.1199999999999992"/>
    <n v="6.84"/>
    <n v="6.84"/>
    <n v="0.75"/>
    <n v="0"/>
    <n v="0"/>
    <n v="0"/>
    <n v="0"/>
    <n v="0"/>
    <n v="0"/>
    <n v="0"/>
    <n v="0"/>
    <n v="0"/>
    <n v="0.65"/>
    <n v="0.48749999999999999"/>
    <n v="0.75"/>
    <n v="-0.65000000000000036"/>
    <n v="0.65000000000000036"/>
    <x v="0"/>
    <n v="6.84"/>
    <n v="0"/>
    <n v="1"/>
  </r>
  <r>
    <s v="AJEET KUMAR"/>
    <d v="2026-06-08T00:00:00"/>
    <s v="SR-RTN/26-27/34080"/>
    <s v="B-291380"/>
    <s v="B-GOLD-FILING"/>
    <s v="GOLD-FILLING-WK"/>
    <x v="0"/>
    <s v="G-NA-91.70-YG"/>
    <n v="8.61"/>
    <n v="7.8953699999999998"/>
    <n v="0.91700000000000004"/>
    <n v="8.61"/>
    <n v="7.8953699999999998"/>
    <n v="7.8959999999999999"/>
    <n v="0.91700000000000004"/>
    <n v="0"/>
    <n v="0"/>
    <n v="0"/>
    <n v="0"/>
    <n v="0"/>
    <n v="0"/>
    <n v="0"/>
    <n v="0"/>
    <n v="0"/>
    <n v="0"/>
    <n v="0"/>
    <n v="0"/>
    <n v="0"/>
    <n v="0"/>
    <x v="0"/>
    <n v="7.8959999999999999"/>
    <n v="0"/>
    <n v="4"/>
  </r>
  <r>
    <s v="AJEET KUMAR"/>
    <d v="2026-06-08T00:00:00"/>
    <s v="SR-RTN/26-27/34085"/>
    <s v="B-295882"/>
    <s v="B-GOLD-FILING"/>
    <s v="GOLD-FILLING-WK"/>
    <x v="1"/>
    <s v="G-NA-75.00-YG"/>
    <n v="158.76"/>
    <n v="119.07"/>
    <n v="0.75"/>
    <n v="158.76"/>
    <n v="119.07"/>
    <n v="119.07"/>
    <n v="0.75"/>
    <n v="0"/>
    <n v="0"/>
    <n v="0"/>
    <n v="0"/>
    <n v="0"/>
    <n v="0"/>
    <n v="0"/>
    <n v="0"/>
    <n v="0"/>
    <n v="0"/>
    <n v="0"/>
    <n v="0"/>
    <n v="0"/>
    <n v="0"/>
    <x v="0"/>
    <n v="119.07"/>
    <n v="0"/>
    <n v="3"/>
  </r>
  <r>
    <s v="AJEET KUMAR"/>
    <d v="2026-06-08T00:00:00"/>
    <s v="SR-RTN/26-27/34088"/>
    <s v="B-295882"/>
    <s v="B-GOLD-FILING"/>
    <s v="GOLD-FILLING-WK"/>
    <x v="1"/>
    <s v="G-NA-75.00-YG"/>
    <n v="158.87"/>
    <n v="119.1525"/>
    <n v="0.75"/>
    <n v="158.87"/>
    <n v="119.1525"/>
    <n v="119.15300000000001"/>
    <n v="0.75"/>
    <n v="0"/>
    <n v="0"/>
    <n v="0"/>
    <n v="0"/>
    <n v="0"/>
    <n v="0"/>
    <n v="0"/>
    <n v="0"/>
    <n v="0"/>
    <n v="0"/>
    <n v="0"/>
    <n v="0"/>
    <n v="0"/>
    <n v="0"/>
    <x v="1"/>
    <n v="119.07"/>
    <n v="8.3000000000012619E-2"/>
    <n v="3"/>
  </r>
  <r>
    <s v="AJEET KUMAR"/>
    <d v="2026-06-08T00:00:00"/>
    <s v="SR-RTN/26-27/34089"/>
    <s v="B-291380"/>
    <s v="B-GOLD-FILING"/>
    <s v="REP-GOLD-FILLING-WK"/>
    <x v="0"/>
    <s v="G-NA-91.70-YG"/>
    <n v="12.72"/>
    <n v="11.664239999999999"/>
    <n v="0.91699999999999993"/>
    <n v="12.72"/>
    <n v="11.664239999999999"/>
    <n v="11.664999999999999"/>
    <n v="0.91699999999999993"/>
    <n v="0"/>
    <n v="0"/>
    <n v="0"/>
    <n v="0"/>
    <n v="0"/>
    <n v="0"/>
    <n v="0"/>
    <n v="0"/>
    <n v="0"/>
    <n v="0"/>
    <n v="0"/>
    <n v="0"/>
    <n v="0"/>
    <n v="0"/>
    <x v="2"/>
    <n v="7.8959999999999999"/>
    <n v="3.7689999999999992"/>
    <n v="4"/>
  </r>
  <r>
    <s v="AJEET KUMAR"/>
    <d v="2026-06-08T00:00:00"/>
    <s v="SR-RTN/26-27/34158"/>
    <s v="B-296238"/>
    <s v="B-GOLD-FILING"/>
    <s v="GOLD-FILLING-WK"/>
    <x v="0"/>
    <s v="G-NA-91.70-YG"/>
    <n v="24.88"/>
    <n v="22.814959999999999"/>
    <n v="0.91700000000000004"/>
    <n v="23.41"/>
    <n v="21.46697"/>
    <n v="21.467000000000002"/>
    <n v="0.91700000000000004"/>
    <n v="0"/>
    <n v="0"/>
    <n v="0"/>
    <n v="0"/>
    <n v="0"/>
    <n v="0"/>
    <n v="0"/>
    <n v="0"/>
    <n v="0"/>
    <n v="1.47"/>
    <n v="1.34799"/>
    <n v="0.91700000000000004"/>
    <n v="-1.4699999999999989"/>
    <n v="1.4699999999999989"/>
    <x v="0"/>
    <n v="21.467000000000002"/>
    <n v="0"/>
    <n v="1"/>
  </r>
  <r>
    <s v="AJEET KUMAR"/>
    <d v="2026-06-08T00:00:00"/>
    <s v="SR-RTN/26-27/34159"/>
    <s v="B-298139"/>
    <s v="B-GOLD-FILING"/>
    <s v="GOLD-FILLING-WK"/>
    <x v="0"/>
    <s v="G-NA-91.70-YG"/>
    <n v="23.49"/>
    <n v="21.540330000000001"/>
    <n v="0.91700000000000015"/>
    <n v="21.48"/>
    <n v="19.69716"/>
    <n v="19.698"/>
    <n v="0.91700000000000004"/>
    <n v="0"/>
    <n v="0"/>
    <n v="0"/>
    <n v="0"/>
    <n v="0"/>
    <n v="0"/>
    <n v="0"/>
    <n v="0"/>
    <n v="0"/>
    <n v="2.0099999999999998"/>
    <n v="1.84317"/>
    <n v="0.91700000000000004"/>
    <n v="-2.009999999999998"/>
    <n v="2.009999999999998"/>
    <x v="0"/>
    <n v="19.698"/>
    <n v="0"/>
    <n v="1"/>
  </r>
  <r>
    <s v="AJEET KUMAR"/>
    <d v="2026-06-08T00:00:00"/>
    <s v="SR-RTN/26-27/34160"/>
    <s v="B-296859"/>
    <s v="B-GOLD-FILING"/>
    <s v="GOLD-FILLING-WK"/>
    <x v="1"/>
    <s v="G-NA-75.00-RG"/>
    <n v="22.54"/>
    <n v="16.905000000000001"/>
    <n v="0.75000000000000011"/>
    <n v="20.86"/>
    <n v="15.645"/>
    <n v="15.645"/>
    <n v="0.75"/>
    <n v="0"/>
    <n v="0"/>
    <n v="0"/>
    <n v="0"/>
    <n v="0"/>
    <n v="0"/>
    <n v="0"/>
    <n v="0"/>
    <n v="0"/>
    <n v="1.68"/>
    <n v="1.26"/>
    <n v="0.75"/>
    <n v="-1.6799999999999997"/>
    <n v="1.6799999999999997"/>
    <x v="1"/>
    <n v="15.24"/>
    <n v="0.40499999999999936"/>
    <n v="2"/>
  </r>
  <r>
    <s v="AJEET KUMAR"/>
    <d v="2026-06-08T00:00:00"/>
    <s v="SR-RTN/26-27/34162"/>
    <s v="B-297685"/>
    <s v="B-GOLD-FILING"/>
    <s v="GOLD-FILLING-WK"/>
    <x v="1"/>
    <s v="G-NA-75.00-RG"/>
    <n v="20.079999999999998"/>
    <n v="15.06"/>
    <n v="0.75000000000000011"/>
    <n v="18.79"/>
    <n v="14.092499999999999"/>
    <n v="14.093"/>
    <n v="0.75"/>
    <n v="0"/>
    <n v="0"/>
    <n v="0"/>
    <n v="0"/>
    <n v="0"/>
    <n v="0"/>
    <n v="0"/>
    <n v="0"/>
    <n v="0"/>
    <n v="1.29"/>
    <n v="0.96750000000000003"/>
    <n v="0.75"/>
    <n v="-1.2899999999999991"/>
    <n v="1.2899999999999991"/>
    <x v="0"/>
    <n v="14.093"/>
    <n v="0"/>
    <n v="1"/>
  </r>
  <r>
    <s v="AJEET KUMAR"/>
    <d v="2026-06-08T00:00:00"/>
    <s v="SR-RTN/26-27/34163"/>
    <s v="B-297669"/>
    <s v="B-GOLD-FILING"/>
    <s v="GOLD-FILLING-WK"/>
    <x v="1"/>
    <s v="G-NA-75.00-RG"/>
    <n v="17.82"/>
    <n v="13.365"/>
    <n v="0.75"/>
    <n v="16.079999999999998"/>
    <n v="12.06"/>
    <n v="12.06"/>
    <n v="0.75000000000000011"/>
    <n v="0"/>
    <n v="0"/>
    <n v="0"/>
    <n v="0"/>
    <n v="0"/>
    <n v="0"/>
    <n v="0"/>
    <n v="0"/>
    <n v="0"/>
    <n v="1.74"/>
    <n v="1.3049999999999999"/>
    <n v="0.75"/>
    <n v="-1.740000000000002"/>
    <n v="1.740000000000002"/>
    <x v="0"/>
    <n v="12.06"/>
    <n v="0"/>
    <n v="1"/>
  </r>
  <r>
    <s v="AJEET KUMAR"/>
    <d v="2026-06-08T00:00:00"/>
    <s v="SR-RTN/26-27/34164"/>
    <s v="B-297657"/>
    <s v="B-GOLD-FILING"/>
    <s v="GOLD-FILLING-WK"/>
    <x v="1"/>
    <s v="G-NA-75.00-RG"/>
    <n v="17.05"/>
    <n v="12.7875"/>
    <n v="0.75"/>
    <n v="15.96"/>
    <n v="11.97"/>
    <n v="11.97"/>
    <n v="0.75"/>
    <n v="0"/>
    <n v="0"/>
    <n v="0"/>
    <n v="0"/>
    <n v="0"/>
    <n v="0"/>
    <n v="0"/>
    <n v="0"/>
    <n v="0"/>
    <n v="1.0900000000000001"/>
    <n v="0.8175"/>
    <n v="0.75"/>
    <n v="-1.0899999999999999"/>
    <n v="1.0899999999999999"/>
    <x v="0"/>
    <n v="11.97"/>
    <n v="0"/>
    <n v="1"/>
  </r>
  <r>
    <s v="AJEET KUMAR"/>
    <d v="2026-06-08T00:00:00"/>
    <s v="SR-RTN/26-27/34165"/>
    <s v="B-298161"/>
    <s v="B-GOLD-FILING"/>
    <s v="GOLD-FILLING-WK"/>
    <x v="0"/>
    <s v="G-NA-91.70-YG"/>
    <n v="29.5"/>
    <n v="27.051500000000001"/>
    <n v="0.91700000000000004"/>
    <n v="28.41"/>
    <n v="26.051970000000001"/>
    <n v="26.052"/>
    <n v="0.91700000000000004"/>
    <n v="0"/>
    <n v="0"/>
    <n v="0"/>
    <n v="0"/>
    <n v="0"/>
    <n v="0"/>
    <n v="0"/>
    <n v="0"/>
    <n v="0"/>
    <n v="1.0900000000000001"/>
    <n v="0.99953000000000003"/>
    <n v="0.91699999999999993"/>
    <n v="-1.0899999999999999"/>
    <n v="1.0899999999999999"/>
    <x v="0"/>
    <n v="26.052"/>
    <n v="0"/>
    <n v="2"/>
  </r>
  <r>
    <s v="AJEET KUMAR"/>
    <d v="2026-06-08T00:00:00"/>
    <s v="SR-RTN/26-27/34166"/>
    <s v="B-297664"/>
    <s v="B-GOLD-FILING"/>
    <s v="GOLD-FILLING-WK"/>
    <x v="1"/>
    <s v="G-NA-75.00-RG"/>
    <n v="20.49"/>
    <n v="15.3675"/>
    <n v="0.75"/>
    <n v="18.600000000000001"/>
    <n v="13.95"/>
    <n v="13.95"/>
    <n v="0.74999999999999989"/>
    <n v="0"/>
    <n v="0"/>
    <n v="0"/>
    <n v="0"/>
    <n v="0"/>
    <n v="0"/>
    <n v="0"/>
    <n v="0"/>
    <n v="0"/>
    <n v="1.89"/>
    <n v="1.4175"/>
    <n v="0.75"/>
    <n v="-1.889999999999997"/>
    <n v="1.889999999999997"/>
    <x v="0"/>
    <n v="13.95"/>
    <n v="0"/>
    <n v="1"/>
  </r>
  <r>
    <s v="AJEET KUMAR"/>
    <d v="2026-06-08T00:00:00"/>
    <s v="SR-RTN/26-27/34171"/>
    <s v="B-296236"/>
    <s v="B-GOLD-FILING"/>
    <s v="GOLD-FILLING-WK"/>
    <x v="0"/>
    <s v="G-NA-91.70-YG"/>
    <n v="21.95"/>
    <n v="20.128150000000002"/>
    <n v="0.91700000000000015"/>
    <n v="21.13"/>
    <n v="19.37621"/>
    <n v="19.377000000000002"/>
    <n v="0.91700000000000004"/>
    <n v="0"/>
    <n v="0"/>
    <n v="0"/>
    <n v="0"/>
    <n v="0"/>
    <n v="0"/>
    <n v="0"/>
    <n v="0"/>
    <n v="0"/>
    <n v="0.82"/>
    <n v="0.75194000000000005"/>
    <n v="0.91700000000000015"/>
    <n v="-0.82000000000000028"/>
    <n v="0.82000000000000028"/>
    <x v="1"/>
    <n v="19.23"/>
    <n v="0.14700000000000202"/>
    <n v="2"/>
  </r>
  <r>
    <s v="AJEET KUMAR"/>
    <d v="2026-06-08T00:00:00"/>
    <s v="SR-RTN/26-27/34205"/>
    <s v="B-297653"/>
    <s v="B-GOLD-FILING"/>
    <s v="GOLD-FILLING-WK"/>
    <x v="1"/>
    <s v="G-NA-75.00-RG"/>
    <n v="15.8"/>
    <n v="11.85"/>
    <n v="0.74999999999999989"/>
    <n v="14.73"/>
    <n v="11.047499999999999"/>
    <n v="11.048"/>
    <n v="0.74999999999999989"/>
    <n v="0"/>
    <n v="0"/>
    <n v="0"/>
    <n v="0"/>
    <n v="0"/>
    <n v="0"/>
    <n v="0"/>
    <n v="0"/>
    <n v="0"/>
    <n v="1.07"/>
    <n v="0.80249999999999999"/>
    <n v="0.75"/>
    <n v="-1.0700000000000003"/>
    <n v="1.0700000000000003"/>
    <x v="0"/>
    <n v="11.048"/>
    <n v="0"/>
    <n v="1"/>
  </r>
  <r>
    <s v="AJEET KUMAR"/>
    <d v="2026-06-08T00:00:00"/>
    <s v="SR-RTN/26-27/34207"/>
    <s v="B-297859"/>
    <s v="B-GOLD-FILING"/>
    <s v="GOLD-FILLING-WK"/>
    <x v="1"/>
    <s v="G-NA-75.00-RG"/>
    <n v="4.87"/>
    <n v="3.6524999999999999"/>
    <n v="0.75"/>
    <n v="4.38"/>
    <n v="3.2850000000000001"/>
    <n v="3.2850000000000001"/>
    <n v="0.75"/>
    <n v="0"/>
    <n v="0"/>
    <n v="0"/>
    <n v="0"/>
    <n v="0"/>
    <n v="0"/>
    <n v="0"/>
    <n v="0"/>
    <n v="0"/>
    <n v="0.49"/>
    <n v="0.36749999999999999"/>
    <n v="0.75"/>
    <n v="-0.49000000000000021"/>
    <n v="0.49000000000000021"/>
    <x v="0"/>
    <n v="3.2850000000000001"/>
    <n v="0"/>
    <n v="1"/>
  </r>
  <r>
    <s v="AJEET KUMAR"/>
    <d v="2026-06-08T00:00:00"/>
    <s v="SR-RTN/26-27/34208"/>
    <s v="B-297853"/>
    <s v="B-GOLD-FILING"/>
    <s v="GOLD-FILLING-WK"/>
    <x v="1"/>
    <s v="G-NA-75.00-RG"/>
    <n v="4.1900000000000004"/>
    <n v="3.1425000000000001"/>
    <n v="0.75"/>
    <n v="3.8"/>
    <n v="2.85"/>
    <n v="2.85"/>
    <n v="0.75000000000000011"/>
    <n v="0"/>
    <n v="0"/>
    <n v="0"/>
    <n v="0"/>
    <n v="0"/>
    <n v="0"/>
    <n v="0"/>
    <n v="0"/>
    <n v="0"/>
    <n v="0.39"/>
    <n v="0.29249999999999998"/>
    <n v="0.74999999999999989"/>
    <n v="-0.39000000000000057"/>
    <n v="0.39000000000000057"/>
    <x v="0"/>
    <n v="2.85"/>
    <n v="0"/>
    <n v="1"/>
  </r>
  <r>
    <s v="AJEET KUMAR"/>
    <d v="2026-06-08T00:00:00"/>
    <s v="SR-RTN/26-27/34209"/>
    <s v="B-297825"/>
    <s v="B-GOLD-FILING"/>
    <s v="GOLD-FILLING-WK"/>
    <x v="1"/>
    <s v="G-NA-75.00-RG"/>
    <n v="3.92"/>
    <n v="2.94"/>
    <n v="0.75"/>
    <n v="3.42"/>
    <n v="2.5649999999999999"/>
    <n v="2.5649999999999999"/>
    <n v="0.75"/>
    <n v="0"/>
    <n v="0"/>
    <n v="0"/>
    <n v="0"/>
    <n v="0"/>
    <n v="0"/>
    <n v="0"/>
    <n v="0"/>
    <n v="0"/>
    <n v="0.5"/>
    <n v="0.375"/>
    <n v="0.75"/>
    <n v="-0.5"/>
    <n v="0.5"/>
    <x v="0"/>
    <n v="2.5649999999999999"/>
    <n v="0"/>
    <n v="1"/>
  </r>
  <r>
    <s v="AJEET KUMAR"/>
    <d v="2026-06-08T00:00:00"/>
    <s v="SR-RTN/26-27/34210"/>
    <s v="B-297855"/>
    <s v="B-GOLD-FILING"/>
    <s v="GOLD-FILLING-WK"/>
    <x v="1"/>
    <s v="G-NA-75.00-RG"/>
    <n v="4.76"/>
    <n v="3.57"/>
    <n v="0.75"/>
    <n v="4.41"/>
    <n v="3.3075000000000001"/>
    <n v="3.3079999999999998"/>
    <n v="0.75"/>
    <n v="0"/>
    <n v="0"/>
    <n v="0"/>
    <n v="0"/>
    <n v="0"/>
    <n v="0"/>
    <n v="0"/>
    <n v="0"/>
    <n v="0"/>
    <n v="0.35"/>
    <n v="0.26250000000000001"/>
    <n v="0.75000000000000011"/>
    <n v="-0.34999999999999964"/>
    <n v="0.34999999999999964"/>
    <x v="0"/>
    <n v="3.3079999999999998"/>
    <n v="0"/>
    <n v="1"/>
  </r>
  <r>
    <s v="AJEET KUMAR"/>
    <d v="2026-06-08T00:00:00"/>
    <s v="SR-RTN/26-27/34211"/>
    <s v="B-296331"/>
    <s v="B-GOLD-FILING"/>
    <s v="GOLD-FILLING-WK"/>
    <x v="1"/>
    <s v="G-NA-75.00-YG"/>
    <n v="21.32"/>
    <n v="15.99"/>
    <n v="0.75"/>
    <n v="19.91"/>
    <n v="14.932499999999999"/>
    <n v="14.933"/>
    <n v="0.75"/>
    <n v="0"/>
    <n v="0"/>
    <n v="0"/>
    <n v="0"/>
    <n v="0"/>
    <n v="0"/>
    <n v="0"/>
    <n v="0"/>
    <n v="0"/>
    <n v="1.41"/>
    <n v="1.0575000000000001"/>
    <n v="0.75000000000000011"/>
    <n v="-1.41"/>
    <n v="1.41"/>
    <x v="0"/>
    <n v="14.933"/>
    <n v="0"/>
    <n v="1"/>
  </r>
  <r>
    <s v="AJEET KUMAR"/>
    <d v="2026-06-08T00:00:00"/>
    <s v="SR-RTN/26-27/34215"/>
    <s v="B-297840"/>
    <s v="B-GOLD-FILING"/>
    <s v="GOLD-FILLING-WK"/>
    <x v="1"/>
    <s v="G-NA-75.00-RG"/>
    <n v="4.28"/>
    <n v="3.21"/>
    <n v="0.75"/>
    <n v="3.74"/>
    <n v="2.8050000000000002"/>
    <n v="2.8050000000000002"/>
    <n v="0.75"/>
    <n v="0"/>
    <n v="0"/>
    <n v="0"/>
    <n v="0"/>
    <n v="0"/>
    <n v="0"/>
    <n v="0"/>
    <n v="0"/>
    <n v="0"/>
    <n v="0.54"/>
    <n v="0.40500000000000003"/>
    <n v="0.75"/>
    <n v="-0.54"/>
    <n v="0.54"/>
    <x v="0"/>
    <n v="2.8050000000000002"/>
    <n v="0"/>
    <n v="1"/>
  </r>
  <r>
    <s v="AJEET KUMAR"/>
    <d v="2026-06-08T00:00:00"/>
    <s v="SR-RTN/26-27/34217"/>
    <s v="B-297824"/>
    <s v="B-GOLD-FILING"/>
    <s v="GOLD-FILLING-WK"/>
    <x v="1"/>
    <s v="G-NA-75.00-RG"/>
    <n v="8.0399999999999991"/>
    <n v="6.03"/>
    <n v="0.75000000000000011"/>
    <n v="7.36"/>
    <n v="5.52"/>
    <n v="5.52"/>
    <n v="0.74999999999999989"/>
    <n v="0"/>
    <n v="0"/>
    <n v="0"/>
    <n v="0"/>
    <n v="0"/>
    <n v="0"/>
    <n v="0"/>
    <n v="0"/>
    <n v="0"/>
    <n v="0.68"/>
    <n v="0.51"/>
    <n v="0.75"/>
    <n v="-0.67999999999999883"/>
    <n v="0.67999999999999883"/>
    <x v="1"/>
    <n v="5.4450000000000003"/>
    <n v="7.4999999999999289E-2"/>
    <n v="2"/>
  </r>
  <r>
    <s v="AJEET KUMAR"/>
    <d v="2026-06-08T00:00:00"/>
    <s v="SR-RTN/26-27/34220"/>
    <s v="B-297650"/>
    <s v="B-GOLD-FILING"/>
    <s v="GOLD-FILLING-WK"/>
    <x v="1"/>
    <s v="G-NA-75.00-RG"/>
    <n v="17.41"/>
    <n v="13.057499999999999"/>
    <n v="0.75"/>
    <n v="16.3"/>
    <n v="12.225"/>
    <n v="12.225"/>
    <n v="0.75"/>
    <n v="0"/>
    <n v="0"/>
    <n v="0"/>
    <n v="0"/>
    <n v="0"/>
    <n v="0"/>
    <n v="0"/>
    <n v="0"/>
    <n v="0"/>
    <n v="1.1100000000000001"/>
    <n v="0.83250000000000002"/>
    <n v="0.75"/>
    <n v="-1.1099999999999994"/>
    <n v="1.1099999999999994"/>
    <x v="0"/>
    <n v="12.225"/>
    <n v="0"/>
    <n v="1"/>
  </r>
  <r>
    <s v="AJEET KUMAR"/>
    <d v="2026-06-08T00:00:00"/>
    <s v="SR-RTN/26-27/34221"/>
    <s v="B-297857"/>
    <s v="B-GOLD-FILING"/>
    <s v="GOLD-FILLING-WK"/>
    <x v="1"/>
    <s v="G-NA-75.00-RG"/>
    <n v="3.46"/>
    <n v="2.5950000000000002"/>
    <n v="0.75000000000000011"/>
    <n v="3.09"/>
    <n v="2.3174999999999999"/>
    <n v="2.3180000000000001"/>
    <n v="0.75"/>
    <n v="0"/>
    <n v="0"/>
    <n v="0"/>
    <n v="0"/>
    <n v="0"/>
    <n v="0"/>
    <n v="0"/>
    <n v="0"/>
    <n v="0"/>
    <n v="0.37"/>
    <n v="0.27750000000000002"/>
    <n v="0.75000000000000011"/>
    <n v="-0.37000000000000011"/>
    <n v="0.37000000000000011"/>
    <x v="0"/>
    <n v="2.3180000000000001"/>
    <n v="0"/>
    <n v="1"/>
  </r>
  <r>
    <s v="AJEET KUMAR"/>
    <d v="2026-06-08T00:00:00"/>
    <s v="SR-RTN/26-27/34223"/>
    <s v="B-291379"/>
    <s v="B-GOLD-FILING"/>
    <s v="GOLD-FILLING-WK"/>
    <x v="0"/>
    <s v="G-NA-91.70-YG"/>
    <n v="9.16"/>
    <n v="8.3997200000000003"/>
    <n v="0.91700000000000004"/>
    <n v="8.67"/>
    <n v="7.9503899999999996"/>
    <n v="7.9510000000000005"/>
    <n v="0.91699999999999993"/>
    <n v="0"/>
    <n v="0"/>
    <n v="0"/>
    <n v="0"/>
    <n v="0"/>
    <n v="0"/>
    <n v="0"/>
    <n v="0"/>
    <n v="0"/>
    <n v="0.49"/>
    <n v="0.44933000000000001"/>
    <n v="0.91700000000000004"/>
    <n v="-0.49000000000000021"/>
    <n v="0.49000000000000021"/>
    <x v="0"/>
    <n v="7.9510000000000005"/>
    <n v="0"/>
    <n v="2"/>
  </r>
  <r>
    <s v="AJEET KUMAR"/>
    <d v="2026-06-08T00:00:00"/>
    <s v="SR-RTN/26-27/34299"/>
    <s v="B-296280"/>
    <s v="B-GOLD-FILING"/>
    <s v="GOLD-FILLING-WK"/>
    <x v="1"/>
    <s v="G-NA-75.00-YG"/>
    <n v="20.64"/>
    <n v="15.48"/>
    <n v="0.75"/>
    <n v="18.760000000000002"/>
    <n v="14.07"/>
    <n v="14.07"/>
    <n v="0.75"/>
    <n v="0"/>
    <n v="0"/>
    <n v="0"/>
    <n v="0"/>
    <n v="0"/>
    <n v="0"/>
    <n v="0"/>
    <n v="0"/>
    <n v="0"/>
    <n v="1.88"/>
    <n v="1.41"/>
    <n v="0.75"/>
    <n v="-1.879999999999999"/>
    <n v="1.879999999999999"/>
    <x v="0"/>
    <n v="14.07"/>
    <n v="0"/>
    <n v="1"/>
  </r>
  <r>
    <s v="AJEET KUMAR"/>
    <d v="2026-06-08T00:00:00"/>
    <s v="SR-RTN/26-27/34299"/>
    <s v="B-297641"/>
    <s v="B-GOLD-FILING"/>
    <s v="GOLD-FILLING-WK"/>
    <x v="1"/>
    <s v="G-NA-75.00-RG"/>
    <n v="19.72"/>
    <n v="14.79"/>
    <n v="0.75"/>
    <n v="18.190000000000001"/>
    <n v="13.6425"/>
    <n v="13.642999999999999"/>
    <n v="0.75"/>
    <n v="0"/>
    <n v="0"/>
    <n v="0"/>
    <n v="0"/>
    <n v="0"/>
    <n v="0"/>
    <n v="0"/>
    <n v="0"/>
    <n v="0"/>
    <n v="1.53"/>
    <n v="1.1475"/>
    <n v="0.75"/>
    <n v="-1.5299999999999976"/>
    <n v="1.5299999999999976"/>
    <x v="0"/>
    <n v="13.642999999999999"/>
    <n v="0"/>
    <n v="1"/>
  </r>
  <r>
    <s v="AJEET KUMAR"/>
    <d v="2026-06-08T00:00:00"/>
    <s v="SR-RTN/26-27/34299"/>
    <s v="B-297822"/>
    <s v="B-GOLD-FILING"/>
    <s v="GOLD-FILLING-WK"/>
    <x v="1"/>
    <s v="G-NA-75.00-RG"/>
    <n v="3.99"/>
    <n v="2.9925000000000002"/>
    <n v="0.75"/>
    <n v="3.54"/>
    <n v="2.6549999999999998"/>
    <n v="2.6549999999999998"/>
    <n v="0.74999999999999989"/>
    <n v="0"/>
    <n v="0"/>
    <n v="0"/>
    <n v="0"/>
    <n v="0"/>
    <n v="0"/>
    <n v="0"/>
    <n v="0"/>
    <n v="0"/>
    <n v="0.45"/>
    <n v="0.33750000000000002"/>
    <n v="0.75"/>
    <n v="-0.45000000000000018"/>
    <n v="0.45000000000000018"/>
    <x v="0"/>
    <n v="2.6549999999999998"/>
    <n v="0"/>
    <n v="1"/>
  </r>
  <r>
    <s v="AJEET KUMAR"/>
    <d v="2026-06-08T00:00:00"/>
    <s v="SR-RTN/26-27/34299"/>
    <s v="B-297849"/>
    <s v="B-GOLD-FILING"/>
    <s v="GOLD-FILLING-WK"/>
    <x v="1"/>
    <s v="G-NA-75.00-RG"/>
    <n v="5.19"/>
    <n v="3.8925000000000001"/>
    <n v="0.75"/>
    <n v="4.96"/>
    <n v="3.72"/>
    <n v="3.72"/>
    <n v="0.75"/>
    <n v="0"/>
    <n v="0"/>
    <n v="0"/>
    <n v="0"/>
    <n v="0"/>
    <n v="0"/>
    <n v="0"/>
    <n v="0"/>
    <n v="0"/>
    <n v="0.23"/>
    <n v="0.17249999999999999"/>
    <n v="0.74999999999999989"/>
    <n v="-0.23000000000000043"/>
    <n v="0.23000000000000043"/>
    <x v="0"/>
    <n v="3.72"/>
    <n v="0"/>
    <n v="1"/>
  </r>
  <r>
    <s v="AJEET KUMAR"/>
    <d v="2026-06-08T00:00:00"/>
    <s v="SR-RTN/26-27/34299"/>
    <s v="B-297965"/>
    <s v="B-GOLD-FILING"/>
    <s v="GOLD-FILLING-WK"/>
    <x v="1"/>
    <s v="G-NA-75.00-YG"/>
    <n v="4.07"/>
    <n v="3.0525000000000002"/>
    <n v="0.75"/>
    <n v="3.55"/>
    <n v="2.6625000000000001"/>
    <n v="2.6629999999999998"/>
    <n v="0.75000000000000011"/>
    <n v="0"/>
    <n v="0"/>
    <n v="0"/>
    <n v="0"/>
    <n v="0"/>
    <n v="0"/>
    <n v="0"/>
    <n v="0"/>
    <n v="0"/>
    <n v="0.52"/>
    <n v="0.39"/>
    <n v="0.75"/>
    <n v="-0.52000000000000046"/>
    <n v="0.52000000000000046"/>
    <x v="0"/>
    <n v="2.6629999999999998"/>
    <n v="0"/>
    <n v="1"/>
  </r>
  <r>
    <s v="AJEET KUMAR"/>
    <d v="2026-06-08T00:00:00"/>
    <s v="SR-RTN/26-27/34299"/>
    <s v="B-297966"/>
    <s v="B-GOLD-FILING"/>
    <s v="GOLD-FILLING-WK"/>
    <x v="1"/>
    <s v="G-NA-75.00-YG"/>
    <n v="4.79"/>
    <n v="3.5924999999999998"/>
    <n v="0.75"/>
    <n v="4.33"/>
    <n v="3.2475000000000001"/>
    <n v="3.2479999999999998"/>
    <n v="0.75"/>
    <n v="0"/>
    <n v="0"/>
    <n v="0"/>
    <n v="0"/>
    <n v="0"/>
    <n v="0"/>
    <n v="0"/>
    <n v="0"/>
    <n v="0"/>
    <n v="0.46"/>
    <n v="0.34499999999999997"/>
    <n v="0.74999999999999989"/>
    <n v="-0.46"/>
    <n v="0.46"/>
    <x v="0"/>
    <n v="3.2479999999999998"/>
    <n v="0"/>
    <n v="1"/>
  </r>
  <r>
    <s v="AJEET KUMAR"/>
    <d v="2026-06-08T00:00:00"/>
    <s v="SR-RTN/26-27/34299"/>
    <s v="B-297969"/>
    <s v="B-GOLD-FILING"/>
    <s v="GOLD-FILLING-WK"/>
    <x v="1"/>
    <s v="G-NA-75.00-YG"/>
    <n v="3.73"/>
    <n v="2.7974999999999999"/>
    <n v="0.75"/>
    <n v="3.24"/>
    <n v="2.4300000000000002"/>
    <n v="2.4300000000000002"/>
    <n v="0.75"/>
    <n v="0"/>
    <n v="0"/>
    <n v="0"/>
    <n v="0"/>
    <n v="0"/>
    <n v="0"/>
    <n v="0"/>
    <n v="0"/>
    <n v="0"/>
    <n v="0.49"/>
    <n v="0.36749999999999999"/>
    <n v="0.75"/>
    <n v="-0.48999999999999977"/>
    <n v="0.48999999999999977"/>
    <x v="0"/>
    <n v="2.4300000000000002"/>
    <n v="0"/>
    <n v="1"/>
  </r>
  <r>
    <s v="AJEET KUMAR"/>
    <d v="2026-06-08T00:00:00"/>
    <s v="SR-RTN/26-27/34308"/>
    <s v="B-291408"/>
    <s v="B-GOLD-FILING"/>
    <s v="GOLD-FILLING-WK"/>
    <x v="0"/>
    <s v="G-NA-91.70-YG"/>
    <n v="29.28"/>
    <n v="26.84976"/>
    <n v="0.91699999999999993"/>
    <n v="28.48"/>
    <n v="26.116160000000001"/>
    <n v="26.117000000000001"/>
    <n v="0.91700000000000004"/>
    <n v="0"/>
    <n v="0"/>
    <n v="0"/>
    <n v="0"/>
    <n v="0"/>
    <n v="0"/>
    <n v="0"/>
    <n v="0"/>
    <n v="0"/>
    <n v="0.8"/>
    <n v="0.73360000000000003"/>
    <n v="0.91700000000000004"/>
    <n v="-0.80000000000000071"/>
    <n v="0.80000000000000071"/>
    <x v="1"/>
    <n v="25.126000000000001"/>
    <n v="0.99099999999999966"/>
    <n v="3"/>
  </r>
  <r>
    <s v="AJEET KUMAR"/>
    <d v="2026-06-08T00:00:00"/>
    <s v="SR-RTN/26-27/34314"/>
    <s v="B-291411"/>
    <s v="B-GOLD-FILING"/>
    <s v="GOLD-FILLING-WK"/>
    <x v="0"/>
    <s v="G-NA-91.70-YG"/>
    <n v="12.64"/>
    <n v="11.59088"/>
    <n v="0.91700000000000004"/>
    <n v="12.52"/>
    <n v="11.480840000000001"/>
    <n v="11.481"/>
    <n v="0.91700000000000004"/>
    <n v="0"/>
    <n v="0"/>
    <n v="0"/>
    <n v="0"/>
    <n v="0"/>
    <n v="0"/>
    <n v="0"/>
    <n v="0"/>
    <n v="0"/>
    <n v="0.12"/>
    <n v="0.11004"/>
    <n v="0.91700000000000004"/>
    <n v="-0.12000000000000099"/>
    <n v="0.12000000000000099"/>
    <x v="1"/>
    <n v="10.427"/>
    <n v="1.0540000000000003"/>
    <n v="3"/>
  </r>
  <r>
    <s v="AJEET KUMAR"/>
    <d v="2026-06-08T00:00:00"/>
    <s v="SR-RTN/26-27/34314"/>
    <s v="B-293190"/>
    <s v="B-GOLD-FILING"/>
    <s v="GOLD-FILLING-WK"/>
    <x v="1"/>
    <s v="G-NA-75.00-RG"/>
    <n v="14.41"/>
    <n v="10.807499999999999"/>
    <n v="0.74999999999999989"/>
    <n v="14.41"/>
    <n v="10.807499999999999"/>
    <n v="10.808"/>
    <n v="0.74999999999999989"/>
    <n v="0"/>
    <n v="0"/>
    <n v="0"/>
    <n v="0"/>
    <n v="0"/>
    <n v="0"/>
    <n v="0"/>
    <n v="0"/>
    <n v="0"/>
    <n v="0"/>
    <n v="0"/>
    <n v="0"/>
    <n v="0"/>
    <n v="0"/>
    <x v="0"/>
    <n v="10.808"/>
    <n v="0"/>
    <n v="4"/>
  </r>
  <r>
    <s v="AJEET KUMAR"/>
    <d v="2026-06-08T00:00:00"/>
    <s v="SR-RTN/26-27/34314"/>
    <s v="B-297324"/>
    <s v="B-GOLD-FILING"/>
    <s v="GOLD-FILLING-WK"/>
    <x v="0"/>
    <s v="G-NA-91.70-YG"/>
    <n v="29.01"/>
    <n v="26.602170000000001"/>
    <n v="0.91700000000000004"/>
    <n v="28.37"/>
    <n v="26.01529"/>
    <n v="26.016000000000002"/>
    <n v="0.91699999999999993"/>
    <n v="0"/>
    <n v="0"/>
    <n v="0"/>
    <n v="0"/>
    <n v="0"/>
    <n v="0"/>
    <n v="0"/>
    <n v="0"/>
    <n v="0"/>
    <n v="0.64"/>
    <n v="0.58687999999999996"/>
    <n v="0.91699999999999993"/>
    <n v="-0.64000000000000057"/>
    <n v="0.64000000000000057"/>
    <x v="0"/>
    <n v="26.016000000000002"/>
    <n v="0"/>
    <n v="2"/>
  </r>
  <r>
    <s v="AJEET KUMAR"/>
    <d v="2026-06-08T00:00:00"/>
    <s v="SR-RTN/26-27/34344"/>
    <s v="B-296845"/>
    <s v="B-GOLD-FILING"/>
    <s v="GOLD-FILLING-WK"/>
    <x v="1"/>
    <s v="G-NA-75.00-RG"/>
    <n v="16.82"/>
    <n v="12.615"/>
    <n v="0.75"/>
    <n v="16.8"/>
    <n v="12.6"/>
    <n v="12.6"/>
    <n v="0.75"/>
    <n v="0"/>
    <n v="0"/>
    <n v="0"/>
    <n v="0"/>
    <n v="0"/>
    <n v="0"/>
    <n v="0"/>
    <n v="0"/>
    <n v="0"/>
    <n v="0.02"/>
    <n v="1.4999999999999999E-2"/>
    <n v="0.75"/>
    <n v="-1.9999999999999574E-2"/>
    <n v="1.9999999999999574E-2"/>
    <x v="0"/>
    <n v="12.6"/>
    <n v="0"/>
    <n v="2"/>
  </r>
  <r>
    <s v="AJEET KUMAR"/>
    <d v="2026-06-08T00:00:00"/>
    <s v="SR-RTN/26-27/34344"/>
    <s v="B-297834"/>
    <s v="B-GOLD-FILING"/>
    <s v="GOLD-FILLING-WK"/>
    <x v="1"/>
    <s v="G-NA-75.00-RG"/>
    <n v="4.63"/>
    <n v="3.4725000000000001"/>
    <n v="0.75"/>
    <n v="4.4800000000000004"/>
    <n v="3.36"/>
    <n v="3.36"/>
    <n v="0.74999999999999989"/>
    <n v="0"/>
    <n v="0"/>
    <n v="0"/>
    <n v="0"/>
    <n v="0"/>
    <n v="0"/>
    <n v="0"/>
    <n v="0"/>
    <n v="0"/>
    <n v="0.15"/>
    <n v="0.1125"/>
    <n v="0.75"/>
    <n v="-0.14999999999999947"/>
    <n v="0.14999999999999947"/>
    <x v="0"/>
    <n v="3.36"/>
    <n v="0"/>
    <n v="1"/>
  </r>
  <r>
    <s v="AJEET KUMAR"/>
    <d v="2026-06-08T00:00:00"/>
    <s v="SR-RTN/26-27/34344"/>
    <s v="B-297846"/>
    <s v="B-GOLD-FILING"/>
    <s v="GOLD-FILLING-WK"/>
    <x v="1"/>
    <s v="G-NA-75.00-RG"/>
    <n v="6.25"/>
    <n v="4.6875"/>
    <n v="0.75"/>
    <n v="5.59"/>
    <n v="4.1924999999999999"/>
    <n v="4.1930000000000005"/>
    <n v="0.75"/>
    <n v="0"/>
    <n v="0"/>
    <n v="0"/>
    <n v="0"/>
    <n v="0"/>
    <n v="0"/>
    <n v="0"/>
    <n v="0"/>
    <n v="0"/>
    <n v="0.66"/>
    <n v="0.495"/>
    <n v="0.75"/>
    <n v="-0.66000000000000014"/>
    <n v="0.66000000000000014"/>
    <x v="0"/>
    <n v="4.1930000000000005"/>
    <n v="0"/>
    <n v="1"/>
  </r>
  <r>
    <s v="AJEET KUMAR"/>
    <d v="2026-06-08T00:00:00"/>
    <s v="SR-RTN/26-27/34344"/>
    <s v="B-297851"/>
    <s v="B-GOLD-FILING"/>
    <s v="GOLD-FILLING-WK"/>
    <x v="1"/>
    <s v="G-NA-75.00-RG"/>
    <n v="7.06"/>
    <n v="5.2949999999999999"/>
    <n v="0.75"/>
    <n v="6.77"/>
    <n v="5.0774999999999997"/>
    <n v="5.0780000000000003"/>
    <n v="0.75"/>
    <n v="0"/>
    <n v="0"/>
    <n v="0"/>
    <n v="0"/>
    <n v="0"/>
    <n v="0"/>
    <n v="0"/>
    <n v="0"/>
    <n v="0"/>
    <n v="0.28999999999999998"/>
    <n v="0.2175"/>
    <n v="0.75"/>
    <n v="-0.29000000000000004"/>
    <n v="0.29000000000000004"/>
    <x v="0"/>
    <n v="5.0780000000000003"/>
    <n v="0"/>
    <n v="1"/>
  </r>
  <r>
    <s v="AJEET KUMAR"/>
    <d v="2026-06-08T00:00:00"/>
    <s v="SR-RTN/26-27/34344"/>
    <s v="B-297964"/>
    <s v="B-GOLD-FILING"/>
    <s v="GOLD-FILLING-WK"/>
    <x v="1"/>
    <s v="G-NA-75.00-YG"/>
    <n v="3.89"/>
    <n v="2.9175"/>
    <n v="0.75"/>
    <n v="3.39"/>
    <n v="2.5425"/>
    <n v="2.5429999999999997"/>
    <n v="0.75"/>
    <n v="0"/>
    <n v="0"/>
    <n v="0"/>
    <n v="0"/>
    <n v="0"/>
    <n v="0"/>
    <n v="0"/>
    <n v="0"/>
    <n v="0"/>
    <n v="0.5"/>
    <n v="0.375"/>
    <n v="0.75"/>
    <n v="-0.5"/>
    <n v="0.5"/>
    <x v="0"/>
    <n v="2.5429999999999997"/>
    <n v="0"/>
    <n v="1"/>
  </r>
  <r>
    <s v="AJEET KUMAR"/>
    <d v="2026-06-08T00:00:00"/>
    <s v="SR-RTN/26-27/34344"/>
    <s v="B-297968"/>
    <s v="B-GOLD-FILING"/>
    <s v="GOLD-FILLING-WK"/>
    <x v="1"/>
    <s v="G-NA-75.00-YG"/>
    <n v="3.67"/>
    <n v="2.7524999999999999"/>
    <n v="0.75"/>
    <n v="3.15"/>
    <n v="2.3624999999999998"/>
    <n v="2.363"/>
    <n v="0.75"/>
    <n v="0"/>
    <n v="0"/>
    <n v="0"/>
    <n v="0"/>
    <n v="0"/>
    <n v="0"/>
    <n v="0"/>
    <n v="0"/>
    <n v="0"/>
    <n v="0.52"/>
    <n v="0.39"/>
    <n v="0.75"/>
    <n v="-0.52"/>
    <n v="0.52"/>
    <x v="0"/>
    <n v="2.363"/>
    <n v="0"/>
    <n v="1"/>
  </r>
  <r>
    <s v="AJEET KUMAR"/>
    <d v="2026-06-08T00:00:00"/>
    <s v="SR-RTN/26-27/34351"/>
    <s v="B-296871"/>
    <s v="B-GOLD-FILING"/>
    <s v="GOLD-FILLING-WK"/>
    <x v="1"/>
    <s v="G-NA-75.00-YG"/>
    <n v="9.9"/>
    <n v="7.4249999999999998"/>
    <n v="0.75"/>
    <n v="9.2799999999999994"/>
    <n v="6.96"/>
    <n v="6.96"/>
    <n v="0.75"/>
    <n v="0"/>
    <n v="0"/>
    <n v="0"/>
    <n v="0"/>
    <n v="0"/>
    <n v="0"/>
    <n v="0"/>
    <n v="0"/>
    <n v="0"/>
    <n v="0.62"/>
    <n v="0.46500000000000002"/>
    <n v="0.75"/>
    <n v="-0.62000000000000099"/>
    <n v="0.62000000000000099"/>
    <x v="0"/>
    <n v="6.96"/>
    <n v="0"/>
    <n v="1"/>
  </r>
  <r>
    <s v="AJEET KUMAR"/>
    <d v="2026-06-08T00:00:00"/>
    <s v="SR-RTN/26-27/34352"/>
    <s v="B-297797"/>
    <s v="B-GOLD-FILING"/>
    <s v="GOLD-FILLING-WK"/>
    <x v="0"/>
    <s v="G-NA-91.70-YG"/>
    <n v="119.04"/>
    <n v="109.15967999999999"/>
    <n v="0.91699999999999993"/>
    <n v="115.12"/>
    <n v="105.56504"/>
    <n v="105.566"/>
    <n v="0.91699999999999993"/>
    <n v="0"/>
    <n v="0"/>
    <n v="0"/>
    <n v="0"/>
    <n v="0"/>
    <n v="0"/>
    <n v="0"/>
    <n v="0"/>
    <n v="0"/>
    <n v="3.92"/>
    <n v="3.5946400000000001"/>
    <n v="0.91700000000000004"/>
    <n v="-3.9200000000000017"/>
    <n v="3.9200000000000017"/>
    <x v="0"/>
    <n v="105.566"/>
    <n v="0"/>
    <n v="1"/>
  </r>
  <r>
    <s v="AJEET KUMAR"/>
    <d v="2026-06-08T00:00:00"/>
    <s v="SR-RTN/26-27/34384"/>
    <s v="B-297632"/>
    <s v="B-GOLD-FILING"/>
    <s v="GOLD-FILLING-WK"/>
    <x v="1"/>
    <s v="G-NA-75.00-RG"/>
    <n v="20.18"/>
    <n v="15.135"/>
    <n v="0.75"/>
    <n v="15.49"/>
    <n v="11.6175"/>
    <n v="11.618"/>
    <n v="0.75"/>
    <n v="0"/>
    <n v="0"/>
    <n v="0"/>
    <n v="0"/>
    <n v="0"/>
    <n v="0"/>
    <n v="0"/>
    <n v="0"/>
    <n v="0"/>
    <n v="4.6900000000000004"/>
    <n v="3.5175000000000001"/>
    <n v="0.75"/>
    <n v="-4.6899999999999995"/>
    <n v="4.6899999999999995"/>
    <x v="0"/>
    <n v="11.618"/>
    <n v="0"/>
    <n v="1"/>
  </r>
  <r>
    <s v="AJEET KUMAR"/>
    <d v="2026-06-08T00:00:00"/>
    <s v="SR-RTN/26-27/34420"/>
    <s v="B-297961"/>
    <s v="B-GOLD-FILING"/>
    <s v="GOLD-FILLING-WK"/>
    <x v="1"/>
    <s v="G-NA-75.00-YG"/>
    <n v="28.39"/>
    <n v="21.2925"/>
    <n v="0.75"/>
    <n v="26.59"/>
    <n v="19.942499999999999"/>
    <n v="19.943000000000001"/>
    <n v="0.75"/>
    <n v="0"/>
    <n v="0"/>
    <n v="0"/>
    <n v="0"/>
    <n v="0"/>
    <n v="0"/>
    <n v="0"/>
    <n v="0"/>
    <n v="0"/>
    <n v="1.8"/>
    <n v="1.35"/>
    <n v="0.75"/>
    <n v="-1.8000000000000007"/>
    <n v="1.8000000000000007"/>
    <x v="0"/>
    <n v="19.943000000000001"/>
    <n v="0"/>
    <n v="1"/>
  </r>
  <r>
    <s v="AJEET KUMAR"/>
    <d v="2026-06-08T00:00:00"/>
    <s v="SR-RTN/26-27/34420"/>
    <s v="B-297962"/>
    <s v="B-GOLD-FILING"/>
    <s v="GOLD-FILLING-WK"/>
    <x v="1"/>
    <s v="G-NA-75.00-YG"/>
    <n v="24.11"/>
    <n v="18.0825"/>
    <n v="0.75"/>
    <n v="21.75"/>
    <n v="16.3125"/>
    <n v="16.313000000000002"/>
    <n v="0.75"/>
    <n v="0"/>
    <n v="0"/>
    <n v="0"/>
    <n v="0"/>
    <n v="0"/>
    <n v="0"/>
    <n v="0"/>
    <n v="0"/>
    <n v="0"/>
    <n v="2.36"/>
    <n v="1.77"/>
    <n v="0.75"/>
    <n v="-2.3599999999999994"/>
    <n v="2.3599999999999994"/>
    <x v="0"/>
    <n v="16.313000000000002"/>
    <n v="0"/>
    <n v="1"/>
  </r>
  <r>
    <s v="AJEET KUMAR"/>
    <d v="2026-06-08T00:00:00"/>
    <s v="SR-RTN/26-27/34426"/>
    <s v="B-297803"/>
    <s v="B-GOLD-FILING"/>
    <s v="GOLD-FILLING-WK"/>
    <x v="1"/>
    <s v="G-NA-75.00-YG"/>
    <n v="21.67"/>
    <n v="16.252500000000001"/>
    <n v="0.75"/>
    <n v="19.399999999999999"/>
    <n v="14.55"/>
    <n v="14.55"/>
    <n v="0.75000000000000011"/>
    <n v="0"/>
    <n v="0"/>
    <n v="0"/>
    <n v="0"/>
    <n v="0"/>
    <n v="0"/>
    <n v="0"/>
    <n v="0"/>
    <n v="0"/>
    <n v="2.27"/>
    <n v="1.7024999999999999"/>
    <n v="0.75"/>
    <n v="-2.2700000000000031"/>
    <n v="2.2700000000000031"/>
    <x v="0"/>
    <n v="14.55"/>
    <n v="0"/>
    <n v="1"/>
  </r>
  <r>
    <s v="AJEET KUMAR"/>
    <d v="2026-06-08T00:00:00"/>
    <s v="SR-RTN/26-27/34435"/>
    <s v="B-296906"/>
    <s v="B-GOLD-FILING"/>
    <s v="GOLD-FILLING-WK"/>
    <x v="0"/>
    <s v="G-NA-91.70-YG"/>
    <n v="99.08"/>
    <n v="90.856359999999995"/>
    <n v="0.91699999999999993"/>
    <n v="90.69"/>
    <n v="83.162729999999996"/>
    <n v="83.163000000000011"/>
    <n v="0.91700000000000004"/>
    <n v="0"/>
    <n v="0"/>
    <n v="0"/>
    <n v="0"/>
    <n v="0"/>
    <n v="0"/>
    <n v="0"/>
    <n v="0"/>
    <n v="0"/>
    <n v="8.39"/>
    <n v="7.6936299999999997"/>
    <n v="0.91699999999999993"/>
    <n v="-8.39"/>
    <n v="8.39"/>
    <x v="0"/>
    <n v="83.163000000000011"/>
    <n v="0"/>
    <n v="1"/>
  </r>
  <r>
    <s v="AJEET KUMAR"/>
    <d v="2026-06-08T00:00:00"/>
    <s v="SR-RTN/26-27/34441"/>
    <s v="B-298322"/>
    <s v="B-GOLD-FILING"/>
    <s v="GOLD-FILLING-WK"/>
    <x v="1"/>
    <s v="G-NA-75.00-YG"/>
    <n v="2.73"/>
    <n v="2.0474999999999999"/>
    <n v="0.75"/>
    <n v="2.48"/>
    <n v="1.86"/>
    <n v="1.86"/>
    <n v="0.75"/>
    <n v="0"/>
    <n v="0"/>
    <n v="0"/>
    <n v="0"/>
    <n v="0"/>
    <n v="0"/>
    <n v="0"/>
    <n v="0"/>
    <n v="0"/>
    <n v="0.25"/>
    <n v="0.1875"/>
    <n v="0.75"/>
    <n v="-0.25"/>
    <n v="0.25"/>
    <x v="0"/>
    <n v="1.86"/>
    <n v="0"/>
    <n v="1"/>
  </r>
  <r>
    <s v="AJEET KUMAR"/>
    <d v="2026-06-08T00:00:00"/>
    <s v="SR-RTN/26-27/34484"/>
    <s v="B-297810"/>
    <s v="B-GOLD-FILING"/>
    <s v="GOLD-FILLING-WK"/>
    <x v="0"/>
    <s v="G-NA-91.70-YG"/>
    <n v="41.95"/>
    <n v="38.468150000000001"/>
    <n v="0.91699999999999993"/>
    <n v="37.82"/>
    <n v="34.68094"/>
    <n v="34.680999999999997"/>
    <n v="0.91700000000000004"/>
    <n v="0"/>
    <n v="0"/>
    <n v="0"/>
    <n v="0"/>
    <n v="0"/>
    <n v="0"/>
    <n v="0"/>
    <n v="0"/>
    <n v="0"/>
    <n v="4.13"/>
    <n v="3.78721"/>
    <n v="0.91700000000000004"/>
    <n v="-4.1300000000000026"/>
    <n v="4.1300000000000026"/>
    <x v="0"/>
    <n v="34.680999999999997"/>
    <n v="0"/>
    <n v="1"/>
  </r>
  <r>
    <s v="AJEET KUMAR"/>
    <d v="2026-06-08T00:00:00"/>
    <s v="SR-RTN/26-27/34485"/>
    <s v="B-297967"/>
    <s v="B-GOLD-FILING"/>
    <s v="GOLD-FILLING-WK"/>
    <x v="1"/>
    <s v="G-NA-75.00-YG"/>
    <n v="4.62"/>
    <n v="3.4649999999999999"/>
    <n v="0.75"/>
    <n v="4.0199999999999996"/>
    <n v="3.0150000000000001"/>
    <n v="3.0150000000000001"/>
    <n v="0.75000000000000011"/>
    <n v="0"/>
    <n v="0"/>
    <n v="0"/>
    <n v="0"/>
    <n v="0"/>
    <n v="0"/>
    <n v="0"/>
    <n v="0"/>
    <n v="0"/>
    <n v="0.6"/>
    <n v="0.45"/>
    <n v="0.75"/>
    <n v="-0.60000000000000053"/>
    <n v="0.60000000000000053"/>
    <x v="0"/>
    <n v="3.0150000000000001"/>
    <n v="0"/>
    <n v="1"/>
  </r>
  <r>
    <s v="AJEET KUMAR"/>
    <d v="2026-06-08T00:00:00"/>
    <s v="SR-RTN/26-27/34489"/>
    <s v="B-291379/1"/>
    <s v="B-GOLD-FILING"/>
    <s v="GOLD-FILLING-WK"/>
    <x v="0"/>
    <s v="G-NA-91.70-YG"/>
    <n v="1.9"/>
    <n v="1.7423"/>
    <n v="0.91700000000000004"/>
    <n v="1.84"/>
    <n v="1.6872799999999999"/>
    <n v="1.6879999999999999"/>
    <n v="0.91699999999999993"/>
    <n v="0"/>
    <n v="0"/>
    <n v="0"/>
    <n v="0"/>
    <n v="0"/>
    <n v="0"/>
    <n v="0"/>
    <n v="0"/>
    <n v="0"/>
    <n v="0.06"/>
    <n v="5.5019999999999999E-2"/>
    <n v="0.91700000000000004"/>
    <n v="-5.9999999999999831E-2"/>
    <n v="5.9999999999999831E-2"/>
    <x v="1"/>
    <n v="1.1649999999999998"/>
    <n v="0.52300000000000013"/>
    <n v="2"/>
  </r>
  <r>
    <s v="AJEET KUMAR"/>
    <d v="2026-06-08T00:00:00"/>
    <s v="SR-RTN/26-27/34521"/>
    <s v="B-297717"/>
    <s v="B-GOLD-FILING"/>
    <s v="GOLD-FILLING-WK"/>
    <x v="0"/>
    <s v="G-NA-91.70-YG"/>
    <n v="35.46"/>
    <n v="32.516820000000003"/>
    <n v="0.91700000000000004"/>
    <n v="33.130000000000003"/>
    <n v="30.380210000000002"/>
    <n v="30.381"/>
    <n v="0.91699999999999993"/>
    <n v="0"/>
    <n v="0"/>
    <n v="0"/>
    <n v="0"/>
    <n v="0"/>
    <n v="0"/>
    <n v="0"/>
    <n v="0"/>
    <n v="0"/>
    <n v="2.33"/>
    <n v="2.1366100000000001"/>
    <n v="0.91700000000000004"/>
    <n v="-2.3299999999999983"/>
    <n v="2.3299999999999983"/>
    <x v="0"/>
    <n v="30.381"/>
    <n v="0"/>
    <n v="2"/>
  </r>
  <r>
    <s v="AJEET KUMAR"/>
    <d v="2026-06-08T00:00:00"/>
    <s v="SR-RTN/26-27/34529"/>
    <s v="B-297679"/>
    <s v="B-GOLD-FILING"/>
    <s v="GOLD-FILLING-WK"/>
    <x v="1"/>
    <s v="G-NA-75.00-RG"/>
    <n v="17.97"/>
    <n v="13.477499999999999"/>
    <n v="0.75"/>
    <n v="14.66"/>
    <n v="10.994999999999999"/>
    <n v="10.994999999999999"/>
    <n v="0.74999999999999989"/>
    <n v="0"/>
    <n v="0"/>
    <n v="0"/>
    <n v="0"/>
    <n v="0"/>
    <n v="0"/>
    <n v="0"/>
    <n v="0"/>
    <n v="0"/>
    <n v="3.31"/>
    <n v="2.4824999999999999"/>
    <n v="0.75"/>
    <n v="-3.3099999999999987"/>
    <n v="3.3099999999999987"/>
    <x v="0"/>
    <n v="10.994999999999999"/>
    <n v="0"/>
    <n v="1"/>
  </r>
  <r>
    <s v="AJEET KUMAR"/>
    <d v="2026-06-08T00:00:00"/>
    <s v="SR-RTN/26-27/34531"/>
    <s v="B-296846"/>
    <s v="B-GOLD-FILING"/>
    <s v="GOLD-FILLING-WK"/>
    <x v="1"/>
    <s v="G-NA-75.00-RG"/>
    <n v="25.11"/>
    <n v="18.8325"/>
    <n v="0.75"/>
    <n v="22.34"/>
    <n v="16.754999999999999"/>
    <n v="16.754999999999999"/>
    <n v="0.75"/>
    <n v="0"/>
    <n v="0"/>
    <n v="0"/>
    <n v="0"/>
    <n v="0"/>
    <n v="0"/>
    <n v="0"/>
    <n v="0"/>
    <n v="0"/>
    <n v="2.77"/>
    <n v="2.0775000000000001"/>
    <n v="0.75"/>
    <n v="-2.7699999999999996"/>
    <n v="2.7699999999999996"/>
    <x v="0"/>
    <n v="16.754999999999999"/>
    <n v="0"/>
    <n v="1"/>
  </r>
  <r>
    <s v="AJEET KUMAR"/>
    <d v="2026-06-08T00:00:00"/>
    <s v="SR-W/O-RTN/26-27/2437"/>
    <s v="NONE"/>
    <s v="B-GOLD-FILING"/>
    <s v="GOLD-FILLING-WK"/>
    <x v="1"/>
    <s v="G-NA-75.00-RG"/>
    <n v="4.78"/>
    <n v="3.585"/>
    <n v="0.75"/>
    <n v="3.36"/>
    <n v="2.52"/>
    <n v="2.52"/>
    <n v="0.75"/>
    <n v="0"/>
    <n v="0"/>
    <n v="0"/>
    <n v="0"/>
    <n v="0"/>
    <n v="0"/>
    <n v="0"/>
    <n v="0"/>
    <n v="0"/>
    <n v="1.42"/>
    <n v="1.0649999999999999"/>
    <n v="0.75"/>
    <n v="-1.4200000000000004"/>
    <n v="1.4200000000000004"/>
    <x v="1"/>
    <n v="0"/>
    <n v="2.52"/>
    <n v="67"/>
  </r>
  <r>
    <s v="AJEET KUMAR"/>
    <d v="2026-06-08T00:00:00"/>
    <s v="SR-W/O-RTN/26-27/2437"/>
    <s v="NONE"/>
    <s v="B-GOLD-FILING"/>
    <s v="GOLD-FILLING-WK"/>
    <x v="1"/>
    <s v="G-NA-75.00-YG"/>
    <n v="10"/>
    <n v="7.5"/>
    <n v="0.75"/>
    <n v="8.08"/>
    <n v="6.06"/>
    <n v="6.06"/>
    <n v="0.75"/>
    <n v="0.11"/>
    <n v="8.2500000000000004E-2"/>
    <n v="0.75"/>
    <n v="0"/>
    <n v="0"/>
    <n v="0"/>
    <n v="0"/>
    <n v="0"/>
    <n v="0"/>
    <n v="1.81"/>
    <n v="1.3574999999999999"/>
    <n v="0.74999999999999989"/>
    <n v="-2.0299999999999998"/>
    <n v="1.8099999999999998"/>
    <x v="1"/>
    <n v="0"/>
    <n v="6.06"/>
    <n v="67"/>
  </r>
  <r>
    <s v="AJEET KUMAR"/>
    <d v="2026-06-09T00:00:00"/>
    <s v="RTN-8729778"/>
    <s v="SR-42067"/>
    <s v="CAST-FILLING"/>
    <s v="GOLD-FILLING-WK"/>
    <x v="0"/>
    <s v="G-NA-91.70-YG"/>
    <n v="59.07"/>
    <n v="54.167189999999998"/>
    <n v="0.91699999999999993"/>
    <n v="55.2"/>
    <n v="50.618400000000001"/>
    <n v="50.619"/>
    <n v="0.91699999999999993"/>
    <n v="0"/>
    <n v="0"/>
    <n v="0"/>
    <n v="0"/>
    <n v="0"/>
    <n v="0"/>
    <n v="0"/>
    <n v="0"/>
    <n v="0"/>
    <n v="3.87"/>
    <n v="3.5487899999999999"/>
    <n v="0.91699999999999993"/>
    <n v="-3.8699999999999974"/>
    <n v="3.8699999999999974"/>
    <x v="0"/>
    <n v="50.619"/>
    <n v="0"/>
    <n v="1"/>
  </r>
  <r>
    <s v="AJEET KUMAR"/>
    <d v="2026-06-09T00:00:00"/>
    <s v="RTN-8730253"/>
    <s v="SR-42066"/>
    <s v="CAST-FILLING"/>
    <s v="GOLD-FILLING-WK"/>
    <x v="0"/>
    <s v="G-NA-91.70-YG"/>
    <n v="52.6"/>
    <n v="48.234200000000001"/>
    <n v="0.91700000000000004"/>
    <n v="49.13"/>
    <n v="45.052210000000002"/>
    <n v="45.052999999999997"/>
    <n v="0.91700000000000004"/>
    <n v="0"/>
    <n v="0"/>
    <n v="0"/>
    <n v="0"/>
    <n v="0"/>
    <n v="0"/>
    <n v="0"/>
    <n v="0"/>
    <n v="0"/>
    <n v="3.47"/>
    <n v="3.1819899999999999"/>
    <n v="0.91699999999999993"/>
    <n v="-3.4699999999999989"/>
    <n v="3.4699999999999989"/>
    <x v="0"/>
    <n v="45.052999999999997"/>
    <n v="0"/>
    <n v="1"/>
  </r>
  <r>
    <s v="AJEET KUMAR"/>
    <d v="2026-06-09T00:00:00"/>
    <s v="RTN-8731367"/>
    <s v="SR-41698"/>
    <s v="CAST-FILLING"/>
    <s v="GOLD-FILLING-WK"/>
    <x v="0"/>
    <s v="G-NA-91.70-YG"/>
    <n v="263.88"/>
    <n v="241.97796"/>
    <n v="0.91700000000000004"/>
    <n v="263.86"/>
    <n v="241.95962"/>
    <n v="241.96"/>
    <n v="0.91699999999999993"/>
    <n v="0"/>
    <n v="0"/>
    <n v="0"/>
    <n v="0"/>
    <n v="0"/>
    <n v="0"/>
    <n v="0"/>
    <n v="0"/>
    <n v="0"/>
    <n v="0.02"/>
    <n v="1.8339999999999999E-2"/>
    <n v="0.91699999999999993"/>
    <n v="-1.999999999998181E-2"/>
    <n v="1.999999999998181E-2"/>
    <x v="1"/>
    <n v="77.826000000000008"/>
    <n v="164.13400000000001"/>
    <n v="3"/>
  </r>
  <r>
    <s v="AJEET KUMAR"/>
    <d v="2026-06-09T00:00:00"/>
    <s v="RTN-8731379"/>
    <s v="SR-41696"/>
    <s v="CAST-FILLING"/>
    <s v="GOLD-FILLING-WK"/>
    <x v="0"/>
    <s v="G-NA-91.70-YG"/>
    <n v="65.366"/>
    <n v="59.940621999999998"/>
    <n v="0.91699999999999993"/>
    <n v="65.366"/>
    <n v="59.940621999999998"/>
    <n v="59.940999999999995"/>
    <n v="0.91699999999999993"/>
    <n v="0"/>
    <n v="0"/>
    <n v="0"/>
    <n v="0"/>
    <n v="0"/>
    <n v="0"/>
    <n v="0"/>
    <n v="0"/>
    <n v="0"/>
    <n v="0"/>
    <n v="0"/>
    <n v="0"/>
    <n v="0"/>
    <n v="0"/>
    <x v="1"/>
    <n v="18.456"/>
    <n v="41.484999999999999"/>
    <n v="3"/>
  </r>
  <r>
    <s v="AJEET KUMAR"/>
    <d v="2026-06-09T00:00:00"/>
    <s v="RTN-8733848"/>
    <s v="SR-41971"/>
    <s v="CAST-FILLING"/>
    <s v="GOLD-FILLING-WK"/>
    <x v="1"/>
    <s v="G-NA-75.00-RG"/>
    <n v="129.15"/>
    <n v="96.862499999999997"/>
    <n v="0.75"/>
    <n v="116.54"/>
    <n v="87.405000000000001"/>
    <n v="87.405000000000001"/>
    <n v="0.75"/>
    <n v="0"/>
    <n v="0"/>
    <n v="0"/>
    <n v="0"/>
    <n v="0"/>
    <n v="0"/>
    <n v="0"/>
    <n v="0"/>
    <n v="0"/>
    <n v="12.61"/>
    <n v="9.4574999999999996"/>
    <n v="0.75"/>
    <n v="-12.61"/>
    <n v="12.61"/>
    <x v="0"/>
    <n v="87.405000000000001"/>
    <n v="0"/>
    <n v="1"/>
  </r>
  <r>
    <s v="AJEET KUMAR"/>
    <d v="2026-06-09T00:00:00"/>
    <s v="RTN-8738030"/>
    <s v="SR-42004"/>
    <s v="CAST-FILLING"/>
    <s v="GOLD-FILLING-WK"/>
    <x v="1"/>
    <s v="G-NA-75.00-RG"/>
    <n v="212.67"/>
    <n v="159.5025"/>
    <n v="0.75"/>
    <n v="189.26"/>
    <n v="141.94499999999999"/>
    <n v="141.94499999999999"/>
    <n v="0.75"/>
    <n v="0"/>
    <n v="0"/>
    <n v="0"/>
    <n v="0"/>
    <n v="0"/>
    <n v="0"/>
    <n v="0"/>
    <n v="0"/>
    <n v="0"/>
    <n v="23.41"/>
    <n v="17.557500000000001"/>
    <n v="0.75"/>
    <n v="-23.409999999999997"/>
    <n v="23.409999999999997"/>
    <x v="0"/>
    <n v="141.94499999999999"/>
    <n v="0"/>
    <n v="1"/>
  </r>
  <r>
    <s v="AJEET KUMAR"/>
    <d v="2026-06-09T00:00:00"/>
    <s v="RTN-8738034"/>
    <s v="SR-42115"/>
    <s v="CAST-FILLING"/>
    <s v="GOLD-FILLING-WK"/>
    <x v="0"/>
    <s v="G-NA-91.70-YG"/>
    <n v="45.43"/>
    <n v="41.659309999999998"/>
    <n v="0.91699999999999993"/>
    <n v="40.64"/>
    <n v="37.26688"/>
    <n v="37.266999999999996"/>
    <n v="0.91700000000000004"/>
    <n v="0"/>
    <n v="0"/>
    <n v="0"/>
    <n v="0"/>
    <n v="0"/>
    <n v="0"/>
    <n v="0"/>
    <n v="0"/>
    <n v="0"/>
    <n v="4.79"/>
    <n v="4.3924300000000001"/>
    <n v="0.91700000000000004"/>
    <n v="-4.7899999999999991"/>
    <n v="4.7899999999999991"/>
    <x v="0"/>
    <n v="37.266999999999996"/>
    <n v="0"/>
    <n v="1"/>
  </r>
  <r>
    <s v="AJEET KUMAR"/>
    <d v="2026-06-09T00:00:00"/>
    <s v="RTN-8739656"/>
    <s v="SR-42011"/>
    <s v="CAST-FILLING"/>
    <s v="GOLD-FILLING-WK"/>
    <x v="1"/>
    <s v="G-NA-75.00-RG"/>
    <n v="228.19"/>
    <n v="171.14250000000001"/>
    <n v="0.75000000000000011"/>
    <n v="208.07"/>
    <n v="156.05250000000001"/>
    <n v="156.053"/>
    <n v="0.75000000000000011"/>
    <n v="0"/>
    <n v="0"/>
    <n v="0"/>
    <n v="0"/>
    <n v="0"/>
    <n v="0"/>
    <n v="0"/>
    <n v="0"/>
    <n v="0"/>
    <n v="20.12"/>
    <n v="15.09"/>
    <n v="0.75"/>
    <n v="-20.120000000000005"/>
    <n v="20.120000000000005"/>
    <x v="0"/>
    <n v="156.053"/>
    <n v="0"/>
    <n v="1"/>
  </r>
  <r>
    <s v="AJEET KUMAR"/>
    <d v="2026-06-09T00:00:00"/>
    <s v="RTN-8741523"/>
    <s v="SR-42068"/>
    <s v="CAST-FILLING"/>
    <s v="GOLD-FILLING-WK"/>
    <x v="0"/>
    <s v="G-NA-91.70-YG"/>
    <n v="72.459999999999994"/>
    <n v="66.445819999999998"/>
    <n v="0.91700000000000004"/>
    <n v="63.83"/>
    <n v="58.532110000000003"/>
    <n v="58.532999999999994"/>
    <n v="0.91700000000000004"/>
    <n v="0"/>
    <n v="0"/>
    <n v="0"/>
    <n v="0"/>
    <n v="0"/>
    <n v="0"/>
    <n v="0"/>
    <n v="0"/>
    <n v="0"/>
    <n v="8.6300000000000008"/>
    <n v="7.91371"/>
    <n v="0.91699999999999993"/>
    <n v="-8.6299999999999955"/>
    <n v="8.6299999999999955"/>
    <x v="0"/>
    <n v="58.532999999999994"/>
    <n v="0"/>
    <n v="1"/>
  </r>
  <r>
    <s v="AJEET KUMAR"/>
    <d v="2026-06-09T00:00:00"/>
    <s v="SR-RTN/26-27/34571"/>
    <s v="B-297824"/>
    <s v="B-GOLD-FILING"/>
    <s v="GOLD-FILLING-WK"/>
    <x v="1"/>
    <s v="G-NA-75.00-RG"/>
    <n v="7.34"/>
    <n v="5.5049999999999999"/>
    <n v="0.75"/>
    <n v="7.26"/>
    <n v="5.4450000000000003"/>
    <n v="5.4450000000000003"/>
    <n v="0.75000000000000011"/>
    <n v="0"/>
    <n v="0"/>
    <n v="0"/>
    <n v="0"/>
    <n v="0"/>
    <n v="0"/>
    <n v="0"/>
    <n v="0"/>
    <n v="0"/>
    <n v="0.08"/>
    <n v="0.06"/>
    <n v="0.75"/>
    <n v="-8.0000000000000071E-2"/>
    <n v="8.0000000000000071E-2"/>
    <x v="0"/>
    <n v="5.4450000000000003"/>
    <n v="0"/>
    <n v="2"/>
  </r>
  <r>
    <s v="AJEET KUMAR"/>
    <d v="2026-06-09T00:00:00"/>
    <s v="SR-RTN/26-27/34571"/>
    <s v="B-298318"/>
    <s v="B-GOLD-FILING"/>
    <s v="GOLD-FILLING-WK"/>
    <x v="1"/>
    <s v="G-NA-75.00-YG"/>
    <n v="33.75"/>
    <n v="25.3125"/>
    <n v="0.75"/>
    <n v="32.630000000000003"/>
    <n v="24.4725"/>
    <n v="24.473000000000003"/>
    <n v="0.75"/>
    <n v="0"/>
    <n v="0"/>
    <n v="0"/>
    <n v="0"/>
    <n v="0"/>
    <n v="0"/>
    <n v="0"/>
    <n v="0"/>
    <n v="0"/>
    <n v="1.1200000000000001"/>
    <n v="0.84"/>
    <n v="0.74999999999999989"/>
    <n v="-1.1199999999999974"/>
    <n v="1.1199999999999974"/>
    <x v="1"/>
    <n v="21.27"/>
    <n v="3.203000000000003"/>
    <n v="2"/>
  </r>
  <r>
    <s v="AJEET KUMAR"/>
    <d v="2026-06-09T00:00:00"/>
    <s v="SR-RTN/26-27/34571"/>
    <s v="B-298894"/>
    <s v="B-GOLD-FILING"/>
    <s v="GOLD-FILLING-WK"/>
    <x v="1"/>
    <s v="G-NA-75.00-YG"/>
    <n v="20.184000000000001"/>
    <n v="15.138"/>
    <n v="0.75"/>
    <n v="20.09"/>
    <n v="15.067500000000001"/>
    <n v="15.068"/>
    <n v="0.75"/>
    <n v="0"/>
    <n v="0"/>
    <n v="0"/>
    <n v="0"/>
    <n v="0"/>
    <n v="0"/>
    <n v="0"/>
    <n v="0"/>
    <n v="0"/>
    <n v="9.4E-2"/>
    <n v="7.0499999999999993E-2"/>
    <n v="0.74999999999999989"/>
    <n v="-9.4000000000001194E-2"/>
    <n v="9.4000000000001194E-2"/>
    <x v="0"/>
    <n v="15.068"/>
    <n v="0"/>
    <n v="1"/>
  </r>
  <r>
    <s v="AJEET KUMAR"/>
    <d v="2026-06-09T00:00:00"/>
    <s v="SR-RTN/26-27/34603"/>
    <s v="B-291026"/>
    <s v="B-GOLD-FILING"/>
    <s v="GOLD-FILLING-WK"/>
    <x v="1"/>
    <s v="G-NA-75.00-RG"/>
    <n v="39.28"/>
    <n v="29.46"/>
    <n v="0.75"/>
    <n v="36.11"/>
    <n v="27.0825"/>
    <n v="27.083000000000002"/>
    <n v="0.75"/>
    <n v="0"/>
    <n v="0"/>
    <n v="0"/>
    <n v="0"/>
    <n v="0"/>
    <n v="0"/>
    <n v="0"/>
    <n v="0"/>
    <n v="0"/>
    <n v="3.17"/>
    <n v="2.3774999999999999"/>
    <n v="0.75"/>
    <n v="-3.1700000000000017"/>
    <n v="3.1700000000000017"/>
    <x v="1"/>
    <n v="25.56"/>
    <n v="1.5230000000000032"/>
    <n v="3"/>
  </r>
  <r>
    <s v="AJEET KUMAR"/>
    <d v="2026-06-09T00:00:00"/>
    <s v="SR-RTN/26-27/34615"/>
    <s v="B-296239"/>
    <s v="B-GOLD-FILING"/>
    <s v="GOLD-FILLING-WK"/>
    <x v="0"/>
    <s v="G-NA-91.70-YG"/>
    <n v="27.66"/>
    <n v="25.36422"/>
    <n v="0.91699999999999993"/>
    <n v="25.99"/>
    <n v="23.832830000000001"/>
    <n v="23.833000000000002"/>
    <n v="0.91700000000000015"/>
    <n v="0"/>
    <n v="0"/>
    <n v="0"/>
    <n v="0"/>
    <n v="0"/>
    <n v="0"/>
    <n v="0"/>
    <n v="0"/>
    <n v="0"/>
    <n v="1.67"/>
    <n v="1.53139"/>
    <n v="0.91700000000000004"/>
    <n v="-1.6700000000000017"/>
    <n v="1.6700000000000017"/>
    <x v="0"/>
    <n v="23.833000000000002"/>
    <n v="0"/>
    <n v="1"/>
  </r>
  <r>
    <s v="AJEET KUMAR"/>
    <d v="2026-06-09T00:00:00"/>
    <s v="SR-RTN/26-27/34633"/>
    <s v="B-298364"/>
    <s v="B-GOLD-FILING"/>
    <s v="GOLD-FILLING-WK"/>
    <x v="0"/>
    <s v="G-NA-91.70-YG"/>
    <n v="8.5"/>
    <n v="7.7945000000000002"/>
    <n v="0.91700000000000004"/>
    <n v="7.92"/>
    <n v="7.2626400000000002"/>
    <n v="7.2629999999999999"/>
    <n v="0.91700000000000004"/>
    <n v="0"/>
    <n v="0"/>
    <n v="0"/>
    <n v="0"/>
    <n v="0"/>
    <n v="0"/>
    <n v="0"/>
    <n v="0"/>
    <n v="0"/>
    <n v="0.57999999999999996"/>
    <n v="0.53186"/>
    <n v="0.91700000000000004"/>
    <n v="-0.58000000000000007"/>
    <n v="0.58000000000000007"/>
    <x v="0"/>
    <n v="7.2629999999999999"/>
    <n v="0"/>
    <n v="1"/>
  </r>
  <r>
    <s v="AJEET KUMAR"/>
    <d v="2026-06-09T00:00:00"/>
    <s v="SR-RTN/26-27/34635"/>
    <s v="B-298365"/>
    <s v="B-GOLD-FILING"/>
    <s v="GOLD-FILLING-WK"/>
    <x v="0"/>
    <s v="G-NA-91.70-YG"/>
    <n v="8.5399999999999991"/>
    <n v="7.8311799999999998"/>
    <n v="0.91700000000000004"/>
    <n v="7.97"/>
    <n v="7.3084899999999999"/>
    <n v="7.3090000000000002"/>
    <n v="0.91700000000000004"/>
    <n v="0"/>
    <n v="0"/>
    <n v="0"/>
    <n v="0"/>
    <n v="0"/>
    <n v="0"/>
    <n v="0"/>
    <n v="0"/>
    <n v="0"/>
    <n v="0.56999999999999995"/>
    <n v="0.52268999999999999"/>
    <n v="0.91700000000000004"/>
    <n v="-0.5699999999999994"/>
    <n v="0.5699999999999994"/>
    <x v="0"/>
    <n v="7.3090000000000002"/>
    <n v="0"/>
    <n v="1"/>
  </r>
  <r>
    <s v="AJEET KUMAR"/>
    <d v="2026-06-09T00:00:00"/>
    <s v="SR-RTN/26-27/34637"/>
    <s v="B-298369"/>
    <s v="B-GOLD-FILING"/>
    <s v="GOLD-FILLING-WK"/>
    <x v="0"/>
    <s v="G-NA-91.70-YG"/>
    <n v="8.5399999999999991"/>
    <n v="7.8311799999999998"/>
    <n v="0.91700000000000004"/>
    <n v="7.95"/>
    <n v="7.2901499999999997"/>
    <n v="7.2910000000000004"/>
    <n v="0.91699999999999993"/>
    <n v="0"/>
    <n v="0"/>
    <n v="0"/>
    <n v="0"/>
    <n v="0"/>
    <n v="0"/>
    <n v="0"/>
    <n v="0"/>
    <n v="0"/>
    <n v="0.59"/>
    <n v="0.54103000000000001"/>
    <n v="0.91700000000000004"/>
    <n v="-0.58999999999999897"/>
    <n v="0.58999999999999897"/>
    <x v="0"/>
    <n v="7.2910000000000004"/>
    <n v="0"/>
    <n v="1"/>
  </r>
  <r>
    <s v="AJEET KUMAR"/>
    <d v="2026-06-09T00:00:00"/>
    <s v="SR-RTN/26-27/34642"/>
    <s v="B-298368"/>
    <s v="B-GOLD-FILING"/>
    <s v="GOLD-FILLING-WK"/>
    <x v="0"/>
    <s v="G-NA-91.70-YG"/>
    <n v="8.61"/>
    <n v="7.8953699999999998"/>
    <n v="0.91700000000000004"/>
    <n v="7.95"/>
    <n v="7.2901499999999997"/>
    <n v="7.2910000000000004"/>
    <n v="0.91699999999999993"/>
    <n v="0"/>
    <n v="0"/>
    <n v="0"/>
    <n v="0"/>
    <n v="0"/>
    <n v="0"/>
    <n v="0"/>
    <n v="0"/>
    <n v="0"/>
    <n v="0.66"/>
    <n v="0.60521999999999998"/>
    <n v="0.91699999999999993"/>
    <n v="-0.65999999999999925"/>
    <n v="0.65999999999999925"/>
    <x v="0"/>
    <n v="7.2910000000000004"/>
    <n v="0"/>
    <n v="1"/>
  </r>
  <r>
    <s v="AJEET KUMAR"/>
    <d v="2026-06-09T00:00:00"/>
    <s v="SR-RTN/26-27/34643"/>
    <s v="B-298367"/>
    <s v="B-GOLD-FILING"/>
    <s v="GOLD-FILLING-WK"/>
    <x v="0"/>
    <s v="G-NA-91.70-YG"/>
    <n v="8.5399999999999991"/>
    <n v="7.8311799999999998"/>
    <n v="0.91700000000000004"/>
    <n v="7.99"/>
    <n v="7.3268300000000002"/>
    <n v="7.327"/>
    <n v="0.91700000000000004"/>
    <n v="0"/>
    <n v="0"/>
    <n v="0"/>
    <n v="0"/>
    <n v="0"/>
    <n v="0"/>
    <n v="0"/>
    <n v="0"/>
    <n v="0"/>
    <n v="0.55000000000000004"/>
    <n v="0.50434999999999997"/>
    <n v="0.91699999999999982"/>
    <n v="-0.54999999999999893"/>
    <n v="0.54999999999999893"/>
    <x v="0"/>
    <n v="7.327"/>
    <n v="0"/>
    <n v="1"/>
  </r>
  <r>
    <s v="AJEET KUMAR"/>
    <d v="2026-06-09T00:00:00"/>
    <s v="SR-RTN/26-27/34644"/>
    <s v="B-298362"/>
    <s v="B-GOLD-FILING"/>
    <s v="GOLD-FILLING-WK"/>
    <x v="0"/>
    <s v="G-NA-91.70-YG"/>
    <n v="8.44"/>
    <n v="7.7394800000000004"/>
    <n v="0.91700000000000015"/>
    <n v="7.89"/>
    <n v="7.2351299999999998"/>
    <n v="7.2360000000000007"/>
    <n v="0.91700000000000004"/>
    <n v="0"/>
    <n v="0"/>
    <n v="0"/>
    <n v="0"/>
    <n v="0"/>
    <n v="0"/>
    <n v="0"/>
    <n v="0"/>
    <n v="0"/>
    <n v="0.55000000000000004"/>
    <n v="0.50434999999999997"/>
    <n v="0.91699999999999982"/>
    <n v="-0.54999999999999982"/>
    <n v="0.54999999999999982"/>
    <x v="0"/>
    <n v="7.2360000000000007"/>
    <n v="0"/>
    <n v="1"/>
  </r>
  <r>
    <s v="AJEET KUMAR"/>
    <d v="2026-06-09T00:00:00"/>
    <s v="SR-RTN/26-27/34706"/>
    <s v="B-296234"/>
    <s v="B-GOLD-FILING"/>
    <s v="GOLD-FILLING-WK"/>
    <x v="0"/>
    <s v="G-NA-91.70-YG"/>
    <n v="20.68"/>
    <n v="18.963560000000001"/>
    <n v="0.91700000000000004"/>
    <n v="19.75"/>
    <n v="18.110749999999999"/>
    <n v="18.111000000000001"/>
    <n v="0.91699999999999993"/>
    <n v="0"/>
    <n v="0"/>
    <n v="0"/>
    <n v="0"/>
    <n v="0"/>
    <n v="0"/>
    <n v="0"/>
    <n v="0"/>
    <n v="0"/>
    <n v="0.93"/>
    <n v="0.85280999999999996"/>
    <n v="0.91699999999999993"/>
    <n v="-0.92999999999999972"/>
    <n v="0.92999999999999972"/>
    <x v="0"/>
    <n v="18.111000000000001"/>
    <n v="0"/>
    <n v="1"/>
  </r>
  <r>
    <s v="AJEET KUMAR"/>
    <d v="2026-06-09T00:00:00"/>
    <s v="SR-RTN/26-27/34706"/>
    <s v="B-298164"/>
    <s v="B-GOLD-FILING"/>
    <s v="GOLD-FILLING-WK"/>
    <x v="1"/>
    <s v="G-NA-75.00-RG"/>
    <n v="30.866"/>
    <n v="23.1495"/>
    <n v="0.75"/>
    <n v="29.315999999999999"/>
    <n v="21.986999999999998"/>
    <n v="21.986999999999998"/>
    <n v="0.75"/>
    <n v="0"/>
    <n v="0"/>
    <n v="0"/>
    <n v="0"/>
    <n v="0"/>
    <n v="0"/>
    <n v="0"/>
    <n v="0"/>
    <n v="0"/>
    <n v="1.55"/>
    <n v="1.1625000000000001"/>
    <n v="0.75"/>
    <n v="-1.5500000000000007"/>
    <n v="1.5500000000000007"/>
    <x v="0"/>
    <n v="21.986999999999998"/>
    <n v="0"/>
    <n v="1"/>
  </r>
  <r>
    <s v="AJEET KUMAR"/>
    <d v="2026-06-09T00:00:00"/>
    <s v="SR-RTN/26-27/34726"/>
    <s v="B-296235"/>
    <s v="B-GOLD-FILING"/>
    <s v="GOLD-FILLING-WK"/>
    <x v="0"/>
    <s v="G-NA-91.70-YG"/>
    <n v="25.58"/>
    <n v="23.456859999999999"/>
    <n v="0.91700000000000004"/>
    <n v="24.5"/>
    <n v="22.4665"/>
    <n v="22.467000000000002"/>
    <n v="0.91700000000000004"/>
    <n v="0"/>
    <n v="0"/>
    <n v="0"/>
    <n v="0"/>
    <n v="0"/>
    <n v="0"/>
    <n v="0"/>
    <n v="0"/>
    <n v="0"/>
    <n v="1.08"/>
    <n v="0.99036000000000002"/>
    <n v="0.91699999999999993"/>
    <n v="-1.0799999999999983"/>
    <n v="1.0799999999999983"/>
    <x v="0"/>
    <n v="22.467000000000002"/>
    <n v="0"/>
    <n v="1"/>
  </r>
  <r>
    <s v="AJEET KUMAR"/>
    <d v="2026-06-09T00:00:00"/>
    <s v="SR-RTN/26-27/34730"/>
    <s v="B-291348"/>
    <s v="B-GOLD-FILING"/>
    <s v="GOLD-FILLING-WK"/>
    <x v="0"/>
    <s v="G-NA-91.70-YG"/>
    <n v="37.47"/>
    <n v="34.359990000000003"/>
    <n v="0.91700000000000015"/>
    <n v="36.58"/>
    <n v="33.543860000000002"/>
    <n v="33.543999999999997"/>
    <n v="0.91700000000000015"/>
    <n v="0"/>
    <n v="0"/>
    <n v="0"/>
    <n v="0"/>
    <n v="0"/>
    <n v="0"/>
    <n v="0"/>
    <n v="0"/>
    <n v="0"/>
    <n v="0.89"/>
    <n v="0.81613000000000002"/>
    <n v="0.91700000000000004"/>
    <n v="-0.89000000000000057"/>
    <n v="0.89000000000000057"/>
    <x v="0"/>
    <n v="33.543999999999997"/>
    <n v="0"/>
    <n v="1"/>
  </r>
  <r>
    <s v="AJEET KUMAR"/>
    <d v="2026-06-09T00:00:00"/>
    <s v="SR-RTN/26-27/34730"/>
    <s v="B-291354"/>
    <s v="B-GOLD-FILING"/>
    <s v="GOLD-FILLING-WK"/>
    <x v="0"/>
    <s v="G-NA-91.70-YG"/>
    <n v="12.4"/>
    <n v="11.370799999999999"/>
    <n v="0.91699999999999993"/>
    <n v="12.12"/>
    <n v="11.114039999999999"/>
    <n v="11.115"/>
    <n v="0.91700000000000004"/>
    <n v="0"/>
    <n v="0"/>
    <n v="0"/>
    <n v="0"/>
    <n v="0"/>
    <n v="0"/>
    <n v="0"/>
    <n v="0"/>
    <n v="0"/>
    <n v="0.28000000000000003"/>
    <n v="0.25675999999999999"/>
    <n v="0.91699999999999982"/>
    <n v="-0.28000000000000114"/>
    <n v="0.28000000000000114"/>
    <x v="0"/>
    <n v="11.115"/>
    <n v="0"/>
    <n v="1"/>
  </r>
  <r>
    <s v="AJEET KUMAR"/>
    <d v="2026-06-09T00:00:00"/>
    <s v="SR-RTN/26-27/34730"/>
    <s v="B-293191"/>
    <s v="B-GOLD-FILING"/>
    <s v="GOLD-FILLING-WK"/>
    <x v="1"/>
    <s v="G-NA-75.00-RG"/>
    <n v="20.46"/>
    <n v="15.345000000000001"/>
    <n v="0.75"/>
    <n v="20.25"/>
    <n v="15.1875"/>
    <n v="15.187999999999999"/>
    <n v="0.75"/>
    <n v="0"/>
    <n v="0"/>
    <n v="0"/>
    <n v="0"/>
    <n v="0"/>
    <n v="0"/>
    <n v="0"/>
    <n v="0"/>
    <n v="0"/>
    <n v="0.21"/>
    <n v="0.1575"/>
    <n v="0.75"/>
    <n v="-0.21000000000000085"/>
    <n v="0.21000000000000085"/>
    <x v="1"/>
    <n v="10.763"/>
    <n v="4.4249999999999989"/>
    <n v="2"/>
  </r>
  <r>
    <s v="AJEET KUMAR"/>
    <d v="2026-06-09T00:00:00"/>
    <s v="SR-RTN/26-27/34738"/>
    <s v="B-295886/1"/>
    <s v="B-GOLD-FILING"/>
    <s v="GOLD-FILLING-WK"/>
    <x v="1"/>
    <s v="G-NA-75.00-YG"/>
    <n v="35.57"/>
    <n v="26.677499999999998"/>
    <n v="0.75"/>
    <n v="34.65"/>
    <n v="25.987500000000001"/>
    <n v="25.988"/>
    <n v="0.75"/>
    <n v="0"/>
    <n v="0"/>
    <n v="0"/>
    <n v="0"/>
    <n v="0"/>
    <n v="0"/>
    <n v="0"/>
    <n v="0"/>
    <n v="0"/>
    <n v="0.92"/>
    <n v="0.69"/>
    <n v="0.74999999999999989"/>
    <n v="-0.92000000000000171"/>
    <n v="0.92000000000000171"/>
    <x v="0"/>
    <n v="25.988"/>
    <n v="0"/>
    <n v="1"/>
  </r>
  <r>
    <s v="AJEET KUMAR"/>
    <d v="2026-06-09T00:00:00"/>
    <s v="SR-RTN/26-27/34738"/>
    <s v="B-296236"/>
    <s v="B-GOLD-FILING"/>
    <s v="GOLD-FILLING-WK"/>
    <x v="0"/>
    <s v="G-NA-91.70-YG"/>
    <n v="21.13"/>
    <n v="19.37621"/>
    <n v="0.91700000000000004"/>
    <n v="20.97"/>
    <n v="19.229489999999998"/>
    <n v="19.23"/>
    <n v="0.91699999999999993"/>
    <n v="0"/>
    <n v="0"/>
    <n v="0"/>
    <n v="0"/>
    <n v="0"/>
    <n v="0"/>
    <n v="0"/>
    <n v="0"/>
    <n v="0"/>
    <n v="0.16"/>
    <n v="0.14671999999999999"/>
    <n v="0.91699999999999993"/>
    <n v="-0.16000000000000014"/>
    <n v="0.16000000000000014"/>
    <x v="0"/>
    <n v="19.23"/>
    <n v="0"/>
    <n v="2"/>
  </r>
  <r>
    <s v="AJEET KUMAR"/>
    <d v="2026-06-09T00:00:00"/>
    <s v="SR-RTN/26-27/34743"/>
    <s v="B-298363"/>
    <s v="B-GOLD-FILING"/>
    <s v="GOLD-FILLING-WK"/>
    <x v="0"/>
    <s v="G-NA-91.70-YG"/>
    <n v="8.5"/>
    <n v="7.7945000000000002"/>
    <n v="0.91700000000000004"/>
    <n v="7.88"/>
    <n v="7.2259599999999997"/>
    <n v="7.226"/>
    <n v="0.91699999999999993"/>
    <n v="0"/>
    <n v="0"/>
    <n v="0"/>
    <n v="0"/>
    <n v="0"/>
    <n v="0"/>
    <n v="0"/>
    <n v="0"/>
    <n v="0"/>
    <n v="0.62"/>
    <n v="0.56854000000000005"/>
    <n v="0.91700000000000004"/>
    <n v="-0.62000000000000011"/>
    <n v="0.62000000000000011"/>
    <x v="0"/>
    <n v="7.226"/>
    <n v="0"/>
    <n v="1"/>
  </r>
  <r>
    <s v="AJEET KUMAR"/>
    <d v="2026-06-09T00:00:00"/>
    <s v="SR-RTN/26-27/34744"/>
    <s v="B-296233"/>
    <s v="B-GOLD-FILING"/>
    <s v="GOLD-FILLING-WK"/>
    <x v="0"/>
    <s v="G-NA-91.70-YG"/>
    <n v="25.83"/>
    <n v="23.686109999999999"/>
    <n v="0.91700000000000004"/>
    <n v="24.29"/>
    <n v="22.27393"/>
    <n v="22.274000000000001"/>
    <n v="0.91700000000000004"/>
    <n v="0"/>
    <n v="0"/>
    <n v="0"/>
    <n v="0"/>
    <n v="0"/>
    <n v="0"/>
    <n v="0"/>
    <n v="0"/>
    <n v="0"/>
    <n v="1.54"/>
    <n v="1.41218"/>
    <n v="0.91699999999999993"/>
    <n v="-1.5399999999999991"/>
    <n v="1.5399999999999991"/>
    <x v="0"/>
    <n v="22.274000000000001"/>
    <n v="0"/>
    <n v="1"/>
  </r>
  <r>
    <s v="AJEET KUMAR"/>
    <d v="2026-06-09T00:00:00"/>
    <s v="SR-RTN/26-27/34745"/>
    <s v="B-298186"/>
    <s v="B-GOLD-FILING"/>
    <s v="GOLD-FILLING-WK"/>
    <x v="1"/>
    <s v="G-NA-75.00-RG"/>
    <n v="27.91"/>
    <n v="20.932500000000001"/>
    <n v="0.75"/>
    <n v="25.29"/>
    <n v="18.967500000000001"/>
    <n v="18.968"/>
    <n v="0.75000000000000011"/>
    <n v="0"/>
    <n v="0"/>
    <n v="0"/>
    <n v="0"/>
    <n v="0"/>
    <n v="0"/>
    <n v="0"/>
    <n v="0"/>
    <n v="0"/>
    <n v="2.62"/>
    <n v="1.9650000000000001"/>
    <n v="0.75"/>
    <n v="-2.620000000000001"/>
    <n v="2.620000000000001"/>
    <x v="0"/>
    <n v="18.968"/>
    <n v="0"/>
    <n v="1"/>
  </r>
  <r>
    <s v="AJEET KUMAR"/>
    <d v="2026-06-09T00:00:00"/>
    <s v="SR-RTN/26-27/34749"/>
    <s v="B-298185"/>
    <s v="B-GOLD-FILING"/>
    <s v="GOLD-FILLING-WK"/>
    <x v="1"/>
    <s v="G-NA-75.00-RG"/>
    <n v="18.579999999999998"/>
    <n v="13.935"/>
    <n v="0.75000000000000011"/>
    <n v="15.99"/>
    <n v="11.9925"/>
    <n v="11.993"/>
    <n v="0.75"/>
    <n v="0"/>
    <n v="0"/>
    <n v="0"/>
    <n v="0"/>
    <n v="0"/>
    <n v="0"/>
    <n v="0"/>
    <n v="0"/>
    <n v="0"/>
    <n v="2.59"/>
    <n v="1.9424999999999999"/>
    <n v="0.75"/>
    <n v="-2.5899999999999981"/>
    <n v="2.5899999999999981"/>
    <x v="0"/>
    <n v="11.993"/>
    <n v="0"/>
    <n v="1"/>
  </r>
  <r>
    <s v="AJEET KUMAR"/>
    <d v="2026-06-09T00:00:00"/>
    <s v="SR-RTN/26-27/34755"/>
    <s v="B-291315"/>
    <s v="B-GOLD-FILING"/>
    <s v="GOLD-FILLING-WK"/>
    <x v="0"/>
    <s v="G-NA-91.70-YG"/>
    <n v="26.24"/>
    <n v="24.062080000000002"/>
    <n v="0.91700000000000015"/>
    <n v="25.05"/>
    <n v="22.970849999999999"/>
    <n v="22.971"/>
    <n v="0.91699999999999993"/>
    <n v="0"/>
    <n v="0"/>
    <n v="0"/>
    <n v="0"/>
    <n v="0"/>
    <n v="0"/>
    <n v="0"/>
    <n v="0"/>
    <n v="0"/>
    <n v="1.19"/>
    <n v="1.0912299999999999"/>
    <n v="0.91699999999999993"/>
    <n v="-1.1899999999999977"/>
    <n v="1.1899999999999977"/>
    <x v="0"/>
    <n v="22.971"/>
    <n v="0"/>
    <n v="1"/>
  </r>
  <r>
    <s v="AJEET KUMAR"/>
    <d v="2026-06-09T00:00:00"/>
    <s v="SR-RTN/26-27/34755"/>
    <s v="B-297998"/>
    <s v="B-GOLD-FILING"/>
    <s v="GOLD-FILLING-WK"/>
    <x v="0"/>
    <s v="G-NA-91.70-YG"/>
    <n v="30.44"/>
    <n v="27.91348"/>
    <n v="0.91699999999999993"/>
    <n v="28.15"/>
    <n v="25.813549999999999"/>
    <n v="25.814"/>
    <n v="0.91700000000000004"/>
    <n v="0"/>
    <n v="0"/>
    <n v="0"/>
    <n v="0"/>
    <n v="0"/>
    <n v="0"/>
    <n v="0"/>
    <n v="0"/>
    <n v="0"/>
    <n v="2.29"/>
    <n v="2.0999300000000001"/>
    <n v="0.91700000000000004"/>
    <n v="-2.2900000000000027"/>
    <n v="2.2900000000000027"/>
    <x v="0"/>
    <n v="25.814"/>
    <n v="0"/>
    <n v="1"/>
  </r>
  <r>
    <s v="AJEET KUMAR"/>
    <d v="2026-06-09T00:00:00"/>
    <s v="SR-RTN/26-27/34783"/>
    <s v="B-298157"/>
    <s v="B-GOLD-FILING"/>
    <s v="GOLD-FILLING-WK"/>
    <x v="1"/>
    <s v="G-NA-75.00-YG"/>
    <n v="331.22"/>
    <n v="248.41499999999999"/>
    <n v="0.74999999999999989"/>
    <n v="331.22"/>
    <n v="248.41499999999999"/>
    <n v="248.41499999999999"/>
    <n v="0.74999999999999989"/>
    <n v="0"/>
    <n v="0"/>
    <n v="0"/>
    <n v="0"/>
    <n v="0"/>
    <n v="0"/>
    <n v="0"/>
    <n v="0"/>
    <n v="0"/>
    <n v="0"/>
    <n v="0"/>
    <n v="0"/>
    <n v="0"/>
    <n v="0"/>
    <x v="1"/>
    <n v="234.39"/>
    <n v="14.025000000000006"/>
    <n v="3"/>
  </r>
  <r>
    <s v="AJEET KUMAR"/>
    <d v="2026-06-09T00:00:00"/>
    <s v="SR-RTN/26-27/34783"/>
    <s v="B-298159"/>
    <s v="B-GOLD-FILING"/>
    <s v="GOLD-FILLING-WK"/>
    <x v="1"/>
    <s v="G-NA-75.00-YG"/>
    <n v="254.81"/>
    <n v="191.10749999999999"/>
    <n v="0.74999999999999989"/>
    <n v="254.81"/>
    <n v="191.10749999999999"/>
    <n v="191.108"/>
    <n v="0.74999999999999989"/>
    <n v="0"/>
    <n v="0"/>
    <n v="0"/>
    <n v="0"/>
    <n v="0"/>
    <n v="0"/>
    <n v="0"/>
    <n v="0"/>
    <n v="0"/>
    <n v="0"/>
    <n v="0"/>
    <n v="0"/>
    <n v="0"/>
    <n v="0"/>
    <x v="1"/>
    <n v="189.91499999999999"/>
    <n v="1.1930000000000121"/>
    <n v="4"/>
  </r>
  <r>
    <s v="AJEET KUMAR"/>
    <d v="2026-06-09T00:00:00"/>
    <s v="SR-RTN/26-27/34808"/>
    <s v="B-298323"/>
    <s v="B-GOLD-FILING"/>
    <s v="GOLD-FILLING-WK"/>
    <x v="1"/>
    <s v="G-NA-75.00-RG"/>
    <n v="24.34"/>
    <n v="18.254999999999999"/>
    <n v="0.75"/>
    <n v="22.55"/>
    <n v="16.912500000000001"/>
    <n v="16.913"/>
    <n v="0.75"/>
    <n v="0"/>
    <n v="0"/>
    <n v="0"/>
    <n v="0"/>
    <n v="0"/>
    <n v="0"/>
    <n v="0"/>
    <n v="0"/>
    <n v="0"/>
    <n v="1.79"/>
    <n v="1.3425"/>
    <n v="0.75"/>
    <n v="-1.7899999999999991"/>
    <n v="1.7899999999999991"/>
    <x v="0"/>
    <n v="16.913"/>
    <n v="0"/>
    <n v="1"/>
  </r>
  <r>
    <s v="AJEET KUMAR"/>
    <d v="2026-06-09T00:00:00"/>
    <s v="SR-RTN/26-27/34816"/>
    <s v="B-291327/1"/>
    <s v="B-GOLD-FILING"/>
    <s v="GOLD-FILLING-WK"/>
    <x v="0"/>
    <s v="G-NA-91.70-YG"/>
    <n v="9.3000000000000007"/>
    <n v="8.5281000000000002"/>
    <n v="0.91699999999999993"/>
    <n v="8.8699999999999992"/>
    <n v="8.1337899999999994"/>
    <n v="8.1339999999999986"/>
    <n v="0.91700000000000004"/>
    <n v="0"/>
    <n v="0"/>
    <n v="0"/>
    <n v="0"/>
    <n v="0"/>
    <n v="0"/>
    <n v="0"/>
    <n v="0"/>
    <n v="0"/>
    <n v="0.43"/>
    <n v="0.39430999999999999"/>
    <n v="0.91700000000000004"/>
    <n v="-0.43000000000000149"/>
    <n v="0.43000000000000149"/>
    <x v="1"/>
    <n v="7.2540000000000004"/>
    <n v="0.87999999999999812"/>
    <n v="2"/>
  </r>
  <r>
    <s v="AJEET KUMAR"/>
    <d v="2026-06-09T00:00:00"/>
    <s v="SR-RTN/26-27/34816"/>
    <s v="B-291337/1"/>
    <s v="B-GOLD-FILING"/>
    <s v="GOLD-FILLING-WK"/>
    <x v="0"/>
    <s v="G-NA-91.70-YG"/>
    <n v="7.0839999999999996"/>
    <n v="6.4960279999999999"/>
    <n v="0.91700000000000004"/>
    <n v="6.9740000000000002"/>
    <n v="6.3951580000000003"/>
    <n v="6.3959999999999999"/>
    <n v="0.91700000000000004"/>
    <n v="0"/>
    <n v="0"/>
    <n v="0"/>
    <n v="0"/>
    <n v="0"/>
    <n v="0"/>
    <n v="0"/>
    <n v="0"/>
    <n v="0"/>
    <n v="0.11"/>
    <n v="0.10087"/>
    <n v="0.91700000000000004"/>
    <n v="-0.10999999999999943"/>
    <n v="0.10999999999999943"/>
    <x v="1"/>
    <n v="6.3460000000000001"/>
    <n v="4.9999999999999822E-2"/>
    <n v="2"/>
  </r>
  <r>
    <s v="AJEET KUMAR"/>
    <d v="2026-06-09T00:00:00"/>
    <s v="SR-RTN/26-27/34816"/>
    <s v="B-291387/1/1"/>
    <s v="B-GOLD-FILING"/>
    <s v="GOLD-FILLING-WK"/>
    <x v="0"/>
    <s v="G-NA-91.70-YG"/>
    <n v="5.28"/>
    <n v="4.8417599999999998"/>
    <n v="0.91699999999999993"/>
    <n v="5.19"/>
    <n v="4.7592299999999996"/>
    <n v="4.7600000000000007"/>
    <n v="0.91699999999999982"/>
    <n v="0"/>
    <n v="0"/>
    <n v="0"/>
    <n v="0"/>
    <n v="0"/>
    <n v="0"/>
    <n v="0"/>
    <n v="0"/>
    <n v="0"/>
    <n v="0.09"/>
    <n v="8.2530000000000006E-2"/>
    <n v="0.91700000000000015"/>
    <n v="-8.9999999999999858E-2"/>
    <n v="8.9999999999999858E-2"/>
    <x v="1"/>
    <n v="4.53"/>
    <n v="0.23000000000000043"/>
    <n v="2"/>
  </r>
  <r>
    <s v="AJEET KUMAR"/>
    <d v="2026-06-09T00:00:00"/>
    <s v="SR-RTN/26-27/34820"/>
    <s v="B-291342/1"/>
    <s v="B-GOLD-FILING"/>
    <s v="GOLD-FILLING-WK"/>
    <x v="0"/>
    <s v="G-NA-91.70-YG"/>
    <n v="5.82"/>
    <n v="5.3369400000000002"/>
    <n v="0.91700000000000004"/>
    <n v="5.66"/>
    <n v="5.1902200000000001"/>
    <n v="5.1910000000000007"/>
    <n v="0.91700000000000004"/>
    <n v="0"/>
    <n v="0"/>
    <n v="0"/>
    <n v="0"/>
    <n v="0"/>
    <n v="0"/>
    <n v="0"/>
    <n v="0"/>
    <n v="0"/>
    <n v="0.16"/>
    <n v="0.14671999999999999"/>
    <n v="0.91699999999999993"/>
    <n v="-0.16000000000000014"/>
    <n v="0.16000000000000014"/>
    <x v="1"/>
    <n v="4.21"/>
    <n v="0.98100000000000076"/>
    <n v="3"/>
  </r>
  <r>
    <s v="AJEET KUMAR"/>
    <d v="2026-06-09T00:00:00"/>
    <s v="SR-RTN/26-27/34820"/>
    <s v="B-291408"/>
    <s v="B-GOLD-FILING"/>
    <s v="GOLD-FILLING-WK"/>
    <x v="0"/>
    <s v="G-NA-91.70-YG"/>
    <n v="29.18"/>
    <n v="26.75806"/>
    <n v="0.91700000000000004"/>
    <n v="28.6"/>
    <n v="26.226199999999999"/>
    <n v="26.227"/>
    <n v="0.91699999999999993"/>
    <n v="0"/>
    <n v="0"/>
    <n v="0"/>
    <n v="0"/>
    <n v="0"/>
    <n v="0"/>
    <n v="0"/>
    <n v="0"/>
    <n v="0"/>
    <n v="0.57999999999999996"/>
    <n v="0.53186"/>
    <n v="0.91700000000000004"/>
    <n v="-0.57999999999999829"/>
    <n v="0.57999999999999829"/>
    <x v="1"/>
    <n v="25.126000000000001"/>
    <n v="1.1009999999999991"/>
    <n v="3"/>
  </r>
  <r>
    <s v="AJEET KUMAR"/>
    <d v="2026-06-09T00:00:00"/>
    <s v="SR-RTN/26-27/34891"/>
    <s v="B-291382"/>
    <s v="B-GOLD-FILING"/>
    <s v="GOLD-FILLING-WK"/>
    <x v="0"/>
    <s v="G-NA-91.70-YG"/>
    <n v="4.82"/>
    <n v="4.4199400000000004"/>
    <n v="0.91700000000000004"/>
    <n v="4.74"/>
    <n v="4.3465800000000003"/>
    <n v="4.3470000000000004"/>
    <n v="0.91700000000000004"/>
    <n v="0"/>
    <n v="0"/>
    <n v="0"/>
    <n v="0"/>
    <n v="0"/>
    <n v="0"/>
    <n v="0"/>
    <n v="0"/>
    <n v="0"/>
    <n v="0.08"/>
    <n v="7.3359999999999995E-2"/>
    <n v="0.91699999999999993"/>
    <n v="-8.0000000000000071E-2"/>
    <n v="8.0000000000000071E-2"/>
    <x v="1"/>
    <n v="3.3289999999999997"/>
    <n v="1.0180000000000007"/>
    <n v="3"/>
  </r>
  <r>
    <s v="AJEET KUMAR"/>
    <d v="2026-06-09T00:00:00"/>
    <s v="SR-RTN/26-27/34891"/>
    <s v="B-291408/1"/>
    <s v="B-GOLD-FILING"/>
    <s v="GOLD-FILLING-WK"/>
    <x v="0"/>
    <s v="G-NA-91.70-YG"/>
    <n v="16.21"/>
    <n v="14.864570000000001"/>
    <n v="0.91700000000000004"/>
    <n v="15.52"/>
    <n v="14.23184"/>
    <n v="14.231999999999999"/>
    <n v="0.91700000000000004"/>
    <n v="0"/>
    <n v="0"/>
    <n v="0"/>
    <n v="0"/>
    <n v="0"/>
    <n v="0"/>
    <n v="0"/>
    <n v="0"/>
    <n v="0"/>
    <n v="0.69"/>
    <n v="0.63273000000000001"/>
    <n v="0.91700000000000004"/>
    <n v="-0.69000000000000128"/>
    <n v="0.69000000000000128"/>
    <x v="1"/>
    <n v="12.966999999999999"/>
    <n v="1.2650000000000006"/>
    <n v="2"/>
  </r>
  <r>
    <s v="AJEET KUMAR"/>
    <d v="2026-06-09T00:00:00"/>
    <s v="SR-RTN/26-27/34891"/>
    <s v="B-291415"/>
    <s v="B-GOLD-FILING"/>
    <s v="GOLD-FILLING-WK"/>
    <x v="0"/>
    <s v="G-NA-91.70-YG"/>
    <n v="4.8099999999999996"/>
    <n v="4.4107700000000003"/>
    <n v="0.91700000000000015"/>
    <n v="4.8099999999999996"/>
    <n v="4.4107700000000003"/>
    <n v="4.4110000000000005"/>
    <n v="0.91700000000000015"/>
    <n v="0"/>
    <n v="0"/>
    <n v="0"/>
    <n v="0"/>
    <n v="0"/>
    <n v="0"/>
    <n v="0"/>
    <n v="0"/>
    <n v="0"/>
    <n v="0"/>
    <n v="0"/>
    <n v="0"/>
    <n v="0"/>
    <n v="0"/>
    <x v="1"/>
    <n v="2.871"/>
    <n v="1.5400000000000005"/>
    <n v="4"/>
  </r>
  <r>
    <s v="AJEET KUMAR"/>
    <d v="2026-06-09T00:00:00"/>
    <s v="SR-RTN/26-27/34891"/>
    <s v="B-296912"/>
    <s v="B-GOLD-FILING"/>
    <s v="GOLD-FILLING-WK"/>
    <x v="0"/>
    <s v="G-NA-91.70-YG"/>
    <n v="98.73"/>
    <n v="90.535409999999999"/>
    <n v="0.91699999999999993"/>
    <n v="98.66"/>
    <n v="90.471220000000002"/>
    <n v="90.472000000000008"/>
    <n v="0.91700000000000004"/>
    <n v="0"/>
    <n v="0"/>
    <n v="0"/>
    <n v="0"/>
    <n v="0"/>
    <n v="0"/>
    <n v="0"/>
    <n v="0"/>
    <n v="0"/>
    <n v="7.0000000000000007E-2"/>
    <n v="6.4189999999999997E-2"/>
    <n v="0.91699999999999982"/>
    <n v="-7.000000000000739E-2"/>
    <n v="7.000000000000739E-2"/>
    <x v="0"/>
    <n v="90.472000000000008"/>
    <n v="0"/>
    <n v="2"/>
  </r>
  <r>
    <s v="AJEET KUMAR"/>
    <d v="2026-06-09T00:00:00"/>
    <s v="SR-RTN/26-27/34891"/>
    <s v="B-297804"/>
    <s v="B-GOLD-FILING"/>
    <s v="GOLD-FILLING-WK"/>
    <x v="1"/>
    <s v="G-NA-75.00-RG"/>
    <n v="17.260000000000002"/>
    <n v="12.945"/>
    <n v="0.75"/>
    <n v="17.12"/>
    <n v="12.84"/>
    <n v="12.84"/>
    <n v="0.75"/>
    <n v="0"/>
    <n v="0"/>
    <n v="0"/>
    <n v="0"/>
    <n v="0"/>
    <n v="0"/>
    <n v="0"/>
    <n v="0"/>
    <n v="0"/>
    <n v="0.14000000000000001"/>
    <n v="0.105"/>
    <n v="0.74999999999999989"/>
    <n v="-0.14000000000000057"/>
    <n v="0.14000000000000057"/>
    <x v="0"/>
    <n v="12.84"/>
    <n v="0"/>
    <n v="1"/>
  </r>
  <r>
    <s v="AJEET KUMAR"/>
    <d v="2026-06-09T00:00:00"/>
    <s v="SR-RTN/26-27/34891"/>
    <s v="B-297963"/>
    <s v="B-GOLD-FILING"/>
    <s v="GOLD-FILLING-WK"/>
    <x v="1"/>
    <s v="G-NA-75.00-YG"/>
    <n v="21.5"/>
    <n v="16.125"/>
    <n v="0.75"/>
    <n v="20.28"/>
    <n v="15.21"/>
    <n v="15.21"/>
    <n v="0.75"/>
    <n v="0"/>
    <n v="0"/>
    <n v="0"/>
    <n v="0"/>
    <n v="0"/>
    <n v="0"/>
    <n v="0"/>
    <n v="0"/>
    <n v="0"/>
    <n v="1.22"/>
    <n v="0.91500000000000004"/>
    <n v="0.75"/>
    <n v="-1.2199999999999989"/>
    <n v="1.2199999999999989"/>
    <x v="0"/>
    <n v="15.21"/>
    <n v="0"/>
    <n v="1"/>
  </r>
  <r>
    <s v="AJEET KUMAR"/>
    <d v="2026-06-09T00:00:00"/>
    <s v="SR-RTN/26-27/34892"/>
    <s v="B-298352"/>
    <s v="B-GOLD-FILING"/>
    <s v="GOLD-FILLING-WK"/>
    <x v="1"/>
    <s v="G-NA-75.00-YG"/>
    <n v="8.8000000000000007"/>
    <n v="6.6"/>
    <n v="0.74999999999999989"/>
    <n v="8.3800000000000008"/>
    <n v="6.2850000000000001"/>
    <n v="6.2850000000000001"/>
    <n v="0.75"/>
    <n v="0"/>
    <n v="0"/>
    <n v="0"/>
    <n v="0"/>
    <n v="0"/>
    <n v="0"/>
    <n v="0"/>
    <n v="0"/>
    <n v="0"/>
    <n v="0.42"/>
    <n v="0.315"/>
    <n v="0.75"/>
    <n v="-0.41999999999999993"/>
    <n v="0.41999999999999993"/>
    <x v="0"/>
    <n v="6.2850000000000001"/>
    <n v="0"/>
    <n v="1"/>
  </r>
  <r>
    <s v="AJEET KUMAR"/>
    <d v="2026-06-09T00:00:00"/>
    <s v="SR-RTN/26-27/34893"/>
    <s v="B-298356"/>
    <s v="B-GOLD-FILING"/>
    <s v="GOLD-FILLING-WK"/>
    <x v="1"/>
    <s v="G-NA-75.00-YG"/>
    <n v="4.8600000000000003"/>
    <n v="3.645"/>
    <n v="0.75"/>
    <n v="4.6500000000000004"/>
    <n v="3.4874999999999998"/>
    <n v="3.488"/>
    <n v="0.74999999999999989"/>
    <n v="0"/>
    <n v="0"/>
    <n v="0"/>
    <n v="0"/>
    <n v="0"/>
    <n v="0"/>
    <n v="0"/>
    <n v="0"/>
    <n v="0"/>
    <n v="0.21"/>
    <n v="0.1575"/>
    <n v="0.75"/>
    <n v="-0.20999999999999996"/>
    <n v="0.20999999999999996"/>
    <x v="0"/>
    <n v="3.488"/>
    <n v="0"/>
    <n v="1"/>
  </r>
  <r>
    <s v="AJEET KUMAR"/>
    <d v="2026-06-09T00:00:00"/>
    <s v="SR-RTN/26-27/34894"/>
    <s v="B-298354"/>
    <s v="B-GOLD-FILING"/>
    <s v="GOLD-FILLING-WK"/>
    <x v="1"/>
    <s v="G-NA-75.00-YG"/>
    <n v="7.93"/>
    <n v="5.9474999999999998"/>
    <n v="0.75"/>
    <n v="7.46"/>
    <n v="5.5949999999999998"/>
    <n v="5.5949999999999998"/>
    <n v="0.75"/>
    <n v="0"/>
    <n v="0"/>
    <n v="0"/>
    <n v="0"/>
    <n v="0"/>
    <n v="0"/>
    <n v="0"/>
    <n v="0"/>
    <n v="0"/>
    <n v="0.47"/>
    <n v="0.35249999999999998"/>
    <n v="0.75"/>
    <n v="-0.46999999999999975"/>
    <n v="0.46999999999999975"/>
    <x v="0"/>
    <n v="5.5949999999999998"/>
    <n v="0"/>
    <n v="1"/>
  </r>
  <r>
    <s v="AJEET KUMAR"/>
    <d v="2026-06-09T00:00:00"/>
    <s v="SR-RTN/26-27/34895"/>
    <s v="B-298374"/>
    <s v="B-GOLD-FILING"/>
    <s v="GOLD-FILLING-WK"/>
    <x v="0"/>
    <s v="G-NA-91.70-YG"/>
    <n v="32.299999999999997"/>
    <n v="29.6191"/>
    <n v="0.91700000000000004"/>
    <n v="30.57"/>
    <n v="28.032689999999999"/>
    <n v="28.033000000000001"/>
    <n v="0.91699999999999993"/>
    <n v="0"/>
    <n v="0"/>
    <n v="0"/>
    <n v="0"/>
    <n v="0"/>
    <n v="0"/>
    <n v="0"/>
    <n v="0"/>
    <n v="0"/>
    <n v="1.73"/>
    <n v="1.5864100000000001"/>
    <n v="0.91700000000000004"/>
    <n v="-1.7299999999999969"/>
    <n v="1.7299999999999969"/>
    <x v="0"/>
    <n v="28.033000000000001"/>
    <n v="0"/>
    <n v="1"/>
  </r>
  <r>
    <s v="AJEET KUMAR"/>
    <d v="2026-06-09T00:00:00"/>
    <s v="SR-RTN/26-27/34896"/>
    <s v="B-298347"/>
    <s v="B-GOLD-FILING"/>
    <s v="GOLD-FILLING-WK"/>
    <x v="1"/>
    <s v="G-NA-75.00-YG"/>
    <n v="5.41"/>
    <n v="4.0575000000000001"/>
    <n v="0.75"/>
    <n v="5.33"/>
    <n v="3.9975000000000001"/>
    <n v="3.9979999999999998"/>
    <n v="0.75"/>
    <n v="0"/>
    <n v="0"/>
    <n v="0"/>
    <n v="0"/>
    <n v="0"/>
    <n v="0"/>
    <n v="0"/>
    <n v="0"/>
    <n v="0"/>
    <n v="0.08"/>
    <n v="0.06"/>
    <n v="0.75"/>
    <n v="-8.0000000000000071E-2"/>
    <n v="8.0000000000000071E-2"/>
    <x v="0"/>
    <n v="3.9979999999999998"/>
    <n v="0"/>
    <n v="1"/>
  </r>
  <r>
    <s v="AJEET KUMAR"/>
    <d v="2026-06-09T00:00:00"/>
    <s v="SR-RTN/26-27/34897"/>
    <s v="B-298321"/>
    <s v="B-GOLD-FILING"/>
    <s v="GOLD-FILLING-WK"/>
    <x v="1"/>
    <s v="G-NA-75.00-RG"/>
    <n v="20.8"/>
    <n v="15.6"/>
    <n v="0.75"/>
    <n v="19.2"/>
    <n v="14.4"/>
    <n v="14.4"/>
    <n v="0.75"/>
    <n v="0"/>
    <n v="0"/>
    <n v="0"/>
    <n v="0"/>
    <n v="0"/>
    <n v="0"/>
    <n v="0"/>
    <n v="0"/>
    <n v="0"/>
    <n v="1.6"/>
    <n v="1.2"/>
    <n v="0.74999999999999989"/>
    <n v="-1.6000000000000014"/>
    <n v="1.6000000000000014"/>
    <x v="1"/>
    <n v="13.103"/>
    <n v="1.2970000000000006"/>
    <n v="2"/>
  </r>
  <r>
    <s v="AJEET KUMAR"/>
    <d v="2026-06-09T00:00:00"/>
    <s v="SR-RTN/26-27/34898"/>
    <s v="B-297636"/>
    <s v="B-GOLD-FILING"/>
    <s v="GOLD-FILLING-WK"/>
    <x v="1"/>
    <s v="G-NA-75.00-RG"/>
    <n v="16.350000000000001"/>
    <n v="12.262499999999999"/>
    <n v="0.74999999999999989"/>
    <n v="14.67"/>
    <n v="11.0025"/>
    <n v="11.003"/>
    <n v="0.75"/>
    <n v="0"/>
    <n v="0"/>
    <n v="0"/>
    <n v="0"/>
    <n v="0"/>
    <n v="0"/>
    <n v="0"/>
    <n v="0"/>
    <n v="0"/>
    <n v="1.68"/>
    <n v="1.26"/>
    <n v="0.75"/>
    <n v="-1.6800000000000015"/>
    <n v="1.6800000000000015"/>
    <x v="0"/>
    <n v="11.003"/>
    <n v="0"/>
    <n v="1"/>
  </r>
  <r>
    <s v="AJEET KUMAR"/>
    <d v="2026-06-09T00:00:00"/>
    <s v="SR-RTN/26-27/34899"/>
    <s v="B-298320"/>
    <s v="B-GOLD-FILING"/>
    <s v="GOLD-FILLING-WK"/>
    <x v="1"/>
    <s v="G-NA-75.00-RG"/>
    <n v="29.16"/>
    <n v="21.87"/>
    <n v="0.75"/>
    <n v="26.43"/>
    <n v="19.822500000000002"/>
    <n v="19.823"/>
    <n v="0.75000000000000011"/>
    <n v="0"/>
    <n v="0"/>
    <n v="0"/>
    <n v="0"/>
    <n v="0"/>
    <n v="0"/>
    <n v="0"/>
    <n v="0"/>
    <n v="0"/>
    <n v="2.73"/>
    <n v="2.0474999999999999"/>
    <n v="0.75"/>
    <n v="-2.7300000000000004"/>
    <n v="2.7300000000000004"/>
    <x v="0"/>
    <n v="19.823"/>
    <n v="0"/>
    <n v="1"/>
  </r>
  <r>
    <s v="AJEET KUMAR"/>
    <d v="2026-06-09T00:00:00"/>
    <s v="SR-RTN/26-27/34900"/>
    <s v="B-291337"/>
    <s v="B-GOLD-FILING"/>
    <s v="GOLD-FILLING-WK"/>
    <x v="0"/>
    <s v="G-NA-91.70-YG"/>
    <n v="6.6210000000000004"/>
    <n v="6.0714569999999997"/>
    <n v="0.91699999999999993"/>
    <n v="6.5810000000000004"/>
    <n v="6.0347770000000001"/>
    <n v="6.0350000000000001"/>
    <n v="0.91699999999999993"/>
    <n v="0"/>
    <n v="0"/>
    <n v="0"/>
    <n v="0"/>
    <n v="0"/>
    <n v="0"/>
    <n v="0"/>
    <n v="0"/>
    <n v="0"/>
    <n v="0.04"/>
    <n v="3.6679999999999997E-2"/>
    <n v="0.91699999999999993"/>
    <n v="-4.0000000000000036E-2"/>
    <n v="4.0000000000000036E-2"/>
    <x v="1"/>
    <n v="5.3010000000000002"/>
    <n v="0.73399999999999999"/>
    <n v="2"/>
  </r>
  <r>
    <s v="AJEET KUMAR"/>
    <d v="2026-06-09T00:00:00"/>
    <s v="SR-RTN/26-27/34901"/>
    <s v="B-298404"/>
    <s v="B-GOLD-FILING"/>
    <s v="GOLD-FILLING-WK"/>
    <x v="0"/>
    <s v="G-NA-91.70-YG"/>
    <n v="18.940000000000001"/>
    <n v="17.367979999999999"/>
    <n v="0.91699999999999993"/>
    <n v="17.62"/>
    <n v="16.157540000000001"/>
    <n v="16.158000000000001"/>
    <n v="0.91700000000000004"/>
    <n v="0"/>
    <n v="0"/>
    <n v="0"/>
    <n v="0"/>
    <n v="0"/>
    <n v="0"/>
    <n v="0"/>
    <n v="0"/>
    <n v="0"/>
    <n v="1.32"/>
    <n v="1.21044"/>
    <n v="0.91699999999999993"/>
    <n v="-1.3200000000000003"/>
    <n v="1.3200000000000003"/>
    <x v="1"/>
    <n v="14.324"/>
    <n v="1.8340000000000014"/>
    <n v="2"/>
  </r>
  <r>
    <s v="AJEET KUMAR"/>
    <d v="2026-06-09T00:00:00"/>
    <s v="SR-RTN/26-27/34903"/>
    <s v="B-297997"/>
    <s v="B-GOLD-FILING"/>
    <s v="GOLD-FILLING-WK"/>
    <x v="0"/>
    <s v="G-NA-91.70-YG"/>
    <n v="27.17"/>
    <n v="24.91489"/>
    <n v="0.91699999999999993"/>
    <n v="24.29"/>
    <n v="22.27393"/>
    <n v="22.274000000000001"/>
    <n v="0.91700000000000004"/>
    <n v="0"/>
    <n v="0"/>
    <n v="0"/>
    <n v="0"/>
    <n v="0"/>
    <n v="0"/>
    <n v="0"/>
    <n v="0"/>
    <n v="0"/>
    <n v="2.88"/>
    <n v="2.6409600000000002"/>
    <n v="0.91700000000000015"/>
    <n v="-2.8800000000000026"/>
    <n v="2.8800000000000026"/>
    <x v="0"/>
    <n v="22.274000000000001"/>
    <n v="0"/>
    <n v="3"/>
  </r>
  <r>
    <s v="AJEET KUMAR"/>
    <d v="2026-06-09T00:00:00"/>
    <s v="SR-RTN/26-27/34905"/>
    <s v="B-296969"/>
    <s v="B-GOLD-FILING"/>
    <s v="GOLD-FILLING-WK"/>
    <x v="1"/>
    <s v="G-NA-75.00-RG"/>
    <n v="59.22"/>
    <n v="44.414999999999999"/>
    <n v="0.75"/>
    <n v="50.96"/>
    <n v="38.22"/>
    <n v="38.22"/>
    <n v="0.75"/>
    <n v="0"/>
    <n v="0"/>
    <n v="0"/>
    <n v="0"/>
    <n v="0"/>
    <n v="0"/>
    <n v="0"/>
    <n v="0"/>
    <n v="0"/>
    <n v="8.26"/>
    <n v="6.1950000000000003"/>
    <n v="0.75"/>
    <n v="-8.259999999999998"/>
    <n v="8.259999999999998"/>
    <x v="0"/>
    <n v="38.22"/>
    <n v="0"/>
    <n v="1"/>
  </r>
  <r>
    <s v="AJEET KUMAR"/>
    <d v="2026-06-09T00:00:00"/>
    <s v="SR-RTN/26-27/34917"/>
    <s v="B-286461"/>
    <s v="B-GOLD-FILING"/>
    <s v="GOLD-FILLING-WK"/>
    <x v="1"/>
    <s v="G-NA-75.00-RG"/>
    <n v="26.53"/>
    <n v="19.897500000000001"/>
    <n v="0.75"/>
    <n v="26.46"/>
    <n v="19.844999999999999"/>
    <n v="19.844999999999999"/>
    <n v="0.74999999999999989"/>
    <n v="0"/>
    <n v="0"/>
    <n v="0"/>
    <n v="0"/>
    <n v="0"/>
    <n v="0"/>
    <n v="0"/>
    <n v="0"/>
    <n v="0"/>
    <n v="7.0000000000000007E-2"/>
    <n v="5.2499999999999998E-2"/>
    <n v="0.74999999999999989"/>
    <n v="-7.0000000000000284E-2"/>
    <n v="7.0000000000000284E-2"/>
    <x v="0"/>
    <n v="19.844999999999999"/>
    <n v="0"/>
    <n v="1"/>
  </r>
  <r>
    <s v="AJEET KUMAR"/>
    <d v="2026-06-09T00:00:00"/>
    <s v="SR-RTN/26-27/34918"/>
    <s v="B-286463"/>
    <s v="B-GOLD-FILING"/>
    <s v="GOLD-FILLING-WK"/>
    <x v="1"/>
    <s v="G-NA-75.00-RG"/>
    <n v="61.71"/>
    <n v="46.282499999999999"/>
    <n v="0.75"/>
    <n v="61.57"/>
    <n v="46.177500000000002"/>
    <n v="46.177999999999997"/>
    <n v="0.75"/>
    <n v="0"/>
    <n v="0"/>
    <n v="0"/>
    <n v="0"/>
    <n v="0"/>
    <n v="0"/>
    <n v="0"/>
    <n v="0"/>
    <n v="0"/>
    <n v="0.14000000000000001"/>
    <n v="0.105"/>
    <n v="0.74999999999999989"/>
    <n v="-0.14000000000000057"/>
    <n v="0.14000000000000057"/>
    <x v="0"/>
    <n v="46.177999999999997"/>
    <n v="0"/>
    <n v="1"/>
  </r>
  <r>
    <s v="AJEET KUMAR"/>
    <d v="2026-06-09T00:00:00"/>
    <s v="SR-RTN/26-27/34919"/>
    <s v="B-286455"/>
    <s v="B-GOLD-FILING"/>
    <s v="GOLD-FILLING-WK"/>
    <x v="1"/>
    <s v="G-NA-75.00-RG"/>
    <n v="57.37"/>
    <n v="43.027500000000003"/>
    <n v="0.75000000000000011"/>
    <n v="57.22"/>
    <n v="42.914999999999999"/>
    <n v="42.914999999999999"/>
    <n v="0.75"/>
    <n v="0"/>
    <n v="0"/>
    <n v="0"/>
    <n v="0"/>
    <n v="0"/>
    <n v="0"/>
    <n v="0"/>
    <n v="0"/>
    <n v="0"/>
    <n v="0.15"/>
    <n v="0.1125"/>
    <n v="0.75"/>
    <n v="-0.14999999999999858"/>
    <n v="0.14999999999999858"/>
    <x v="0"/>
    <n v="42.914999999999999"/>
    <n v="0"/>
    <n v="1"/>
  </r>
  <r>
    <s v="AJEET KUMAR"/>
    <d v="2026-06-09T00:00:00"/>
    <s v="SR-RTN/26-27/34920"/>
    <s v="B-286465"/>
    <s v="B-GOLD-FILING"/>
    <s v="GOLD-FILLING-WK"/>
    <x v="1"/>
    <s v="G-NA-75.00-RG"/>
    <n v="60.75"/>
    <n v="45.5625"/>
    <n v="0.75"/>
    <n v="60.59"/>
    <n v="45.442500000000003"/>
    <n v="45.442999999999998"/>
    <n v="0.75"/>
    <n v="0"/>
    <n v="0"/>
    <n v="0"/>
    <n v="0"/>
    <n v="0"/>
    <n v="0"/>
    <n v="0"/>
    <n v="0"/>
    <n v="0"/>
    <n v="0.16"/>
    <n v="0.12"/>
    <n v="0.75"/>
    <n v="-0.15999999999999659"/>
    <n v="0.15999999999999659"/>
    <x v="0"/>
    <n v="45.442999999999998"/>
    <n v="0"/>
    <n v="1"/>
  </r>
  <r>
    <s v="AJEET KUMAR"/>
    <d v="2026-06-09T00:00:00"/>
    <s v="SR-RTN/26-27/34971"/>
    <s v="B-298355"/>
    <s v="B-GOLD-FILING"/>
    <s v="GOLD-FILLING-WK"/>
    <x v="1"/>
    <s v="G-NA-75.00-YG"/>
    <n v="8.67"/>
    <n v="6.5025000000000004"/>
    <n v="0.75"/>
    <n v="8.42"/>
    <n v="6.3150000000000004"/>
    <n v="6.3150000000000004"/>
    <n v="0.75"/>
    <n v="0"/>
    <n v="0"/>
    <n v="0"/>
    <n v="0"/>
    <n v="0"/>
    <n v="0"/>
    <n v="0"/>
    <n v="0"/>
    <n v="0"/>
    <n v="0.25"/>
    <n v="0.1875"/>
    <n v="0.75"/>
    <n v="-0.25"/>
    <n v="0.25"/>
    <x v="0"/>
    <n v="6.3150000000000004"/>
    <n v="0"/>
    <n v="1"/>
  </r>
  <r>
    <s v="AJEET KUMAR"/>
    <d v="2026-06-09T00:00:00"/>
    <s v="SR-RTN/26-27/34972"/>
    <s v="B-297291"/>
    <s v="B-GOLD-FILING"/>
    <s v="GOLD-FILLING-WK"/>
    <x v="1"/>
    <s v="G-NA-75.00-YG"/>
    <n v="22.68"/>
    <n v="17.010000000000002"/>
    <n v="0.75000000000000011"/>
    <n v="21.77"/>
    <n v="16.327500000000001"/>
    <n v="16.328000000000003"/>
    <n v="0.75"/>
    <n v="0"/>
    <n v="0"/>
    <n v="0"/>
    <n v="0"/>
    <n v="0"/>
    <n v="0"/>
    <n v="0"/>
    <n v="0"/>
    <n v="0"/>
    <n v="0.91"/>
    <n v="0.6825"/>
    <n v="0.75"/>
    <n v="-0.91000000000000014"/>
    <n v="0.91000000000000014"/>
    <x v="0"/>
    <n v="16.328000000000003"/>
    <n v="0"/>
    <n v="1"/>
  </r>
  <r>
    <s v="AJEET KUMAR"/>
    <d v="2026-06-09T00:00:00"/>
    <s v="SR-RTN/26-27/34973"/>
    <s v="B-297635"/>
    <s v="B-GOLD-FILING"/>
    <s v="GOLD-FILLING-WK"/>
    <x v="1"/>
    <s v="G-NA-75.00-RG"/>
    <n v="18.22"/>
    <n v="13.664999999999999"/>
    <n v="0.75"/>
    <n v="17.3"/>
    <n v="12.975"/>
    <n v="12.975"/>
    <n v="0.75"/>
    <n v="0"/>
    <n v="0"/>
    <n v="0"/>
    <n v="0"/>
    <n v="0"/>
    <n v="0"/>
    <n v="0"/>
    <n v="0"/>
    <n v="0"/>
    <n v="0.92"/>
    <n v="0.69"/>
    <n v="0.74999999999999989"/>
    <n v="-0.91999999999999815"/>
    <n v="0.91999999999999815"/>
    <x v="0"/>
    <n v="12.975"/>
    <n v="0"/>
    <n v="1"/>
  </r>
  <r>
    <s v="AJEET KUMAR"/>
    <d v="2026-06-09T00:00:00"/>
    <s v="SR-RTN/26-27/34974"/>
    <s v="B-298403"/>
    <s v="B-GOLD-FILING"/>
    <s v="GOLD-FILLING-WK"/>
    <x v="0"/>
    <s v="G-NA-91.70-YG"/>
    <n v="23.67"/>
    <n v="21.705390000000001"/>
    <n v="0.91700000000000004"/>
    <n v="22.21"/>
    <n v="20.366569999999999"/>
    <n v="20.367000000000001"/>
    <n v="0.91699999999999993"/>
    <n v="0"/>
    <n v="0"/>
    <n v="0"/>
    <n v="0"/>
    <n v="0"/>
    <n v="0"/>
    <n v="0"/>
    <n v="0"/>
    <n v="0"/>
    <n v="1.46"/>
    <n v="1.3388199999999999"/>
    <n v="0.91699999999999993"/>
    <n v="-1.4600000000000009"/>
    <n v="1.4600000000000009"/>
    <x v="0"/>
    <n v="20.367000000000001"/>
    <n v="0"/>
    <n v="1"/>
  </r>
  <r>
    <s v="AJEET KUMAR"/>
    <d v="2026-06-09T00:00:00"/>
    <s v="SR-RTN/26-27/34975"/>
    <s v="B-297676"/>
    <s v="B-GOLD-FILING"/>
    <s v="GOLD-FILLING-WK"/>
    <x v="1"/>
    <s v="G-NA-75.00-RG"/>
    <n v="20.010000000000002"/>
    <n v="15.0075"/>
    <n v="0.75"/>
    <n v="15.63"/>
    <n v="11.7225"/>
    <n v="11.722999999999999"/>
    <n v="0.75"/>
    <n v="0"/>
    <n v="0"/>
    <n v="0"/>
    <n v="0"/>
    <n v="0"/>
    <n v="0"/>
    <n v="0"/>
    <n v="0"/>
    <n v="0"/>
    <n v="4.38"/>
    <n v="3.2850000000000001"/>
    <n v="0.75"/>
    <n v="-4.3800000000000008"/>
    <n v="4.3800000000000008"/>
    <x v="0"/>
    <n v="11.722999999999999"/>
    <n v="0"/>
    <n v="1"/>
  </r>
  <r>
    <s v="AJEET KUMAR"/>
    <d v="2026-06-09T00:00:00"/>
    <s v="SR-RTN/26-27/34976"/>
    <s v="B-297802"/>
    <s v="B-GOLD-FILING"/>
    <s v="GOLD-FILLING-WK"/>
    <x v="1"/>
    <s v="G-NA-75.00-RG"/>
    <n v="40.25"/>
    <n v="30.1875"/>
    <n v="0.75"/>
    <n v="35.51"/>
    <n v="26.6325"/>
    <n v="26.633000000000003"/>
    <n v="0.75"/>
    <n v="0"/>
    <n v="0"/>
    <n v="0"/>
    <n v="0"/>
    <n v="0"/>
    <n v="0"/>
    <n v="0"/>
    <n v="0"/>
    <n v="0"/>
    <n v="4.74"/>
    <n v="3.5550000000000002"/>
    <n v="0.75"/>
    <n v="-4.740000000000002"/>
    <n v="4.740000000000002"/>
    <x v="1"/>
    <n v="24.344999999999999"/>
    <n v="2.2880000000000038"/>
    <n v="2"/>
  </r>
  <r>
    <s v="AJEET KUMAR"/>
    <d v="2026-06-09T00:00:00"/>
    <s v="SR-RTN/26-27/34977"/>
    <s v="B-298351"/>
    <s v="B-GOLD-FILING"/>
    <s v="GOLD-FILLING-WK"/>
    <x v="1"/>
    <s v="G-NA-75.00-YG"/>
    <n v="6.96"/>
    <n v="5.22"/>
    <n v="0.75"/>
    <n v="6.71"/>
    <n v="5.0324999999999998"/>
    <n v="5.0330000000000004"/>
    <n v="0.75"/>
    <n v="0"/>
    <n v="0"/>
    <n v="0"/>
    <n v="0"/>
    <n v="0"/>
    <n v="0"/>
    <n v="0"/>
    <n v="0"/>
    <n v="0"/>
    <n v="0.25"/>
    <n v="0.1875"/>
    <n v="0.75"/>
    <n v="-0.25"/>
    <n v="0.25"/>
    <x v="0"/>
    <n v="5.0330000000000004"/>
    <n v="0"/>
    <n v="1"/>
  </r>
  <r>
    <s v="AJEET KUMAR"/>
    <d v="2026-06-09T00:00:00"/>
    <s v="SR-RTN/26-27/34979"/>
    <s v="B-298319"/>
    <s v="B-GOLD-FILING"/>
    <s v="GOLD-FILLING-WK"/>
    <x v="1"/>
    <s v="G-NA-75.00-RG"/>
    <n v="67.61"/>
    <n v="50.707500000000003"/>
    <n v="0.75"/>
    <n v="59.54"/>
    <n v="44.655000000000001"/>
    <n v="44.655000000000001"/>
    <n v="0.75"/>
    <n v="0"/>
    <n v="0"/>
    <n v="0"/>
    <n v="0"/>
    <n v="0"/>
    <n v="0"/>
    <n v="0"/>
    <n v="0"/>
    <n v="0"/>
    <n v="8.07"/>
    <n v="6.0525000000000002"/>
    <n v="0.75"/>
    <n v="-8.07"/>
    <n v="8.07"/>
    <x v="0"/>
    <n v="44.655000000000001"/>
    <n v="0"/>
    <n v="1"/>
  </r>
  <r>
    <s v="AJEET KUMAR"/>
    <d v="2026-06-09T00:00:00"/>
    <s v="SR-RTN/26-27/34980"/>
    <s v="B-296349"/>
    <s v="B-GOLD-FILING"/>
    <s v="GOLD-FILLING-WK"/>
    <x v="1"/>
    <s v="G-NA-75.00-RG"/>
    <n v="13.43"/>
    <n v="10.0725"/>
    <n v="0.75"/>
    <n v="13.38"/>
    <n v="10.035"/>
    <n v="10.035"/>
    <n v="0.75"/>
    <n v="0"/>
    <n v="0"/>
    <n v="0"/>
    <n v="0"/>
    <n v="0"/>
    <n v="0"/>
    <n v="0"/>
    <n v="0"/>
    <n v="0"/>
    <n v="0.05"/>
    <n v="3.7499999999999999E-2"/>
    <n v="0.74999999999999989"/>
    <n v="-4.9999999999998934E-2"/>
    <n v="4.9999999999998934E-2"/>
    <x v="0"/>
    <n v="10.035"/>
    <n v="0"/>
    <n v="2"/>
  </r>
  <r>
    <s v="AJEET KUMAR"/>
    <d v="2026-06-09T00:00:00"/>
    <s v="SR-RTN/26-27/34992"/>
    <s v="B-298349"/>
    <s v="B-GOLD-FILING"/>
    <s v="GOLD-FILLING-WK"/>
    <x v="1"/>
    <s v="G-NA-75.00-YG"/>
    <n v="12.96"/>
    <n v="9.7200000000000006"/>
    <n v="0.75"/>
    <n v="12.71"/>
    <n v="9.5325000000000006"/>
    <n v="9.5329999999999995"/>
    <n v="0.75"/>
    <n v="0"/>
    <n v="0"/>
    <n v="0"/>
    <n v="0"/>
    <n v="0"/>
    <n v="0"/>
    <n v="0"/>
    <n v="0"/>
    <n v="0"/>
    <n v="0.25"/>
    <n v="0.1875"/>
    <n v="0.75"/>
    <n v="-0.25"/>
    <n v="0.25"/>
    <x v="0"/>
    <n v="9.5329999999999995"/>
    <n v="0"/>
    <n v="1"/>
  </r>
  <r>
    <s v="AJEET KUMAR"/>
    <d v="2026-06-09T00:00:00"/>
    <s v="SR-RTN/26-27/35011"/>
    <s v="B-297330"/>
    <s v="B-GOLD-FILING"/>
    <s v="GOLD-FILLING-WK"/>
    <x v="0"/>
    <s v="G-NA-91.70-YG"/>
    <n v="38.33"/>
    <n v="35.148609999999998"/>
    <n v="0.91700000000000004"/>
    <n v="37.119999999999997"/>
    <n v="34.03904"/>
    <n v="34.04"/>
    <n v="0.91700000000000004"/>
    <n v="0"/>
    <n v="0"/>
    <n v="0"/>
    <n v="0"/>
    <n v="0"/>
    <n v="0"/>
    <n v="0"/>
    <n v="0"/>
    <n v="0"/>
    <n v="1.21"/>
    <n v="1.1095699999999999"/>
    <n v="0.91699999999999993"/>
    <n v="-1.2100000000000009"/>
    <n v="1.2100000000000009"/>
    <x v="1"/>
    <n v="30.711000000000002"/>
    <n v="3.3289999999999971"/>
    <n v="2"/>
  </r>
  <r>
    <s v="AJEET KUMAR"/>
    <d v="2026-06-09T00:00:00"/>
    <s v="SR-RTN/26-27/35041"/>
    <s v="B-298402"/>
    <s v="B-GOLD-FILING"/>
    <s v="GOLD-FILLING-WK"/>
    <x v="0"/>
    <s v="G-NA-91.70-YG"/>
    <n v="43.33"/>
    <n v="39.733609999999999"/>
    <n v="0.91700000000000004"/>
    <n v="41.08"/>
    <n v="37.670360000000002"/>
    <n v="37.670999999999999"/>
    <n v="0.91700000000000015"/>
    <n v="0"/>
    <n v="0"/>
    <n v="0"/>
    <n v="0"/>
    <n v="0"/>
    <n v="0"/>
    <n v="0"/>
    <n v="0"/>
    <n v="0"/>
    <n v="2.25"/>
    <n v="2.06325"/>
    <n v="0.91700000000000004"/>
    <n v="-2.25"/>
    <n v="2.25"/>
    <x v="0"/>
    <n v="37.670999999999999"/>
    <n v="0"/>
    <n v="1"/>
  </r>
  <r>
    <s v="AJEET KUMAR"/>
    <d v="2026-06-09T00:00:00"/>
    <s v="SR-RTN/26-27/35062"/>
    <s v="B-291408"/>
    <s v="B-GOLD-FILING"/>
    <s v="GOLD-FILLING-WK"/>
    <x v="0"/>
    <s v="G-NA-91.70-YG"/>
    <n v="27.63"/>
    <n v="25.33671"/>
    <n v="0.91700000000000004"/>
    <n v="27.4"/>
    <n v="25.125800000000002"/>
    <n v="25.126000000000001"/>
    <n v="0.91700000000000015"/>
    <n v="0"/>
    <n v="0"/>
    <n v="0"/>
    <n v="0"/>
    <n v="0"/>
    <n v="0"/>
    <n v="0"/>
    <n v="0"/>
    <n v="0"/>
    <n v="0.23"/>
    <n v="0.21090999999999999"/>
    <n v="0.91699999999999993"/>
    <n v="-0.23000000000000043"/>
    <n v="0.23000000000000043"/>
    <x v="0"/>
    <n v="25.126000000000001"/>
    <n v="0"/>
    <n v="3"/>
  </r>
  <r>
    <s v="AJEET KUMAR"/>
    <d v="2026-06-09T00:00:00"/>
    <s v="SR-RTN/26-27/35095"/>
    <s v="B-298353"/>
    <s v="B-GOLD-FILING"/>
    <s v="GOLD-FILLING-WK"/>
    <x v="1"/>
    <s v="G-NA-75.00-YG"/>
    <n v="6.7"/>
    <n v="5.0250000000000004"/>
    <n v="0.75"/>
    <n v="6.27"/>
    <n v="4.7024999999999997"/>
    <n v="4.7030000000000003"/>
    <n v="0.75"/>
    <n v="0"/>
    <n v="0"/>
    <n v="0"/>
    <n v="0"/>
    <n v="0"/>
    <n v="0"/>
    <n v="0"/>
    <n v="0"/>
    <n v="0"/>
    <n v="0.43"/>
    <n v="0.32250000000000001"/>
    <n v="0.75"/>
    <n v="-0.4300000000000006"/>
    <n v="0.4300000000000006"/>
    <x v="0"/>
    <n v="4.7030000000000003"/>
    <n v="0"/>
    <n v="1"/>
  </r>
  <r>
    <s v="AJEET KUMAR"/>
    <d v="2026-06-09T00:00:00"/>
    <s v="SR-RTN/26-27/35157"/>
    <s v="B-298184"/>
    <s v="B-GOLD-FILING"/>
    <s v="GOLD-FILLING-WK"/>
    <x v="0"/>
    <s v="G-NA-91.70-YG"/>
    <n v="43.33"/>
    <n v="39.733609999999999"/>
    <n v="0.91700000000000004"/>
    <n v="39.630000000000003"/>
    <n v="36.340710000000001"/>
    <n v="36.341000000000001"/>
    <n v="0.91699999999999993"/>
    <n v="0"/>
    <n v="0"/>
    <n v="0"/>
    <n v="0"/>
    <n v="0"/>
    <n v="0"/>
    <n v="0"/>
    <n v="0"/>
    <n v="0"/>
    <n v="3.7"/>
    <n v="3.3929"/>
    <n v="0.91699999999999993"/>
    <n v="-3.6999999999999957"/>
    <n v="3.6999999999999957"/>
    <x v="0"/>
    <n v="36.341000000000001"/>
    <n v="0"/>
    <n v="1"/>
  </r>
  <r>
    <s v="AJEET KUMAR"/>
    <d v="2026-06-09T00:00:00"/>
    <s v="SR-RTN/26-27/35157"/>
    <s v="B-298350"/>
    <s v="B-GOLD-FILING"/>
    <s v="GOLD-FILLING-WK"/>
    <x v="1"/>
    <s v="G-NA-75.00-YG"/>
    <n v="5.82"/>
    <n v="4.3650000000000002"/>
    <n v="0.75"/>
    <n v="5.59"/>
    <n v="4.1924999999999999"/>
    <n v="4.1930000000000005"/>
    <n v="0.75"/>
    <n v="0"/>
    <n v="0"/>
    <n v="0"/>
    <n v="0"/>
    <n v="0"/>
    <n v="0"/>
    <n v="0"/>
    <n v="0"/>
    <n v="0"/>
    <n v="0.23"/>
    <n v="0.17249999999999999"/>
    <n v="0.74999999999999989"/>
    <n v="-0.23000000000000043"/>
    <n v="0.23000000000000043"/>
    <x v="0"/>
    <n v="4.1930000000000005"/>
    <n v="0"/>
    <n v="1"/>
  </r>
  <r>
    <s v="AJEET KUMAR"/>
    <d v="2026-06-09T00:00:00"/>
    <s v="SR-RTN/26-27/35157"/>
    <s v="B-298691"/>
    <s v="B-GOLD-FILING"/>
    <s v="GOLD-FILLING-WK"/>
    <x v="0"/>
    <s v="G-NA-91.70-YG"/>
    <n v="5.37"/>
    <n v="4.9242900000000001"/>
    <n v="0.91700000000000004"/>
    <n v="5.2"/>
    <n v="4.7683999999999997"/>
    <n v="4.7690000000000001"/>
    <n v="0.91699999999999993"/>
    <n v="0"/>
    <n v="0"/>
    <n v="0"/>
    <n v="0"/>
    <n v="0"/>
    <n v="0"/>
    <n v="0"/>
    <n v="0"/>
    <n v="0"/>
    <n v="0.17"/>
    <n v="0.15589"/>
    <n v="0.91699999999999993"/>
    <n v="-0.16999999999999993"/>
    <n v="0.16999999999999993"/>
    <x v="0"/>
    <n v="4.7690000000000001"/>
    <n v="0"/>
    <n v="1"/>
  </r>
  <r>
    <s v="AJEET KUMAR"/>
    <d v="2026-06-09T00:00:00"/>
    <s v="SR-RTN/26-27/35157"/>
    <s v="B-298807"/>
    <s v="B-GOLD-FILING"/>
    <s v="GOLD-FILLING-WK"/>
    <x v="0"/>
    <s v="G-NA-91.70-YG"/>
    <n v="6.25"/>
    <n v="5.7312500000000002"/>
    <n v="0.91700000000000004"/>
    <n v="5.93"/>
    <n v="5.4378099999999998"/>
    <n v="5.4380000000000006"/>
    <n v="0.91700000000000004"/>
    <n v="0"/>
    <n v="0"/>
    <n v="0"/>
    <n v="0"/>
    <n v="0"/>
    <n v="0"/>
    <n v="0"/>
    <n v="0"/>
    <n v="0"/>
    <n v="0.32"/>
    <n v="0.29343999999999998"/>
    <n v="0.91699999999999993"/>
    <n v="-0.32000000000000028"/>
    <n v="0.32000000000000028"/>
    <x v="1"/>
    <n v="5.3650000000000002"/>
    <n v="7.3000000000000398E-2"/>
    <n v="2"/>
  </r>
  <r>
    <s v="AJEET KUMAR"/>
    <d v="2026-06-09T00:00:00"/>
    <s v="SR-RTN/26-27/35169"/>
    <s v="B-298706"/>
    <s v="B-GOLD-FILING"/>
    <s v="GOLD-FILLING-WK"/>
    <x v="0"/>
    <s v="G-NA-91.70-YG"/>
    <n v="3.44"/>
    <n v="3.15448"/>
    <n v="0.91700000000000004"/>
    <n v="3.28"/>
    <n v="3.0077600000000002"/>
    <n v="3.008"/>
    <n v="0.91700000000000015"/>
    <n v="0"/>
    <n v="0"/>
    <n v="0"/>
    <n v="0"/>
    <n v="0"/>
    <n v="0"/>
    <n v="0"/>
    <n v="0"/>
    <n v="0"/>
    <n v="0.16"/>
    <n v="0.14671999999999999"/>
    <n v="0.91699999999999993"/>
    <n v="-0.16000000000000014"/>
    <n v="0.16000000000000014"/>
    <x v="0"/>
    <n v="3.008"/>
    <n v="0"/>
    <n v="1"/>
  </r>
  <r>
    <s v="AJEET KUMAR"/>
    <d v="2026-06-09T00:00:00"/>
    <s v="SR-RTN/26-27/35170"/>
    <s v="B-298697"/>
    <s v="B-GOLD-FILING"/>
    <s v="GOLD-FILLING-WK"/>
    <x v="0"/>
    <s v="G-NA-91.70-YG"/>
    <n v="4.8"/>
    <n v="4.4016000000000002"/>
    <n v="0.91700000000000004"/>
    <n v="4.6500000000000004"/>
    <n v="4.2640500000000001"/>
    <n v="4.2650000000000006"/>
    <n v="0.91699999999999993"/>
    <n v="0"/>
    <n v="0"/>
    <n v="0"/>
    <n v="0"/>
    <n v="0"/>
    <n v="0"/>
    <n v="0"/>
    <n v="0"/>
    <n v="0"/>
    <n v="0.15"/>
    <n v="0.13755000000000001"/>
    <n v="0.91700000000000004"/>
    <n v="-0.14999999999999947"/>
    <n v="0.14999999999999947"/>
    <x v="0"/>
    <n v="4.2650000000000006"/>
    <n v="0"/>
    <n v="1"/>
  </r>
  <r>
    <s v="AJEET KUMAR"/>
    <d v="2026-06-09T00:00:00"/>
    <s v="SR-RTN/26-27/35170"/>
    <s v="B-298701"/>
    <s v="B-GOLD-FILING"/>
    <s v="GOLD-FILLING-WK"/>
    <x v="0"/>
    <s v="G-NA-91.70-YG"/>
    <n v="4.17"/>
    <n v="3.82389"/>
    <n v="0.91700000000000004"/>
    <n v="4.01"/>
    <n v="3.6771699999999998"/>
    <n v="3.6779999999999999"/>
    <n v="0.91700000000000004"/>
    <n v="0"/>
    <n v="0"/>
    <n v="0"/>
    <n v="0"/>
    <n v="0"/>
    <n v="0"/>
    <n v="0"/>
    <n v="0"/>
    <n v="0"/>
    <n v="0.16"/>
    <n v="0.14671999999999999"/>
    <n v="0.91699999999999993"/>
    <n v="-0.16000000000000014"/>
    <n v="0.16000000000000014"/>
    <x v="0"/>
    <n v="3.6779999999999999"/>
    <n v="0"/>
    <n v="1"/>
  </r>
  <r>
    <s v="AJEET KUMAR"/>
    <d v="2026-06-10T00:00:00"/>
    <s v="RTN-8750634"/>
    <s v="SR-42148"/>
    <s v="CAST-FILLING"/>
    <s v="GOLD-FILLING-WK"/>
    <x v="0"/>
    <s v="G-NA-91.70-YG"/>
    <n v="158.11000000000001"/>
    <n v="144.98687000000001"/>
    <n v="0.91700000000000004"/>
    <n v="147.09"/>
    <n v="134.88153"/>
    <n v="134.88200000000001"/>
    <n v="0.91699999999999993"/>
    <n v="0"/>
    <n v="0"/>
    <n v="0"/>
    <n v="0"/>
    <n v="0"/>
    <n v="0"/>
    <n v="0"/>
    <n v="0"/>
    <n v="0"/>
    <n v="11.02"/>
    <n v="10.10534"/>
    <n v="0.91700000000000004"/>
    <n v="-11.02000000000001"/>
    <n v="11.02000000000001"/>
    <x v="0"/>
    <n v="134.88200000000001"/>
    <n v="0"/>
    <n v="1"/>
  </r>
  <r>
    <s v="AJEET KUMAR"/>
    <d v="2026-06-10T00:00:00"/>
    <s v="RTN-8751830"/>
    <s v="SR-42150"/>
    <s v="CAST-FILLING"/>
    <s v="GOLD-FILLING-WK"/>
    <x v="0"/>
    <s v="G-NA-91.70-YG"/>
    <n v="193.05"/>
    <n v="177.02685"/>
    <n v="0.91699999999999993"/>
    <n v="178.92"/>
    <n v="164.06963999999999"/>
    <n v="164.07"/>
    <n v="0.91700000000000004"/>
    <n v="0"/>
    <n v="0"/>
    <n v="0"/>
    <n v="0"/>
    <n v="0"/>
    <n v="0"/>
    <n v="0"/>
    <n v="0"/>
    <n v="0"/>
    <n v="14.13"/>
    <n v="12.95721"/>
    <n v="0.91699999999999993"/>
    <n v="-14.130000000000024"/>
    <n v="14.130000000000024"/>
    <x v="0"/>
    <n v="164.07"/>
    <n v="0"/>
    <n v="1"/>
  </r>
  <r>
    <s v="AJEET KUMAR"/>
    <d v="2026-06-10T00:00:00"/>
    <s v="RTN-8757284"/>
    <s v="SR-42153"/>
    <s v="CAST-FILLING"/>
    <s v="GOLD-FILLING-WK"/>
    <x v="0"/>
    <s v="G-NA-91.70-YG"/>
    <n v="234.64"/>
    <n v="215.16488000000001"/>
    <n v="0.91700000000000015"/>
    <n v="215.21"/>
    <n v="197.34756999999999"/>
    <n v="197.34800000000001"/>
    <n v="0.91699999999999993"/>
    <n v="0"/>
    <n v="0"/>
    <n v="0"/>
    <n v="0"/>
    <n v="0"/>
    <n v="0"/>
    <n v="0"/>
    <n v="0"/>
    <n v="0"/>
    <n v="19.43"/>
    <n v="17.817309999999999"/>
    <n v="0.91699999999999993"/>
    <n v="-19.429999999999978"/>
    <n v="19.429999999999978"/>
    <x v="0"/>
    <n v="197.34800000000001"/>
    <n v="0"/>
    <n v="1"/>
  </r>
  <r>
    <s v="AJEET KUMAR"/>
    <d v="2026-06-10T00:00:00"/>
    <s v="SR-RTN/26-27/35208"/>
    <s v="B-298376"/>
    <s v="B-GOLD-FILING"/>
    <s v="GOLD-FILLING-WK"/>
    <x v="0"/>
    <s v="G-NA-91.70-YG"/>
    <n v="7.67"/>
    <n v="7.0333899999999998"/>
    <n v="0.91700000000000004"/>
    <n v="6.6"/>
    <n v="6.0522"/>
    <n v="6.0529999999999999"/>
    <n v="0.91700000000000004"/>
    <n v="0"/>
    <n v="0"/>
    <n v="0"/>
    <n v="0"/>
    <n v="0"/>
    <n v="0"/>
    <n v="0"/>
    <n v="0"/>
    <n v="0"/>
    <n v="1.07"/>
    <n v="0.98119000000000001"/>
    <n v="0.91699999999999993"/>
    <n v="-1.0700000000000003"/>
    <n v="1.0700000000000003"/>
    <x v="0"/>
    <n v="6.0529999999999999"/>
    <n v="0"/>
    <n v="1"/>
  </r>
  <r>
    <s v="AJEET KUMAR"/>
    <d v="2026-06-10T00:00:00"/>
    <s v="SR-RTN/26-27/35208"/>
    <s v="B-298670"/>
    <s v="B-GOLD-FILING"/>
    <s v="GOLD-FILLING-WK"/>
    <x v="0"/>
    <s v="G-NA-91.70-YG"/>
    <n v="8.7899999999999991"/>
    <n v="8.0604300000000002"/>
    <n v="0.91700000000000015"/>
    <n v="8.4"/>
    <n v="7.7027999999999999"/>
    <n v="7.7030000000000003"/>
    <n v="0.91699999999999993"/>
    <n v="0"/>
    <n v="0"/>
    <n v="0"/>
    <n v="0"/>
    <n v="0"/>
    <n v="0"/>
    <n v="0"/>
    <n v="0"/>
    <n v="0"/>
    <n v="0.39"/>
    <n v="0.35763"/>
    <n v="0.91699999999999993"/>
    <n v="-0.38999999999999879"/>
    <n v="0.38999999999999879"/>
    <x v="0"/>
    <n v="7.7030000000000003"/>
    <n v="0"/>
    <n v="1"/>
  </r>
  <r>
    <s v="AJEET KUMAR"/>
    <d v="2026-06-10T00:00:00"/>
    <s v="SR-RTN/26-27/35208"/>
    <s v="B-298692"/>
    <s v="B-GOLD-FILING"/>
    <s v="GOLD-FILLING-WK"/>
    <x v="0"/>
    <s v="G-NA-91.70-YG"/>
    <n v="7.08"/>
    <n v="6.4923599999999997"/>
    <n v="0.91699999999999993"/>
    <n v="6.74"/>
    <n v="6.18058"/>
    <n v="6.181"/>
    <n v="0.91699999999999993"/>
    <n v="0"/>
    <n v="0"/>
    <n v="0"/>
    <n v="0"/>
    <n v="0"/>
    <n v="0"/>
    <n v="0"/>
    <n v="0"/>
    <n v="0"/>
    <n v="0.34"/>
    <n v="0.31178"/>
    <n v="0.91699999999999993"/>
    <n v="-0.33999999999999986"/>
    <n v="0.33999999999999986"/>
    <x v="0"/>
    <n v="6.181"/>
    <n v="0"/>
    <n v="1"/>
  </r>
  <r>
    <s v="AJEET KUMAR"/>
    <d v="2026-06-10T00:00:00"/>
    <s v="SR-RTN/26-27/35208"/>
    <s v="B-298693"/>
    <s v="B-GOLD-FILING"/>
    <s v="GOLD-FILLING-WK"/>
    <x v="0"/>
    <s v="G-NA-91.70-YG"/>
    <n v="4.0999999999999996"/>
    <n v="3.7597"/>
    <n v="0.91700000000000004"/>
    <n v="3.88"/>
    <n v="3.55796"/>
    <n v="3.5579999999999998"/>
    <n v="0.91700000000000004"/>
    <n v="0"/>
    <n v="0"/>
    <n v="0"/>
    <n v="0"/>
    <n v="0"/>
    <n v="0"/>
    <n v="0"/>
    <n v="0"/>
    <n v="0"/>
    <n v="0.22"/>
    <n v="0.20174"/>
    <n v="0.91700000000000004"/>
    <n v="-0.21999999999999975"/>
    <n v="0.21999999999999975"/>
    <x v="0"/>
    <n v="3.5579999999999998"/>
    <n v="0"/>
    <n v="1"/>
  </r>
  <r>
    <s v="AJEET KUMAR"/>
    <d v="2026-06-10T00:00:00"/>
    <s v="SR-RTN/26-27/35208"/>
    <s v="B-298694"/>
    <s v="B-GOLD-FILING"/>
    <s v="GOLD-FILLING-WK"/>
    <x v="0"/>
    <s v="G-NA-91.70-YG"/>
    <n v="3.75"/>
    <n v="3.4387500000000002"/>
    <n v="0.91700000000000004"/>
    <n v="3.48"/>
    <n v="3.19116"/>
    <n v="3.1919999999999997"/>
    <n v="0.91700000000000004"/>
    <n v="0"/>
    <n v="0"/>
    <n v="0"/>
    <n v="0"/>
    <n v="0"/>
    <n v="0"/>
    <n v="0"/>
    <n v="0"/>
    <n v="0"/>
    <n v="0.27"/>
    <n v="0.24759"/>
    <n v="0.91699999999999993"/>
    <n v="-0.27"/>
    <n v="0.27"/>
    <x v="0"/>
    <n v="3.1919999999999997"/>
    <n v="0"/>
    <n v="1"/>
  </r>
  <r>
    <s v="AJEET KUMAR"/>
    <d v="2026-06-10T00:00:00"/>
    <s v="SR-RTN/26-27/35208"/>
    <s v="B-298695"/>
    <s v="B-GOLD-FILING"/>
    <s v="GOLD-FILLING-WK"/>
    <x v="0"/>
    <s v="G-NA-91.70-YG"/>
    <n v="5.63"/>
    <n v="5.1627099999999997"/>
    <n v="0.91699999999999993"/>
    <n v="5.3"/>
    <n v="4.8601000000000001"/>
    <n v="4.8610000000000007"/>
    <n v="0.91700000000000004"/>
    <n v="0"/>
    <n v="0"/>
    <n v="0"/>
    <n v="0"/>
    <n v="0"/>
    <n v="0"/>
    <n v="0"/>
    <n v="0"/>
    <n v="0"/>
    <n v="0.33"/>
    <n v="0.30260999999999999"/>
    <n v="0.91699999999999993"/>
    <n v="-0.33000000000000007"/>
    <n v="0.33000000000000007"/>
    <x v="0"/>
    <n v="4.8610000000000007"/>
    <n v="0"/>
    <n v="1"/>
  </r>
  <r>
    <s v="AJEET KUMAR"/>
    <d v="2026-06-10T00:00:00"/>
    <s v="SR-RTN/26-27/35208"/>
    <s v="B-298696"/>
    <s v="B-GOLD-FILING"/>
    <s v="GOLD-FILLING-WK"/>
    <x v="0"/>
    <s v="G-NA-91.70-YG"/>
    <n v="3.85"/>
    <n v="3.5304500000000001"/>
    <n v="0.91700000000000004"/>
    <n v="3.7"/>
    <n v="3.3929"/>
    <n v="3.3929999999999998"/>
    <n v="0.91699999999999993"/>
    <n v="0"/>
    <n v="0"/>
    <n v="0"/>
    <n v="0"/>
    <n v="0"/>
    <n v="0"/>
    <n v="0"/>
    <n v="0"/>
    <n v="0"/>
    <n v="0.15"/>
    <n v="0.13755000000000001"/>
    <n v="0.91700000000000004"/>
    <n v="-0.14999999999999991"/>
    <n v="0.14999999999999991"/>
    <x v="0"/>
    <n v="3.3929999999999998"/>
    <n v="0"/>
    <n v="1"/>
  </r>
  <r>
    <s v="AJEET KUMAR"/>
    <d v="2026-06-10T00:00:00"/>
    <s v="SR-RTN/26-27/35208"/>
    <s v="B-298698"/>
    <s v="B-GOLD-FILING"/>
    <s v="GOLD-FILLING-WK"/>
    <x v="0"/>
    <s v="G-NA-91.70-YG"/>
    <n v="3.77"/>
    <n v="3.45709"/>
    <n v="0.91700000000000004"/>
    <n v="3.65"/>
    <n v="3.3470499999999999"/>
    <n v="3.3479999999999999"/>
    <n v="0.91700000000000004"/>
    <n v="0"/>
    <n v="0"/>
    <n v="0"/>
    <n v="0"/>
    <n v="0"/>
    <n v="0"/>
    <n v="0"/>
    <n v="0"/>
    <n v="0"/>
    <n v="0.12"/>
    <n v="0.11004"/>
    <n v="0.91700000000000004"/>
    <n v="-0.12000000000000011"/>
    <n v="0.12000000000000011"/>
    <x v="0"/>
    <n v="3.3479999999999999"/>
    <n v="0"/>
    <n v="1"/>
  </r>
  <r>
    <s v="AJEET KUMAR"/>
    <d v="2026-06-10T00:00:00"/>
    <s v="SR-RTN/26-27/35208"/>
    <s v="B-298699"/>
    <s v="B-GOLD-FILING"/>
    <s v="GOLD-FILLING-WK"/>
    <x v="0"/>
    <s v="G-NA-91.70-YG"/>
    <n v="3.46"/>
    <n v="3.1728200000000002"/>
    <n v="0.91700000000000004"/>
    <n v="3.21"/>
    <n v="2.9435699999999998"/>
    <n v="2.944"/>
    <n v="0.91699999999999993"/>
    <n v="0"/>
    <n v="0"/>
    <n v="0"/>
    <n v="0"/>
    <n v="0"/>
    <n v="0"/>
    <n v="0"/>
    <n v="0"/>
    <n v="0"/>
    <n v="0.25"/>
    <n v="0.22925000000000001"/>
    <n v="0.91700000000000004"/>
    <n v="-0.25"/>
    <n v="0.25"/>
    <x v="0"/>
    <n v="2.944"/>
    <n v="0"/>
    <n v="1"/>
  </r>
  <r>
    <s v="AJEET KUMAR"/>
    <d v="2026-06-10T00:00:00"/>
    <s v="SR-RTN/26-27/35208"/>
    <s v="B-298700"/>
    <s v="B-GOLD-FILING"/>
    <s v="GOLD-FILLING-WK"/>
    <x v="0"/>
    <s v="G-NA-91.70-YG"/>
    <n v="3.15"/>
    <n v="2.88855"/>
    <n v="0.91700000000000004"/>
    <n v="2.87"/>
    <n v="2.6317900000000001"/>
    <n v="2.6319999999999997"/>
    <n v="0.91700000000000004"/>
    <n v="0"/>
    <n v="0"/>
    <n v="0"/>
    <n v="0"/>
    <n v="0"/>
    <n v="0"/>
    <n v="0"/>
    <n v="0"/>
    <n v="0"/>
    <n v="0.28000000000000003"/>
    <n v="0.25675999999999999"/>
    <n v="0.91699999999999982"/>
    <n v="-0.2799999999999998"/>
    <n v="0.2799999999999998"/>
    <x v="0"/>
    <n v="2.6319999999999997"/>
    <n v="0"/>
    <n v="1"/>
  </r>
  <r>
    <s v="AJEET KUMAR"/>
    <d v="2026-06-10T00:00:00"/>
    <s v="SR-RTN/26-27/35208"/>
    <s v="B-298704"/>
    <s v="B-GOLD-FILING"/>
    <s v="GOLD-FILLING-WK"/>
    <x v="0"/>
    <s v="G-NA-91.70-YG"/>
    <n v="5.05"/>
    <n v="4.6308499999999997"/>
    <n v="0.91699999999999993"/>
    <n v="4.9000000000000004"/>
    <n v="4.4932999999999996"/>
    <n v="4.4940000000000007"/>
    <n v="0.91699999999999982"/>
    <n v="0"/>
    <n v="0"/>
    <n v="0"/>
    <n v="0"/>
    <n v="0"/>
    <n v="0"/>
    <n v="0"/>
    <n v="0"/>
    <n v="0"/>
    <n v="0.15"/>
    <n v="0.13755000000000001"/>
    <n v="0.91700000000000004"/>
    <n v="-0.14999999999999947"/>
    <n v="0.14999999999999947"/>
    <x v="0"/>
    <n v="4.4940000000000007"/>
    <n v="0"/>
    <n v="1"/>
  </r>
  <r>
    <s v="AJEET KUMAR"/>
    <d v="2026-06-10T00:00:00"/>
    <s v="SR-RTN/26-27/35208"/>
    <s v="B-298705"/>
    <s v="B-GOLD-FILING"/>
    <s v="GOLD-FILLING-WK"/>
    <x v="0"/>
    <s v="G-NA-91.70-YG"/>
    <n v="4.38"/>
    <n v="4.0164600000000004"/>
    <n v="0.91700000000000015"/>
    <n v="4.2"/>
    <n v="3.8513999999999999"/>
    <n v="3.8519999999999999"/>
    <n v="0.91699999999999993"/>
    <n v="0"/>
    <n v="0"/>
    <n v="0"/>
    <n v="0"/>
    <n v="0"/>
    <n v="0"/>
    <n v="0"/>
    <n v="0"/>
    <n v="0"/>
    <n v="0.18"/>
    <n v="0.16506000000000001"/>
    <n v="0.91700000000000015"/>
    <n v="-0.17999999999999972"/>
    <n v="0.17999999999999972"/>
    <x v="0"/>
    <n v="3.8519999999999999"/>
    <n v="0"/>
    <n v="1"/>
  </r>
  <r>
    <s v="AJEET KUMAR"/>
    <d v="2026-06-10T00:00:00"/>
    <s v="SR-RTN/26-27/35210"/>
    <s v="B-298665"/>
    <s v="B-GOLD-FILING"/>
    <s v="GOLD-FILLING-WK"/>
    <x v="0"/>
    <s v="G-NA-91.70-YG"/>
    <n v="7.64"/>
    <n v="7.0058800000000003"/>
    <n v="0.91700000000000004"/>
    <n v="7.03"/>
    <n v="6.44651"/>
    <n v="6.4470000000000001"/>
    <n v="0.91699999999999993"/>
    <n v="0"/>
    <n v="0"/>
    <n v="0"/>
    <n v="0"/>
    <n v="0"/>
    <n v="0"/>
    <n v="0"/>
    <n v="0"/>
    <n v="0"/>
    <n v="0.61"/>
    <n v="0.55937000000000003"/>
    <n v="0.91700000000000004"/>
    <n v="-0.60999999999999943"/>
    <n v="0.60999999999999943"/>
    <x v="0"/>
    <n v="6.4470000000000001"/>
    <n v="0"/>
    <n v="1"/>
  </r>
  <r>
    <s v="AJEET KUMAR"/>
    <d v="2026-06-10T00:00:00"/>
    <s v="SR-RTN/26-27/35210"/>
    <s v="B-298671"/>
    <s v="B-GOLD-FILING"/>
    <s v="GOLD-FILLING-WK"/>
    <x v="0"/>
    <s v="G-NA-91.70-YG"/>
    <n v="6.58"/>
    <n v="6.0338599999999998"/>
    <n v="0.91699999999999993"/>
    <n v="6.29"/>
    <n v="5.7679299999999998"/>
    <n v="5.7680000000000007"/>
    <n v="0.91699999999999993"/>
    <n v="0"/>
    <n v="0"/>
    <n v="0"/>
    <n v="0"/>
    <n v="0"/>
    <n v="0"/>
    <n v="0"/>
    <n v="0"/>
    <n v="0"/>
    <n v="0.28999999999999998"/>
    <n v="0.26593"/>
    <n v="0.91700000000000004"/>
    <n v="-0.29000000000000004"/>
    <n v="0.29000000000000004"/>
    <x v="0"/>
    <n v="5.7680000000000007"/>
    <n v="0"/>
    <n v="1"/>
  </r>
  <r>
    <s v="AJEET KUMAR"/>
    <d v="2026-06-10T00:00:00"/>
    <s v="SR-RTN/26-27/35210"/>
    <s v="B-298703"/>
    <s v="B-GOLD-FILING"/>
    <s v="GOLD-FILLING-WK"/>
    <x v="0"/>
    <s v="G-NA-91.70-YG"/>
    <n v="4.01"/>
    <n v="3.6771699999999998"/>
    <n v="0.91700000000000004"/>
    <n v="3.77"/>
    <n v="3.45709"/>
    <n v="3.4579999999999997"/>
    <n v="0.91700000000000004"/>
    <n v="0"/>
    <n v="0"/>
    <n v="0"/>
    <n v="0"/>
    <n v="0"/>
    <n v="0"/>
    <n v="0"/>
    <n v="0"/>
    <n v="0"/>
    <n v="0.24"/>
    <n v="0.22008"/>
    <n v="0.91700000000000004"/>
    <n v="-0.23999999999999977"/>
    <n v="0.23999999999999977"/>
    <x v="0"/>
    <n v="3.4579999999999997"/>
    <n v="0"/>
    <n v="1"/>
  </r>
  <r>
    <s v="AJEET KUMAR"/>
    <d v="2026-06-10T00:00:00"/>
    <s v="SR-RTN/26-27/35211"/>
    <s v="B-297997"/>
    <s v="B-GOLD-FILING"/>
    <s v="GOLD-FILLING-WK"/>
    <x v="0"/>
    <s v="G-NA-91.70-YG"/>
    <n v="24.83"/>
    <n v="22.769110000000001"/>
    <n v="0.91700000000000015"/>
    <n v="24.72"/>
    <n v="22.668240000000001"/>
    <n v="22.669"/>
    <n v="0.91700000000000004"/>
    <n v="0"/>
    <n v="0"/>
    <n v="0"/>
    <n v="0"/>
    <n v="0"/>
    <n v="0"/>
    <n v="0"/>
    <n v="0"/>
    <n v="0"/>
    <n v="0.11"/>
    <n v="0.10087"/>
    <n v="0.91700000000000004"/>
    <n v="-0.10999999999999943"/>
    <n v="0.10999999999999943"/>
    <x v="1"/>
    <n v="22.274000000000001"/>
    <n v="0.39499999999999957"/>
    <n v="3"/>
  </r>
  <r>
    <s v="AJEET KUMAR"/>
    <d v="2026-06-10T00:00:00"/>
    <s v="SR-RTN/26-27/35218"/>
    <s v="B-298610"/>
    <s v="B-GOLD-FILING"/>
    <s v="GOLD-FILLING-WK"/>
    <x v="0"/>
    <s v="G-NA-91.70-YG"/>
    <n v="58.57"/>
    <n v="53.708689999999997"/>
    <n v="0.91699999999999993"/>
    <n v="58.55"/>
    <n v="53.690350000000002"/>
    <n v="53.690999999999995"/>
    <n v="0.91700000000000004"/>
    <n v="0"/>
    <n v="0"/>
    <n v="0"/>
    <n v="0"/>
    <n v="0"/>
    <n v="0"/>
    <n v="0"/>
    <n v="0"/>
    <n v="0"/>
    <n v="0.02"/>
    <n v="1.8339999999999999E-2"/>
    <n v="0.91699999999999993"/>
    <n v="-2.0000000000003126E-2"/>
    <n v="2.0000000000003126E-2"/>
    <x v="1"/>
    <n v="50.555"/>
    <n v="3.1359999999999957"/>
    <n v="2"/>
  </r>
  <r>
    <s v="AJEET KUMAR"/>
    <d v="2026-06-10T00:00:00"/>
    <s v="SR-RTN/26-27/35220"/>
    <s v="B-298667"/>
    <s v="B-GOLD-FILING"/>
    <s v="GOLD-FILLING-WK"/>
    <x v="0"/>
    <s v="G-NA-91.70-YG"/>
    <n v="9.08"/>
    <n v="8.3263599999999993"/>
    <n v="0.91699999999999993"/>
    <n v="8.32"/>
    <n v="7.6294399999999998"/>
    <n v="7.63"/>
    <n v="0.91699999999999993"/>
    <n v="0"/>
    <n v="0"/>
    <n v="0"/>
    <n v="0"/>
    <n v="0"/>
    <n v="0"/>
    <n v="0"/>
    <n v="0"/>
    <n v="0"/>
    <n v="0.76"/>
    <n v="0.69691999999999998"/>
    <n v="0.91699999999999993"/>
    <n v="-0.75999999999999979"/>
    <n v="0.75999999999999979"/>
    <x v="0"/>
    <n v="7.63"/>
    <n v="0"/>
    <n v="1"/>
  </r>
  <r>
    <s v="AJEET KUMAR"/>
    <d v="2026-06-10T00:00:00"/>
    <s v="SR-RTN/26-27/35221"/>
    <s v="B-298609"/>
    <s v="B-GOLD-FILING"/>
    <s v="GOLD-FILLING-WK"/>
    <x v="0"/>
    <s v="G-NA-91.70-YG"/>
    <n v="101.89"/>
    <n v="93.433130000000006"/>
    <n v="0.91700000000000004"/>
    <n v="101.88"/>
    <n v="93.423959999999994"/>
    <n v="93.424000000000007"/>
    <n v="0.91699999999999993"/>
    <n v="0"/>
    <n v="0"/>
    <n v="0"/>
    <n v="0"/>
    <n v="0"/>
    <n v="0"/>
    <n v="0"/>
    <n v="0"/>
    <n v="0"/>
    <n v="0.01"/>
    <n v="9.1699999999999993E-3"/>
    <n v="0.91699999999999993"/>
    <n v="-1.0000000000005116E-2"/>
    <n v="1.0000000000005116E-2"/>
    <x v="1"/>
    <n v="87.968000000000004"/>
    <n v="5.4560000000000031"/>
    <n v="2"/>
  </r>
  <r>
    <s v="AJEET KUMAR"/>
    <d v="2026-06-10T00:00:00"/>
    <s v="SR-RTN/26-27/35222"/>
    <s v="B-298668"/>
    <s v="B-GOLD-FILING"/>
    <s v="GOLD-FILLING-WK"/>
    <x v="0"/>
    <s v="G-NA-91.70-YG"/>
    <n v="7.93"/>
    <n v="7.2718100000000003"/>
    <n v="0.91700000000000004"/>
    <n v="7.27"/>
    <n v="6.6665900000000002"/>
    <n v="6.6670000000000007"/>
    <n v="0.91700000000000004"/>
    <n v="0"/>
    <n v="0"/>
    <n v="0"/>
    <n v="0"/>
    <n v="0"/>
    <n v="0"/>
    <n v="0"/>
    <n v="0"/>
    <n v="0"/>
    <n v="0.66"/>
    <n v="0.60521999999999998"/>
    <n v="0.91699999999999993"/>
    <n v="-0.66000000000000014"/>
    <n v="0.66000000000000014"/>
    <x v="0"/>
    <n v="6.6670000000000007"/>
    <n v="0"/>
    <n v="1"/>
  </r>
  <r>
    <s v="AJEET KUMAR"/>
    <d v="2026-06-10T00:00:00"/>
    <s v="SR-RTN/26-27/35223"/>
    <s v="B-298642"/>
    <s v="B-GOLD-FILING"/>
    <s v="GOLD-FILLING-WK"/>
    <x v="0"/>
    <s v="G-NA-91.70-YG"/>
    <n v="124.97"/>
    <n v="114.59748999999999"/>
    <n v="0.91699999999999993"/>
    <n v="124.95"/>
    <n v="114.57915"/>
    <n v="114.58"/>
    <n v="0.91699999999999993"/>
    <n v="0"/>
    <n v="0"/>
    <n v="0"/>
    <n v="0"/>
    <n v="0"/>
    <n v="0"/>
    <n v="0"/>
    <n v="0"/>
    <n v="0"/>
    <n v="0.02"/>
    <n v="1.8339999999999999E-2"/>
    <n v="0.91699999999999993"/>
    <n v="-1.9999999999996021E-2"/>
    <n v="1.9999999999996021E-2"/>
    <x v="1"/>
    <n v="110.05900000000001"/>
    <n v="4.5209999999999866"/>
    <n v="2"/>
  </r>
  <r>
    <s v="AJEET KUMAR"/>
    <d v="2026-06-10T00:00:00"/>
    <s v="SR-RTN/26-27/35225"/>
    <s v="B-298623"/>
    <s v="B-GOLD-FILING"/>
    <s v="GOLD-FILLING-WK"/>
    <x v="0"/>
    <s v="G-NA-91.70-YG"/>
    <n v="55.85"/>
    <n v="51.214449999999999"/>
    <n v="0.91699999999999993"/>
    <n v="55.85"/>
    <n v="51.214449999999999"/>
    <n v="51.214999999999996"/>
    <n v="0.91699999999999993"/>
    <n v="0"/>
    <n v="0"/>
    <n v="0"/>
    <n v="0"/>
    <n v="0"/>
    <n v="0"/>
    <n v="0"/>
    <n v="0"/>
    <n v="0"/>
    <n v="0"/>
    <n v="0"/>
    <n v="0"/>
    <n v="0"/>
    <n v="0"/>
    <x v="1"/>
    <n v="48.234999999999999"/>
    <n v="2.9799999999999969"/>
    <n v="2"/>
  </r>
  <r>
    <s v="AJEET KUMAR"/>
    <d v="2026-06-10T00:00:00"/>
    <s v="SR-RTN/26-27/35226"/>
    <s v="B-298644"/>
    <s v="B-GOLD-FILING"/>
    <s v="GOLD-FILLING-WK"/>
    <x v="0"/>
    <s v="G-NA-91.70-YG"/>
    <n v="95.65"/>
    <n v="87.71105"/>
    <n v="0.91699999999999993"/>
    <n v="95.64"/>
    <n v="87.701880000000003"/>
    <n v="87.701999999999998"/>
    <n v="0.91700000000000004"/>
    <n v="0"/>
    <n v="0"/>
    <n v="0"/>
    <n v="0"/>
    <n v="0"/>
    <n v="0"/>
    <n v="0"/>
    <n v="0"/>
    <n v="0"/>
    <n v="0.01"/>
    <n v="9.1699999999999993E-3"/>
    <n v="0.91699999999999993"/>
    <n v="-1.0000000000005116E-2"/>
    <n v="1.0000000000005116E-2"/>
    <x v="1"/>
    <n v="81.907000000000011"/>
    <n v="5.7949999999999875"/>
    <n v="2"/>
  </r>
  <r>
    <s v="AJEET KUMAR"/>
    <d v="2026-06-10T00:00:00"/>
    <s v="SR-RTN/26-27/35228"/>
    <s v="B-298666"/>
    <s v="B-GOLD-FILING"/>
    <s v="GOLD-FILLING-WK"/>
    <x v="0"/>
    <s v="G-NA-91.70-YG"/>
    <n v="7.6"/>
    <n v="6.9691999999999998"/>
    <n v="0.91700000000000004"/>
    <n v="6.96"/>
    <n v="6.38232"/>
    <n v="6.383"/>
    <n v="0.91700000000000004"/>
    <n v="0"/>
    <n v="0"/>
    <n v="0"/>
    <n v="0"/>
    <n v="0"/>
    <n v="0"/>
    <n v="0"/>
    <n v="0"/>
    <n v="0"/>
    <n v="0.64"/>
    <n v="0.58687999999999996"/>
    <n v="0.91699999999999993"/>
    <n v="-0.63999999999999968"/>
    <n v="0.63999999999999968"/>
    <x v="0"/>
    <n v="6.383"/>
    <n v="0"/>
    <n v="1"/>
  </r>
  <r>
    <s v="AJEET KUMAR"/>
    <d v="2026-06-10T00:00:00"/>
    <s v="SR-RTN/26-27/35229"/>
    <s v="B-298669"/>
    <s v="B-GOLD-FILING"/>
    <s v="GOLD-FILLING-WK"/>
    <x v="0"/>
    <s v="G-NA-91.70-YG"/>
    <n v="8.0299999999999994"/>
    <n v="7.3635099999999998"/>
    <n v="0.91700000000000004"/>
    <n v="7.6"/>
    <n v="6.9691999999999998"/>
    <n v="6.9700000000000006"/>
    <n v="0.91700000000000004"/>
    <n v="0"/>
    <n v="0"/>
    <n v="0"/>
    <n v="0"/>
    <n v="0"/>
    <n v="0"/>
    <n v="0"/>
    <n v="0"/>
    <n v="0"/>
    <n v="0.43"/>
    <n v="0.39430999999999999"/>
    <n v="0.91700000000000004"/>
    <n v="-0.42999999999999972"/>
    <n v="0.42999999999999972"/>
    <x v="0"/>
    <n v="6.9700000000000006"/>
    <n v="0"/>
    <n v="1"/>
  </r>
  <r>
    <s v="AJEET KUMAR"/>
    <d v="2026-06-10T00:00:00"/>
    <s v="SR-RTN/26-27/35251"/>
    <s v="B-298079"/>
    <s v="B-GOLD-FILING"/>
    <s v="GOLD-FILLING-WK"/>
    <x v="0"/>
    <s v="G-NA-91.70-YG"/>
    <n v="3.25"/>
    <n v="2.9802499999999998"/>
    <n v="0.91699999999999993"/>
    <n v="2.86"/>
    <n v="2.62262"/>
    <n v="2.6229999999999998"/>
    <n v="0.91700000000000004"/>
    <n v="0"/>
    <n v="0"/>
    <n v="0"/>
    <n v="0"/>
    <n v="0"/>
    <n v="0"/>
    <n v="0"/>
    <n v="0"/>
    <n v="0"/>
    <n v="0.39"/>
    <n v="0.35763"/>
    <n v="0.91699999999999993"/>
    <n v="-0.39000000000000012"/>
    <n v="0.39000000000000012"/>
    <x v="0"/>
    <n v="2.6229999999999998"/>
    <n v="0"/>
    <n v="1"/>
  </r>
  <r>
    <s v="AJEET KUMAR"/>
    <d v="2026-06-10T00:00:00"/>
    <s v="SR-RTN/26-27/35254"/>
    <s v="B-298673"/>
    <s v="B-GOLD-FILING"/>
    <s v="GOLD-FILLING-WK"/>
    <x v="0"/>
    <s v="G-NA-91.70-YG"/>
    <n v="6.01"/>
    <n v="5.5111699999999999"/>
    <n v="0.91700000000000004"/>
    <n v="5.71"/>
    <n v="5.2360699999999998"/>
    <n v="5.2370000000000001"/>
    <n v="0.91699999999999993"/>
    <n v="0"/>
    <n v="0"/>
    <n v="0"/>
    <n v="0"/>
    <n v="0"/>
    <n v="0"/>
    <n v="0"/>
    <n v="0"/>
    <n v="0"/>
    <n v="0.3"/>
    <n v="0.27510000000000001"/>
    <n v="0.91700000000000004"/>
    <n v="-0.29999999999999982"/>
    <n v="0.29999999999999982"/>
    <x v="0"/>
    <n v="5.2370000000000001"/>
    <n v="0"/>
    <n v="1"/>
  </r>
  <r>
    <s v="AJEET KUMAR"/>
    <d v="2026-06-10T00:00:00"/>
    <s v="SR-RTN/26-27/35255"/>
    <s v="B-298672"/>
    <s v="B-GOLD-FILING"/>
    <s v="GOLD-FILLING-WK"/>
    <x v="0"/>
    <s v="G-NA-91.70-YG"/>
    <n v="7.57"/>
    <n v="6.9416900000000004"/>
    <n v="0.91700000000000004"/>
    <n v="7.3"/>
    <n v="6.6940999999999997"/>
    <n v="6.6950000000000003"/>
    <n v="0.91700000000000004"/>
    <n v="0"/>
    <n v="0"/>
    <n v="0"/>
    <n v="0"/>
    <n v="0"/>
    <n v="0"/>
    <n v="0"/>
    <n v="0"/>
    <n v="0"/>
    <n v="0.27"/>
    <n v="0.24759"/>
    <n v="0.91699999999999993"/>
    <n v="-0.27000000000000046"/>
    <n v="0.27000000000000046"/>
    <x v="0"/>
    <n v="6.6950000000000003"/>
    <n v="0"/>
    <n v="1"/>
  </r>
  <r>
    <s v="AJEET KUMAR"/>
    <d v="2026-06-10T00:00:00"/>
    <s v="SR-RTN/26-27/35256"/>
    <s v="B-298806"/>
    <s v="B-GOLD-FILING"/>
    <s v="GOLD-FILLING-WK"/>
    <x v="0"/>
    <s v="G-NA-91.70-YG"/>
    <n v="6.67"/>
    <n v="6.11639"/>
    <n v="0.91700000000000004"/>
    <n v="6.4"/>
    <n v="5.8688000000000002"/>
    <n v="5.8690000000000007"/>
    <n v="0.91700000000000004"/>
    <n v="0"/>
    <n v="0"/>
    <n v="0"/>
    <n v="0"/>
    <n v="0"/>
    <n v="0"/>
    <n v="0"/>
    <n v="0"/>
    <n v="0"/>
    <n v="0.27"/>
    <n v="0.24759"/>
    <n v="0.91699999999999993"/>
    <n v="-0.26999999999999957"/>
    <n v="0.26999999999999957"/>
    <x v="0"/>
    <n v="5.8690000000000007"/>
    <n v="0"/>
    <n v="1"/>
  </r>
  <r>
    <s v="AJEET KUMAR"/>
    <d v="2026-06-10T00:00:00"/>
    <s v="SR-RTN/26-27/35258"/>
    <s v="B-298702"/>
    <s v="B-GOLD-FILING"/>
    <s v="GOLD-FILLING-WK"/>
    <x v="0"/>
    <s v="G-NA-91.70-YG"/>
    <n v="5.91"/>
    <n v="5.4194699999999996"/>
    <n v="0.91699999999999993"/>
    <n v="5.48"/>
    <n v="5.0251599999999996"/>
    <n v="5.0260000000000007"/>
    <n v="0.91699999999999982"/>
    <n v="0"/>
    <n v="0"/>
    <n v="0"/>
    <n v="0"/>
    <n v="0"/>
    <n v="0"/>
    <n v="0"/>
    <n v="0"/>
    <n v="0"/>
    <n v="0.43"/>
    <n v="0.39430999999999999"/>
    <n v="0.91700000000000004"/>
    <n v="-0.42999999999999972"/>
    <n v="0.42999999999999972"/>
    <x v="0"/>
    <n v="5.0260000000000007"/>
    <n v="0"/>
    <n v="1"/>
  </r>
  <r>
    <s v="AJEET KUMAR"/>
    <d v="2026-06-10T00:00:00"/>
    <s v="SR-RTN/26-27/35260"/>
    <s v="B-298664"/>
    <s v="B-GOLD-FILING"/>
    <s v="GOLD-FILLING-WK"/>
    <x v="0"/>
    <s v="G-NA-91.70-YG"/>
    <n v="8.7799999999999994"/>
    <n v="8.0512599999999992"/>
    <n v="0.91699999999999993"/>
    <n v="8.14"/>
    <n v="7.4643800000000002"/>
    <n v="7.4650000000000007"/>
    <n v="0.91699999999999993"/>
    <n v="0"/>
    <n v="0"/>
    <n v="0"/>
    <n v="0"/>
    <n v="0"/>
    <n v="0"/>
    <n v="0"/>
    <n v="0"/>
    <n v="0"/>
    <n v="0.64"/>
    <n v="0.58687999999999996"/>
    <n v="0.91699999999999993"/>
    <n v="-0.63999999999999879"/>
    <n v="0.63999999999999879"/>
    <x v="0"/>
    <n v="7.4650000000000007"/>
    <n v="0"/>
    <n v="1"/>
  </r>
  <r>
    <s v="AJEET KUMAR"/>
    <d v="2026-06-10T00:00:00"/>
    <s v="SR-RTN/26-27/35390"/>
    <s v="B-298155"/>
    <s v="B-GOLD-FILING"/>
    <s v="GOLD-FILLING-WK"/>
    <x v="0"/>
    <s v="G-NA-91.70-YG"/>
    <n v="406.12"/>
    <n v="372.41203999999999"/>
    <n v="0.91699999999999993"/>
    <n v="370.2"/>
    <n v="339.47340000000003"/>
    <n v="339.47399999999999"/>
    <n v="0.91700000000000015"/>
    <n v="0"/>
    <n v="0"/>
    <n v="0"/>
    <n v="0"/>
    <n v="0"/>
    <n v="0"/>
    <n v="0"/>
    <n v="0"/>
    <n v="0"/>
    <n v="35.92"/>
    <n v="32.938639999999999"/>
    <n v="0.91699999999999993"/>
    <n v="-35.920000000000016"/>
    <n v="35.920000000000016"/>
    <x v="1"/>
    <n v="311.221"/>
    <n v="28.252999999999986"/>
    <n v="3"/>
  </r>
  <r>
    <s v="AJEET KUMAR"/>
    <d v="2026-06-10T00:00:00"/>
    <s v="SR-RTN/26-27/35390"/>
    <s v="B-298404"/>
    <s v="B-GOLD-FILING"/>
    <s v="GOLD-FILLING-WK"/>
    <x v="0"/>
    <s v="G-NA-91.70-YG"/>
    <n v="15.62"/>
    <n v="14.323539999999999"/>
    <n v="0.91700000000000004"/>
    <n v="15.62"/>
    <n v="14.323539999999999"/>
    <n v="14.324"/>
    <n v="0.91700000000000004"/>
    <n v="0"/>
    <n v="0"/>
    <n v="0"/>
    <n v="0"/>
    <n v="0"/>
    <n v="0"/>
    <n v="0"/>
    <n v="0"/>
    <n v="0"/>
    <n v="0"/>
    <n v="0"/>
    <n v="0"/>
    <n v="0"/>
    <n v="0"/>
    <x v="0"/>
    <n v="14.324"/>
    <n v="0"/>
    <n v="2"/>
  </r>
  <r>
    <s v="AJEET KUMAR"/>
    <d v="2026-06-10T00:00:00"/>
    <s v="SR-RTN/26-27/35390"/>
    <s v="B-298796"/>
    <s v="B-GOLD-FILING"/>
    <s v="GOLD-FILLING-WK"/>
    <x v="1"/>
    <s v="G-NA-75.00-RG"/>
    <n v="4.96"/>
    <n v="3.72"/>
    <n v="0.75"/>
    <n v="4.6100000000000003"/>
    <n v="3.4575"/>
    <n v="3.4579999999999997"/>
    <n v="0.75"/>
    <n v="0"/>
    <n v="0"/>
    <n v="0"/>
    <n v="0"/>
    <n v="0"/>
    <n v="0"/>
    <n v="0"/>
    <n v="0"/>
    <n v="0"/>
    <n v="0.35"/>
    <n v="0.26250000000000001"/>
    <n v="0.75000000000000011"/>
    <n v="-0.34999999999999964"/>
    <n v="0.34999999999999964"/>
    <x v="0"/>
    <n v="3.4579999999999997"/>
    <n v="0"/>
    <n v="1"/>
  </r>
  <r>
    <s v="AJEET KUMAR"/>
    <d v="2026-06-10T00:00:00"/>
    <s v="SR-RTN/26-27/35403"/>
    <s v="B-298800"/>
    <s v="B-GOLD-FILING"/>
    <s v="GOLD-FILLING-WK"/>
    <x v="0"/>
    <s v="G-NA-91.70-YG"/>
    <n v="9.468"/>
    <n v="8.6821560000000009"/>
    <n v="0.91700000000000015"/>
    <n v="8.798"/>
    <n v="8.0677660000000007"/>
    <n v="8.0679999999999996"/>
    <n v="0.91700000000000004"/>
    <n v="0"/>
    <n v="0"/>
    <n v="0"/>
    <n v="0"/>
    <n v="0"/>
    <n v="0"/>
    <n v="0"/>
    <n v="0"/>
    <n v="0"/>
    <n v="0.67"/>
    <n v="0.61438999999999999"/>
    <n v="0.91699999999999993"/>
    <n v="-0.67"/>
    <n v="0.67"/>
    <x v="0"/>
    <n v="8.0679999999999996"/>
    <n v="0"/>
    <n v="1"/>
  </r>
  <r>
    <s v="AJEET KUMAR"/>
    <d v="2026-06-10T00:00:00"/>
    <s v="SR-RTN/26-27/35403"/>
    <s v="B-298820"/>
    <s v="B-GOLD-FILING"/>
    <s v="GOLD-FILLING-WK"/>
    <x v="0"/>
    <s v="G-NA-91.70-YG"/>
    <n v="3.78"/>
    <n v="3.4662600000000001"/>
    <n v="0.91700000000000004"/>
    <n v="3.52"/>
    <n v="3.22784"/>
    <n v="3.2279999999999998"/>
    <n v="0.91700000000000004"/>
    <n v="0"/>
    <n v="0"/>
    <n v="0"/>
    <n v="0"/>
    <n v="0"/>
    <n v="0"/>
    <n v="0"/>
    <n v="0"/>
    <n v="0"/>
    <n v="0.26"/>
    <n v="0.23841999999999999"/>
    <n v="0.91699999999999993"/>
    <n v="-0.25999999999999979"/>
    <n v="0.25999999999999979"/>
    <x v="0"/>
    <n v="3.2279999999999998"/>
    <n v="0"/>
    <n v="1"/>
  </r>
  <r>
    <s v="AJEET KUMAR"/>
    <d v="2026-06-10T00:00:00"/>
    <s v="SR-RTN/26-27/35403"/>
    <s v="B-298821"/>
    <s v="B-GOLD-FILING"/>
    <s v="GOLD-FILLING-WK"/>
    <x v="0"/>
    <s v="G-NA-91.70-YG"/>
    <n v="6.96"/>
    <n v="6.38232"/>
    <n v="0.91700000000000004"/>
    <n v="6.59"/>
    <n v="6.0430299999999999"/>
    <n v="6.0440000000000005"/>
    <n v="0.91700000000000004"/>
    <n v="0"/>
    <n v="0"/>
    <n v="0"/>
    <n v="0"/>
    <n v="0"/>
    <n v="0"/>
    <n v="0"/>
    <n v="0"/>
    <n v="0"/>
    <n v="0.37"/>
    <n v="0.33928999999999998"/>
    <n v="0.91699999999999993"/>
    <n v="-0.37000000000000011"/>
    <n v="0.37000000000000011"/>
    <x v="0"/>
    <n v="6.0440000000000005"/>
    <n v="0"/>
    <n v="1"/>
  </r>
  <r>
    <s v="AJEET KUMAR"/>
    <d v="2026-06-10T00:00:00"/>
    <s v="SR-RTN/26-27/35418"/>
    <s v="B-297997"/>
    <s v="B-GOLD-FILING"/>
    <s v="GOLD-FILLING-WK"/>
    <x v="0"/>
    <s v="G-NA-91.70-YG"/>
    <n v="25.33"/>
    <n v="23.227609999999999"/>
    <n v="0.91700000000000004"/>
    <n v="25.07"/>
    <n v="22.989190000000001"/>
    <n v="22.990000000000002"/>
    <n v="0.91700000000000004"/>
    <n v="0"/>
    <n v="0"/>
    <n v="0"/>
    <n v="0"/>
    <n v="0"/>
    <n v="0"/>
    <n v="0"/>
    <n v="0"/>
    <n v="0"/>
    <n v="0.26"/>
    <n v="0.23841999999999999"/>
    <n v="0.91699999999999993"/>
    <n v="-0.25999999999999801"/>
    <n v="0.25999999999999801"/>
    <x v="1"/>
    <n v="22.274000000000001"/>
    <n v="0.71600000000000108"/>
    <n v="3"/>
  </r>
  <r>
    <s v="AJEET KUMAR"/>
    <d v="2026-06-10T00:00:00"/>
    <s v="SR-RTN/26-27/35420"/>
    <s v="B-298799"/>
    <s v="B-GOLD-FILING"/>
    <s v="GOLD-FILLING-WK"/>
    <x v="1"/>
    <s v="G-NA-75.00-YG"/>
    <n v="81.64"/>
    <n v="61.23"/>
    <n v="0.75"/>
    <n v="77.650000000000006"/>
    <n v="58.237499999999997"/>
    <n v="58.238"/>
    <n v="0.74999999999999989"/>
    <n v="0"/>
    <n v="0"/>
    <n v="0"/>
    <n v="0"/>
    <n v="0"/>
    <n v="0"/>
    <n v="0"/>
    <n v="0"/>
    <n v="0"/>
    <n v="3.99"/>
    <n v="2.9925000000000002"/>
    <n v="0.75"/>
    <n v="-3.9899999999999949"/>
    <n v="3.9899999999999949"/>
    <x v="0"/>
    <n v="58.238"/>
    <n v="0"/>
    <n v="1"/>
  </r>
  <r>
    <s v="AJEET KUMAR"/>
    <d v="2026-06-10T00:00:00"/>
    <s v="SR-RTN/26-27/35437"/>
    <s v="B-291825"/>
    <s v="B-GOLD-FILING"/>
    <s v="GOLD-FILLING-WK"/>
    <x v="0"/>
    <s v="G-NA-91.70-YG"/>
    <n v="17.059999999999999"/>
    <n v="15.644019999999999"/>
    <n v="0.91700000000000004"/>
    <n v="17"/>
    <n v="15.589"/>
    <n v="15.589"/>
    <n v="0.91700000000000004"/>
    <n v="0"/>
    <n v="0"/>
    <n v="0"/>
    <n v="0"/>
    <n v="0"/>
    <n v="0"/>
    <n v="0"/>
    <n v="0"/>
    <n v="0"/>
    <n v="0.06"/>
    <n v="5.5019999999999999E-2"/>
    <n v="0.91700000000000004"/>
    <n v="-5.9999999999998721E-2"/>
    <n v="5.9999999999998721E-2"/>
    <x v="1"/>
    <n v="15.589"/>
    <n v="0"/>
    <n v="2"/>
  </r>
  <r>
    <s v="AJEET KUMAR"/>
    <d v="2026-06-10T00:00:00"/>
    <s v="SR-RTN/26-27/35437"/>
    <s v="B-291835"/>
    <s v="B-GOLD-FILING"/>
    <s v="GOLD-FILLING-WK"/>
    <x v="0"/>
    <s v="G-NA-91.70-YG"/>
    <n v="33.78"/>
    <n v="30.97626"/>
    <n v="0.91699999999999993"/>
    <n v="33.61"/>
    <n v="30.82037"/>
    <n v="30.821000000000002"/>
    <n v="0.91700000000000004"/>
    <n v="0"/>
    <n v="0"/>
    <n v="0"/>
    <n v="0"/>
    <n v="0"/>
    <n v="0"/>
    <n v="0"/>
    <n v="0"/>
    <n v="0"/>
    <n v="0.17"/>
    <n v="0.15589"/>
    <n v="0.91699999999999993"/>
    <n v="-0.17000000000000171"/>
    <n v="0.17000000000000171"/>
    <x v="0"/>
    <n v="30.821000000000002"/>
    <n v="0"/>
    <n v="2"/>
  </r>
  <r>
    <s v="AJEET KUMAR"/>
    <d v="2026-06-10T00:00:00"/>
    <s v="SR-RTN/26-27/35437"/>
    <s v="B-298278"/>
    <s v="B-GOLD-FILING"/>
    <s v="GOLD-FILLING-WK"/>
    <x v="0"/>
    <s v="G-NA-91.70-YG"/>
    <n v="22.63"/>
    <n v="20.751709999999999"/>
    <n v="0.91700000000000004"/>
    <n v="20.29"/>
    <n v="18.605930000000001"/>
    <n v="18.606000000000002"/>
    <n v="0.91700000000000004"/>
    <n v="0"/>
    <n v="0"/>
    <n v="0"/>
    <n v="0"/>
    <n v="0"/>
    <n v="0"/>
    <n v="0"/>
    <n v="0"/>
    <n v="0"/>
    <n v="2.34"/>
    <n v="2.1457799999999998"/>
    <n v="0.91699999999999993"/>
    <n v="-2.34"/>
    <n v="2.34"/>
    <x v="0"/>
    <n v="18.606000000000002"/>
    <n v="0"/>
    <n v="1"/>
  </r>
  <r>
    <s v="AJEET KUMAR"/>
    <d v="2026-06-10T00:00:00"/>
    <s v="SR-RTN/26-27/35480"/>
    <s v="B-298798"/>
    <s v="B-GOLD-FILING"/>
    <s v="GOLD-FILLING-WK"/>
    <x v="1"/>
    <s v="G-NA-75.00-RG"/>
    <n v="145.91"/>
    <n v="109.4325"/>
    <n v="0.75"/>
    <n v="140.38999999999999"/>
    <n v="105.2925"/>
    <n v="105.29300000000001"/>
    <n v="0.75000000000000011"/>
    <n v="0"/>
    <n v="0"/>
    <n v="0"/>
    <n v="0"/>
    <n v="0"/>
    <n v="0"/>
    <n v="0"/>
    <n v="0"/>
    <n v="0"/>
    <n v="5.52"/>
    <n v="4.1399999999999997"/>
    <n v="0.75"/>
    <n v="-5.5200000000000102"/>
    <n v="5.5200000000000102"/>
    <x v="0"/>
    <n v="105.29300000000001"/>
    <n v="0"/>
    <n v="1"/>
  </r>
  <r>
    <s v="AJEET KUMAR"/>
    <d v="2026-06-10T00:00:00"/>
    <s v="SR-RTN/26-27/35481"/>
    <s v="B-297827"/>
    <s v="B-GOLD-FILING"/>
    <s v="GOLD-FILLING-WK"/>
    <x v="1"/>
    <s v="G-NA-75.00-RG"/>
    <n v="4.6399999999999997"/>
    <n v="3.48"/>
    <n v="0.75"/>
    <n v="4.3899999999999997"/>
    <n v="3.2925"/>
    <n v="3.2929999999999997"/>
    <n v="0.75"/>
    <n v="0"/>
    <n v="0"/>
    <n v="0"/>
    <n v="0"/>
    <n v="0"/>
    <n v="0"/>
    <n v="0"/>
    <n v="0"/>
    <n v="0"/>
    <n v="0.25"/>
    <n v="0.1875"/>
    <n v="0.75"/>
    <n v="-0.25"/>
    <n v="0.25"/>
    <x v="0"/>
    <n v="3.2929999999999997"/>
    <n v="0"/>
    <n v="1"/>
  </r>
  <r>
    <s v="AJEET KUMAR"/>
    <d v="2026-06-10T00:00:00"/>
    <s v="SR-RTN/26-27/35482"/>
    <s v="B-298366"/>
    <s v="B-GOLD-FILING"/>
    <s v="GOLD-FILLING-WK"/>
    <x v="0"/>
    <s v="G-NA-91.70-YG"/>
    <n v="16.73"/>
    <n v="15.34141"/>
    <n v="0.91699999999999993"/>
    <n v="16"/>
    <n v="14.672000000000001"/>
    <n v="14.672000000000001"/>
    <n v="0.91700000000000004"/>
    <n v="0"/>
    <n v="0"/>
    <n v="0"/>
    <n v="0"/>
    <n v="0"/>
    <n v="0"/>
    <n v="0"/>
    <n v="0"/>
    <n v="0"/>
    <n v="0.73"/>
    <n v="0.66940999999999995"/>
    <n v="0.91699999999999993"/>
    <n v="-0.73000000000000043"/>
    <n v="0.73000000000000043"/>
    <x v="0"/>
    <n v="14.672000000000001"/>
    <n v="0"/>
    <n v="1"/>
  </r>
  <r>
    <s v="AJEET KUMAR"/>
    <d v="2026-06-10T00:00:00"/>
    <s v="SR-RTN/26-27/35483"/>
    <s v="B-298658"/>
    <s v="B-GOLD-FILING"/>
    <s v="GOLD-FILLING-WK"/>
    <x v="0"/>
    <s v="G-NA-91.70-YG"/>
    <n v="26.31"/>
    <n v="24.126270000000002"/>
    <n v="0.91700000000000015"/>
    <n v="24.27"/>
    <n v="22.255590000000002"/>
    <n v="22.256"/>
    <n v="0.91700000000000004"/>
    <n v="0"/>
    <n v="0"/>
    <n v="0"/>
    <n v="0"/>
    <n v="0"/>
    <n v="0"/>
    <n v="0"/>
    <n v="0"/>
    <n v="0"/>
    <n v="2.04"/>
    <n v="1.8706799999999999"/>
    <n v="0.91699999999999993"/>
    <n v="-2.0399999999999991"/>
    <n v="2.0399999999999991"/>
    <x v="0"/>
    <n v="22.256"/>
    <n v="0"/>
    <n v="1"/>
  </r>
  <r>
    <s v="AJEET KUMAR"/>
    <d v="2026-06-10T00:00:00"/>
    <s v="SR-RTN/26-27/35495"/>
    <s v="B-298795"/>
    <s v="B-GOLD-FILING"/>
    <s v="GOLD-FILLING-WK"/>
    <x v="1"/>
    <s v="G-NA-75.00-YG"/>
    <n v="38.08"/>
    <n v="28.56"/>
    <n v="0.75"/>
    <n v="35.75"/>
    <n v="26.8125"/>
    <n v="26.813000000000002"/>
    <n v="0.75"/>
    <n v="0"/>
    <n v="0"/>
    <n v="0"/>
    <n v="0"/>
    <n v="0"/>
    <n v="0"/>
    <n v="0"/>
    <n v="0"/>
    <n v="0"/>
    <n v="2.33"/>
    <n v="1.7475000000000001"/>
    <n v="0.75"/>
    <n v="-2.3299999999999983"/>
    <n v="2.3299999999999983"/>
    <x v="0"/>
    <n v="26.813000000000002"/>
    <n v="0"/>
    <n v="1"/>
  </r>
  <r>
    <s v="AJEET KUMAR"/>
    <d v="2026-06-10T00:00:00"/>
    <s v="SR-RTN/26-27/35503"/>
    <s v="B-298318"/>
    <s v="B-GOLD-FILING"/>
    <s v="GOLD-FILLING-WK"/>
    <x v="1"/>
    <s v="G-NA-75.00-YG"/>
    <n v="30.85"/>
    <n v="23.137499999999999"/>
    <n v="0.74999999999999989"/>
    <n v="28.36"/>
    <n v="21.27"/>
    <n v="21.27"/>
    <n v="0.75"/>
    <n v="0"/>
    <n v="0"/>
    <n v="0"/>
    <n v="0"/>
    <n v="0"/>
    <n v="0"/>
    <n v="0"/>
    <n v="0"/>
    <n v="0"/>
    <n v="2.4900000000000002"/>
    <n v="1.8674999999999999"/>
    <n v="0.74999999999999989"/>
    <n v="-2.490000000000002"/>
    <n v="2.490000000000002"/>
    <x v="0"/>
    <n v="21.27"/>
    <n v="0"/>
    <n v="2"/>
  </r>
  <r>
    <s v="AJEET KUMAR"/>
    <d v="2026-06-10T00:00:00"/>
    <s v="SR-RTN/26-27/35526"/>
    <s v="B-297317"/>
    <s v="B-GOLD-FILING"/>
    <s v="GOLD-FILLING-WK"/>
    <x v="1"/>
    <s v="G-NA-75.00-YG"/>
    <n v="40.01"/>
    <n v="30.0075"/>
    <n v="0.75"/>
    <n v="39.79"/>
    <n v="29.842500000000001"/>
    <n v="29.843"/>
    <n v="0.75"/>
    <n v="0"/>
    <n v="0"/>
    <n v="0"/>
    <n v="0"/>
    <n v="0"/>
    <n v="0"/>
    <n v="0"/>
    <n v="0"/>
    <n v="0"/>
    <n v="0.22"/>
    <n v="0.16500000000000001"/>
    <n v="0.75"/>
    <n v="-0.21999999999999886"/>
    <n v="0.21999999999999886"/>
    <x v="0"/>
    <n v="29.843"/>
    <n v="0"/>
    <n v="2"/>
  </r>
  <r>
    <s v="AJEET KUMAR"/>
    <d v="2026-06-10T00:00:00"/>
    <s v="SR-RTN/26-27/35526"/>
    <s v="B-298623"/>
    <s v="B-GOLD-FILING"/>
    <s v="GOLD-FILLING-WK"/>
    <x v="0"/>
    <s v="G-NA-91.70-YG"/>
    <n v="55.84"/>
    <n v="51.205280000000002"/>
    <n v="0.91699999999999993"/>
    <n v="52.6"/>
    <n v="48.234200000000001"/>
    <n v="48.234999999999999"/>
    <n v="0.91700000000000004"/>
    <n v="0"/>
    <n v="0"/>
    <n v="0"/>
    <n v="0"/>
    <n v="0"/>
    <n v="0"/>
    <n v="0"/>
    <n v="0"/>
    <n v="0"/>
    <n v="3.24"/>
    <n v="2.9710800000000002"/>
    <n v="0.91700000000000004"/>
    <n v="-3.240000000000002"/>
    <n v="3.240000000000002"/>
    <x v="0"/>
    <n v="48.234999999999999"/>
    <n v="0"/>
    <n v="2"/>
  </r>
  <r>
    <s v="AJEET KUMAR"/>
    <d v="2026-06-10T00:00:00"/>
    <s v="SR-RTN/26-27/35540"/>
    <s v="B-298279"/>
    <s v="B-GOLD-FILING"/>
    <s v="GOLD-FILLING-WK"/>
    <x v="0"/>
    <s v="G-NA-91.70-YG"/>
    <n v="21"/>
    <n v="19.257000000000001"/>
    <n v="0.91700000000000004"/>
    <n v="18.88"/>
    <n v="17.31296"/>
    <n v="17.313000000000002"/>
    <n v="0.91700000000000004"/>
    <n v="0"/>
    <n v="0"/>
    <n v="0"/>
    <n v="0"/>
    <n v="0"/>
    <n v="0"/>
    <n v="0"/>
    <n v="0"/>
    <n v="0"/>
    <n v="2.12"/>
    <n v="1.94404"/>
    <n v="0.91699999999999993"/>
    <n v="-2.120000000000001"/>
    <n v="2.120000000000001"/>
    <x v="0"/>
    <n v="17.313000000000002"/>
    <n v="0"/>
    <n v="1"/>
  </r>
  <r>
    <s v="AJEET KUMAR"/>
    <d v="2026-06-10T00:00:00"/>
    <s v="SR-RTN/26-27/35580"/>
    <s v="B-298626"/>
    <s v="B-GOLD-FILING"/>
    <s v="GOLD-FILLING-WK"/>
    <x v="0"/>
    <s v="G-NA-91.70-YG"/>
    <n v="66.91"/>
    <n v="61.356470000000002"/>
    <n v="0.91700000000000004"/>
    <n v="62.97"/>
    <n v="57.743490000000001"/>
    <n v="57.744"/>
    <n v="0.91700000000000004"/>
    <n v="0"/>
    <n v="0"/>
    <n v="0"/>
    <n v="0"/>
    <n v="0"/>
    <n v="0"/>
    <n v="0"/>
    <n v="0"/>
    <n v="0"/>
    <n v="3.94"/>
    <n v="3.6129799999999999"/>
    <n v="0.91699999999999993"/>
    <n v="-3.9399999999999977"/>
    <n v="3.9399999999999977"/>
    <x v="0"/>
    <n v="57.744"/>
    <n v="0"/>
    <n v="1"/>
  </r>
  <r>
    <s v="AJEET KUMAR"/>
    <d v="2026-06-10T00:00:00"/>
    <s v="SR-RTN/26-27/35598"/>
    <s v="B-297988"/>
    <s v="B-GOLD-FILING"/>
    <s v="GOLD-FILLING-WK"/>
    <x v="0"/>
    <s v="G-NA-91.70-YG"/>
    <n v="28.58"/>
    <n v="26.20786"/>
    <n v="0.91700000000000004"/>
    <n v="26.17"/>
    <n v="23.997890000000002"/>
    <n v="23.998000000000001"/>
    <n v="0.91700000000000004"/>
    <n v="0"/>
    <n v="0"/>
    <n v="0"/>
    <n v="0"/>
    <n v="0"/>
    <n v="0"/>
    <n v="0"/>
    <n v="0"/>
    <n v="0"/>
    <n v="2.41"/>
    <n v="2.2099700000000002"/>
    <n v="0.91700000000000004"/>
    <n v="-2.4099999999999966"/>
    <n v="2.4099999999999966"/>
    <x v="0"/>
    <n v="23.998000000000001"/>
    <n v="0"/>
    <n v="1"/>
  </r>
  <r>
    <s v="AJEET KUMAR"/>
    <d v="2026-06-10T00:00:00"/>
    <s v="SR-RTN/26-27/35598"/>
    <s v="B-297996"/>
    <s v="B-GOLD-FILING"/>
    <s v="GOLD-FILLING-WK"/>
    <x v="0"/>
    <s v="G-NA-91.70-YG"/>
    <n v="30.35"/>
    <n v="27.830950000000001"/>
    <n v="0.91700000000000004"/>
    <n v="28.47"/>
    <n v="26.10699"/>
    <n v="26.107000000000003"/>
    <n v="0.91700000000000004"/>
    <n v="0"/>
    <n v="0"/>
    <n v="0"/>
    <n v="0"/>
    <n v="0"/>
    <n v="0"/>
    <n v="0"/>
    <n v="0"/>
    <n v="0"/>
    <n v="1.88"/>
    <n v="1.7239599999999999"/>
    <n v="0.91700000000000004"/>
    <n v="-1.8800000000000026"/>
    <n v="1.8800000000000026"/>
    <x v="0"/>
    <n v="26.107000000000003"/>
    <n v="0"/>
    <n v="1"/>
  </r>
  <r>
    <s v="AJEET KUMAR"/>
    <d v="2026-06-10T00:00:00"/>
    <s v="SR-RTN/26-27/35618"/>
    <s v="B-297985"/>
    <s v="B-GOLD-FILING"/>
    <s v="GOLD-FILLING-WK"/>
    <x v="0"/>
    <s v="G-NA-91.70-YG"/>
    <n v="45.19"/>
    <n v="41.439230000000002"/>
    <n v="0.91700000000000004"/>
    <n v="41.5"/>
    <n v="38.055500000000002"/>
    <n v="38.055999999999997"/>
    <n v="0.91700000000000004"/>
    <n v="0"/>
    <n v="0"/>
    <n v="0"/>
    <n v="0"/>
    <n v="0"/>
    <n v="0"/>
    <n v="0"/>
    <n v="0"/>
    <n v="0"/>
    <n v="3.69"/>
    <n v="3.3837299999999999"/>
    <n v="0.91700000000000004"/>
    <n v="-3.6899999999999977"/>
    <n v="3.6899999999999977"/>
    <x v="0"/>
    <n v="38.055999999999997"/>
    <n v="0"/>
    <n v="1"/>
  </r>
  <r>
    <s v="AJEET KUMAR"/>
    <d v="2026-06-10T00:00:00"/>
    <s v="SR-RTN/26-27/35666"/>
    <s v="B-297984"/>
    <s v="B-GOLD-FILING"/>
    <s v="GOLD-FILLING-WK"/>
    <x v="0"/>
    <s v="G-NA-91.70-YG"/>
    <n v="28.86"/>
    <n v="26.46462"/>
    <n v="0.91700000000000004"/>
    <n v="26.99"/>
    <n v="24.749829999999999"/>
    <n v="24.75"/>
    <n v="0.91700000000000004"/>
    <n v="0"/>
    <n v="0"/>
    <n v="0"/>
    <n v="0"/>
    <n v="0"/>
    <n v="0"/>
    <n v="0"/>
    <n v="0"/>
    <n v="0"/>
    <n v="1.87"/>
    <n v="1.71479"/>
    <n v="0.91699999999999993"/>
    <n v="-1.870000000000001"/>
    <n v="1.870000000000001"/>
    <x v="0"/>
    <n v="24.75"/>
    <n v="0"/>
    <n v="1"/>
  </r>
  <r>
    <s v="AJEET KUMAR"/>
    <d v="2026-06-10T00:00:00"/>
    <s v="SR-RTN/26-27/35666"/>
    <s v="B-297987"/>
    <s v="B-GOLD-FILING"/>
    <s v="GOLD-FILLING-WK"/>
    <x v="0"/>
    <s v="G-NA-91.70-YG"/>
    <n v="25.2"/>
    <n v="23.1084"/>
    <n v="0.91700000000000004"/>
    <n v="23.27"/>
    <n v="21.33859"/>
    <n v="21.339000000000002"/>
    <n v="0.91700000000000004"/>
    <n v="0"/>
    <n v="0"/>
    <n v="0"/>
    <n v="0"/>
    <n v="0"/>
    <n v="0"/>
    <n v="0"/>
    <n v="0"/>
    <n v="0"/>
    <n v="1.93"/>
    <n v="1.7698100000000001"/>
    <n v="0.91700000000000004"/>
    <n v="-1.9299999999999997"/>
    <n v="1.9299999999999997"/>
    <x v="0"/>
    <n v="21.339000000000002"/>
    <n v="0"/>
    <n v="1"/>
  </r>
  <r>
    <s v="AJEET KUMAR"/>
    <d v="2026-06-10T00:00:00"/>
    <s v="SR-RTN/26-27/35666"/>
    <s v="B-297991"/>
    <s v="B-GOLD-FILING"/>
    <s v="GOLD-FILLING-WK"/>
    <x v="0"/>
    <s v="G-NA-91.70-YG"/>
    <n v="35.47"/>
    <n v="32.52599"/>
    <n v="0.91700000000000004"/>
    <n v="33.75"/>
    <n v="30.94875"/>
    <n v="30.949000000000002"/>
    <n v="0.91700000000000004"/>
    <n v="0"/>
    <n v="0"/>
    <n v="0"/>
    <n v="0"/>
    <n v="0"/>
    <n v="0"/>
    <n v="0"/>
    <n v="0"/>
    <n v="0"/>
    <n v="1.72"/>
    <n v="1.57724"/>
    <n v="0.91700000000000004"/>
    <n v="-1.7199999999999989"/>
    <n v="1.7199999999999989"/>
    <x v="0"/>
    <n v="30.949000000000002"/>
    <n v="0"/>
    <n v="1"/>
  </r>
  <r>
    <s v="AJEET KUMAR"/>
    <d v="2026-06-10T00:00:00"/>
    <s v="SR-RTN/26-27/35666"/>
    <s v="B-298610"/>
    <s v="B-GOLD-FILING"/>
    <s v="GOLD-FILLING-WK"/>
    <x v="0"/>
    <s v="G-NA-91.70-YG"/>
    <n v="58.52"/>
    <n v="53.662840000000003"/>
    <n v="0.91700000000000004"/>
    <n v="55.13"/>
    <n v="50.554209999999998"/>
    <n v="50.555"/>
    <n v="0.91699999999999993"/>
    <n v="0"/>
    <n v="0"/>
    <n v="0"/>
    <n v="0"/>
    <n v="0"/>
    <n v="0"/>
    <n v="0"/>
    <n v="0"/>
    <n v="0"/>
    <n v="3.39"/>
    <n v="3.1086299999999998"/>
    <n v="0.91699999999999993"/>
    <n v="-3.3900000000000006"/>
    <n v="3.3900000000000006"/>
    <x v="0"/>
    <n v="50.555"/>
    <n v="0"/>
    <n v="2"/>
  </r>
  <r>
    <s v="AJEET KUMAR"/>
    <d v="2026-06-10T00:00:00"/>
    <s v="SR-RTN/26-27/35666"/>
    <s v="B-298642"/>
    <s v="B-GOLD-FILING"/>
    <s v="GOLD-FILLING-WK"/>
    <x v="0"/>
    <s v="G-NA-91.70-YG"/>
    <n v="124.93"/>
    <n v="114.56081"/>
    <n v="0.91699999999999993"/>
    <n v="120.02"/>
    <n v="110.05834"/>
    <n v="110.05900000000001"/>
    <n v="0.91700000000000004"/>
    <n v="0"/>
    <n v="0"/>
    <n v="0"/>
    <n v="0"/>
    <n v="0"/>
    <n v="0"/>
    <n v="0"/>
    <n v="0"/>
    <n v="0"/>
    <n v="4.91"/>
    <n v="4.5024699999999998"/>
    <n v="0.91699999999999993"/>
    <n v="-4.9100000000000108"/>
    <n v="4.9100000000000108"/>
    <x v="0"/>
    <n v="110.05900000000001"/>
    <n v="0"/>
    <n v="2"/>
  </r>
  <r>
    <s v="AJEET KUMAR"/>
    <d v="2026-06-10T00:00:00"/>
    <s v="SR-RTN/26-27/35666"/>
    <s v="B-298644"/>
    <s v="B-GOLD-FILING"/>
    <s v="GOLD-FILLING-WK"/>
    <x v="0"/>
    <s v="G-NA-91.70-YG"/>
    <n v="95.62"/>
    <n v="87.683539999999994"/>
    <n v="0.91699999999999993"/>
    <n v="89.32"/>
    <n v="81.906440000000003"/>
    <n v="81.907000000000011"/>
    <n v="0.91700000000000015"/>
    <n v="0"/>
    <n v="0"/>
    <n v="0"/>
    <n v="0"/>
    <n v="0"/>
    <n v="0"/>
    <n v="0"/>
    <n v="0"/>
    <n v="0"/>
    <n v="6.3"/>
    <n v="5.7770999999999999"/>
    <n v="0.91700000000000004"/>
    <n v="-6.3000000000000114"/>
    <n v="6.3000000000000114"/>
    <x v="0"/>
    <n v="81.907000000000011"/>
    <n v="0"/>
    <n v="2"/>
  </r>
  <r>
    <s v="AJEET KUMAR"/>
    <d v="2026-06-10T00:00:00"/>
    <s v="SR-RTN/26-27/35690"/>
    <s v="B-297809"/>
    <s v="B-GOLD-FILING"/>
    <s v="GOLD-FILLING-WK"/>
    <x v="1"/>
    <s v="G-NA-75.00-RG"/>
    <n v="62.43"/>
    <n v="46.822499999999998"/>
    <n v="0.75"/>
    <n v="57.37"/>
    <n v="43.027500000000003"/>
    <n v="43.027999999999999"/>
    <n v="0.75000000000000011"/>
    <n v="0"/>
    <n v="0"/>
    <n v="0"/>
    <n v="0"/>
    <n v="0"/>
    <n v="0"/>
    <n v="0"/>
    <n v="0"/>
    <n v="0"/>
    <n v="5.0599999999999996"/>
    <n v="3.7949999999999999"/>
    <n v="0.75"/>
    <n v="-5.0600000000000023"/>
    <n v="5.0600000000000023"/>
    <x v="0"/>
    <n v="43.027999999999999"/>
    <n v="0"/>
    <n v="1"/>
  </r>
  <r>
    <s v="AJEET KUMAR"/>
    <d v="2026-06-10T00:00:00"/>
    <s v="SR-RTN/26-27/35694"/>
    <s v="B-298157"/>
    <s v="B-GOLD-FILING"/>
    <s v="GOLD-FILLING-WK"/>
    <x v="1"/>
    <s v="G-NA-75.00-YG"/>
    <n v="331.15"/>
    <n v="248.36250000000001"/>
    <n v="0.75000000000000011"/>
    <n v="313.45"/>
    <n v="235.08750000000001"/>
    <n v="235.08799999999999"/>
    <n v="0.75"/>
    <n v="0"/>
    <n v="0"/>
    <n v="0"/>
    <n v="0"/>
    <n v="0"/>
    <n v="0"/>
    <n v="0"/>
    <n v="0"/>
    <n v="0"/>
    <n v="17.7"/>
    <n v="13.275"/>
    <n v="0.75"/>
    <n v="-17.699999999999989"/>
    <n v="17.699999999999989"/>
    <x v="1"/>
    <n v="234.39"/>
    <n v="0.6980000000000075"/>
    <n v="3"/>
  </r>
  <r>
    <s v="AJEET KUMAR"/>
    <d v="2026-06-10T00:00:00"/>
    <s v="SR-RTN/26-27/35697"/>
    <s v="B-298797"/>
    <s v="B-GOLD-FILING"/>
    <s v="GOLD-FILLING-WK"/>
    <x v="1"/>
    <s v="G-NA-75.00-RG"/>
    <n v="69.03"/>
    <n v="51.772500000000001"/>
    <n v="0.75"/>
    <n v="64.760000000000005"/>
    <n v="48.57"/>
    <n v="48.57"/>
    <n v="0.75"/>
    <n v="0"/>
    <n v="0"/>
    <n v="0"/>
    <n v="0"/>
    <n v="0"/>
    <n v="0"/>
    <n v="0"/>
    <n v="0"/>
    <n v="0"/>
    <n v="4.2699999999999996"/>
    <n v="3.2025000000000001"/>
    <n v="0.75000000000000011"/>
    <n v="-4.269999999999996"/>
    <n v="4.269999999999996"/>
    <x v="0"/>
    <n v="48.57"/>
    <n v="0"/>
    <n v="1"/>
  </r>
  <r>
    <s v="AJEET KUMAR"/>
    <d v="2026-06-10T00:00:00"/>
    <s v="SR-RTN/26-27/35703"/>
    <s v="B-298609"/>
    <s v="B-GOLD-FILING"/>
    <s v="GOLD-FILLING-WK"/>
    <x v="0"/>
    <s v="G-NA-91.70-YG"/>
    <n v="101.85"/>
    <n v="93.396450000000002"/>
    <n v="0.91700000000000004"/>
    <n v="95.93"/>
    <n v="87.96781"/>
    <n v="87.968000000000004"/>
    <n v="0.91699999999999993"/>
    <n v="0"/>
    <n v="0"/>
    <n v="0"/>
    <n v="0"/>
    <n v="0"/>
    <n v="0"/>
    <n v="0"/>
    <n v="0"/>
    <n v="0"/>
    <n v="5.92"/>
    <n v="5.4286399999999997"/>
    <n v="0.91699999999999993"/>
    <n v="-5.9199999999999875"/>
    <n v="5.9199999999999875"/>
    <x v="0"/>
    <n v="87.968000000000004"/>
    <n v="0"/>
    <n v="2"/>
  </r>
  <r>
    <s v="AJEET KUMAR"/>
    <d v="2026-06-10T00:00:00"/>
    <s v="SR-RTN/26-27/35706"/>
    <s v="B-292459"/>
    <s v="B-GOLD-FILING"/>
    <s v="GOLD-FILLING-WK"/>
    <x v="0"/>
    <s v="G-NA-91.70-YG"/>
    <n v="9.98"/>
    <n v="9.1516599999999997"/>
    <n v="0.91699999999999993"/>
    <n v="9.6999999999999993"/>
    <n v="8.8948999999999998"/>
    <n v="8.8949999999999996"/>
    <n v="0.91700000000000004"/>
    <n v="0"/>
    <n v="0"/>
    <n v="0"/>
    <n v="0"/>
    <n v="0"/>
    <n v="0"/>
    <n v="0"/>
    <n v="0"/>
    <n v="0"/>
    <n v="0.28000000000000003"/>
    <n v="0.25675999999999999"/>
    <n v="0.91699999999999982"/>
    <n v="-0.28000000000000114"/>
    <n v="0.28000000000000114"/>
    <x v="0"/>
    <n v="8.8949999999999996"/>
    <n v="0"/>
    <n v="1"/>
  </r>
  <r>
    <s v="AJEET KUMAR"/>
    <d v="2026-06-10T00:00:00"/>
    <s v="SR-RTN/26-27/35730"/>
    <s v="B-298659"/>
    <s v="B-GOLD-FILING"/>
    <s v="GOLD-FILLING-WK"/>
    <x v="0"/>
    <s v="G-NA-91.70-YG"/>
    <n v="33.46"/>
    <n v="30.68282"/>
    <n v="0.91699999999999993"/>
    <n v="31.24"/>
    <n v="28.647079999999999"/>
    <n v="28.648"/>
    <n v="0.91700000000000004"/>
    <n v="0"/>
    <n v="0"/>
    <n v="0"/>
    <n v="0"/>
    <n v="0"/>
    <n v="0"/>
    <n v="0"/>
    <n v="0"/>
    <n v="0"/>
    <n v="2.2200000000000002"/>
    <n v="2.0357400000000001"/>
    <n v="0.91699999999999993"/>
    <n v="-2.2200000000000024"/>
    <n v="2.2200000000000024"/>
    <x v="1"/>
    <n v="28.629000000000001"/>
    <n v="1.8999999999998352E-2"/>
    <n v="2"/>
  </r>
  <r>
    <s v="AJEET KUMAR"/>
    <d v="2026-06-10T00:00:00"/>
    <s v="SR-RTN/26-27/35731"/>
    <s v="B-297989"/>
    <s v="B-GOLD-FILING"/>
    <s v="GOLD-FILLING-WK"/>
    <x v="0"/>
    <s v="G-NA-91.70-YG"/>
    <n v="31.37"/>
    <n v="28.766290000000001"/>
    <n v="0.91700000000000004"/>
    <n v="29.19"/>
    <n v="26.767230000000001"/>
    <n v="26.768000000000001"/>
    <n v="0.91700000000000004"/>
    <n v="0"/>
    <n v="0"/>
    <n v="0"/>
    <n v="0"/>
    <n v="0"/>
    <n v="0"/>
    <n v="0"/>
    <n v="0"/>
    <n v="0"/>
    <n v="2.1800000000000002"/>
    <n v="1.9990600000000001"/>
    <n v="0.91699999999999993"/>
    <n v="-2.1799999999999997"/>
    <n v="2.1799999999999997"/>
    <x v="0"/>
    <n v="26.768000000000001"/>
    <n v="0"/>
    <n v="1"/>
  </r>
  <r>
    <s v="AJEET KUMAR"/>
    <d v="2026-06-10T00:00:00"/>
    <s v="SR-RTN/26-27/35732"/>
    <s v="B-298154"/>
    <s v="B-GOLD-FILING"/>
    <s v="GOLD-FILLING-WK"/>
    <x v="0"/>
    <s v="G-NA-91.70-YG"/>
    <n v="8.64"/>
    <n v="7.9228800000000001"/>
    <n v="0.91699999999999993"/>
    <n v="8.18"/>
    <n v="7.5010599999999998"/>
    <n v="7.5020000000000007"/>
    <n v="0.91700000000000004"/>
    <n v="0"/>
    <n v="0"/>
    <n v="0"/>
    <n v="0"/>
    <n v="0"/>
    <n v="0"/>
    <n v="0"/>
    <n v="0"/>
    <n v="0"/>
    <n v="0.46"/>
    <n v="0.42181999999999997"/>
    <n v="0.91699999999999993"/>
    <n v="-0.46000000000000085"/>
    <n v="0.46000000000000085"/>
    <x v="0"/>
    <n v="7.5020000000000007"/>
    <n v="0"/>
    <n v="1"/>
  </r>
  <r>
    <s v="AJEET KUMAR"/>
    <d v="2026-06-10T00:00:00"/>
    <s v="SR-RTN/26-27/35735"/>
    <s v="B-297330"/>
    <s v="B-GOLD-FILING"/>
    <s v="GOLD-FILLING-WK"/>
    <x v="0"/>
    <s v="G-NA-91.70-YG"/>
    <n v="35.83"/>
    <n v="32.856110000000001"/>
    <n v="0.91700000000000004"/>
    <n v="33.49"/>
    <n v="30.710329999999999"/>
    <n v="30.711000000000002"/>
    <n v="0.91699999999999993"/>
    <n v="0"/>
    <n v="0"/>
    <n v="0"/>
    <n v="0"/>
    <n v="0"/>
    <n v="0"/>
    <n v="0"/>
    <n v="0"/>
    <n v="0"/>
    <n v="2.34"/>
    <n v="2.1457799999999998"/>
    <n v="0.91699999999999993"/>
    <n v="-2.3399999999999963"/>
    <n v="2.3399999999999963"/>
    <x v="0"/>
    <n v="30.711000000000002"/>
    <n v="0"/>
    <n v="2"/>
  </r>
  <r>
    <s v="AJEET KUMAR"/>
    <d v="2026-06-10T00:00:00"/>
    <s v="SR-RTN/26-27/35750"/>
    <s v="B-297735"/>
    <s v="B-GOLD-FILING"/>
    <s v="GOLD-FILLING-WK"/>
    <x v="0"/>
    <s v="G-NA-91.70-YG"/>
    <n v="7.87"/>
    <n v="7.2167899999999996"/>
    <n v="0.91699999999999993"/>
    <n v="7.36"/>
    <n v="6.7491199999999996"/>
    <n v="6.75"/>
    <n v="0.91699999999999993"/>
    <n v="0"/>
    <n v="0"/>
    <n v="0"/>
    <n v="0"/>
    <n v="0"/>
    <n v="0"/>
    <n v="0"/>
    <n v="0"/>
    <n v="0"/>
    <n v="0.51"/>
    <n v="0.46766999999999997"/>
    <n v="0.91699999999999993"/>
    <n v="-0.50999999999999979"/>
    <n v="0.50999999999999979"/>
    <x v="0"/>
    <n v="6.75"/>
    <n v="0"/>
    <n v="1"/>
  </r>
  <r>
    <s v="AJEET KUMAR"/>
    <d v="2026-06-10T00:00:00"/>
    <s v="SR-RTN/26-27/35750"/>
    <s v="B-298707"/>
    <s v="B-GOLD-FILING"/>
    <s v="GOLD-FILLING-WK"/>
    <x v="1"/>
    <s v="G-NA-75.00-YG"/>
    <n v="2.89"/>
    <n v="2.1675"/>
    <n v="0.75"/>
    <n v="2.68"/>
    <n v="2.0099999999999998"/>
    <n v="2.0099999999999998"/>
    <n v="0.74999999999999989"/>
    <n v="0"/>
    <n v="0"/>
    <n v="0"/>
    <n v="0"/>
    <n v="0"/>
    <n v="0"/>
    <n v="0"/>
    <n v="0"/>
    <n v="0"/>
    <n v="0.21"/>
    <n v="0.1575"/>
    <n v="0.75"/>
    <n v="-0.20999999999999996"/>
    <n v="0.20999999999999996"/>
    <x v="0"/>
    <n v="2.0099999999999998"/>
    <n v="0"/>
    <n v="1"/>
  </r>
  <r>
    <s v="AJEET KUMAR"/>
    <d v="2026-06-10T00:00:00"/>
    <s v="SR-RTN/26-27/35754"/>
    <s v="B-298384"/>
    <s v="B-GOLD-FILING"/>
    <s v="GOLD-FILLING-WK"/>
    <x v="0"/>
    <s v="G-NA-91.70-YG"/>
    <n v="69.09"/>
    <n v="63.355530000000002"/>
    <n v="0.91699999999999993"/>
    <n v="63.91"/>
    <n v="58.605469999999997"/>
    <n v="58.605999999999995"/>
    <n v="0.91700000000000004"/>
    <n v="0"/>
    <n v="0"/>
    <n v="0"/>
    <n v="0"/>
    <n v="0"/>
    <n v="0"/>
    <n v="0"/>
    <n v="0"/>
    <n v="0"/>
    <n v="5.18"/>
    <n v="4.7500600000000004"/>
    <n v="0.91700000000000015"/>
    <n v="-5.1800000000000068"/>
    <n v="5.1800000000000068"/>
    <x v="0"/>
    <n v="58.605999999999995"/>
    <n v="0"/>
    <n v="1"/>
  </r>
  <r>
    <s v="AJEET KUMAR"/>
    <d v="2026-06-10T00:00:00"/>
    <s v="SR-RTN/26-27/35770"/>
    <s v="B-298070"/>
    <s v="B-GOLD-FILING"/>
    <s v="GOLD-FILLING-WK"/>
    <x v="0"/>
    <s v="G-NA-91.70-YG"/>
    <n v="6.85"/>
    <n v="6.2814500000000004"/>
    <n v="0.91700000000000015"/>
    <n v="6.28"/>
    <n v="5.7587599999999997"/>
    <n v="5.7590000000000003"/>
    <n v="0.91699999999999993"/>
    <n v="0"/>
    <n v="0"/>
    <n v="0"/>
    <n v="0"/>
    <n v="0"/>
    <n v="0"/>
    <n v="0"/>
    <n v="0"/>
    <n v="0"/>
    <n v="0.56999999999999995"/>
    <n v="0.52268999999999999"/>
    <n v="0.91700000000000004"/>
    <n v="-0.5699999999999994"/>
    <n v="0.5699999999999994"/>
    <x v="0"/>
    <n v="5.7590000000000003"/>
    <n v="0"/>
    <n v="1"/>
  </r>
  <r>
    <s v="AJEET KUMAR"/>
    <d v="2026-06-10T00:00:00"/>
    <s v="SR-RTN/26-27/35770"/>
    <s v="B-298071"/>
    <s v="B-GOLD-FILING"/>
    <s v="GOLD-FILLING-WK"/>
    <x v="0"/>
    <s v="G-NA-91.70-YG"/>
    <n v="3.03"/>
    <n v="2.7785099999999998"/>
    <n v="0.91700000000000004"/>
    <n v="2.79"/>
    <n v="2.55843"/>
    <n v="2.5589999999999997"/>
    <n v="0.91700000000000004"/>
    <n v="0"/>
    <n v="0"/>
    <n v="0"/>
    <n v="0"/>
    <n v="0"/>
    <n v="0"/>
    <n v="0"/>
    <n v="0"/>
    <n v="0"/>
    <n v="0.24"/>
    <n v="0.22008"/>
    <n v="0.91700000000000004"/>
    <n v="-0.23999999999999977"/>
    <n v="0.23999999999999977"/>
    <x v="0"/>
    <n v="2.5589999999999997"/>
    <n v="0"/>
    <n v="1"/>
  </r>
  <r>
    <s v="AJEET KUMAR"/>
    <d v="2026-06-10T00:00:00"/>
    <s v="SR-RTN/26-27/35770"/>
    <s v="B-298073"/>
    <s v="B-GOLD-FILING"/>
    <s v="GOLD-FILLING-WK"/>
    <x v="0"/>
    <s v="G-NA-91.70-YG"/>
    <n v="4.1500000000000004"/>
    <n v="3.8055500000000002"/>
    <n v="0.91699999999999993"/>
    <n v="3.89"/>
    <n v="3.5671300000000001"/>
    <n v="3.5680000000000001"/>
    <n v="0.91700000000000004"/>
    <n v="0"/>
    <n v="0"/>
    <n v="0"/>
    <n v="0"/>
    <n v="0"/>
    <n v="0"/>
    <n v="0"/>
    <n v="0"/>
    <n v="0"/>
    <n v="0.26"/>
    <n v="0.23841999999999999"/>
    <n v="0.91699999999999993"/>
    <n v="-0.26000000000000023"/>
    <n v="0.26000000000000023"/>
    <x v="0"/>
    <n v="3.5680000000000001"/>
    <n v="0"/>
    <n v="1"/>
  </r>
  <r>
    <s v="AJEET KUMAR"/>
    <d v="2026-06-10T00:00:00"/>
    <s v="SR-RTN/26-27/35770"/>
    <s v="B-298659"/>
    <s v="B-GOLD-FILING"/>
    <s v="GOLD-FILLING-WK"/>
    <x v="0"/>
    <s v="G-NA-91.70-YG"/>
    <n v="31.24"/>
    <n v="28.647079999999999"/>
    <n v="0.91700000000000004"/>
    <n v="31.22"/>
    <n v="28.628740000000001"/>
    <n v="28.629000000000001"/>
    <n v="0.91700000000000004"/>
    <n v="0"/>
    <n v="0"/>
    <n v="0"/>
    <n v="0"/>
    <n v="0"/>
    <n v="0"/>
    <n v="0"/>
    <n v="0"/>
    <n v="0"/>
    <n v="0.02"/>
    <n v="1.8339999999999999E-2"/>
    <n v="0.91699999999999993"/>
    <n v="-1.9999999999999574E-2"/>
    <n v="1.9999999999999574E-2"/>
    <x v="0"/>
    <n v="28.629000000000001"/>
    <n v="0"/>
    <n v="2"/>
  </r>
  <r>
    <s v="AJEET KUMAR"/>
    <d v="2026-06-10T00:00:00"/>
    <s v="SR-RTN/26-27/35770"/>
    <s v="B-298708"/>
    <s v="B-GOLD-FILING"/>
    <s v="GOLD-FILLING-WK"/>
    <x v="1"/>
    <s v="G-NA-75.00-YG"/>
    <n v="2.29"/>
    <n v="1.7175"/>
    <n v="0.75"/>
    <n v="2.09"/>
    <n v="1.5674999999999999"/>
    <n v="1.5679999999999998"/>
    <n v="0.75"/>
    <n v="0"/>
    <n v="0"/>
    <n v="0"/>
    <n v="0"/>
    <n v="0"/>
    <n v="0"/>
    <n v="0"/>
    <n v="0"/>
    <n v="0"/>
    <n v="0.2"/>
    <n v="0.15"/>
    <n v="0.74999999999999989"/>
    <n v="-0.20000000000000018"/>
    <n v="0.20000000000000018"/>
    <x v="0"/>
    <n v="1.5679999999999998"/>
    <n v="0"/>
    <n v="1"/>
  </r>
  <r>
    <s v="AJEET KUMAR"/>
    <d v="2026-06-10T00:00:00"/>
    <s v="SR-RTN/26-27/35778"/>
    <s v="B-293636"/>
    <s v="B-GOLD-FILING"/>
    <s v="GOLD-FILLING-WK"/>
    <x v="1"/>
    <s v="G-NA-75.00-YG"/>
    <n v="7.6"/>
    <n v="5.7"/>
    <n v="0.75000000000000011"/>
    <n v="7.03"/>
    <n v="5.2725"/>
    <n v="5.2730000000000006"/>
    <n v="0.75"/>
    <n v="0"/>
    <n v="0"/>
    <n v="0"/>
    <n v="0"/>
    <n v="0"/>
    <n v="0"/>
    <n v="0"/>
    <n v="0"/>
    <n v="0"/>
    <n v="0.56999999999999995"/>
    <n v="0.42749999999999999"/>
    <n v="0.75"/>
    <n v="-0.5699999999999994"/>
    <n v="0.5699999999999994"/>
    <x v="0"/>
    <n v="5.2730000000000006"/>
    <n v="0"/>
    <n v="1"/>
  </r>
  <r>
    <s v="AJEET KUMAR"/>
    <d v="2026-06-10T00:00:00"/>
    <s v="SR-RTN/26-27/35778"/>
    <s v="B-293644"/>
    <s v="B-GOLD-FILING"/>
    <s v="GOLD-FILLING-WK"/>
    <x v="1"/>
    <s v="G-NA-75.00-YG"/>
    <n v="7.16"/>
    <n v="5.37"/>
    <n v="0.75"/>
    <n v="6.74"/>
    <n v="5.0549999999999997"/>
    <n v="5.0549999999999997"/>
    <n v="0.74999999999999989"/>
    <n v="0"/>
    <n v="0"/>
    <n v="0"/>
    <n v="0"/>
    <n v="0"/>
    <n v="0"/>
    <n v="0"/>
    <n v="0"/>
    <n v="0"/>
    <n v="0.42"/>
    <n v="0.315"/>
    <n v="0.75"/>
    <n v="-0.41999999999999993"/>
    <n v="0.41999999999999993"/>
    <x v="0"/>
    <n v="5.0549999999999997"/>
    <n v="0"/>
    <n v="1"/>
  </r>
  <r>
    <s v="AJEET KUMAR"/>
    <d v="2026-06-10T00:00:00"/>
    <s v="SR-RTN/26-27/35779"/>
    <s v="B-297734"/>
    <s v="B-GOLD-FILING"/>
    <s v="GOLD-FILLING-WK"/>
    <x v="0"/>
    <s v="G-NA-91.70-YG"/>
    <n v="8.9499999999999993"/>
    <n v="8.2071500000000004"/>
    <n v="0.91700000000000015"/>
    <n v="8.42"/>
    <n v="7.7211400000000001"/>
    <n v="7.7220000000000004"/>
    <n v="0.91700000000000004"/>
    <n v="0"/>
    <n v="0"/>
    <n v="0"/>
    <n v="0"/>
    <n v="0"/>
    <n v="0"/>
    <n v="0"/>
    <n v="0"/>
    <n v="0"/>
    <n v="0.53"/>
    <n v="0.48601"/>
    <n v="0.91699999999999993"/>
    <n v="-0.52999999999999936"/>
    <n v="0.52999999999999936"/>
    <x v="0"/>
    <n v="7.7220000000000004"/>
    <n v="0"/>
    <n v="1"/>
  </r>
  <r>
    <s v="AJEET KUMAR"/>
    <d v="2026-06-10T00:00:00"/>
    <s v="SR-RTN/26-27/35786"/>
    <s v="B-298348"/>
    <s v="B-GOLD-FILING"/>
    <s v="GOLD-FILLING-WK"/>
    <x v="1"/>
    <s v="G-NA-75.00-YG"/>
    <n v="10.8"/>
    <n v="8.1"/>
    <n v="0.74999999999999989"/>
    <n v="10.39"/>
    <n v="7.7925000000000004"/>
    <n v="7.7930000000000001"/>
    <n v="0.75"/>
    <n v="0"/>
    <n v="0"/>
    <n v="0"/>
    <n v="0"/>
    <n v="0"/>
    <n v="0"/>
    <n v="0"/>
    <n v="0"/>
    <n v="0"/>
    <n v="0.41"/>
    <n v="0.3075"/>
    <n v="0.75"/>
    <n v="-0.41000000000000014"/>
    <n v="0.41000000000000014"/>
    <x v="0"/>
    <n v="7.7930000000000001"/>
    <n v="0"/>
    <n v="1"/>
  </r>
  <r>
    <s v="AJEET KUMAR"/>
    <d v="2026-06-10T00:00:00"/>
    <s v="SR-RTN/26-27/35793"/>
    <s v="B-297819"/>
    <s v="B-GOLD-FILING"/>
    <s v="GOLD-FILLING-WK"/>
    <x v="1"/>
    <s v="G-NA-75.00-RG"/>
    <n v="3.4"/>
    <n v="2.5499999999999998"/>
    <n v="0.75"/>
    <n v="3.1"/>
    <n v="2.3250000000000002"/>
    <n v="2.3250000000000002"/>
    <n v="0.75"/>
    <n v="0"/>
    <n v="0"/>
    <n v="0"/>
    <n v="0"/>
    <n v="0"/>
    <n v="0"/>
    <n v="0"/>
    <n v="0"/>
    <n v="0"/>
    <n v="0.3"/>
    <n v="0.22500000000000001"/>
    <n v="0.75"/>
    <n v="-0.29999999999999982"/>
    <n v="0.29999999999999982"/>
    <x v="0"/>
    <n v="2.3250000000000002"/>
    <n v="0"/>
    <n v="1"/>
  </r>
  <r>
    <s v="AJEET KUMAR"/>
    <d v="2026-06-10T00:00:00"/>
    <s v="SR-RTN/26-27/35793"/>
    <s v="B-297842"/>
    <s v="B-GOLD-FILING"/>
    <s v="GOLD-FILLING-WK"/>
    <x v="1"/>
    <s v="G-NA-75.00-RG"/>
    <n v="4.32"/>
    <n v="3.24"/>
    <n v="0.75"/>
    <n v="3.99"/>
    <n v="2.9925000000000002"/>
    <n v="2.9929999999999999"/>
    <n v="0.75"/>
    <n v="0"/>
    <n v="0"/>
    <n v="0"/>
    <n v="0"/>
    <n v="0"/>
    <n v="0"/>
    <n v="0"/>
    <n v="0"/>
    <n v="0"/>
    <n v="0.33"/>
    <n v="0.2475"/>
    <n v="0.75"/>
    <n v="-0.33000000000000007"/>
    <n v="0.33000000000000007"/>
    <x v="0"/>
    <n v="2.9929999999999999"/>
    <n v="0"/>
    <n v="1"/>
  </r>
  <r>
    <s v="AJEET KUMAR"/>
    <d v="2026-06-10T00:00:00"/>
    <s v="SR-RTN/26-27/35793"/>
    <s v="B-297854"/>
    <s v="B-GOLD-FILING"/>
    <s v="GOLD-FILLING-WK"/>
    <x v="1"/>
    <s v="G-NA-75.00-RG"/>
    <n v="3.35"/>
    <n v="2.5125000000000002"/>
    <n v="0.75"/>
    <n v="3.13"/>
    <n v="2.3475000000000001"/>
    <n v="2.3479999999999999"/>
    <n v="0.75000000000000011"/>
    <n v="0"/>
    <n v="0"/>
    <n v="0"/>
    <n v="0"/>
    <n v="0"/>
    <n v="0"/>
    <n v="0"/>
    <n v="0"/>
    <n v="0"/>
    <n v="0.22"/>
    <n v="0.16500000000000001"/>
    <n v="0.75"/>
    <n v="-0.2200000000000002"/>
    <n v="0.2200000000000002"/>
    <x v="0"/>
    <n v="2.3479999999999999"/>
    <n v="0"/>
    <n v="1"/>
  </r>
  <r>
    <s v="AJEET KUMAR"/>
    <d v="2026-06-11T00:00:00"/>
    <s v="RTN-8761424"/>
    <s v="SR-42161/1"/>
    <s v="CAST-FILLING"/>
    <s v="GOLD-FILLING-WK"/>
    <x v="1"/>
    <s v="G-NA-75.00-RG"/>
    <n v="10.1"/>
    <n v="7.5750000000000002"/>
    <n v="0.75"/>
    <n v="9.4499999999999993"/>
    <n v="7.0875000000000004"/>
    <n v="7.0880000000000001"/>
    <n v="0.75000000000000011"/>
    <n v="0"/>
    <n v="0"/>
    <n v="0"/>
    <n v="0"/>
    <n v="0"/>
    <n v="0"/>
    <n v="0"/>
    <n v="0"/>
    <n v="0"/>
    <n v="0.65"/>
    <n v="0.48749999999999999"/>
    <n v="0.75"/>
    <n v="-0.65000000000000036"/>
    <n v="0.65000000000000036"/>
    <x v="0"/>
    <n v="7.0880000000000001"/>
    <n v="0"/>
    <n v="1"/>
  </r>
  <r>
    <s v="AJEET KUMAR"/>
    <d v="2026-06-11T00:00:00"/>
    <s v="RTN-8766945"/>
    <s v="SR-42161"/>
    <s v="CAST-FILLING"/>
    <s v="GOLD-FILLING-WK"/>
    <x v="1"/>
    <s v="G-NA-75.00-RG"/>
    <n v="135.44"/>
    <n v="101.58"/>
    <n v="0.75"/>
    <n v="126.23"/>
    <n v="94.672499999999999"/>
    <n v="94.673000000000002"/>
    <n v="0.75"/>
    <n v="0"/>
    <n v="0"/>
    <n v="0"/>
    <n v="0"/>
    <n v="0"/>
    <n v="0"/>
    <n v="0"/>
    <n v="0"/>
    <n v="0"/>
    <n v="9.2100000000000009"/>
    <n v="6.9074999999999998"/>
    <n v="0.74999999999999989"/>
    <n v="-9.2099999999999937"/>
    <n v="9.2099999999999937"/>
    <x v="0"/>
    <n v="94.673000000000002"/>
    <n v="0"/>
    <n v="1"/>
  </r>
  <r>
    <s v="AJEET KUMAR"/>
    <d v="2026-06-11T00:00:00"/>
    <s v="RTN-8773900"/>
    <s v="SR-42192"/>
    <s v="CAST-FILLING"/>
    <s v="GOLD-FILLING-WK"/>
    <x v="0"/>
    <s v="G-NA-91.70-YG"/>
    <n v="89.22"/>
    <n v="81.81474"/>
    <n v="0.91700000000000004"/>
    <n v="85.82"/>
    <n v="78.696939999999998"/>
    <n v="78.697000000000003"/>
    <n v="0.91700000000000004"/>
    <n v="0"/>
    <n v="0"/>
    <n v="0"/>
    <n v="0"/>
    <n v="0"/>
    <n v="0"/>
    <n v="0"/>
    <n v="0"/>
    <n v="0"/>
    <n v="3.4"/>
    <n v="3.1177999999999999"/>
    <n v="0.91700000000000004"/>
    <n v="-3.4000000000000057"/>
    <n v="3.4000000000000057"/>
    <x v="0"/>
    <n v="78.697000000000003"/>
    <n v="0"/>
    <n v="1"/>
  </r>
  <r>
    <s v="AJEET KUMAR"/>
    <d v="2026-06-11T00:00:00"/>
    <s v="SR-RTN/26-27/35902"/>
    <s v="B-298683"/>
    <s v="B-GOLD-FILING"/>
    <s v="GOLD-FILLING-WK"/>
    <x v="1"/>
    <s v="G-NA-75.00-RG"/>
    <n v="18.68"/>
    <n v="14.01"/>
    <n v="0.75"/>
    <n v="17.28"/>
    <n v="12.96"/>
    <n v="12.96"/>
    <n v="0.75"/>
    <n v="0"/>
    <n v="0"/>
    <n v="0"/>
    <n v="0"/>
    <n v="0"/>
    <n v="0"/>
    <n v="0"/>
    <n v="0"/>
    <n v="0"/>
    <n v="1.4"/>
    <n v="1.05"/>
    <n v="0.75000000000000011"/>
    <n v="-1.3999999999999986"/>
    <n v="1.3999999999999986"/>
    <x v="0"/>
    <n v="12.96"/>
    <n v="0"/>
    <n v="1"/>
  </r>
  <r>
    <s v="AJEET KUMAR"/>
    <d v="2026-06-11T00:00:00"/>
    <s v="SR-RTN/26-27/35903"/>
    <s v="B-297994"/>
    <s v="B-GOLD-FILING"/>
    <s v="GOLD-FILLING-WK"/>
    <x v="0"/>
    <s v="G-NA-91.70-YG"/>
    <n v="30.07"/>
    <n v="27.574190000000002"/>
    <n v="0.91700000000000004"/>
    <n v="27.74"/>
    <n v="25.437580000000001"/>
    <n v="25.438000000000002"/>
    <n v="0.91700000000000004"/>
    <n v="0"/>
    <n v="0"/>
    <n v="0"/>
    <n v="0"/>
    <n v="0"/>
    <n v="0"/>
    <n v="0"/>
    <n v="0"/>
    <n v="0"/>
    <n v="2.33"/>
    <n v="2.1366100000000001"/>
    <n v="0.91700000000000004"/>
    <n v="-2.3300000000000018"/>
    <n v="2.3300000000000018"/>
    <x v="0"/>
    <n v="25.438000000000002"/>
    <n v="0"/>
    <n v="1"/>
  </r>
  <r>
    <s v="AJEET KUMAR"/>
    <d v="2026-06-11T00:00:00"/>
    <s v="SR-RTN/26-27/35936"/>
    <s v="B-297986"/>
    <s v="B-GOLD-FILING"/>
    <s v="GOLD-FILLING-WK"/>
    <x v="0"/>
    <s v="G-NA-91.70-YG"/>
    <n v="35.020000000000003"/>
    <n v="32.113340000000001"/>
    <n v="0.91699999999999993"/>
    <n v="32.700000000000003"/>
    <n v="29.985900000000001"/>
    <n v="29.986000000000001"/>
    <n v="0.91699999999999993"/>
    <n v="0"/>
    <n v="0"/>
    <n v="0"/>
    <n v="0"/>
    <n v="0"/>
    <n v="0"/>
    <n v="0"/>
    <n v="0"/>
    <n v="0"/>
    <n v="2.3199999999999998"/>
    <n v="2.12744"/>
    <n v="0.91700000000000004"/>
    <n v="-2.3200000000000003"/>
    <n v="2.3200000000000003"/>
    <x v="0"/>
    <n v="29.986000000000001"/>
    <n v="0"/>
    <n v="1"/>
  </r>
  <r>
    <s v="AJEET KUMAR"/>
    <d v="2026-06-11T00:00:00"/>
    <s v="SR-RTN/26-27/35936"/>
    <s v="B-297995"/>
    <s v="B-GOLD-FILING"/>
    <s v="GOLD-FILLING-WK"/>
    <x v="0"/>
    <s v="G-NA-91.70-YG"/>
    <n v="32.700000000000003"/>
    <n v="29.985900000000001"/>
    <n v="0.91699999999999993"/>
    <n v="30.97"/>
    <n v="28.39949"/>
    <n v="28.400000000000002"/>
    <n v="0.91700000000000004"/>
    <n v="0"/>
    <n v="0"/>
    <n v="0"/>
    <n v="0"/>
    <n v="0"/>
    <n v="0"/>
    <n v="0"/>
    <n v="0"/>
    <n v="0"/>
    <n v="1.73"/>
    <n v="1.5864100000000001"/>
    <n v="0.91700000000000004"/>
    <n v="-1.730000000000004"/>
    <n v="1.730000000000004"/>
    <x v="0"/>
    <n v="28.400000000000002"/>
    <n v="0"/>
    <n v="1"/>
  </r>
  <r>
    <s v="AJEET KUMAR"/>
    <d v="2026-06-11T00:00:00"/>
    <s v="SR-RTN/26-27/35936"/>
    <s v="B-298444"/>
    <s v="B-GOLD-FILING"/>
    <s v="GOLD-FILLING-WK"/>
    <x v="1"/>
    <s v="G-NA-75.00-RG"/>
    <n v="9.7100000000000009"/>
    <n v="7.2824999999999998"/>
    <n v="0.74999999999999989"/>
    <n v="9.1199999999999992"/>
    <n v="6.84"/>
    <n v="6.84"/>
    <n v="0.75"/>
    <n v="0"/>
    <n v="0"/>
    <n v="0"/>
    <n v="0"/>
    <n v="0"/>
    <n v="0"/>
    <n v="0"/>
    <n v="0"/>
    <n v="0"/>
    <n v="0.59"/>
    <n v="0.4425"/>
    <n v="0.75"/>
    <n v="-0.59000000000000163"/>
    <n v="0.59000000000000163"/>
    <x v="0"/>
    <n v="6.84"/>
    <n v="0"/>
    <n v="1"/>
  </r>
  <r>
    <s v="AJEET KUMAR"/>
    <d v="2026-06-11T00:00:00"/>
    <s v="SR-RTN/26-27/35960"/>
    <s v="B-293263/1"/>
    <s v="B-GOLD-FILING"/>
    <s v="GOLD-FILLING-WK"/>
    <x v="0"/>
    <s v="G-NA-91.70-YG"/>
    <n v="3.97"/>
    <n v="3.6404899999999998"/>
    <n v="0.91699999999999993"/>
    <n v="3.74"/>
    <n v="3.4295800000000001"/>
    <n v="3.4299999999999997"/>
    <n v="0.91699999999999993"/>
    <n v="0"/>
    <n v="0"/>
    <n v="0"/>
    <n v="0"/>
    <n v="0"/>
    <n v="0"/>
    <n v="0"/>
    <n v="0"/>
    <n v="0"/>
    <n v="0.23"/>
    <n v="0.21090999999999999"/>
    <n v="0.91699999999999993"/>
    <n v="-0.23"/>
    <n v="0.23"/>
    <x v="0"/>
    <n v="3.4299999999999997"/>
    <n v="0"/>
    <n v="1"/>
  </r>
  <r>
    <s v="AJEET KUMAR"/>
    <d v="2026-06-11T00:00:00"/>
    <s v="SR-RTN/26-27/35960"/>
    <s v="B-298421"/>
    <s v="B-GOLD-FILING"/>
    <s v="GOLD-FILLING-WK"/>
    <x v="1"/>
    <s v="G-NA-75.00-RG"/>
    <n v="5.94"/>
    <n v="4.4550000000000001"/>
    <n v="0.75"/>
    <n v="5.65"/>
    <n v="4.2374999999999998"/>
    <n v="4.2380000000000004"/>
    <n v="0.74999999999999989"/>
    <n v="0"/>
    <n v="0"/>
    <n v="0"/>
    <n v="0"/>
    <n v="0"/>
    <n v="0"/>
    <n v="0"/>
    <n v="0"/>
    <n v="0"/>
    <n v="0.28999999999999998"/>
    <n v="0.2175"/>
    <n v="0.75"/>
    <n v="-0.29000000000000004"/>
    <n v="0.29000000000000004"/>
    <x v="0"/>
    <n v="4.2380000000000004"/>
    <n v="0"/>
    <n v="1"/>
  </r>
  <r>
    <s v="AJEET KUMAR"/>
    <d v="2026-06-11T00:00:00"/>
    <s v="SR-RTN/26-27/35985"/>
    <s v="B-298582"/>
    <s v="B-GOLD-FILING"/>
    <s v="GOLD-FILLING-WK"/>
    <x v="1"/>
    <s v="G-NA-75.00-RG"/>
    <n v="30.08"/>
    <n v="22.56"/>
    <n v="0.75"/>
    <n v="26.81"/>
    <n v="20.107500000000002"/>
    <n v="20.108000000000001"/>
    <n v="0.75000000000000011"/>
    <n v="0"/>
    <n v="0"/>
    <n v="0"/>
    <n v="0"/>
    <n v="0"/>
    <n v="0"/>
    <n v="0"/>
    <n v="0"/>
    <n v="0"/>
    <n v="3.27"/>
    <n v="2.4525000000000001"/>
    <n v="0.75"/>
    <n v="-3.2699999999999996"/>
    <n v="3.2699999999999996"/>
    <x v="0"/>
    <n v="20.108000000000001"/>
    <n v="0"/>
    <n v="1"/>
  </r>
  <r>
    <s v="AJEET KUMAR"/>
    <d v="2026-06-11T00:00:00"/>
    <s v="SR-RTN/26-27/35985"/>
    <s v="B-298688"/>
    <s v="B-GOLD-FILING"/>
    <s v="GOLD-FILLING-WK"/>
    <x v="1"/>
    <s v="G-NA-75.00-RG"/>
    <n v="37.22"/>
    <n v="27.914999999999999"/>
    <n v="0.75"/>
    <n v="34.4"/>
    <n v="25.8"/>
    <n v="25.8"/>
    <n v="0.75"/>
    <n v="0"/>
    <n v="0"/>
    <n v="0"/>
    <n v="0"/>
    <n v="0"/>
    <n v="0"/>
    <n v="0"/>
    <n v="0"/>
    <n v="0"/>
    <n v="2.82"/>
    <n v="2.1150000000000002"/>
    <n v="0.75000000000000011"/>
    <n v="-2.82"/>
    <n v="2.82"/>
    <x v="0"/>
    <n v="25.8"/>
    <n v="0"/>
    <n v="1"/>
  </r>
  <r>
    <s v="AJEET KUMAR"/>
    <d v="2026-06-11T00:00:00"/>
    <s v="SR-RTN/26-27/35985"/>
    <s v="B-298916"/>
    <s v="B-GOLD-FILING"/>
    <s v="GOLD-FILLING-WK"/>
    <x v="0"/>
    <s v="G-NA-91.70-YG"/>
    <n v="22.3"/>
    <n v="20.449100000000001"/>
    <n v="0.91700000000000004"/>
    <n v="21.66"/>
    <n v="19.862220000000001"/>
    <n v="19.863"/>
    <n v="0.91700000000000004"/>
    <n v="0"/>
    <n v="0"/>
    <n v="0"/>
    <n v="0"/>
    <n v="0"/>
    <n v="0"/>
    <n v="0"/>
    <n v="0"/>
    <n v="0"/>
    <n v="0.64"/>
    <n v="0.58687999999999996"/>
    <n v="0.91699999999999993"/>
    <n v="-0.64000000000000057"/>
    <n v="0.64000000000000057"/>
    <x v="0"/>
    <n v="19.863"/>
    <n v="0"/>
    <n v="1"/>
  </r>
  <r>
    <s v="AJEET KUMAR"/>
    <d v="2026-06-11T00:00:00"/>
    <s v="SR-RTN/26-27/35992"/>
    <s v="B-298386"/>
    <s v="B-GOLD-FILING"/>
    <s v="GOLD-FILLING-WK"/>
    <x v="0"/>
    <s v="G-NA-91.70-YG"/>
    <n v="47.3"/>
    <n v="43.374099999999999"/>
    <n v="0.91700000000000004"/>
    <n v="43.77"/>
    <n v="40.137090000000001"/>
    <n v="40.137999999999998"/>
    <n v="0.91699999999999993"/>
    <n v="0"/>
    <n v="0"/>
    <n v="0"/>
    <n v="0"/>
    <n v="0"/>
    <n v="0"/>
    <n v="0"/>
    <n v="0"/>
    <n v="0"/>
    <n v="3.53"/>
    <n v="3.2370100000000002"/>
    <n v="0.91700000000000015"/>
    <n v="-3.529999999999994"/>
    <n v="3.529999999999994"/>
    <x v="0"/>
    <n v="40.137999999999998"/>
    <n v="0"/>
    <n v="1"/>
  </r>
  <r>
    <s v="AJEET KUMAR"/>
    <d v="2026-06-11T00:00:00"/>
    <s v="SR-RTN/26-27/36009"/>
    <s v="B-298160"/>
    <s v="B-GOLD-FILING"/>
    <s v="GOLD-FILLING-WK"/>
    <x v="1"/>
    <s v="G-NA-75.00-YG"/>
    <n v="259.82"/>
    <n v="194.86500000000001"/>
    <n v="0.75"/>
    <n v="259.42"/>
    <n v="194.565"/>
    <n v="194.565"/>
    <n v="0.75"/>
    <n v="0"/>
    <n v="0"/>
    <n v="0"/>
    <n v="0"/>
    <n v="0"/>
    <n v="0"/>
    <n v="0"/>
    <n v="0"/>
    <n v="0"/>
    <n v="0.4"/>
    <n v="0.3"/>
    <n v="0.74999999999999989"/>
    <n v="-0.39999999999997726"/>
    <n v="0.39999999999997726"/>
    <x v="0"/>
    <n v="194.565"/>
    <n v="0"/>
    <n v="4"/>
  </r>
  <r>
    <s v="AJEET KUMAR"/>
    <d v="2026-06-11T00:00:00"/>
    <s v="SR-RTN/26-27/36010"/>
    <s v="B-298159"/>
    <s v="B-GOLD-FILING"/>
    <s v="GOLD-FILLING-WK"/>
    <x v="1"/>
    <s v="G-NA-75.00-YG"/>
    <n v="254.76"/>
    <n v="191.07"/>
    <n v="0.75"/>
    <n v="253.22"/>
    <n v="189.91499999999999"/>
    <n v="189.91499999999999"/>
    <n v="0.75"/>
    <n v="0"/>
    <n v="0"/>
    <n v="0"/>
    <n v="0"/>
    <n v="0"/>
    <n v="0"/>
    <n v="0"/>
    <n v="0"/>
    <n v="0"/>
    <n v="1.54"/>
    <n v="1.155"/>
    <n v="0.75"/>
    <n v="-1.539999999999992"/>
    <n v="1.539999999999992"/>
    <x v="0"/>
    <n v="189.91499999999999"/>
    <n v="0"/>
    <n v="4"/>
  </r>
  <r>
    <s v="AJEET KUMAR"/>
    <d v="2026-06-11T00:00:00"/>
    <s v="SR-RTN/26-27/36025"/>
    <s v="B-298321"/>
    <s v="B-GOLD-FILING"/>
    <s v="GOLD-FILLING-WK"/>
    <x v="1"/>
    <s v="G-NA-75.00-RG"/>
    <n v="17.649999999999999"/>
    <n v="13.237500000000001"/>
    <n v="0.75000000000000011"/>
    <n v="17.47"/>
    <n v="13.102499999999999"/>
    <n v="13.103"/>
    <n v="0.75"/>
    <n v="0"/>
    <n v="0"/>
    <n v="0"/>
    <n v="0"/>
    <n v="0"/>
    <n v="0"/>
    <n v="0"/>
    <n v="0"/>
    <n v="0"/>
    <n v="0.18"/>
    <n v="0.13500000000000001"/>
    <n v="0.75000000000000011"/>
    <n v="-0.17999999999999972"/>
    <n v="0.17999999999999972"/>
    <x v="0"/>
    <n v="13.103"/>
    <n v="0"/>
    <n v="2"/>
  </r>
  <r>
    <s v="AJEET KUMAR"/>
    <d v="2026-06-11T00:00:00"/>
    <s v="SR-RTN/26-27/36027"/>
    <s v="B-291387/1"/>
    <s v="B-GOLD-FILING"/>
    <s v="GOLD-FILLING-WK"/>
    <x v="0"/>
    <s v="G-NA-91.70-YG"/>
    <n v="10.69"/>
    <n v="9.8027300000000004"/>
    <n v="0.91700000000000004"/>
    <n v="9.9700000000000006"/>
    <n v="9.1424900000000004"/>
    <n v="9.1429999999999989"/>
    <n v="0.91700000000000004"/>
    <n v="0"/>
    <n v="0"/>
    <n v="0"/>
    <n v="0"/>
    <n v="0"/>
    <n v="0"/>
    <n v="0"/>
    <n v="0"/>
    <n v="0"/>
    <n v="0.72"/>
    <n v="0.66024000000000005"/>
    <n v="0.91700000000000015"/>
    <n v="-0.71999999999999886"/>
    <n v="0.71999999999999886"/>
    <x v="1"/>
    <n v="8.8859999999999992"/>
    <n v="0.25699999999999967"/>
    <n v="3"/>
  </r>
  <r>
    <s v="AJEET KUMAR"/>
    <d v="2026-06-11T00:00:00"/>
    <s v="SR-RTN/26-27/36035"/>
    <s v="B-297128/1"/>
    <s v="B-GOLD-FILING"/>
    <s v="GOLD-FILLING-WK"/>
    <x v="0"/>
    <s v="G-NA-91.70-YG"/>
    <n v="6.41"/>
    <n v="5.8779700000000004"/>
    <n v="0.91700000000000004"/>
    <n v="6.38"/>
    <n v="5.85046"/>
    <n v="5.851"/>
    <n v="0.91700000000000004"/>
    <n v="0"/>
    <n v="0"/>
    <n v="0"/>
    <n v="0"/>
    <n v="0"/>
    <n v="0"/>
    <n v="0"/>
    <n v="0"/>
    <n v="0"/>
    <n v="0.03"/>
    <n v="2.751E-2"/>
    <n v="0.91700000000000004"/>
    <n v="-3.0000000000000249E-2"/>
    <n v="3.0000000000000249E-2"/>
    <x v="0"/>
    <n v="5.851"/>
    <n v="0"/>
    <n v="1"/>
  </r>
  <r>
    <s v="AJEET KUMAR"/>
    <d v="2026-06-11T00:00:00"/>
    <s v="SR-RTN/26-27/36073"/>
    <s v="B-298452"/>
    <s v="B-GOLD-FILING"/>
    <s v="GOLD-FILLING-WK"/>
    <x v="0"/>
    <s v="G-NA-91.70-YG"/>
    <n v="23.68"/>
    <n v="21.714559999999999"/>
    <n v="0.91699999999999993"/>
    <n v="22.27"/>
    <n v="20.421589999999998"/>
    <n v="20.422000000000001"/>
    <n v="0.91699999999999993"/>
    <n v="0"/>
    <n v="0"/>
    <n v="0"/>
    <n v="0"/>
    <n v="0"/>
    <n v="0"/>
    <n v="0"/>
    <n v="0"/>
    <n v="0"/>
    <n v="1.41"/>
    <n v="1.29297"/>
    <n v="0.91700000000000004"/>
    <n v="-1.41"/>
    <n v="1.41"/>
    <x v="0"/>
    <n v="20.422000000000001"/>
    <n v="0"/>
    <n v="2"/>
  </r>
  <r>
    <s v="AJEET KUMAR"/>
    <d v="2026-06-11T00:00:00"/>
    <s v="SR-RTN/26-27/36073"/>
    <s v="B-298681"/>
    <s v="B-GOLD-FILING"/>
    <s v="GOLD-FILLING-WK"/>
    <x v="0"/>
    <s v="G-NA-91.70-YG"/>
    <n v="41.09"/>
    <n v="37.67953"/>
    <n v="0.91699999999999993"/>
    <n v="39.33"/>
    <n v="36.06561"/>
    <n v="36.065999999999995"/>
    <n v="0.91700000000000004"/>
    <n v="0"/>
    <n v="0"/>
    <n v="0"/>
    <n v="0"/>
    <n v="0"/>
    <n v="0"/>
    <n v="0"/>
    <n v="0"/>
    <n v="0"/>
    <n v="1.76"/>
    <n v="1.61392"/>
    <n v="0.91700000000000004"/>
    <n v="-1.7600000000000051"/>
    <n v="1.7600000000000051"/>
    <x v="0"/>
    <n v="36.065999999999995"/>
    <n v="0"/>
    <n v="1"/>
  </r>
  <r>
    <s v="AJEET KUMAR"/>
    <d v="2026-06-11T00:00:00"/>
    <s v="SR-RTN/26-27/36075"/>
    <s v="B-298638"/>
    <s v="B-GOLD-FILING"/>
    <s v="GOLD-FILLING-WK"/>
    <x v="0"/>
    <s v="G-NA-91.70-YG"/>
    <n v="42.86"/>
    <n v="39.302619999999997"/>
    <n v="0.91699999999999993"/>
    <n v="40.74"/>
    <n v="37.358580000000003"/>
    <n v="37.358999999999995"/>
    <n v="0.91700000000000004"/>
    <n v="0"/>
    <n v="0"/>
    <n v="0"/>
    <n v="0"/>
    <n v="0"/>
    <n v="0"/>
    <n v="0"/>
    <n v="0"/>
    <n v="0"/>
    <n v="2.12"/>
    <n v="1.94404"/>
    <n v="0.91699999999999993"/>
    <n v="-2.1199999999999974"/>
    <n v="2.1199999999999974"/>
    <x v="1"/>
    <n v="36.277000000000001"/>
    <n v="1.0819999999999936"/>
    <n v="2"/>
  </r>
  <r>
    <s v="AJEET KUMAR"/>
    <d v="2026-06-11T00:00:00"/>
    <s v="SR-RTN/26-27/36075"/>
    <s v="B-298801"/>
    <s v="B-GOLD-FILING"/>
    <s v="GOLD-FILLING-WK"/>
    <x v="0"/>
    <s v="G-NA-91.70-YG"/>
    <n v="66.893000000000001"/>
    <n v="61.340881000000003"/>
    <n v="0.91700000000000004"/>
    <n v="63.423000000000002"/>
    <n v="58.158890999999997"/>
    <n v="58.158999999999999"/>
    <n v="0.91699999999999993"/>
    <n v="0"/>
    <n v="0"/>
    <n v="0"/>
    <n v="0"/>
    <n v="0"/>
    <n v="0"/>
    <n v="0"/>
    <n v="0"/>
    <n v="0"/>
    <n v="3.47"/>
    <n v="3.1819899999999999"/>
    <n v="0.91699999999999993"/>
    <n v="-3.4699999999999989"/>
    <n v="3.4699999999999989"/>
    <x v="0"/>
    <n v="58.158999999999999"/>
    <n v="0"/>
    <n v="1"/>
  </r>
  <r>
    <s v="AJEET KUMAR"/>
    <d v="2026-06-11T00:00:00"/>
    <s v="SR-RTN/26-27/36123"/>
    <s v="B-291825"/>
    <s v="B-GOLD-FILING"/>
    <s v="GOLD-FILLING-WK"/>
    <x v="0"/>
    <s v="G-NA-91.70-YG"/>
    <n v="17"/>
    <n v="15.589"/>
    <n v="0.91700000000000004"/>
    <n v="17"/>
    <n v="15.589"/>
    <n v="15.589"/>
    <n v="0.91700000000000004"/>
    <n v="0"/>
    <n v="0"/>
    <n v="0"/>
    <n v="0"/>
    <n v="0"/>
    <n v="0"/>
    <n v="0"/>
    <n v="0"/>
    <n v="0"/>
    <n v="0"/>
    <n v="0"/>
    <n v="0"/>
    <n v="0"/>
    <n v="0"/>
    <x v="0"/>
    <n v="15.589"/>
    <n v="0"/>
    <n v="2"/>
  </r>
  <r>
    <s v="AJEET KUMAR"/>
    <d v="2026-06-11T00:00:00"/>
    <s v="SR-RTN/26-27/36123"/>
    <s v="B-298807"/>
    <s v="B-GOLD-FILING"/>
    <s v="GOLD-FILLING-WK"/>
    <x v="0"/>
    <s v="G-NA-91.70-YG"/>
    <n v="5.92"/>
    <n v="5.4286399999999997"/>
    <n v="0.91699999999999993"/>
    <n v="5.85"/>
    <n v="5.3644499999999997"/>
    <n v="5.3650000000000002"/>
    <n v="0.91700000000000004"/>
    <n v="0"/>
    <n v="0"/>
    <n v="0"/>
    <n v="0"/>
    <n v="0"/>
    <n v="0"/>
    <n v="0"/>
    <n v="0"/>
    <n v="0"/>
    <n v="7.0000000000000007E-2"/>
    <n v="6.4189999999999997E-2"/>
    <n v="0.91699999999999982"/>
    <n v="-7.0000000000000284E-2"/>
    <n v="7.0000000000000284E-2"/>
    <x v="0"/>
    <n v="5.3650000000000002"/>
    <n v="0"/>
    <n v="2"/>
  </r>
  <r>
    <s v="AJEET KUMAR"/>
    <d v="2026-06-11T00:00:00"/>
    <s v="SR-RTN/26-27/36126"/>
    <s v="B-298448"/>
    <s v="B-GOLD-FILING"/>
    <s v="GOLD-FILLING-WK"/>
    <x v="0"/>
    <s v="G-NA-91.70-YG"/>
    <n v="23.96"/>
    <n v="21.971319999999999"/>
    <n v="0.91699999999999993"/>
    <n v="22.61"/>
    <n v="20.733370000000001"/>
    <n v="20.734000000000002"/>
    <n v="0.91700000000000004"/>
    <n v="0"/>
    <n v="0"/>
    <n v="0"/>
    <n v="0"/>
    <n v="0"/>
    <n v="0"/>
    <n v="0"/>
    <n v="0"/>
    <n v="0"/>
    <n v="1.35"/>
    <n v="1.2379500000000001"/>
    <n v="0.91700000000000004"/>
    <n v="-1.3500000000000014"/>
    <n v="1.3500000000000014"/>
    <x v="0"/>
    <n v="20.734000000000002"/>
    <n v="0"/>
    <n v="2"/>
  </r>
  <r>
    <s v="AJEET KUMAR"/>
    <d v="2026-06-11T00:00:00"/>
    <s v="SR-RTN/26-27/36126"/>
    <s v="B-298921"/>
    <s v="B-GOLD-FILING"/>
    <s v="GOLD-FILLING-WK"/>
    <x v="0"/>
    <s v="G-NA-91.70-YG"/>
    <n v="18.45"/>
    <n v="16.91865"/>
    <n v="0.91700000000000004"/>
    <n v="17.25"/>
    <n v="15.818250000000001"/>
    <n v="15.818999999999999"/>
    <n v="0.91700000000000004"/>
    <n v="0"/>
    <n v="0"/>
    <n v="0"/>
    <n v="0"/>
    <n v="0"/>
    <n v="0"/>
    <n v="0"/>
    <n v="0"/>
    <n v="0"/>
    <n v="1.2"/>
    <n v="1.1004"/>
    <n v="0.91700000000000004"/>
    <n v="-1.1999999999999993"/>
    <n v="1.1999999999999993"/>
    <x v="0"/>
    <n v="15.818999999999999"/>
    <n v="0"/>
    <n v="1"/>
  </r>
  <r>
    <s v="AJEET KUMAR"/>
    <d v="2026-06-11T00:00:00"/>
    <s v="SR-RTN/26-27/36131"/>
    <s v="B-291835"/>
    <s v="B-GOLD-FILING"/>
    <s v="GOLD-FILLING-WK"/>
    <x v="0"/>
    <s v="G-NA-91.70-YG"/>
    <n v="33.61"/>
    <n v="30.82037"/>
    <n v="0.91700000000000004"/>
    <n v="33.61"/>
    <n v="30.82037"/>
    <n v="30.821000000000002"/>
    <n v="0.91700000000000004"/>
    <n v="0"/>
    <n v="0"/>
    <n v="0"/>
    <n v="0"/>
    <n v="0"/>
    <n v="0"/>
    <n v="0"/>
    <n v="0"/>
    <n v="0"/>
    <n v="0"/>
    <n v="0"/>
    <n v="0"/>
    <n v="0"/>
    <n v="0"/>
    <x v="1"/>
    <n v="30.821000000000002"/>
    <n v="0"/>
    <n v="2"/>
  </r>
  <r>
    <s v="AJEET KUMAR"/>
    <d v="2026-06-11T00:00:00"/>
    <s v="SR-RTN/26-27/36201"/>
    <s v="B-291387/1"/>
    <s v="B-GOLD-FILING"/>
    <s v="GOLD-FILLING-WK"/>
    <x v="0"/>
    <s v="G-NA-91.70-YG"/>
    <n v="9.9700000000000006"/>
    <n v="9.1424900000000004"/>
    <n v="0.91700000000000004"/>
    <n v="9.69"/>
    <n v="8.8857300000000006"/>
    <n v="8.8859999999999992"/>
    <n v="0.91700000000000015"/>
    <n v="0"/>
    <n v="0"/>
    <n v="0"/>
    <n v="0"/>
    <n v="0"/>
    <n v="0"/>
    <n v="0"/>
    <n v="0"/>
    <n v="0"/>
    <n v="0.28000000000000003"/>
    <n v="0.25675999999999999"/>
    <n v="0.91699999999999982"/>
    <n v="-0.28000000000000114"/>
    <n v="0.28000000000000114"/>
    <x v="0"/>
    <n v="8.8859999999999992"/>
    <n v="0"/>
    <n v="3"/>
  </r>
  <r>
    <s v="AJEET KUMAR"/>
    <d v="2026-06-11T00:00:00"/>
    <s v="SR-RTN/26-27/36213"/>
    <s v="B-297891"/>
    <s v="B-GOLD-FILING"/>
    <s v="GOLD-FILLING-WK"/>
    <x v="0"/>
    <s v="G-NA-91.70-YG"/>
    <n v="37.76"/>
    <n v="34.625920000000001"/>
    <n v="0.91700000000000004"/>
    <n v="36.71"/>
    <n v="33.663069999999998"/>
    <n v="33.663999999999994"/>
    <n v="0.91699999999999993"/>
    <n v="0"/>
    <n v="0"/>
    <n v="0"/>
    <n v="0"/>
    <n v="0"/>
    <n v="0"/>
    <n v="0"/>
    <n v="0"/>
    <n v="0"/>
    <n v="1.05"/>
    <n v="0.96284999999999998"/>
    <n v="0.91699999999999993"/>
    <n v="-1.0499999999999972"/>
    <n v="1.0499999999999972"/>
    <x v="0"/>
    <n v="33.663999999999994"/>
    <n v="0"/>
    <n v="1"/>
  </r>
  <r>
    <s v="AJEET KUMAR"/>
    <d v="2026-06-11T00:00:00"/>
    <s v="SR-RTN/26-27/36224"/>
    <s v="SR-42121"/>
    <s v="CAST-FILLING"/>
    <s v="GOLD-FILLING-WK"/>
    <x v="1"/>
    <s v="G-NA-75.00-RG"/>
    <n v="70.2"/>
    <n v="52.65"/>
    <n v="0.75"/>
    <n v="68.77"/>
    <n v="51.577500000000001"/>
    <n v="51.577999999999996"/>
    <n v="0.75"/>
    <n v="1.43"/>
    <n v="1.0725"/>
    <n v="0.75"/>
    <n v="0"/>
    <n v="0"/>
    <n v="0"/>
    <n v="0"/>
    <n v="0"/>
    <n v="0"/>
    <n v="0"/>
    <n v="0"/>
    <n v="0"/>
    <n v="-2.8600000000000065"/>
    <n v="6.8833827526759706E-15"/>
    <x v="1"/>
    <n v="49.207999999999998"/>
    <n v="2.3699999999999974"/>
    <n v="3"/>
  </r>
  <r>
    <s v="AJEET KUMAR"/>
    <d v="2026-06-11T00:00:00"/>
    <s v="SR-RTN/26-27/36233"/>
    <s v="SR-42121"/>
    <s v="CAST-FILLING"/>
    <s v="GOLD-FILLING-WK"/>
    <x v="1"/>
    <s v="G-NA-75.00-RG"/>
    <n v="68.77"/>
    <n v="51.577500000000001"/>
    <n v="0.75"/>
    <n v="68.459999999999994"/>
    <n v="51.344999999999999"/>
    <n v="51.344999999999999"/>
    <n v="0.75"/>
    <n v="0.31"/>
    <n v="0.23250000000000001"/>
    <n v="0.75"/>
    <n v="0"/>
    <n v="0"/>
    <n v="0"/>
    <n v="0"/>
    <n v="0"/>
    <n v="0"/>
    <n v="0"/>
    <n v="0"/>
    <n v="0"/>
    <n v="-0.62000000000000233"/>
    <n v="2.2759572004815709E-15"/>
    <x v="1"/>
    <n v="49.207999999999998"/>
    <n v="2.1370000000000005"/>
    <n v="3"/>
  </r>
  <r>
    <s v="AJEET KUMAR"/>
    <d v="2026-06-11T00:00:00"/>
    <s v="SR-RTN/26-27/36237"/>
    <s v="SR-42121"/>
    <s v="CAST-FILLING"/>
    <s v="GOLD-FILLING-WK"/>
    <x v="1"/>
    <s v="G-NA-75.00-RG"/>
    <n v="68.459999999999994"/>
    <n v="51.344999999999999"/>
    <n v="0.75"/>
    <n v="65.61"/>
    <n v="49.207500000000003"/>
    <n v="49.207999999999998"/>
    <n v="0.75"/>
    <n v="0"/>
    <n v="0"/>
    <n v="0"/>
    <n v="0"/>
    <n v="0"/>
    <n v="0"/>
    <n v="0"/>
    <n v="0"/>
    <n v="0"/>
    <n v="2.85"/>
    <n v="2.1375000000000002"/>
    <n v="0.75"/>
    <n v="-2.8499999999999943"/>
    <n v="2.8499999999999943"/>
    <x v="0"/>
    <n v="49.207999999999998"/>
    <n v="0"/>
    <n v="3"/>
  </r>
  <r>
    <s v="AJEET KUMAR"/>
    <d v="2026-06-11T00:00:00"/>
    <s v="SR-RTN/26-27/36242"/>
    <s v="B-291799"/>
    <s v="B-GOLD-FILING"/>
    <s v="GOLD-FILLING-WK"/>
    <x v="0"/>
    <s v="G-NA-91.70-YG"/>
    <n v="5.1115000000000004"/>
    <n v="4.6872455000000004"/>
    <n v="0.91700000000000004"/>
    <n v="4.8577000000000004"/>
    <n v="4.4545108999999998"/>
    <n v="4.4550000000000001"/>
    <n v="0.91699999999999993"/>
    <n v="0"/>
    <n v="0"/>
    <n v="0"/>
    <n v="0"/>
    <n v="0"/>
    <n v="0"/>
    <n v="0"/>
    <n v="0"/>
    <n v="0"/>
    <n v="0.25380000000000003"/>
    <n v="0.23273460000000001"/>
    <n v="0.91699999999999993"/>
    <n v="-0.25380000000000003"/>
    <n v="0.25380000000000003"/>
    <x v="1"/>
    <n v="3.15"/>
    <n v="1.3050000000000002"/>
    <n v="5"/>
  </r>
  <r>
    <s v="AJEET KUMAR"/>
    <d v="2026-06-11T00:00:00"/>
    <s v="SR-RTN/26-27/36242"/>
    <s v="B-291799"/>
    <s v="B-GOLD-FILING"/>
    <s v="GOLD-FILLING-WK"/>
    <x v="0"/>
    <s v="G-NA-91.80-YG"/>
    <n v="3.7484999999999999"/>
    <n v="3.4411230000000002"/>
    <n v="0.91800000000000004"/>
    <n v="3.5623"/>
    <n v="3.2701913999999999"/>
    <n v="3.2709999999999999"/>
    <n v="0.91799999999999993"/>
    <n v="0"/>
    <n v="0"/>
    <n v="0"/>
    <n v="0"/>
    <n v="0"/>
    <n v="0"/>
    <n v="0"/>
    <n v="0"/>
    <n v="0"/>
    <n v="0.1862"/>
    <n v="0.17093159999999999"/>
    <n v="0.91799999999999993"/>
    <n v="-0.18619999999999992"/>
    <n v="0.18619999999999992"/>
    <x v="1"/>
    <n v="3.15"/>
    <n v="0.121"/>
    <n v="5"/>
  </r>
  <r>
    <s v="AJEET KUMAR"/>
    <d v="2026-06-11T00:00:00"/>
    <s v="SR-RTN/26-27/36269"/>
    <s v="B-298385"/>
    <s v="B-GOLD-FILING"/>
    <s v="GOLD-FILLING-WK"/>
    <x v="0"/>
    <s v="G-NA-91.70-YG"/>
    <n v="65.94"/>
    <n v="60.46698"/>
    <n v="0.91700000000000004"/>
    <n v="60.17"/>
    <n v="55.175890000000003"/>
    <n v="55.175999999999995"/>
    <n v="0.91700000000000004"/>
    <n v="0"/>
    <n v="0"/>
    <n v="0"/>
    <n v="0"/>
    <n v="0"/>
    <n v="0"/>
    <n v="0"/>
    <n v="0"/>
    <n v="0"/>
    <n v="5.77"/>
    <n v="5.2910899999999996"/>
    <n v="0.91700000000000004"/>
    <n v="-5.769999999999996"/>
    <n v="5.769999999999996"/>
    <x v="0"/>
    <n v="55.175999999999995"/>
    <n v="0"/>
    <n v="1"/>
  </r>
  <r>
    <s v="AJEET KUMAR"/>
    <d v="2026-06-11T00:00:00"/>
    <s v="SR-RTN/26-27/36269"/>
    <s v="B-298918"/>
    <s v="B-GOLD-FILING"/>
    <s v="GOLD-FILLING-WK"/>
    <x v="0"/>
    <s v="G-NA-91.70-YG"/>
    <n v="35.270000000000003"/>
    <n v="32.342590000000001"/>
    <n v="0.91699999999999993"/>
    <n v="33.24"/>
    <n v="30.481079999999999"/>
    <n v="30.482000000000003"/>
    <n v="0.91699999999999993"/>
    <n v="0"/>
    <n v="0"/>
    <n v="0"/>
    <n v="0"/>
    <n v="0"/>
    <n v="0"/>
    <n v="0"/>
    <n v="0"/>
    <n v="0"/>
    <n v="2.0299999999999998"/>
    <n v="1.86151"/>
    <n v="0.91700000000000004"/>
    <n v="-2.0300000000000011"/>
    <n v="2.0300000000000011"/>
    <x v="0"/>
    <n v="30.482000000000003"/>
    <n v="0"/>
    <n v="1"/>
  </r>
  <r>
    <s v="AJEET KUMAR"/>
    <d v="2026-06-11T00:00:00"/>
    <s v="SR-RTN/26-27/36283"/>
    <s v="B-297802"/>
    <s v="B-GOLD-FILING"/>
    <s v="GOLD-FILLING-WK"/>
    <x v="1"/>
    <s v="G-NA-75.00-RG"/>
    <n v="32.729999999999997"/>
    <n v="24.547499999999999"/>
    <n v="0.75"/>
    <n v="32.46"/>
    <n v="24.344999999999999"/>
    <n v="24.344999999999999"/>
    <n v="0.75"/>
    <n v="0"/>
    <n v="0"/>
    <n v="0"/>
    <n v="0"/>
    <n v="0"/>
    <n v="0"/>
    <n v="0"/>
    <n v="0"/>
    <n v="0"/>
    <n v="0.27"/>
    <n v="0.20250000000000001"/>
    <n v="0.75"/>
    <n v="-0.26999999999999602"/>
    <n v="0.26999999999999602"/>
    <x v="0"/>
    <n v="24.344999999999999"/>
    <n v="0"/>
    <n v="2"/>
  </r>
  <r>
    <s v="AJEET KUMAR"/>
    <d v="2026-06-11T00:00:00"/>
    <s v="SR-RTN/26-27/36321"/>
    <s v="B-291387/1"/>
    <s v="B-GOLD-FILING"/>
    <s v="GOLD-FILLING-WK"/>
    <x v="0"/>
    <s v="G-NA-91.70-YG"/>
    <n v="11.58"/>
    <n v="10.61886"/>
    <n v="0.91699999999999993"/>
    <n v="11.04"/>
    <n v="10.12368"/>
    <n v="10.123999999999999"/>
    <n v="0.91700000000000004"/>
    <n v="0"/>
    <n v="0"/>
    <n v="0"/>
    <n v="0"/>
    <n v="0"/>
    <n v="0"/>
    <n v="0"/>
    <n v="0"/>
    <n v="0"/>
    <n v="0.54"/>
    <n v="0.49518000000000001"/>
    <n v="0.91699999999999993"/>
    <n v="-0.54000000000000092"/>
    <n v="0.54000000000000092"/>
    <x v="1"/>
    <n v="8.8859999999999992"/>
    <n v="1.2379999999999995"/>
    <n v="3"/>
  </r>
  <r>
    <s v="AJEET KUMAR"/>
    <d v="2026-06-11T00:00:00"/>
    <s v="SR-RTN/26-27/36327"/>
    <s v="B-298324"/>
    <s v="B-GOLD-FILING"/>
    <s v="GOLD-FILLING-WK"/>
    <x v="1"/>
    <s v="G-NA-75.00-RG"/>
    <n v="44.39"/>
    <n v="33.292499999999997"/>
    <n v="0.74999999999999989"/>
    <n v="41.060099999999998"/>
    <n v="30.795075000000001"/>
    <n v="30.796000000000003"/>
    <n v="0.75"/>
    <n v="0"/>
    <n v="0"/>
    <n v="0"/>
    <n v="0"/>
    <n v="0"/>
    <n v="0"/>
    <n v="0"/>
    <n v="0"/>
    <n v="0"/>
    <n v="3.3298999999999999"/>
    <n v="2.4974249999999998"/>
    <n v="0.75"/>
    <n v="-3.3299000000000021"/>
    <n v="3.3299000000000021"/>
    <x v="1"/>
    <n v="29.085000000000001"/>
    <n v="1.7110000000000021"/>
    <n v="2"/>
  </r>
  <r>
    <s v="AJEET KUMAR"/>
    <d v="2026-06-11T00:00:00"/>
    <s v="SR-RTN/26-27/36327"/>
    <s v="B-299492"/>
    <s v="B-GOLD-FILING"/>
    <s v="GOLD-FILLING-WK"/>
    <x v="1"/>
    <s v="G-NA-75.00-RG"/>
    <n v="12.1"/>
    <n v="9.0749999999999993"/>
    <n v="0.75"/>
    <n v="11.02"/>
    <n v="8.2650000000000006"/>
    <n v="8.2650000000000006"/>
    <n v="0.75000000000000011"/>
    <n v="0"/>
    <n v="0"/>
    <n v="0"/>
    <n v="0"/>
    <n v="0"/>
    <n v="0"/>
    <n v="0"/>
    <n v="0"/>
    <n v="0"/>
    <n v="1.08"/>
    <n v="0.81"/>
    <n v="0.75"/>
    <n v="-1.08"/>
    <n v="1.08"/>
    <x v="0"/>
    <n v="8.2650000000000006"/>
    <n v="0"/>
    <n v="1"/>
  </r>
  <r>
    <s v="AJEET KUMAR"/>
    <d v="2026-06-11T00:00:00"/>
    <s v="SR-RTN/26-27/36378"/>
    <s v="B-291799"/>
    <s v="B-GOLD-FILING"/>
    <s v="GOLD-FILLING-WK"/>
    <x v="0"/>
    <s v="G-NA-91.70-YG"/>
    <n v="4.8461999999999996"/>
    <n v="4.4439653999999997"/>
    <n v="0.91700000000000004"/>
    <n v="4.6788999999999996"/>
    <n v="4.2905512999999997"/>
    <n v="4.2910000000000004"/>
    <n v="0.91700000000000004"/>
    <n v="0"/>
    <n v="0"/>
    <n v="0"/>
    <n v="0"/>
    <n v="0"/>
    <n v="0"/>
    <n v="0"/>
    <n v="0"/>
    <n v="0"/>
    <n v="0.1673"/>
    <n v="0.1534141"/>
    <n v="0.91699999999999993"/>
    <n v="-0.1673"/>
    <n v="0.1673"/>
    <x v="1"/>
    <n v="3.15"/>
    <n v="1.1410000000000005"/>
    <n v="5"/>
  </r>
  <r>
    <s v="AJEET KUMAR"/>
    <d v="2026-06-11T00:00:00"/>
    <s v="SR-RTN/26-27/36378"/>
    <s v="B-291799"/>
    <s v="B-GOLD-FILING"/>
    <s v="GOLD-FILLING-WK"/>
    <x v="0"/>
    <s v="G-NA-91.80-YG"/>
    <n v="3.5537999999999998"/>
    <n v="3.2623883999999999"/>
    <n v="0.91800000000000004"/>
    <n v="3.4310999999999998"/>
    <n v="3.1497497999999999"/>
    <n v="3.15"/>
    <n v="0.91800000000000004"/>
    <n v="0"/>
    <n v="0"/>
    <n v="0"/>
    <n v="0"/>
    <n v="0"/>
    <n v="0"/>
    <n v="0"/>
    <n v="0"/>
    <n v="0"/>
    <n v="0.1227"/>
    <n v="0.11263860000000001"/>
    <n v="0.91800000000000004"/>
    <n v="-0.12270000000000003"/>
    <n v="0.12270000000000003"/>
    <x v="0"/>
    <n v="3.15"/>
    <n v="0"/>
    <n v="5"/>
  </r>
  <r>
    <s v="AJEET KUMAR"/>
    <d v="2026-06-11T00:00:00"/>
    <s v="SR-RTN/26-27/36390"/>
    <s v="B-298155"/>
    <s v="B-GOLD-FILING"/>
    <s v="GOLD-FILLING-WK"/>
    <x v="0"/>
    <s v="G-NA-91.70-YG"/>
    <n v="366.74"/>
    <n v="336.30058000000002"/>
    <n v="0.91700000000000004"/>
    <n v="358.78"/>
    <n v="329.00126"/>
    <n v="329.00199999999995"/>
    <n v="0.91700000000000004"/>
    <n v="0"/>
    <n v="0"/>
    <n v="0"/>
    <n v="0"/>
    <n v="0"/>
    <n v="0"/>
    <n v="0"/>
    <n v="0"/>
    <n v="0"/>
    <n v="7.96"/>
    <n v="7.2993199999999998"/>
    <n v="0.91699999999999993"/>
    <n v="-7.9600000000000364"/>
    <n v="7.9600000000000364"/>
    <x v="1"/>
    <n v="311.221"/>
    <n v="17.780999999999949"/>
    <n v="3"/>
  </r>
  <r>
    <s v="AJEET KUMAR"/>
    <d v="2026-06-11T00:00:00"/>
    <s v="SR-RTN/26-27/36391"/>
    <s v="B-295658"/>
    <s v="B-GOLD-FILING"/>
    <s v="GOLD-FILLING-WK"/>
    <x v="1"/>
    <s v="G-NA-75.00-YG"/>
    <n v="5.4"/>
    <n v="4.05"/>
    <n v="0.74999999999999989"/>
    <n v="5.37"/>
    <n v="4.0274999999999999"/>
    <n v="4.0280000000000005"/>
    <n v="0.75"/>
    <n v="0"/>
    <n v="0"/>
    <n v="0"/>
    <n v="0"/>
    <n v="0"/>
    <n v="0"/>
    <n v="0"/>
    <n v="0"/>
    <n v="0"/>
    <n v="0.03"/>
    <n v="2.2499999999999999E-2"/>
    <n v="0.75"/>
    <n v="-3.0000000000000249E-2"/>
    <n v="3.0000000000000249E-2"/>
    <x v="0"/>
    <n v="4.0280000000000005"/>
    <n v="0"/>
    <n v="2"/>
  </r>
  <r>
    <s v="AJEET KUMAR"/>
    <d v="2026-06-11T00:00:00"/>
    <s v="SR-RTN/26-27/36404"/>
    <s v="B-298883"/>
    <s v="B-GOLD-FILING"/>
    <s v="GOLD-FILLING-WK"/>
    <x v="1"/>
    <s v="G-NA-75.00-YG"/>
    <n v="1.9"/>
    <n v="1.425"/>
    <n v="0.75000000000000011"/>
    <n v="1.75"/>
    <n v="1.3125"/>
    <n v="1.3129999999999999"/>
    <n v="0.75"/>
    <n v="0"/>
    <n v="0"/>
    <n v="0"/>
    <n v="0"/>
    <n v="0"/>
    <n v="0"/>
    <n v="0"/>
    <n v="0"/>
    <n v="0"/>
    <n v="0.15"/>
    <n v="0.1125"/>
    <n v="0.75"/>
    <n v="-0.14999999999999991"/>
    <n v="0.14999999999999991"/>
    <x v="0"/>
    <n v="1.3129999999999999"/>
    <n v="0"/>
    <n v="1"/>
  </r>
  <r>
    <s v="AJEET KUMAR"/>
    <d v="2026-06-11T00:00:00"/>
    <s v="SR-RTN/26-27/36404"/>
    <s v="B-298884"/>
    <s v="B-GOLD-FILING"/>
    <s v="GOLD-FILLING-WK"/>
    <x v="1"/>
    <s v="G-NA-75.00-YG"/>
    <n v="1.96"/>
    <n v="1.47"/>
    <n v="0.75"/>
    <n v="1.81"/>
    <n v="1.3574999999999999"/>
    <n v="1.3579999999999999"/>
    <n v="0.74999999999999989"/>
    <n v="0"/>
    <n v="0"/>
    <n v="0"/>
    <n v="0"/>
    <n v="0"/>
    <n v="0"/>
    <n v="0"/>
    <n v="0"/>
    <n v="0"/>
    <n v="0.15"/>
    <n v="0.1125"/>
    <n v="0.75"/>
    <n v="-0.14999999999999991"/>
    <n v="0.14999999999999991"/>
    <x v="0"/>
    <n v="1.3579999999999999"/>
    <n v="0"/>
    <n v="1"/>
  </r>
  <r>
    <s v="AJEET KUMAR"/>
    <d v="2026-06-11T00:00:00"/>
    <s v="SR-RTN/26-27/36404"/>
    <s v="B-298885"/>
    <s v="B-GOLD-FILING"/>
    <s v="GOLD-FILLING-WK"/>
    <x v="1"/>
    <s v="G-NA-75.00-YG"/>
    <n v="2.4"/>
    <n v="1.8"/>
    <n v="0.75"/>
    <n v="2.2799999999999998"/>
    <n v="1.71"/>
    <n v="1.71"/>
    <n v="0.75"/>
    <n v="0"/>
    <n v="0"/>
    <n v="0"/>
    <n v="0"/>
    <n v="0"/>
    <n v="0"/>
    <n v="0"/>
    <n v="0"/>
    <n v="0"/>
    <n v="0.12"/>
    <n v="0.09"/>
    <n v="0.75"/>
    <n v="-0.12000000000000011"/>
    <n v="0.12000000000000011"/>
    <x v="0"/>
    <n v="1.71"/>
    <n v="0"/>
    <n v="1"/>
  </r>
  <r>
    <s v="AJEET KUMAR"/>
    <d v="2026-06-11T00:00:00"/>
    <s v="SR-RTN/26-27/36426"/>
    <s v="B-298156"/>
    <s v="B-GOLD-FILING"/>
    <s v="GOLD-FILLING-WK"/>
    <x v="0"/>
    <s v="G-NA-91.70-YG"/>
    <n v="385.24"/>
    <n v="353.26508000000001"/>
    <n v="0.91700000000000004"/>
    <n v="351.98"/>
    <n v="322.76566000000003"/>
    <n v="322.76599999999996"/>
    <n v="0.91700000000000004"/>
    <n v="0"/>
    <n v="0"/>
    <n v="0"/>
    <n v="0"/>
    <n v="0"/>
    <n v="0"/>
    <n v="0"/>
    <n v="0"/>
    <n v="0"/>
    <n v="33.26"/>
    <n v="30.499420000000001"/>
    <n v="0.91700000000000004"/>
    <n v="-33.259999999999991"/>
    <n v="33.259999999999991"/>
    <x v="1"/>
    <n v="319.84999999999997"/>
    <n v="2.9159999999999968"/>
    <n v="2"/>
  </r>
  <r>
    <s v="AJEET KUMAR"/>
    <d v="2026-06-11T00:00:00"/>
    <s v="SR-RTN/26-27/36434"/>
    <s v="B-298160"/>
    <s v="B-GOLD-FILING"/>
    <s v="GOLD-FILLING-WK"/>
    <x v="1"/>
    <s v="G-NA-75.00-YG"/>
    <n v="265.24"/>
    <n v="198.93"/>
    <n v="0.75"/>
    <n v="262.70999999999998"/>
    <n v="197.0325"/>
    <n v="197.03300000000002"/>
    <n v="0.75"/>
    <n v="0"/>
    <n v="0"/>
    <n v="0"/>
    <n v="0"/>
    <n v="0"/>
    <n v="0"/>
    <n v="0"/>
    <n v="0"/>
    <n v="0"/>
    <n v="2.5299999999999998"/>
    <n v="1.8975"/>
    <n v="0.75"/>
    <n v="-2.5300000000000296"/>
    <n v="2.5300000000000296"/>
    <x v="1"/>
    <n v="194.565"/>
    <n v="2.4680000000000177"/>
    <n v="4"/>
  </r>
  <r>
    <s v="AJEET KUMAR"/>
    <d v="2026-06-11T00:00:00"/>
    <s v="SR-RTN/26-27/36436"/>
    <s v="B-298157"/>
    <s v="B-GOLD-FILING"/>
    <s v="GOLD-FILLING-WK"/>
    <x v="1"/>
    <s v="G-NA-75.00-YG"/>
    <n v="313.42"/>
    <n v="235.065"/>
    <n v="0.75"/>
    <n v="312.52"/>
    <n v="234.39"/>
    <n v="234.39"/>
    <n v="0.75"/>
    <n v="0"/>
    <n v="0"/>
    <n v="0"/>
    <n v="0"/>
    <n v="0"/>
    <n v="0"/>
    <n v="0"/>
    <n v="0"/>
    <n v="0"/>
    <n v="0.9"/>
    <n v="0.67500000000000004"/>
    <n v="0.75"/>
    <n v="-0.90000000000003411"/>
    <n v="0.90000000000003411"/>
    <x v="0"/>
    <n v="234.39"/>
    <n v="0"/>
    <n v="3"/>
  </r>
  <r>
    <s v="AJEET KUMAR"/>
    <d v="2026-06-11T00:00:00"/>
    <s v="SR-RTN/26-27/36476"/>
    <s v="B-298638"/>
    <s v="B-GOLD-FILING"/>
    <s v="GOLD-FILLING-WK"/>
    <x v="0"/>
    <s v="G-NA-91.70-YG"/>
    <n v="39.700000000000003"/>
    <n v="36.404899999999998"/>
    <n v="0.91699999999999993"/>
    <n v="39.56"/>
    <n v="36.276519999999998"/>
    <n v="36.277000000000001"/>
    <n v="0.91699999999999993"/>
    <n v="0"/>
    <n v="0"/>
    <n v="0"/>
    <n v="0"/>
    <n v="0"/>
    <n v="0"/>
    <n v="0"/>
    <n v="0"/>
    <n v="0"/>
    <n v="0.14000000000000001"/>
    <n v="0.12837999999999999"/>
    <n v="0.91699999999999982"/>
    <n v="-0.14000000000000057"/>
    <n v="0.14000000000000057"/>
    <x v="0"/>
    <n v="36.277000000000001"/>
    <n v="0"/>
    <n v="2"/>
  </r>
  <r>
    <s v="AJEET KUMAR"/>
    <d v="2026-06-11T00:00:00"/>
    <s v="SR-RTN/26-27/36482"/>
    <s v="B-298888"/>
    <s v="B-GOLD-FILING"/>
    <s v="GOLD-FILLING-WK"/>
    <x v="1"/>
    <s v="G-NA-75.00-YG"/>
    <n v="3.46"/>
    <n v="2.5950000000000002"/>
    <n v="0.75000000000000011"/>
    <n v="3.15"/>
    <n v="2.3624999999999998"/>
    <n v="2.363"/>
    <n v="0.75"/>
    <n v="0"/>
    <n v="0"/>
    <n v="0"/>
    <n v="0"/>
    <n v="0"/>
    <n v="0"/>
    <n v="0"/>
    <n v="0"/>
    <n v="0"/>
    <n v="0.31"/>
    <n v="0.23250000000000001"/>
    <n v="0.75"/>
    <n v="-0.31000000000000005"/>
    <n v="0.31000000000000005"/>
    <x v="0"/>
    <n v="2.363"/>
    <n v="0"/>
    <n v="1"/>
  </r>
  <r>
    <s v="AJEET KUMAR"/>
    <d v="2026-06-11T00:00:00"/>
    <s v="SR-RTN/26-27/36504"/>
    <s v="B-298158"/>
    <s v="B-GOLD-FILING"/>
    <s v="GOLD-FILLING-WK"/>
    <x v="1"/>
    <s v="G-NA-75.00-YG"/>
    <n v="359.74"/>
    <n v="269.80500000000001"/>
    <n v="0.75"/>
    <n v="338.45"/>
    <n v="253.83750000000001"/>
    <n v="253.83799999999999"/>
    <n v="0.75"/>
    <n v="0"/>
    <n v="0"/>
    <n v="0"/>
    <n v="0"/>
    <n v="0"/>
    <n v="0"/>
    <n v="0"/>
    <n v="0"/>
    <n v="0"/>
    <n v="21.29"/>
    <n v="15.967499999999999"/>
    <n v="0.75"/>
    <n v="-21.29000000000002"/>
    <n v="21.29000000000002"/>
    <x v="1"/>
    <n v="230.018"/>
    <n v="23.819999999999993"/>
    <n v="3"/>
  </r>
  <r>
    <s v="AJEET KUMAR"/>
    <d v="2026-06-11T00:00:00"/>
    <s v="SR-RTN/26-27/36504"/>
    <s v="B-299304"/>
    <s v="B-GOLD-FILING"/>
    <s v="GOLD-FILLING-WK"/>
    <x v="1"/>
    <s v="G-NA-75.00-RG"/>
    <n v="65.680000000000007"/>
    <n v="49.26"/>
    <n v="0.74999999999999989"/>
    <n v="63.86"/>
    <n v="47.895000000000003"/>
    <n v="47.895000000000003"/>
    <n v="0.75000000000000011"/>
    <n v="0"/>
    <n v="0"/>
    <n v="0"/>
    <n v="0"/>
    <n v="0"/>
    <n v="0"/>
    <n v="0"/>
    <n v="0"/>
    <n v="0"/>
    <n v="1.82"/>
    <n v="1.365"/>
    <n v="0.75"/>
    <n v="-1.8200000000000074"/>
    <n v="1.8200000000000074"/>
    <x v="0"/>
    <n v="47.895000000000003"/>
    <n v="0"/>
    <n v="1"/>
  </r>
  <r>
    <s v="AJEET KUMAR"/>
    <d v="2026-06-11T00:00:00"/>
    <s v="SR-RTN/26-27/36514"/>
    <s v="B-298887"/>
    <s v="B-GOLD-FILING"/>
    <s v="GOLD-FILLING-WK"/>
    <x v="1"/>
    <s v="G-NA-75.00-YG"/>
    <n v="2.58"/>
    <n v="1.9350000000000001"/>
    <n v="0.75"/>
    <n v="2.23"/>
    <n v="1.6725000000000001"/>
    <n v="1.6729999999999998"/>
    <n v="0.75"/>
    <n v="0"/>
    <n v="0"/>
    <n v="0"/>
    <n v="0"/>
    <n v="0"/>
    <n v="0"/>
    <n v="0"/>
    <n v="0"/>
    <n v="0"/>
    <n v="0.35"/>
    <n v="0.26250000000000001"/>
    <n v="0.75000000000000011"/>
    <n v="-0.35000000000000009"/>
    <n v="0.35000000000000009"/>
    <x v="0"/>
    <n v="1.6729999999999998"/>
    <n v="0"/>
    <n v="1"/>
  </r>
  <r>
    <s v="AJEET KUMAR"/>
    <d v="2026-06-11T00:00:00"/>
    <s v="SR-RTN/26-27/36514"/>
    <s v="B-298889"/>
    <s v="B-GOLD-FILING"/>
    <s v="GOLD-FILLING-WK"/>
    <x v="1"/>
    <s v="G-NA-75.00-YG"/>
    <n v="4.1399999999999997"/>
    <n v="3.105"/>
    <n v="0.75"/>
    <n v="3.79"/>
    <n v="2.8424999999999998"/>
    <n v="2.843"/>
    <n v="0.74999999999999989"/>
    <n v="0"/>
    <n v="0"/>
    <n v="0"/>
    <n v="0"/>
    <n v="0"/>
    <n v="0"/>
    <n v="0"/>
    <n v="0"/>
    <n v="0"/>
    <n v="0.35"/>
    <n v="0.26250000000000001"/>
    <n v="0.75000000000000011"/>
    <n v="-0.34999999999999964"/>
    <n v="0.34999999999999964"/>
    <x v="0"/>
    <n v="2.843"/>
    <n v="0"/>
    <n v="1"/>
  </r>
  <r>
    <s v="AJEET KUMAR"/>
    <d v="2026-06-11T00:00:00"/>
    <s v="SR-RTN/26-27/36522"/>
    <s v="B-298399"/>
    <s v="B-GOLD-FILING"/>
    <s v="GOLD-FILLING-WK"/>
    <x v="1"/>
    <s v="G-NA-75.00-RG"/>
    <n v="35.26"/>
    <n v="26.445"/>
    <n v="0.75"/>
    <n v="34.96"/>
    <n v="26.22"/>
    <n v="26.22"/>
    <n v="0.75"/>
    <n v="0"/>
    <n v="0"/>
    <n v="0"/>
    <n v="0"/>
    <n v="0"/>
    <n v="0"/>
    <n v="0"/>
    <n v="0"/>
    <n v="0"/>
    <n v="0.3"/>
    <n v="0.22500000000000001"/>
    <n v="0.75"/>
    <n v="-0.29999999999999716"/>
    <n v="0.29999999999999716"/>
    <x v="0"/>
    <n v="26.22"/>
    <n v="0"/>
    <n v="1"/>
  </r>
  <r>
    <s v="AJEET KUMAR"/>
    <d v="2026-06-11T00:00:00"/>
    <s v="SR-RTN/26-27/36528"/>
    <s v="B-298388"/>
    <s v="B-GOLD-FILING"/>
    <s v="GOLD-FILLING-WK"/>
    <x v="0"/>
    <s v="G-NA-91.70-YG"/>
    <n v="25.18"/>
    <n v="23.090060000000001"/>
    <n v="0.91700000000000004"/>
    <n v="23.66"/>
    <n v="21.69622"/>
    <n v="21.697000000000003"/>
    <n v="0.91700000000000004"/>
    <n v="0"/>
    <n v="0"/>
    <n v="0"/>
    <n v="0"/>
    <n v="0"/>
    <n v="0"/>
    <n v="0"/>
    <n v="0"/>
    <n v="0"/>
    <n v="1.52"/>
    <n v="1.39384"/>
    <n v="0.91699999999999993"/>
    <n v="-1.5199999999999996"/>
    <n v="1.5199999999999996"/>
    <x v="0"/>
    <n v="21.697000000000003"/>
    <n v="0"/>
    <n v="1"/>
  </r>
  <r>
    <s v="AJEET KUMAR"/>
    <d v="2026-06-12T00:00:00"/>
    <s v="RTN-8776366"/>
    <s v="SR-42189"/>
    <s v="CAST-FILLING"/>
    <s v="GOLD-FILLING-WK"/>
    <x v="1"/>
    <s v="G-NA-75.00-RG"/>
    <n v="49.58"/>
    <n v="37.185000000000002"/>
    <n v="0.75000000000000011"/>
    <n v="46.2"/>
    <n v="34.65"/>
    <n v="34.65"/>
    <n v="0.74999999999999989"/>
    <n v="0"/>
    <n v="0"/>
    <n v="0"/>
    <n v="0"/>
    <n v="0"/>
    <n v="0"/>
    <n v="0"/>
    <n v="0"/>
    <n v="0"/>
    <n v="3.38"/>
    <n v="2.5350000000000001"/>
    <n v="0.75000000000000011"/>
    <n v="-3.3799999999999955"/>
    <n v="3.3799999999999955"/>
    <x v="0"/>
    <n v="34.65"/>
    <n v="0"/>
    <n v="1"/>
  </r>
  <r>
    <s v="AJEET KUMAR"/>
    <d v="2026-06-12T00:00:00"/>
    <s v="RTN-8777212"/>
    <s v="SR-42199"/>
    <s v="CAST-FILLING"/>
    <s v="GOLD-FILLING-WK"/>
    <x v="1"/>
    <s v="G-NA-75.00-RG"/>
    <n v="36.479999999999997"/>
    <n v="27.36"/>
    <n v="0.75"/>
    <n v="34.75"/>
    <n v="26.0625"/>
    <n v="26.063000000000002"/>
    <n v="0.75"/>
    <n v="0"/>
    <n v="0"/>
    <n v="0"/>
    <n v="0"/>
    <n v="0"/>
    <n v="0"/>
    <n v="0"/>
    <n v="0"/>
    <n v="0"/>
    <n v="1.73"/>
    <n v="1.2975000000000001"/>
    <n v="0.75000000000000011"/>
    <n v="-1.7299999999999969"/>
    <n v="1.7299999999999969"/>
    <x v="0"/>
    <n v="26.063000000000002"/>
    <n v="0"/>
    <n v="1"/>
  </r>
  <r>
    <s v="AJEET KUMAR"/>
    <d v="2026-06-12T00:00:00"/>
    <s v="RTN-8779413"/>
    <s v="SR-42193/1"/>
    <s v="CAST-FILLING"/>
    <s v="GOLD-FILLING-WK"/>
    <x v="0"/>
    <s v="G-NA-91.70-YG"/>
    <n v="67.67"/>
    <n v="62.05339"/>
    <n v="0.91699999999999993"/>
    <n v="63.5"/>
    <n v="58.229500000000002"/>
    <n v="58.23"/>
    <n v="0.91700000000000004"/>
    <n v="0"/>
    <n v="0"/>
    <n v="0"/>
    <n v="0"/>
    <n v="0"/>
    <n v="0"/>
    <n v="0"/>
    <n v="0"/>
    <n v="0"/>
    <n v="4.17"/>
    <n v="3.82389"/>
    <n v="0.91700000000000004"/>
    <n v="-4.1700000000000017"/>
    <n v="4.1700000000000017"/>
    <x v="1"/>
    <n v="58.201999999999998"/>
    <n v="2.7999999999998693E-2"/>
    <n v="2"/>
  </r>
  <r>
    <s v="AJEET KUMAR"/>
    <d v="2026-06-12T00:00:00"/>
    <s v="RTN-8784049"/>
    <s v="SR-42193/1"/>
    <s v="CAST-FILLING"/>
    <s v="GOLD-FILLING-WK"/>
    <x v="0"/>
    <s v="G-NA-91.70-YG"/>
    <n v="63.5"/>
    <n v="58.229500000000002"/>
    <n v="0.91700000000000004"/>
    <n v="63.47"/>
    <n v="58.201990000000002"/>
    <n v="58.201999999999998"/>
    <n v="0.91700000000000004"/>
    <n v="0"/>
    <n v="0"/>
    <n v="0"/>
    <n v="0"/>
    <n v="0"/>
    <n v="0"/>
    <n v="0"/>
    <n v="0"/>
    <n v="0"/>
    <n v="0.03"/>
    <n v="2.751E-2"/>
    <n v="0.91700000000000004"/>
    <n v="-3.0000000000001137E-2"/>
    <n v="3.0000000000001137E-2"/>
    <x v="0"/>
    <n v="58.201999999999998"/>
    <n v="0"/>
    <n v="2"/>
  </r>
  <r>
    <s v="AJEET KUMAR"/>
    <d v="2026-06-12T00:00:00"/>
    <s v="RTN-8785336"/>
    <s v="SR-42239"/>
    <s v="CAST-FILLING"/>
    <s v="GOLD-FILLING-WK"/>
    <x v="0"/>
    <s v="G-NA-91.70-YG"/>
    <n v="190.06"/>
    <n v="174.28502"/>
    <n v="0.91700000000000004"/>
    <n v="181.63"/>
    <n v="166.55471"/>
    <n v="166.55500000000001"/>
    <n v="0.91700000000000004"/>
    <n v="0"/>
    <n v="0"/>
    <n v="0"/>
    <n v="0"/>
    <n v="0"/>
    <n v="0"/>
    <n v="0"/>
    <n v="0"/>
    <n v="0"/>
    <n v="8.43"/>
    <n v="7.7303100000000002"/>
    <n v="0.91700000000000004"/>
    <n v="-8.4300000000000068"/>
    <n v="8.4300000000000068"/>
    <x v="0"/>
    <n v="166.55500000000001"/>
    <n v="0"/>
    <n v="1"/>
  </r>
  <r>
    <s v="AJEET KUMAR"/>
    <d v="2026-06-12T00:00:00"/>
    <s v="RTN-8787379"/>
    <s v="SR-42193"/>
    <s v="CAST-FILLING"/>
    <s v="GOLD-FILLING-WK"/>
    <x v="0"/>
    <s v="G-NA-91.70-YG"/>
    <n v="123.88"/>
    <n v="113.59796"/>
    <n v="0.91700000000000004"/>
    <n v="117.31"/>
    <n v="107.57326999999999"/>
    <n v="107.574"/>
    <n v="0.91699999999999993"/>
    <n v="0"/>
    <n v="0"/>
    <n v="0"/>
    <n v="0"/>
    <n v="0"/>
    <n v="0"/>
    <n v="0"/>
    <n v="0"/>
    <n v="0"/>
    <n v="6.57"/>
    <n v="6.0246899999999997"/>
    <n v="0.91699999999999993"/>
    <n v="-6.5699999999999932"/>
    <n v="6.5699999999999932"/>
    <x v="0"/>
    <n v="107.574"/>
    <n v="0"/>
    <n v="1"/>
  </r>
  <r>
    <s v="AJEET KUMAR"/>
    <d v="2026-06-12T00:00:00"/>
    <s v="SR-ROA/26-27/1052"/>
    <s v="NONE"/>
    <s v="CAST-FILLING"/>
    <s v="GOLD-FILLING-WK"/>
    <x v="0"/>
    <s v="G-NA-91.70-YG"/>
    <n v="3.1"/>
    <n v="2.8426999999999998"/>
    <n v="0.91699999999999993"/>
    <n v="0"/>
    <n v="0"/>
    <n v="0"/>
    <n v="0"/>
    <n v="0"/>
    <n v="0"/>
    <n v="0"/>
    <n v="0"/>
    <n v="0"/>
    <n v="0"/>
    <n v="0"/>
    <n v="0"/>
    <n v="0"/>
    <n v="3.1"/>
    <n v="2.8426999999999998"/>
    <n v="0.91699999999999993"/>
    <n v="-3.1"/>
    <n v="3.1"/>
    <x v="1"/>
    <n v="0"/>
    <n v="0"/>
    <n v="67"/>
  </r>
  <r>
    <s v="AJEET KUMAR"/>
    <d v="2026-06-12T00:00:00"/>
    <s v="SR-RTN/26-27/36557"/>
    <s v="B-297960"/>
    <s v="B-GOLD-FILING"/>
    <s v="GOLD-FILLING-WK"/>
    <x v="1"/>
    <s v="G-NA-75.00-YG"/>
    <n v="24.75"/>
    <n v="18.5625"/>
    <n v="0.75"/>
    <n v="22.59"/>
    <n v="16.942499999999999"/>
    <n v="16.943000000000001"/>
    <n v="0.75"/>
    <n v="0"/>
    <n v="0"/>
    <n v="0"/>
    <n v="0"/>
    <n v="0"/>
    <n v="0"/>
    <n v="0"/>
    <n v="0"/>
    <n v="0"/>
    <n v="2.16"/>
    <n v="1.62"/>
    <n v="0.75"/>
    <n v="-2.16"/>
    <n v="2.16"/>
    <x v="0"/>
    <n v="16.943000000000001"/>
    <n v="0"/>
    <n v="1"/>
  </r>
  <r>
    <s v="AJEET KUMAR"/>
    <d v="2026-06-12T00:00:00"/>
    <s v="SR-RTN/26-27/36558"/>
    <s v="B-296875"/>
    <s v="B-GOLD-FILING"/>
    <s v="GOLD-FILLING-WK"/>
    <x v="1"/>
    <s v="G-NA-75.00-RG"/>
    <n v="18.690000000000001"/>
    <n v="14.0175"/>
    <n v="0.75"/>
    <n v="17.73"/>
    <n v="13.297499999999999"/>
    <n v="13.298"/>
    <n v="0.75"/>
    <n v="0"/>
    <n v="0"/>
    <n v="0"/>
    <n v="0"/>
    <n v="0"/>
    <n v="0"/>
    <n v="0"/>
    <n v="0"/>
    <n v="0"/>
    <n v="0.96"/>
    <n v="0.72"/>
    <n v="0.75"/>
    <n v="-0.96000000000000085"/>
    <n v="0.96000000000000085"/>
    <x v="1"/>
    <n v="12.765000000000001"/>
    <n v="0.53299999999999947"/>
    <n v="2"/>
  </r>
  <r>
    <s v="AJEET KUMAR"/>
    <d v="2026-06-12T00:00:00"/>
    <s v="SR-RTN/26-27/36558"/>
    <s v="B-298949"/>
    <s v="B-GOLD-FILING"/>
    <s v="GOLD-FILLING-WK"/>
    <x v="0"/>
    <s v="G-NA-91.70-YG"/>
    <n v="8.68"/>
    <n v="7.9595599999999997"/>
    <n v="0.91700000000000004"/>
    <n v="8.4"/>
    <n v="7.7027999999999999"/>
    <n v="7.7030000000000003"/>
    <n v="0.91699999999999993"/>
    <n v="0"/>
    <n v="0"/>
    <n v="0"/>
    <n v="0"/>
    <n v="0"/>
    <n v="0"/>
    <n v="0"/>
    <n v="0"/>
    <n v="0"/>
    <n v="0.28000000000000003"/>
    <n v="0.25675999999999999"/>
    <n v="0.91699999999999982"/>
    <n v="-0.27999999999999936"/>
    <n v="0.27999999999999936"/>
    <x v="0"/>
    <n v="7.7030000000000003"/>
    <n v="0"/>
    <n v="1"/>
  </r>
  <r>
    <s v="AJEET KUMAR"/>
    <d v="2026-06-12T00:00:00"/>
    <s v="SR-RTN/26-27/36559"/>
    <s v="B-298595"/>
    <s v="B-GOLD-FILING"/>
    <s v="GOLD-FILLING-WK"/>
    <x v="1"/>
    <s v="G-NA-75.00-RG"/>
    <n v="21.16"/>
    <n v="15.87"/>
    <n v="0.75"/>
    <n v="20.2"/>
    <n v="15.15"/>
    <n v="15.15"/>
    <n v="0.75"/>
    <n v="0"/>
    <n v="0"/>
    <n v="0"/>
    <n v="0"/>
    <n v="0"/>
    <n v="0"/>
    <n v="0"/>
    <n v="0"/>
    <n v="0"/>
    <n v="0.96"/>
    <n v="0.72"/>
    <n v="0.75"/>
    <n v="-0.96000000000000085"/>
    <n v="0.96000000000000085"/>
    <x v="0"/>
    <n v="15.15"/>
    <n v="0"/>
    <n v="2"/>
  </r>
  <r>
    <s v="AJEET KUMAR"/>
    <d v="2026-06-12T00:00:00"/>
    <s v="SR-RTN/26-27/36608"/>
    <s v="B-296872"/>
    <s v="B-GOLD-FILING"/>
    <s v="GOLD-FILLING-WK"/>
    <x v="1"/>
    <s v="G-NA-75.00-RG"/>
    <n v="15.68"/>
    <n v="11.76"/>
    <n v="0.75"/>
    <n v="14.95"/>
    <n v="11.2125"/>
    <n v="11.212999999999999"/>
    <n v="0.75000000000000011"/>
    <n v="0"/>
    <n v="0"/>
    <n v="0"/>
    <n v="0"/>
    <n v="0"/>
    <n v="0"/>
    <n v="0"/>
    <n v="0"/>
    <n v="0"/>
    <n v="0.73"/>
    <n v="0.54749999999999999"/>
    <n v="0.75"/>
    <n v="-0.73000000000000043"/>
    <n v="0.73000000000000043"/>
    <x v="0"/>
    <n v="11.212999999999999"/>
    <n v="0"/>
    <n v="1"/>
  </r>
  <r>
    <s v="AJEET KUMAR"/>
    <d v="2026-06-12T00:00:00"/>
    <s v="SR-RTN/26-27/36608"/>
    <s v="B-298913"/>
    <s v="B-GOLD-FILING"/>
    <s v="GOLD-FILLING-WK"/>
    <x v="1"/>
    <s v="G-NA-75.00-RG"/>
    <n v="19.57"/>
    <n v="14.6775"/>
    <n v="0.75"/>
    <n v="18.829999999999998"/>
    <n v="14.1225"/>
    <n v="14.122999999999999"/>
    <n v="0.75000000000000011"/>
    <n v="0"/>
    <n v="0"/>
    <n v="0"/>
    <n v="0"/>
    <n v="0"/>
    <n v="0"/>
    <n v="0"/>
    <n v="0"/>
    <n v="0"/>
    <n v="0.74"/>
    <n v="0.55500000000000005"/>
    <n v="0.75000000000000011"/>
    <n v="-0.74000000000000199"/>
    <n v="0.74000000000000199"/>
    <x v="0"/>
    <n v="14.122999999999999"/>
    <n v="0"/>
    <n v="1"/>
  </r>
  <r>
    <s v="AJEET KUMAR"/>
    <d v="2026-06-12T00:00:00"/>
    <s v="SR-RTN/26-27/36608"/>
    <s v="B-298920"/>
    <s v="B-GOLD-FILING"/>
    <s v="GOLD-FILLING-WK"/>
    <x v="1"/>
    <s v="G-NA-75.00-YG"/>
    <n v="11.11"/>
    <n v="8.3324999999999996"/>
    <n v="0.75"/>
    <n v="10.3"/>
    <n v="7.7249999999999996"/>
    <n v="7.7249999999999996"/>
    <n v="0.74999999999999989"/>
    <n v="0"/>
    <n v="0"/>
    <n v="0"/>
    <n v="0"/>
    <n v="0"/>
    <n v="0"/>
    <n v="0"/>
    <n v="0"/>
    <n v="0"/>
    <n v="0.81"/>
    <n v="0.60750000000000004"/>
    <n v="0.75"/>
    <n v="-0.80999999999999872"/>
    <n v="0.80999999999999872"/>
    <x v="0"/>
    <n v="7.7249999999999996"/>
    <n v="0"/>
    <n v="1"/>
  </r>
  <r>
    <s v="AJEET KUMAR"/>
    <d v="2026-06-12T00:00:00"/>
    <s v="SR-RTN/26-27/36620"/>
    <s v="B-299255"/>
    <s v="B-GOLD-FILING"/>
    <s v="GOLD-FILLING-WK"/>
    <x v="0"/>
    <s v="G-NA-91.70-YG"/>
    <n v="3.99"/>
    <n v="3.65883"/>
    <n v="0.91699999999999993"/>
    <n v="3.62"/>
    <n v="3.3195399999999999"/>
    <n v="3.32"/>
    <n v="0.91699999999999993"/>
    <n v="0"/>
    <n v="0"/>
    <n v="0"/>
    <n v="0"/>
    <n v="0"/>
    <n v="0"/>
    <n v="0"/>
    <n v="0"/>
    <n v="0"/>
    <n v="0.37"/>
    <n v="0.33928999999999998"/>
    <n v="0.91699999999999993"/>
    <n v="-0.37000000000000011"/>
    <n v="0.37000000000000011"/>
    <x v="0"/>
    <n v="3.32"/>
    <n v="0"/>
    <n v="1"/>
  </r>
  <r>
    <s v="AJEET KUMAR"/>
    <d v="2026-06-12T00:00:00"/>
    <s v="SR-RTN/26-27/36620"/>
    <s v="B-299329"/>
    <s v="B-GOLD-FILING"/>
    <s v="GOLD-FILLING-WK"/>
    <x v="1"/>
    <s v="G-NA-75.00-RG"/>
    <n v="17.43"/>
    <n v="13.0725"/>
    <n v="0.75"/>
    <n v="16.22"/>
    <n v="12.164999999999999"/>
    <n v="12.164999999999999"/>
    <n v="0.75"/>
    <n v="0"/>
    <n v="0"/>
    <n v="0"/>
    <n v="0"/>
    <n v="0"/>
    <n v="0"/>
    <n v="0"/>
    <n v="0"/>
    <n v="0"/>
    <n v="1.21"/>
    <n v="0.90749999999999997"/>
    <n v="0.75"/>
    <n v="-1.2100000000000009"/>
    <n v="1.2100000000000009"/>
    <x v="0"/>
    <n v="12.164999999999999"/>
    <n v="0"/>
    <n v="1"/>
  </r>
  <r>
    <s v="AJEET KUMAR"/>
    <d v="2026-06-12T00:00:00"/>
    <s v="SR-RTN/26-27/36649"/>
    <s v="B-298420"/>
    <s v="B-GOLD-FILING"/>
    <s v="GOLD-FILLING-WK"/>
    <x v="1"/>
    <s v="G-NA-75.00-RG"/>
    <n v="10.11"/>
    <n v="7.5824999999999996"/>
    <n v="0.75"/>
    <n v="9.33"/>
    <n v="6.9974999999999996"/>
    <n v="6.9980000000000002"/>
    <n v="0.75"/>
    <n v="0"/>
    <n v="0"/>
    <n v="0"/>
    <n v="0"/>
    <n v="0"/>
    <n v="0"/>
    <n v="0"/>
    <n v="0"/>
    <n v="0"/>
    <n v="0.78"/>
    <n v="0.58499999999999996"/>
    <n v="0.74999999999999989"/>
    <n v="-0.77999999999999936"/>
    <n v="0.77999999999999936"/>
    <x v="0"/>
    <n v="6.9980000000000002"/>
    <n v="0"/>
    <n v="1"/>
  </r>
  <r>
    <s v="AJEET KUMAR"/>
    <d v="2026-06-12T00:00:00"/>
    <s v="SR-RTN/26-27/36649"/>
    <s v="B-298441"/>
    <s v="B-GOLD-FILING"/>
    <s v="GOLD-FILLING-WK"/>
    <x v="1"/>
    <s v="G-NA-75.00-RG"/>
    <n v="11.74"/>
    <n v="8.8049999999999997"/>
    <n v="0.75"/>
    <n v="11.17"/>
    <n v="8.3774999999999995"/>
    <n v="8.3780000000000001"/>
    <n v="0.75"/>
    <n v="0"/>
    <n v="0"/>
    <n v="0"/>
    <n v="0"/>
    <n v="0"/>
    <n v="0"/>
    <n v="0"/>
    <n v="0"/>
    <n v="0"/>
    <n v="0.56999999999999995"/>
    <n v="0.42749999999999999"/>
    <n v="0.75"/>
    <n v="-0.57000000000000028"/>
    <n v="0.57000000000000028"/>
    <x v="0"/>
    <n v="8.3780000000000001"/>
    <n v="0"/>
    <n v="1"/>
  </r>
  <r>
    <s v="AJEET KUMAR"/>
    <d v="2026-06-12T00:00:00"/>
    <s v="SR-RTN/26-27/36654"/>
    <s v="B-298593"/>
    <s v="B-GOLD-FILING"/>
    <s v="GOLD-FILLING-WK"/>
    <x v="0"/>
    <s v="G-NA-91.70-YG"/>
    <n v="81.510000000000005"/>
    <n v="74.744669999999999"/>
    <n v="0.91699999999999993"/>
    <n v="77.88"/>
    <n v="71.415959999999998"/>
    <n v="71.416000000000011"/>
    <n v="0.91700000000000004"/>
    <n v="0"/>
    <n v="0"/>
    <n v="0"/>
    <n v="0"/>
    <n v="0"/>
    <n v="0"/>
    <n v="0"/>
    <n v="0"/>
    <n v="0"/>
    <n v="3.63"/>
    <n v="3.3287100000000001"/>
    <n v="0.91700000000000004"/>
    <n v="-3.6300000000000097"/>
    <n v="3.6300000000000097"/>
    <x v="1"/>
    <n v="64.2"/>
    <n v="7.2160000000000082"/>
    <n v="2"/>
  </r>
  <r>
    <s v="AJEET KUMAR"/>
    <d v="2026-06-12T00:00:00"/>
    <s v="SR-RTN/26-27/36682"/>
    <s v="B-291799"/>
    <s v="B-GOLD-FILING"/>
    <s v="GOLD-FILLING-WK"/>
    <x v="0"/>
    <s v="G-NA-91.70-YG"/>
    <n v="23.81"/>
    <n v="21.833770000000001"/>
    <n v="0.91700000000000015"/>
    <n v="23.79"/>
    <n v="21.815429999999999"/>
    <n v="21.816000000000003"/>
    <n v="0.91700000000000004"/>
    <n v="0"/>
    <n v="0"/>
    <n v="0"/>
    <n v="0"/>
    <n v="0"/>
    <n v="0"/>
    <n v="0"/>
    <n v="0"/>
    <n v="0"/>
    <n v="0.02"/>
    <n v="1.8339999999999999E-2"/>
    <n v="0.91699999999999993"/>
    <n v="-1.9999999999999574E-2"/>
    <n v="1.9999999999999574E-2"/>
    <x v="1"/>
    <n v="3.15"/>
    <n v="18.666000000000004"/>
    <n v="5"/>
  </r>
  <r>
    <s v="AJEET KUMAR"/>
    <d v="2026-06-12T00:00:00"/>
    <s v="SR-RTN/26-27/36693"/>
    <s v="B-298687"/>
    <s v="B-GOLD-FILING"/>
    <s v="GOLD-FILLING-WK"/>
    <x v="1"/>
    <s v="G-NA-75.00-RG"/>
    <n v="29.35"/>
    <n v="22.012499999999999"/>
    <n v="0.74999999999999989"/>
    <n v="27.11"/>
    <n v="20.3325"/>
    <n v="20.333000000000002"/>
    <n v="0.75"/>
    <n v="0"/>
    <n v="0"/>
    <n v="0"/>
    <n v="0"/>
    <n v="0"/>
    <n v="0"/>
    <n v="0"/>
    <n v="0"/>
    <n v="0"/>
    <n v="2.2400000000000002"/>
    <n v="1.68"/>
    <n v="0.74999999999999989"/>
    <n v="-2.240000000000002"/>
    <n v="2.240000000000002"/>
    <x v="0"/>
    <n v="20.333000000000002"/>
    <n v="0"/>
    <n v="1"/>
  </r>
  <r>
    <s v="AJEET KUMAR"/>
    <d v="2026-06-12T00:00:00"/>
    <s v="SR-RTN/26-27/36739"/>
    <s v="B-298453"/>
    <s v="B-GOLD-FILING"/>
    <s v="GOLD-FILLING-WK"/>
    <x v="0"/>
    <s v="G-NA-91.70-YG"/>
    <n v="34.9"/>
    <n v="32.003300000000003"/>
    <n v="0.91700000000000015"/>
    <n v="33.15"/>
    <n v="30.39855"/>
    <n v="30.399000000000001"/>
    <n v="0.91700000000000004"/>
    <n v="0"/>
    <n v="0"/>
    <n v="0"/>
    <n v="0"/>
    <n v="0"/>
    <n v="0"/>
    <n v="0"/>
    <n v="0"/>
    <n v="0"/>
    <n v="1.75"/>
    <n v="1.6047499999999999"/>
    <n v="0.91699999999999993"/>
    <n v="-1.75"/>
    <n v="1.75"/>
    <x v="0"/>
    <n v="30.399000000000001"/>
    <n v="0"/>
    <n v="2"/>
  </r>
  <r>
    <s v="AJEET KUMAR"/>
    <d v="2026-06-12T00:00:00"/>
    <s v="SR-RTN/26-27/36739"/>
    <s v="B-299305"/>
    <s v="B-GOLD-FILING"/>
    <s v="GOLD-FILLING-WK"/>
    <x v="1"/>
    <s v="G-NA-75.00-RG"/>
    <n v="139.66999999999999"/>
    <n v="104.7525"/>
    <n v="0.75"/>
    <n v="133.99"/>
    <n v="100.49250000000001"/>
    <n v="100.49300000000001"/>
    <n v="0.75"/>
    <n v="0"/>
    <n v="0"/>
    <n v="0"/>
    <n v="0"/>
    <n v="0"/>
    <n v="0"/>
    <n v="0"/>
    <n v="0"/>
    <n v="0"/>
    <n v="5.68"/>
    <n v="4.26"/>
    <n v="0.75"/>
    <n v="-5.6799999999999784"/>
    <n v="5.6799999999999784"/>
    <x v="0"/>
    <n v="100.49300000000001"/>
    <n v="0"/>
    <n v="1"/>
  </r>
  <r>
    <s v="AJEET KUMAR"/>
    <d v="2026-06-12T00:00:00"/>
    <s v="SR-RTN/26-27/36743"/>
    <s v="B-298448"/>
    <s v="B-GOLD-FILING"/>
    <s v="GOLD-FILLING-WK"/>
    <x v="0"/>
    <s v="G-NA-91.70-YG"/>
    <n v="27"/>
    <n v="24.759"/>
    <n v="0.91700000000000004"/>
    <n v="26.95"/>
    <n v="24.713149999999999"/>
    <n v="24.714000000000002"/>
    <n v="0.91699999999999993"/>
    <n v="0"/>
    <n v="0"/>
    <n v="0"/>
    <n v="0"/>
    <n v="0"/>
    <n v="0"/>
    <n v="0"/>
    <n v="0"/>
    <n v="0"/>
    <n v="0.05"/>
    <n v="4.5850000000000002E-2"/>
    <n v="0.91700000000000004"/>
    <n v="-5.0000000000000711E-2"/>
    <n v="5.0000000000000711E-2"/>
    <x v="1"/>
    <n v="20.734000000000002"/>
    <n v="3.9800000000000004"/>
    <n v="2"/>
  </r>
  <r>
    <s v="AJEET KUMAR"/>
    <d v="2026-06-12T00:00:00"/>
    <s v="SR-RTN/26-27/36757"/>
    <s v="B-297091"/>
    <s v="B-GOLD-FILING"/>
    <s v="GOLD-FILLING-WK"/>
    <x v="0"/>
    <s v="G-NA-91.70-YG"/>
    <n v="91.82"/>
    <n v="84.198939999999993"/>
    <n v="0.91700000000000004"/>
    <n v="85.2"/>
    <n v="78.128399999999999"/>
    <n v="78.129000000000005"/>
    <n v="0.91699999999999993"/>
    <n v="0"/>
    <n v="0"/>
    <n v="0"/>
    <n v="0"/>
    <n v="0"/>
    <n v="0"/>
    <n v="0"/>
    <n v="0"/>
    <n v="0"/>
    <n v="6.62"/>
    <n v="6.0705400000000003"/>
    <n v="0.91700000000000004"/>
    <n v="-6.6199999999999903"/>
    <n v="6.6199999999999903"/>
    <x v="1"/>
    <n v="75.286000000000001"/>
    <n v="2.8430000000000035"/>
    <n v="3"/>
  </r>
  <r>
    <s v="AJEET KUMAR"/>
    <d v="2026-06-12T00:00:00"/>
    <s v="SR-RTN/26-27/36758"/>
    <s v="B-298160"/>
    <s v="B-GOLD-FILING"/>
    <s v="GOLD-FILLING-WK"/>
    <x v="1"/>
    <s v="G-NA-75.00-YG"/>
    <n v="262.95"/>
    <n v="197.21250000000001"/>
    <n v="0.75"/>
    <n v="261.61"/>
    <n v="196.20750000000001"/>
    <n v="196.208"/>
    <n v="0.75"/>
    <n v="0"/>
    <n v="0"/>
    <n v="0"/>
    <n v="0"/>
    <n v="0"/>
    <n v="0"/>
    <n v="0"/>
    <n v="0"/>
    <n v="0"/>
    <n v="1.34"/>
    <n v="1.0049999999999999"/>
    <n v="0.74999999999999989"/>
    <n v="-1.339999999999975"/>
    <n v="1.339999999999975"/>
    <x v="1"/>
    <n v="194.565"/>
    <n v="1.6430000000000007"/>
    <n v="4"/>
  </r>
  <r>
    <s v="AJEET KUMAR"/>
    <d v="2026-06-12T00:00:00"/>
    <s v="SR-RTN/26-27/36821"/>
    <s v="B-299236"/>
    <s v="B-GOLD-FILING"/>
    <s v="GOLD-FILLING-WK"/>
    <x v="0"/>
    <s v="G-NA-91.70-YG"/>
    <n v="24.12"/>
    <n v="22.118040000000001"/>
    <n v="0.91700000000000004"/>
    <n v="22.86"/>
    <n v="20.962620000000001"/>
    <n v="20.963000000000001"/>
    <n v="0.91700000000000004"/>
    <n v="0"/>
    <n v="0"/>
    <n v="0"/>
    <n v="0"/>
    <n v="0"/>
    <n v="0"/>
    <n v="0"/>
    <n v="0"/>
    <n v="0"/>
    <n v="1.26"/>
    <n v="1.1554199999999999"/>
    <n v="0.91699999999999993"/>
    <n v="-1.2600000000000016"/>
    <n v="1.2600000000000016"/>
    <x v="0"/>
    <n v="20.963000000000001"/>
    <n v="0"/>
    <n v="1"/>
  </r>
  <r>
    <s v="AJEET KUMAR"/>
    <d v="2026-06-12T00:00:00"/>
    <s v="SR-RTN/26-27/36825"/>
    <s v="B-298455"/>
    <s v="B-GOLD-FILING"/>
    <s v="GOLD-FILLING-WK"/>
    <x v="0"/>
    <s v="G-NA-91.70-YG"/>
    <n v="30.46"/>
    <n v="27.931819999999998"/>
    <n v="0.91699999999999993"/>
    <n v="27.32"/>
    <n v="25.052440000000001"/>
    <n v="25.053000000000001"/>
    <n v="0.91700000000000004"/>
    <n v="0"/>
    <n v="0"/>
    <n v="0"/>
    <n v="0"/>
    <n v="0"/>
    <n v="0"/>
    <n v="0"/>
    <n v="0"/>
    <n v="0"/>
    <n v="3.14"/>
    <n v="2.8793799999999998"/>
    <n v="0.91699999999999993"/>
    <n v="-3.1400000000000006"/>
    <n v="3.1400000000000006"/>
    <x v="0"/>
    <n v="25.053000000000001"/>
    <n v="0"/>
    <n v="3"/>
  </r>
  <r>
    <s v="AJEET KUMAR"/>
    <d v="2026-06-12T00:00:00"/>
    <s v="SR-RTN/26-27/36840"/>
    <s v="B-298583"/>
    <s v="B-GOLD-FILING"/>
    <s v="GOLD-FILLING-WK"/>
    <x v="0"/>
    <s v="G-NA-91.70-YG"/>
    <n v="38.64"/>
    <n v="35.432879999999997"/>
    <n v="0.91699999999999993"/>
    <n v="36.729999999999997"/>
    <n v="33.68141"/>
    <n v="33.681999999999995"/>
    <n v="0.91700000000000004"/>
    <n v="0"/>
    <n v="0"/>
    <n v="0"/>
    <n v="0"/>
    <n v="0"/>
    <n v="0"/>
    <n v="0"/>
    <n v="0"/>
    <n v="0"/>
    <n v="1.91"/>
    <n v="1.7514700000000001"/>
    <n v="0.91700000000000004"/>
    <n v="-1.9100000000000037"/>
    <n v="1.9100000000000037"/>
    <x v="0"/>
    <n v="33.681999999999995"/>
    <n v="0"/>
    <n v="1"/>
  </r>
  <r>
    <s v="AJEET KUMAR"/>
    <d v="2026-06-12T00:00:00"/>
    <s v="SR-RTN/26-27/36845"/>
    <s v="B-298452"/>
    <s v="B-GOLD-FILING"/>
    <s v="GOLD-FILLING-WK"/>
    <x v="0"/>
    <s v="G-NA-91.70-YG"/>
    <n v="26.65"/>
    <n v="24.43805"/>
    <n v="0.91700000000000004"/>
    <n v="26.65"/>
    <n v="24.43805"/>
    <n v="24.439"/>
    <n v="0.91700000000000004"/>
    <n v="0"/>
    <n v="0"/>
    <n v="0"/>
    <n v="0"/>
    <n v="0"/>
    <n v="0"/>
    <n v="0"/>
    <n v="0"/>
    <n v="0"/>
    <n v="0"/>
    <n v="0"/>
    <n v="0"/>
    <n v="0"/>
    <n v="0"/>
    <x v="1"/>
    <n v="20.422000000000001"/>
    <n v="4.0169999999999995"/>
    <n v="2"/>
  </r>
  <r>
    <s v="AJEET KUMAR"/>
    <d v="2026-06-12T00:00:00"/>
    <s v="SR-RTN/26-27/36854"/>
    <s v="B-298881"/>
    <s v="B-GOLD-FILING"/>
    <s v="GOLD-FILLING-WK"/>
    <x v="0"/>
    <s v="G-NA-91.70-YG"/>
    <n v="27.42"/>
    <n v="25.14414"/>
    <n v="0.91699999999999993"/>
    <n v="26.4"/>
    <n v="24.2088"/>
    <n v="24.209"/>
    <n v="0.91700000000000004"/>
    <n v="0"/>
    <n v="0"/>
    <n v="0"/>
    <n v="0"/>
    <n v="0"/>
    <n v="0"/>
    <n v="0"/>
    <n v="0"/>
    <n v="0"/>
    <n v="1.02"/>
    <n v="0.93533999999999995"/>
    <n v="0.91699999999999993"/>
    <n v="-1.0200000000000031"/>
    <n v="1.0200000000000031"/>
    <x v="0"/>
    <n v="24.209"/>
    <n v="0"/>
    <n v="1"/>
  </r>
  <r>
    <s v="AJEET KUMAR"/>
    <d v="2026-06-12T00:00:00"/>
    <s v="SR-RTN/26-27/36854"/>
    <s v="B-298950"/>
    <s v="B-GOLD-FILING"/>
    <s v="GOLD-FILLING-WK"/>
    <x v="0"/>
    <s v="G-NA-91.70-YG"/>
    <n v="43.24"/>
    <n v="39.65108"/>
    <n v="0.91699999999999993"/>
    <n v="41.79"/>
    <n v="38.321429999999999"/>
    <n v="38.321999999999996"/>
    <n v="0.91700000000000004"/>
    <n v="0"/>
    <n v="0"/>
    <n v="0"/>
    <n v="0"/>
    <n v="0"/>
    <n v="0"/>
    <n v="0"/>
    <n v="0"/>
    <n v="0"/>
    <n v="1.45"/>
    <n v="1.32965"/>
    <n v="0.91700000000000004"/>
    <n v="-1.4500000000000028"/>
    <n v="1.4500000000000028"/>
    <x v="0"/>
    <n v="38.321999999999996"/>
    <n v="0"/>
    <n v="1"/>
  </r>
  <r>
    <s v="AJEET KUMAR"/>
    <d v="2026-06-12T00:00:00"/>
    <s v="SR-RTN/26-27/36889"/>
    <s v="B-298158"/>
    <s v="B-GOLD-FILING"/>
    <s v="GOLD-FILLING-WK"/>
    <x v="1"/>
    <s v="G-NA-75.00-YG"/>
    <n v="338.31"/>
    <n v="253.73249999999999"/>
    <n v="0.75"/>
    <n v="337.65"/>
    <n v="253.23750000000001"/>
    <n v="253.238"/>
    <n v="0.75000000000000011"/>
    <n v="0"/>
    <n v="0"/>
    <n v="0"/>
    <n v="0"/>
    <n v="0"/>
    <n v="0"/>
    <n v="0"/>
    <n v="0"/>
    <n v="0"/>
    <n v="0.66"/>
    <n v="0.495"/>
    <n v="0.75"/>
    <n v="-0.66000000000002501"/>
    <n v="0.66000000000002501"/>
    <x v="1"/>
    <n v="230.018"/>
    <n v="23.22"/>
    <n v="3"/>
  </r>
  <r>
    <s v="AJEET KUMAR"/>
    <d v="2026-06-12T00:00:00"/>
    <s v="SR-RTN/26-27/36907"/>
    <s v="B-298953"/>
    <s v="B-GOLD-FILING"/>
    <s v="GOLD-FILLING-WK"/>
    <x v="0"/>
    <s v="G-NA-91.70-YG"/>
    <n v="20.2"/>
    <n v="18.523399999999999"/>
    <n v="0.91699999999999993"/>
    <n v="18.93"/>
    <n v="17.358809999999998"/>
    <n v="17.359000000000002"/>
    <n v="0.91699999999999993"/>
    <n v="0"/>
    <n v="0"/>
    <n v="0"/>
    <n v="0"/>
    <n v="0"/>
    <n v="0"/>
    <n v="0"/>
    <n v="0"/>
    <n v="0"/>
    <n v="1.27"/>
    <n v="1.16459"/>
    <n v="0.91700000000000004"/>
    <n v="-1.2699999999999996"/>
    <n v="1.2699999999999996"/>
    <x v="0"/>
    <n v="17.359000000000002"/>
    <n v="0"/>
    <n v="1"/>
  </r>
  <r>
    <s v="AJEET KUMAR"/>
    <d v="2026-06-12T00:00:00"/>
    <s v="SR-RTN/26-27/36908"/>
    <s v="B-297985/1"/>
    <s v="B-GOLD-FILING"/>
    <s v="GOLD-FILLING-WK"/>
    <x v="0"/>
    <s v="G-NA-91.70-YG"/>
    <n v="6.7"/>
    <n v="6.1439000000000004"/>
    <n v="0.91700000000000004"/>
    <n v="6.34"/>
    <n v="5.8137800000000004"/>
    <n v="5.8140000000000001"/>
    <n v="0.91700000000000004"/>
    <n v="0"/>
    <n v="0"/>
    <n v="0"/>
    <n v="0"/>
    <n v="0"/>
    <n v="0"/>
    <n v="0"/>
    <n v="0"/>
    <n v="0"/>
    <n v="0.36"/>
    <n v="0.33012000000000002"/>
    <n v="0.91700000000000015"/>
    <n v="-0.36000000000000032"/>
    <n v="0.36000000000000032"/>
    <x v="0"/>
    <n v="5.8140000000000001"/>
    <n v="0"/>
    <n v="2"/>
  </r>
  <r>
    <s v="AJEET KUMAR"/>
    <d v="2026-06-12T00:00:00"/>
    <s v="SR-RTN/26-27/36934"/>
    <s v="B-298559"/>
    <s v="B-GOLD-FILING"/>
    <s v="GOLD-FILLING-WK"/>
    <x v="0"/>
    <s v="G-NA-91.70-YG"/>
    <n v="3.12"/>
    <n v="2.86104"/>
    <n v="0.91699999999999993"/>
    <n v="2.97"/>
    <n v="2.72349"/>
    <n v="2.7239999999999998"/>
    <n v="0.91699999999999993"/>
    <n v="0"/>
    <n v="0"/>
    <n v="0"/>
    <n v="0"/>
    <n v="0"/>
    <n v="0"/>
    <n v="0"/>
    <n v="0"/>
    <n v="0"/>
    <n v="0.15"/>
    <n v="0.13755000000000001"/>
    <n v="0.91700000000000004"/>
    <n v="-0.14999999999999991"/>
    <n v="0.14999999999999991"/>
    <x v="0"/>
    <n v="2.7239999999999998"/>
    <n v="0"/>
    <n v="1"/>
  </r>
  <r>
    <s v="AJEET KUMAR"/>
    <d v="2026-06-12T00:00:00"/>
    <s v="SR-RTN/26-27/36945"/>
    <s v="B-298911"/>
    <s v="B-GOLD-FILING"/>
    <s v="GOLD-FILLING-WK"/>
    <x v="0"/>
    <s v="G-NA-91.70-YG"/>
    <n v="3.65"/>
    <n v="3.3470499999999999"/>
    <n v="0.91700000000000004"/>
    <n v="3.48"/>
    <n v="3.19116"/>
    <n v="3.1919999999999997"/>
    <n v="0.91700000000000004"/>
    <n v="0"/>
    <n v="0"/>
    <n v="0"/>
    <n v="0"/>
    <n v="0"/>
    <n v="0"/>
    <n v="0"/>
    <n v="0"/>
    <n v="0"/>
    <n v="0.17"/>
    <n v="0.15589"/>
    <n v="0.91699999999999993"/>
    <n v="-0.16999999999999993"/>
    <n v="0.16999999999999993"/>
    <x v="0"/>
    <n v="3.1919999999999997"/>
    <n v="0"/>
    <n v="1"/>
  </r>
  <r>
    <s v="AJEET KUMAR"/>
    <d v="2026-06-12T00:00:00"/>
    <s v="SR-RTN/26-27/36951"/>
    <s v="B-298584"/>
    <s v="B-GOLD-FILING"/>
    <s v="GOLD-FILLING-WK"/>
    <x v="0"/>
    <s v="G-NA-91.70-YG"/>
    <n v="42.2"/>
    <n v="38.697400000000002"/>
    <n v="0.91699999999999993"/>
    <n v="40.51"/>
    <n v="37.147669999999998"/>
    <n v="37.147999999999996"/>
    <n v="0.91700000000000004"/>
    <n v="0"/>
    <n v="0"/>
    <n v="0"/>
    <n v="0"/>
    <n v="0"/>
    <n v="0"/>
    <n v="0"/>
    <n v="0"/>
    <n v="0"/>
    <n v="1.69"/>
    <n v="1.5497300000000001"/>
    <n v="0.91700000000000004"/>
    <n v="-1.6900000000000048"/>
    <n v="1.6900000000000048"/>
    <x v="0"/>
    <n v="37.147999999999996"/>
    <n v="0"/>
    <n v="1"/>
  </r>
  <r>
    <s v="AJEET KUMAR"/>
    <d v="2026-06-12T00:00:00"/>
    <s v="SR-RTN/26-27/36951"/>
    <s v="B-298893"/>
    <s v="B-GOLD-FILING"/>
    <s v="GOLD-FILLING-WK"/>
    <x v="0"/>
    <s v="G-NA-91.70-YG"/>
    <n v="37.619999999999997"/>
    <n v="34.497540000000001"/>
    <n v="0.91700000000000004"/>
    <n v="36.07"/>
    <n v="33.076189999999997"/>
    <n v="33.076999999999998"/>
    <n v="0.91699999999999993"/>
    <n v="0"/>
    <n v="0"/>
    <n v="0"/>
    <n v="0"/>
    <n v="0"/>
    <n v="0"/>
    <n v="0"/>
    <n v="0"/>
    <n v="0"/>
    <n v="1.55"/>
    <n v="1.4213499999999999"/>
    <n v="0.91699999999999993"/>
    <n v="-1.5499999999999972"/>
    <n v="1.5499999999999972"/>
    <x v="1"/>
    <n v="31.215"/>
    <n v="1.8619999999999983"/>
    <n v="4"/>
  </r>
  <r>
    <s v="AJEET KUMAR"/>
    <d v="2026-06-12T00:00:00"/>
    <s v="SR-RTN/26-27/36966"/>
    <s v="B-298912"/>
    <s v="B-GOLD-FILING"/>
    <s v="GOLD-FILLING-WK"/>
    <x v="0"/>
    <s v="G-NA-91.70-YG"/>
    <n v="24.2"/>
    <n v="22.191400000000002"/>
    <n v="0.91700000000000004"/>
    <n v="23.51"/>
    <n v="21.558669999999999"/>
    <n v="21.559000000000001"/>
    <n v="0.91699999999999993"/>
    <n v="0"/>
    <n v="0"/>
    <n v="0"/>
    <n v="0"/>
    <n v="0"/>
    <n v="0"/>
    <n v="0"/>
    <n v="0"/>
    <n v="0"/>
    <n v="0.69"/>
    <n v="0.63273000000000001"/>
    <n v="0.91700000000000004"/>
    <n v="-0.68999999999999773"/>
    <n v="0.68999999999999773"/>
    <x v="0"/>
    <n v="21.559000000000001"/>
    <n v="0"/>
    <n v="1"/>
  </r>
  <r>
    <s v="AJEET KUMAR"/>
    <d v="2026-06-12T00:00:00"/>
    <s v="SR-RTN/26-27/37021"/>
    <s v="B-297091"/>
    <s v="B-GOLD-FILING"/>
    <s v="GOLD-FILLING-WK"/>
    <x v="0"/>
    <s v="G-NA-91.70-YG"/>
    <n v="82.1"/>
    <n v="75.285700000000006"/>
    <n v="0.91700000000000015"/>
    <n v="82.1"/>
    <n v="75.285700000000006"/>
    <n v="75.286000000000001"/>
    <n v="0.91700000000000015"/>
    <n v="0"/>
    <n v="0"/>
    <n v="0"/>
    <n v="0"/>
    <n v="0"/>
    <n v="0"/>
    <n v="0"/>
    <n v="0"/>
    <n v="0"/>
    <n v="0"/>
    <n v="0"/>
    <n v="0"/>
    <n v="0"/>
    <n v="0"/>
    <x v="0"/>
    <n v="75.286000000000001"/>
    <n v="0"/>
    <n v="3"/>
  </r>
  <r>
    <s v="AJEET KUMAR"/>
    <d v="2026-06-12T00:00:00"/>
    <s v="SR-RTN/26-27/37073"/>
    <s v="B-298954"/>
    <s v="B-GOLD-FILING"/>
    <s v="GOLD-FILLING-WK"/>
    <x v="0"/>
    <s v="G-NA-91.70-YG"/>
    <n v="58.38"/>
    <n v="53.534460000000003"/>
    <n v="0.91700000000000004"/>
    <n v="53.11"/>
    <n v="48.70187"/>
    <n v="48.701999999999998"/>
    <n v="0.91700000000000004"/>
    <n v="0"/>
    <n v="0"/>
    <n v="0"/>
    <n v="0"/>
    <n v="0"/>
    <n v="0"/>
    <n v="0"/>
    <n v="0"/>
    <n v="0"/>
    <n v="5.27"/>
    <n v="4.8325899999999997"/>
    <n v="0.91700000000000004"/>
    <n v="-5.2700000000000031"/>
    <n v="5.2700000000000031"/>
    <x v="0"/>
    <n v="48.701999999999998"/>
    <n v="0"/>
    <n v="1"/>
  </r>
  <r>
    <s v="AJEET KUMAR"/>
    <d v="2026-06-12T00:00:00"/>
    <s v="SR-RTN/26-27/37074"/>
    <s v="B-297985/1"/>
    <s v="B-GOLD-FILING"/>
    <s v="GOLD-FILLING-WK"/>
    <x v="0"/>
    <s v="G-NA-91.70-YG"/>
    <n v="6.4"/>
    <n v="5.8688000000000002"/>
    <n v="0.91700000000000004"/>
    <n v="6.37"/>
    <n v="5.8412899999999999"/>
    <n v="5.8420000000000005"/>
    <n v="0.91699999999999993"/>
    <n v="0"/>
    <n v="0"/>
    <n v="0"/>
    <n v="0"/>
    <n v="0"/>
    <n v="0"/>
    <n v="0"/>
    <n v="0"/>
    <n v="0"/>
    <n v="0.03"/>
    <n v="2.751E-2"/>
    <n v="0.91700000000000004"/>
    <n v="-3.0000000000000249E-2"/>
    <n v="3.0000000000000249E-2"/>
    <x v="1"/>
    <n v="5.8140000000000001"/>
    <n v="2.8000000000000469E-2"/>
    <n v="2"/>
  </r>
  <r>
    <s v="AJEET KUMAR"/>
    <d v="2026-06-12T00:00:00"/>
    <s v="SR-RTN/26-27/37075"/>
    <s v="B-297992"/>
    <s v="B-GOLD-FILING"/>
    <s v="GOLD-FILLING-WK"/>
    <x v="0"/>
    <s v="G-NA-91.70-YG"/>
    <n v="33.21"/>
    <n v="30.453569999999999"/>
    <n v="0.91699999999999993"/>
    <n v="31.07"/>
    <n v="28.49119"/>
    <n v="28.492000000000001"/>
    <n v="0.91699999999999993"/>
    <n v="0"/>
    <n v="0"/>
    <n v="0"/>
    <n v="0"/>
    <n v="0"/>
    <n v="0"/>
    <n v="0"/>
    <n v="0"/>
    <n v="0"/>
    <n v="2.14"/>
    <n v="1.96238"/>
    <n v="0.91699999999999993"/>
    <n v="-2.1400000000000006"/>
    <n v="2.1400000000000006"/>
    <x v="0"/>
    <n v="28.492000000000001"/>
    <n v="0"/>
    <n v="1"/>
  </r>
  <r>
    <s v="AJEET KUMAR"/>
    <d v="2026-06-12T00:00:00"/>
    <s v="SR-RTN/26-27/37091"/>
    <s v="B-297796"/>
    <s v="B-GOLD-FILING"/>
    <s v="GOLD-FILLING-WK"/>
    <x v="0"/>
    <s v="G-NA-91.70-YG"/>
    <n v="42.01"/>
    <n v="38.52317"/>
    <n v="0.91700000000000004"/>
    <n v="37.200000000000003"/>
    <n v="34.112400000000001"/>
    <n v="34.113"/>
    <n v="0.91699999999999993"/>
    <n v="0"/>
    <n v="0"/>
    <n v="0"/>
    <n v="0"/>
    <n v="0"/>
    <n v="0"/>
    <n v="0"/>
    <n v="0"/>
    <n v="0"/>
    <n v="4.8099999999999996"/>
    <n v="4.4107700000000003"/>
    <n v="0.91700000000000015"/>
    <n v="-4.8099999999999952"/>
    <n v="4.8099999999999952"/>
    <x v="0"/>
    <n v="34.113"/>
    <n v="0"/>
    <n v="1"/>
  </r>
  <r>
    <s v="AJEET KUMAR"/>
    <d v="2026-06-12T00:00:00"/>
    <s v="SR-RTN/26-27/37091"/>
    <s v="B-298156"/>
    <s v="B-GOLD-FILING"/>
    <s v="GOLD-FILLING-WK"/>
    <x v="0"/>
    <s v="G-NA-91.70-YG"/>
    <n v="349.4"/>
    <n v="320.39980000000003"/>
    <n v="0.91700000000000015"/>
    <n v="348.8"/>
    <n v="319.84960000000001"/>
    <n v="319.84999999999997"/>
    <n v="0.91700000000000004"/>
    <n v="0"/>
    <n v="0"/>
    <n v="0"/>
    <n v="0"/>
    <n v="0"/>
    <n v="0"/>
    <n v="0"/>
    <n v="0"/>
    <n v="0"/>
    <n v="0.6"/>
    <n v="0.55020000000000002"/>
    <n v="0.91700000000000004"/>
    <n v="-0.59999999999996589"/>
    <n v="0.59999999999996589"/>
    <x v="0"/>
    <n v="319.84999999999997"/>
    <n v="0"/>
    <n v="2"/>
  </r>
  <r>
    <s v="AJEET KUMAR"/>
    <d v="2026-06-12T00:00:00"/>
    <s v="SR-RTN/26-27/37093"/>
    <s v="B-298408"/>
    <s v="B-GOLD-FILING"/>
    <s v="GOLD-FILLING-WK"/>
    <x v="0"/>
    <s v="G-NA-91.70-YG"/>
    <n v="79.81"/>
    <n v="73.185770000000005"/>
    <n v="0.91700000000000004"/>
    <n v="75.64"/>
    <n v="69.361879999999999"/>
    <n v="69.362000000000009"/>
    <n v="0.91700000000000004"/>
    <n v="0"/>
    <n v="0"/>
    <n v="0"/>
    <n v="0"/>
    <n v="0"/>
    <n v="0"/>
    <n v="0"/>
    <n v="0"/>
    <n v="0"/>
    <n v="4.17"/>
    <n v="3.82389"/>
    <n v="0.91700000000000004"/>
    <n v="-4.1700000000000017"/>
    <n v="4.1700000000000017"/>
    <x v="0"/>
    <n v="69.362000000000009"/>
    <n v="0"/>
    <n v="2"/>
  </r>
  <r>
    <s v="AJEET KUMAR"/>
    <d v="2026-06-12T00:00:00"/>
    <s v="SR-RTN/26-27/37097"/>
    <s v="B-293181"/>
    <s v="B-GOLD-FILING"/>
    <s v="GOLD-FILLING-WK"/>
    <x v="1"/>
    <s v="G-NA-75.00-YG"/>
    <n v="22.2"/>
    <n v="16.649999999999999"/>
    <n v="0.75"/>
    <n v="22.03"/>
    <n v="16.522500000000001"/>
    <n v="16.523"/>
    <n v="0.75"/>
    <n v="0"/>
    <n v="0"/>
    <n v="0"/>
    <n v="0"/>
    <n v="0"/>
    <n v="0"/>
    <n v="0"/>
    <n v="0"/>
    <n v="0"/>
    <n v="0.17"/>
    <n v="0.1275"/>
    <n v="0.75"/>
    <n v="-0.16999999999999815"/>
    <n v="0.16999999999999815"/>
    <x v="0"/>
    <n v="16.523"/>
    <n v="0"/>
    <n v="1"/>
  </r>
  <r>
    <s v="AJEET KUMAR"/>
    <d v="2026-06-12T00:00:00"/>
    <s v="SR-RTN/26-27/37104"/>
    <s v="B-298919"/>
    <s v="B-GOLD-FILING"/>
    <s v="GOLD-FILLING-WK"/>
    <x v="0"/>
    <s v="G-NA-91.70-YG"/>
    <n v="29.59"/>
    <n v="27.134029999999999"/>
    <n v="0.91699999999999993"/>
    <n v="26.96"/>
    <n v="24.72232"/>
    <n v="24.723000000000003"/>
    <n v="0.91699999999999993"/>
    <n v="0"/>
    <n v="0"/>
    <n v="0"/>
    <n v="0"/>
    <n v="0"/>
    <n v="0"/>
    <n v="0"/>
    <n v="0"/>
    <n v="0"/>
    <n v="2.63"/>
    <n v="2.4117099999999998"/>
    <n v="0.91699999999999993"/>
    <n v="-2.629999999999999"/>
    <n v="2.629999999999999"/>
    <x v="0"/>
    <n v="24.723000000000003"/>
    <n v="0"/>
    <n v="1"/>
  </r>
  <r>
    <s v="AJEET KUMAR"/>
    <d v="2026-06-12T00:00:00"/>
    <s v="SR-RTN/26-27/37125"/>
    <s v="B-298155"/>
    <s v="B-GOLD-FILING"/>
    <s v="GOLD-FILLING-WK"/>
    <x v="0"/>
    <s v="G-NA-91.70-YG"/>
    <n v="339.91"/>
    <n v="311.69747000000001"/>
    <n v="0.91699999999999993"/>
    <n v="339.39"/>
    <n v="311.22063000000003"/>
    <n v="311.221"/>
    <n v="0.91700000000000015"/>
    <n v="0"/>
    <n v="0"/>
    <n v="0"/>
    <n v="0"/>
    <n v="0"/>
    <n v="0"/>
    <n v="0"/>
    <n v="0"/>
    <n v="0"/>
    <n v="0.52"/>
    <n v="0.47683999999999999"/>
    <n v="0.91699999999999993"/>
    <n v="-0.52000000000003865"/>
    <n v="0.52000000000003865"/>
    <x v="0"/>
    <n v="311.221"/>
    <n v="0"/>
    <n v="3"/>
  </r>
  <r>
    <s v="AJEET KUMAR"/>
    <d v="2026-06-12T00:00:00"/>
    <s v="SR-RTN/26-27/37127"/>
    <s v="B-298140"/>
    <s v="B-GOLD-FILING"/>
    <s v="GOLD-FILLING-WK"/>
    <x v="0"/>
    <s v="G-NA-91.70-YG"/>
    <n v="89.52"/>
    <n v="82.089839999999995"/>
    <n v="0.91700000000000004"/>
    <n v="83.03"/>
    <n v="76.138509999999997"/>
    <n v="76.13900000000001"/>
    <n v="0.91699999999999993"/>
    <n v="0"/>
    <n v="0"/>
    <n v="0"/>
    <n v="0"/>
    <n v="0"/>
    <n v="0"/>
    <n v="0"/>
    <n v="0"/>
    <n v="0"/>
    <n v="6.49"/>
    <n v="5.9513299999999996"/>
    <n v="0.91699999999999993"/>
    <n v="-6.4899999999999949"/>
    <n v="6.4899999999999949"/>
    <x v="0"/>
    <n v="76.13900000000001"/>
    <n v="0"/>
    <n v="1"/>
  </r>
  <r>
    <s v="AJEET KUMAR"/>
    <d v="2026-06-12T00:00:00"/>
    <s v="SR-RTN/26-27/37146"/>
    <s v="B-298605"/>
    <s v="B-GOLD-FILING"/>
    <s v="GOLD-FILLING-WK"/>
    <x v="0"/>
    <s v="G-NA-91.70-YG"/>
    <n v="41.69"/>
    <n v="38.229730000000004"/>
    <n v="0.91700000000000015"/>
    <n v="37.590000000000003"/>
    <n v="34.470030000000001"/>
    <n v="34.470999999999997"/>
    <n v="0.91699999999999993"/>
    <n v="0"/>
    <n v="0"/>
    <n v="0"/>
    <n v="0"/>
    <n v="0"/>
    <n v="0"/>
    <n v="0"/>
    <n v="0"/>
    <n v="0"/>
    <n v="4.0999999999999996"/>
    <n v="3.7597"/>
    <n v="0.91700000000000004"/>
    <n v="-4.0999999999999943"/>
    <n v="4.0999999999999943"/>
    <x v="0"/>
    <n v="34.470999999999997"/>
    <n v="0"/>
    <n v="1"/>
  </r>
  <r>
    <s v="AJEET KUMAR"/>
    <d v="2026-06-12T00:00:00"/>
    <s v="SR-RTN/26-27/37155"/>
    <s v="B-298457"/>
    <s v="B-GOLD-FILING"/>
    <s v="GOLD-FILLING-WK"/>
    <x v="0"/>
    <s v="G-NA-91.70-YG"/>
    <n v="34.26"/>
    <n v="31.416419999999999"/>
    <n v="0.91700000000000004"/>
    <n v="32.729999999999997"/>
    <n v="30.01341"/>
    <n v="30.014000000000003"/>
    <n v="0.91700000000000015"/>
    <n v="0"/>
    <n v="0"/>
    <n v="0"/>
    <n v="0"/>
    <n v="0"/>
    <n v="0"/>
    <n v="0"/>
    <n v="0"/>
    <n v="0"/>
    <n v="1.53"/>
    <n v="1.4030100000000001"/>
    <n v="0.91700000000000004"/>
    <n v="-1.5300000000000011"/>
    <n v="1.5300000000000011"/>
    <x v="0"/>
    <n v="30.014000000000003"/>
    <n v="0"/>
    <n v="4"/>
  </r>
  <r>
    <s v="AJEET KUMAR"/>
    <d v="2026-06-12T00:00:00"/>
    <s v="SR-RTN/26-27/37177"/>
    <s v="B-298142"/>
    <s v="B-GOLD-FILING"/>
    <s v="GOLD-FILLING-WK"/>
    <x v="0"/>
    <s v="G-NA-91.70-YG"/>
    <n v="90.32"/>
    <n v="82.823440000000005"/>
    <n v="0.91700000000000015"/>
    <n v="86.5"/>
    <n v="79.320499999999996"/>
    <n v="79.320999999999998"/>
    <n v="0.91699999999999993"/>
    <n v="0"/>
    <n v="0"/>
    <n v="0"/>
    <n v="0"/>
    <n v="0"/>
    <n v="0"/>
    <n v="0"/>
    <n v="0"/>
    <n v="0"/>
    <n v="3.82"/>
    <n v="3.5029400000000002"/>
    <n v="0.91700000000000004"/>
    <n v="-3.8199999999999932"/>
    <n v="3.8199999999999932"/>
    <x v="0"/>
    <n v="79.320999999999998"/>
    <n v="0"/>
    <n v="5"/>
  </r>
  <r>
    <s v="AJEET KUMAR"/>
    <d v="2026-06-12T00:00:00"/>
    <s v="SR-W/O-RTN/26-27/2599"/>
    <s v="NONE"/>
    <s v="B-GOLD-FILING"/>
    <s v="GOLD-FILLING-WK"/>
    <x v="0"/>
    <s v="G-NA-91.70-YG"/>
    <n v="15.33"/>
    <n v="14.05761"/>
    <n v="0.91700000000000004"/>
    <n v="0.91"/>
    <n v="0.83447000000000005"/>
    <n v="0.83499999999999996"/>
    <n v="0.91700000000000004"/>
    <n v="0"/>
    <n v="0"/>
    <n v="0"/>
    <n v="0"/>
    <n v="0"/>
    <n v="0"/>
    <n v="0"/>
    <n v="0"/>
    <n v="0"/>
    <n v="14.42"/>
    <n v="13.223140000000001"/>
    <n v="0.91700000000000004"/>
    <n v="-14.42"/>
    <n v="14.42"/>
    <x v="1"/>
    <n v="0"/>
    <n v="0.83499999999999996"/>
    <n v="67"/>
  </r>
  <r>
    <s v="AJEET KUMAR"/>
    <d v="2026-06-12T00:00:00"/>
    <s v="SR-W/O-RTN/26-27/2600"/>
    <s v="NONE"/>
    <s v="B-GOLD-FILING"/>
    <s v="GOLD-FILLING-WK"/>
    <x v="1"/>
    <s v="G-NA-75.00-YG"/>
    <n v="8.81"/>
    <n v="6.6074999999999999"/>
    <n v="0.75"/>
    <n v="6.89"/>
    <n v="5.1675000000000004"/>
    <n v="5.1680000000000001"/>
    <n v="0.75000000000000011"/>
    <n v="0"/>
    <n v="0"/>
    <n v="0"/>
    <n v="0"/>
    <n v="0"/>
    <n v="0"/>
    <n v="0"/>
    <n v="0"/>
    <n v="0"/>
    <n v="1.92"/>
    <n v="1.44"/>
    <n v="0.75"/>
    <n v="-1.9200000000000008"/>
    <n v="1.9200000000000008"/>
    <x v="1"/>
    <n v="0"/>
    <n v="5.1680000000000001"/>
    <n v="67"/>
  </r>
  <r>
    <s v="AJEET KUMAR"/>
    <d v="2026-06-12T00:00:00"/>
    <s v="SR-W/O-RTN/26-27/2601"/>
    <s v="NONE"/>
    <s v="B-GOLD-FILING"/>
    <s v="GOLD-FILLING-WK"/>
    <x v="1"/>
    <s v="G-NA-75.00-RG"/>
    <n v="15.76"/>
    <n v="11.82"/>
    <n v="0.75"/>
    <n v="12.98"/>
    <n v="9.7349999999999994"/>
    <n v="9.7349999999999994"/>
    <n v="0.74999999999999989"/>
    <n v="0"/>
    <n v="0"/>
    <n v="0"/>
    <n v="0"/>
    <n v="0"/>
    <n v="0"/>
    <n v="0"/>
    <n v="0"/>
    <n v="0"/>
    <n v="2.78"/>
    <n v="2.085"/>
    <n v="0.75"/>
    <n v="-2.7799999999999994"/>
    <n v="2.7799999999999994"/>
    <x v="1"/>
    <n v="0"/>
    <n v="9.7349999999999994"/>
    <n v="67"/>
  </r>
  <r>
    <s v="AJEET KUMAR"/>
    <d v="2026-06-13T00:00:00"/>
    <s v="RTN-8803331"/>
    <s v="SR-42250"/>
    <s v="CAST-FILLING"/>
    <s v="GOLD-FILLING-WK"/>
    <x v="0"/>
    <s v="G-NA-91.70-YG"/>
    <n v="226.16"/>
    <n v="207.38872000000001"/>
    <n v="0.91700000000000004"/>
    <n v="207.71"/>
    <n v="190.47006999999999"/>
    <n v="190.471"/>
    <n v="0.91699999999999993"/>
    <n v="0"/>
    <n v="0"/>
    <n v="0"/>
    <n v="0"/>
    <n v="0"/>
    <n v="0"/>
    <n v="0"/>
    <n v="0"/>
    <n v="0"/>
    <n v="18.45"/>
    <n v="16.91865"/>
    <n v="0.91700000000000004"/>
    <n v="-18.449999999999989"/>
    <n v="18.449999999999989"/>
    <x v="0"/>
    <n v="190.471"/>
    <n v="0"/>
    <n v="1"/>
  </r>
  <r>
    <s v="AJEET KUMAR"/>
    <d v="2026-06-13T00:00:00"/>
    <s v="SR-RTN/26-27/37216"/>
    <s v="B-298458"/>
    <s v="B-GOLD-FILING"/>
    <s v="GOLD-FILLING-WK"/>
    <x v="0"/>
    <s v="G-NA-91.70-YG"/>
    <n v="40.01"/>
    <n v="36.689169999999997"/>
    <n v="0.91699999999999993"/>
    <n v="38"/>
    <n v="34.845999999999997"/>
    <n v="34.845999999999997"/>
    <n v="0.91699999999999993"/>
    <n v="0"/>
    <n v="0"/>
    <n v="0"/>
    <n v="0"/>
    <n v="0"/>
    <n v="0"/>
    <n v="0"/>
    <n v="0"/>
    <n v="0"/>
    <n v="2.0099999999999998"/>
    <n v="1.84317"/>
    <n v="0.91700000000000004"/>
    <n v="-2.009999999999998"/>
    <n v="2.009999999999998"/>
    <x v="0"/>
    <n v="34.845999999999997"/>
    <n v="0"/>
    <n v="2"/>
  </r>
  <r>
    <s v="AJEET KUMAR"/>
    <d v="2026-06-13T00:00:00"/>
    <s v="SR-RTN/26-27/37216"/>
    <s v="B-298915"/>
    <s v="B-GOLD-FILING"/>
    <s v="GOLD-FILLING-WK"/>
    <x v="0"/>
    <s v="G-NA-91.70-YG"/>
    <n v="62.14"/>
    <n v="56.982379999999999"/>
    <n v="0.91699999999999993"/>
    <n v="56.91"/>
    <n v="52.18647"/>
    <n v="52.186999999999998"/>
    <n v="0.91700000000000004"/>
    <n v="0"/>
    <n v="0"/>
    <n v="0"/>
    <n v="0"/>
    <n v="0"/>
    <n v="0"/>
    <n v="0"/>
    <n v="0"/>
    <n v="0"/>
    <n v="5.23"/>
    <n v="4.7959100000000001"/>
    <n v="0.91699999999999993"/>
    <n v="-5.230000000000004"/>
    <n v="5.230000000000004"/>
    <x v="0"/>
    <n v="52.186999999999998"/>
    <n v="0"/>
    <n v="1"/>
  </r>
  <r>
    <s v="AJEET KUMAR"/>
    <d v="2026-06-13T00:00:00"/>
    <s v="SR-RTN/26-27/37216"/>
    <s v="B-298951"/>
    <s v="B-GOLD-FILING"/>
    <s v="GOLD-FILLING-WK"/>
    <x v="0"/>
    <s v="G-NA-91.70-YG"/>
    <n v="17.79"/>
    <n v="16.31343"/>
    <n v="0.91700000000000004"/>
    <n v="16.260000000000002"/>
    <n v="14.91042"/>
    <n v="14.911"/>
    <n v="0.91699999999999993"/>
    <n v="0"/>
    <n v="0"/>
    <n v="0"/>
    <n v="0"/>
    <n v="0"/>
    <n v="0"/>
    <n v="0"/>
    <n v="0"/>
    <n v="0"/>
    <n v="1.53"/>
    <n v="1.4030100000000001"/>
    <n v="0.91700000000000004"/>
    <n v="-1.5299999999999976"/>
    <n v="1.5299999999999976"/>
    <x v="0"/>
    <n v="14.911"/>
    <n v="0"/>
    <n v="1"/>
  </r>
  <r>
    <s v="AJEET KUMAR"/>
    <d v="2026-06-13T00:00:00"/>
    <s v="SR-RTN/26-27/37216"/>
    <s v="B-299293"/>
    <s v="B-GOLD-FILING"/>
    <s v="GOLD-FILLING-WK"/>
    <x v="0"/>
    <s v="G-NA-91.70-YG"/>
    <n v="45.74"/>
    <n v="41.943579999999997"/>
    <n v="0.91699999999999993"/>
    <n v="42.77"/>
    <n v="39.220089999999999"/>
    <n v="39.220999999999997"/>
    <n v="0.91699999999999993"/>
    <n v="0"/>
    <n v="0"/>
    <n v="0"/>
    <n v="0"/>
    <n v="0"/>
    <n v="0"/>
    <n v="0"/>
    <n v="0"/>
    <n v="0"/>
    <n v="2.97"/>
    <n v="2.72349"/>
    <n v="0.91699999999999993"/>
    <n v="-2.9699999999999989"/>
    <n v="2.9699999999999989"/>
    <x v="0"/>
    <n v="39.220999999999997"/>
    <n v="0"/>
    <n v="1"/>
  </r>
  <r>
    <s v="AJEET KUMAR"/>
    <d v="2026-06-13T00:00:00"/>
    <s v="SR-RTN/26-27/37216"/>
    <s v="B-299330"/>
    <s v="B-GOLD-FILING"/>
    <s v="GOLD-FILLING-WK"/>
    <x v="1"/>
    <s v="G-NA-75.00-RG"/>
    <n v="5.04"/>
    <n v="3.78"/>
    <n v="0.75"/>
    <n v="4.5199999999999996"/>
    <n v="3.39"/>
    <n v="3.39"/>
    <n v="0.75000000000000011"/>
    <n v="0"/>
    <n v="0"/>
    <n v="0"/>
    <n v="0"/>
    <n v="0"/>
    <n v="0"/>
    <n v="0"/>
    <n v="0"/>
    <n v="0"/>
    <n v="0.52"/>
    <n v="0.39"/>
    <n v="0.75"/>
    <n v="-0.52000000000000046"/>
    <n v="0.52000000000000046"/>
    <x v="0"/>
    <n v="3.39"/>
    <n v="0"/>
    <n v="1"/>
  </r>
  <r>
    <s v="AJEET KUMAR"/>
    <d v="2026-06-13T00:00:00"/>
    <s v="SR-RTN/26-27/37222"/>
    <s v="B-299474"/>
    <s v="B-GOLD-FILING"/>
    <s v="GOLD-FILLING-WK"/>
    <x v="0"/>
    <s v="G-NA-91.70-YG"/>
    <n v="36.83"/>
    <n v="33.773110000000003"/>
    <n v="0.91700000000000015"/>
    <n v="34.43"/>
    <n v="31.572310000000002"/>
    <n v="31.573"/>
    <n v="0.91700000000000004"/>
    <n v="0"/>
    <n v="0"/>
    <n v="0"/>
    <n v="0"/>
    <n v="0"/>
    <n v="0"/>
    <n v="0"/>
    <n v="0"/>
    <n v="0"/>
    <n v="2.4"/>
    <n v="2.2008000000000001"/>
    <n v="0.91700000000000004"/>
    <n v="-2.3999999999999986"/>
    <n v="2.3999999999999986"/>
    <x v="0"/>
    <n v="31.573"/>
    <n v="0"/>
    <n v="1"/>
  </r>
  <r>
    <s v="AJEET KUMAR"/>
    <d v="2026-06-13T00:00:00"/>
    <s v="SR-RTN/26-27/37225"/>
    <s v="B-296859"/>
    <s v="B-GOLD-FILING"/>
    <s v="GOLD-FILLING-WK"/>
    <x v="1"/>
    <s v="G-NA-75.00-RG"/>
    <n v="20.440000000000001"/>
    <n v="15.33"/>
    <n v="0.75"/>
    <n v="20.32"/>
    <n v="15.24"/>
    <n v="15.24"/>
    <n v="0.75"/>
    <n v="0"/>
    <n v="0"/>
    <n v="0"/>
    <n v="0"/>
    <n v="0"/>
    <n v="0"/>
    <n v="0"/>
    <n v="0"/>
    <n v="0"/>
    <n v="0.12"/>
    <n v="0.09"/>
    <n v="0.75"/>
    <n v="-0.12000000000000099"/>
    <n v="0.12000000000000099"/>
    <x v="0"/>
    <n v="15.24"/>
    <n v="0"/>
    <n v="2"/>
  </r>
  <r>
    <s v="AJEET KUMAR"/>
    <d v="2026-06-13T00:00:00"/>
    <s v="SR-RTN/26-27/37225"/>
    <s v="B-298324"/>
    <s v="B-GOLD-FILING"/>
    <s v="GOLD-FILLING-WK"/>
    <x v="1"/>
    <s v="G-NA-75.00-RG"/>
    <n v="38.950099999999999"/>
    <n v="29.212575000000001"/>
    <n v="0.75"/>
    <n v="38.78"/>
    <n v="29.085000000000001"/>
    <n v="29.085000000000001"/>
    <n v="0.75"/>
    <n v="0"/>
    <n v="0"/>
    <n v="0"/>
    <n v="0"/>
    <n v="0"/>
    <n v="0"/>
    <n v="0"/>
    <n v="0"/>
    <n v="0"/>
    <n v="0.1701"/>
    <n v="0.12757499999999999"/>
    <n v="0.75"/>
    <n v="-0.17009999999999792"/>
    <n v="0.17009999999999792"/>
    <x v="0"/>
    <n v="29.085000000000001"/>
    <n v="0"/>
    <n v="2"/>
  </r>
  <r>
    <s v="AJEET KUMAR"/>
    <d v="2026-06-13T00:00:00"/>
    <s v="SR-RTN/26-27/37248"/>
    <s v="B-298159"/>
    <s v="B-GOLD-FILING"/>
    <s v="GOLD-FILLING-WK"/>
    <x v="1"/>
    <s v="G-NA-75.00-YG"/>
    <n v="261.82"/>
    <n v="196.36500000000001"/>
    <n v="0.75"/>
    <n v="260.74"/>
    <n v="195.55500000000001"/>
    <n v="195.55500000000001"/>
    <n v="0.75"/>
    <n v="0"/>
    <n v="0"/>
    <n v="0"/>
    <n v="0"/>
    <n v="0"/>
    <n v="0"/>
    <n v="0"/>
    <n v="0"/>
    <n v="0"/>
    <n v="1.08"/>
    <n v="0.81"/>
    <n v="0.75"/>
    <n v="-1.0799999999999841"/>
    <n v="1.0799999999999841"/>
    <x v="1"/>
    <n v="189.91499999999999"/>
    <n v="5.6400000000000148"/>
    <n v="4"/>
  </r>
  <r>
    <s v="AJEET KUMAR"/>
    <d v="2026-06-13T00:00:00"/>
    <s v="SR-RTN/26-27/37288"/>
    <s v="B-291420/1"/>
    <s v="B-GOLD-FILING"/>
    <s v="GOLD-FILLING-WK"/>
    <x v="0"/>
    <s v="G-NA-91.70-YG"/>
    <n v="3.38"/>
    <n v="3.0994600000000001"/>
    <n v="0.91700000000000004"/>
    <n v="3.16"/>
    <n v="2.8977200000000001"/>
    <n v="2.8979999999999997"/>
    <n v="0.91700000000000004"/>
    <n v="0"/>
    <n v="0"/>
    <n v="0"/>
    <n v="0"/>
    <n v="0"/>
    <n v="0"/>
    <n v="0"/>
    <n v="0"/>
    <n v="0"/>
    <n v="0.22"/>
    <n v="0.20174"/>
    <n v="0.91700000000000004"/>
    <n v="-0.21999999999999975"/>
    <n v="0.21999999999999975"/>
    <x v="0"/>
    <n v="2.8979999999999997"/>
    <n v="0"/>
    <n v="2"/>
  </r>
  <r>
    <s v="AJEET KUMAR"/>
    <d v="2026-06-13T00:00:00"/>
    <s v="SR-RTN/26-27/37293"/>
    <s v="B-291423"/>
    <s v="B-GOLD-FILING"/>
    <s v="GOLD-FILLING-WK"/>
    <x v="0"/>
    <s v="G-NA-91.70-YG"/>
    <n v="15.88"/>
    <n v="14.561959999999999"/>
    <n v="0.91699999999999993"/>
    <n v="15.19"/>
    <n v="13.92923"/>
    <n v="13.93"/>
    <n v="0.91700000000000004"/>
    <n v="0"/>
    <n v="0"/>
    <n v="0"/>
    <n v="0"/>
    <n v="0"/>
    <n v="0"/>
    <n v="0"/>
    <n v="0"/>
    <n v="0"/>
    <n v="0.69"/>
    <n v="0.63273000000000001"/>
    <n v="0.91700000000000004"/>
    <n v="-0.69000000000000128"/>
    <n v="0.69000000000000128"/>
    <x v="0"/>
    <n v="13.93"/>
    <n v="0"/>
    <n v="2"/>
  </r>
  <r>
    <s v="AJEET KUMAR"/>
    <d v="2026-06-13T00:00:00"/>
    <s v="SR-RTN/26-27/37299"/>
    <s v="B-299317"/>
    <s v="B-GOLD-FILING"/>
    <s v="GOLD-FILLING-WK"/>
    <x v="1"/>
    <s v="G-NA-75.00-RG"/>
    <n v="39.979999999999997"/>
    <n v="29.984999999999999"/>
    <n v="0.75"/>
    <n v="37.659999999999997"/>
    <n v="28.245000000000001"/>
    <n v="28.245000000000001"/>
    <n v="0.75000000000000011"/>
    <n v="0"/>
    <n v="0"/>
    <n v="0"/>
    <n v="0"/>
    <n v="0"/>
    <n v="0"/>
    <n v="0"/>
    <n v="0"/>
    <n v="0"/>
    <n v="2.3199999999999998"/>
    <n v="1.74"/>
    <n v="0.75"/>
    <n v="-2.3200000000000003"/>
    <n v="2.3200000000000003"/>
    <x v="0"/>
    <n v="28.245000000000001"/>
    <n v="0"/>
    <n v="1"/>
  </r>
  <r>
    <s v="AJEET KUMAR"/>
    <d v="2026-06-13T00:00:00"/>
    <s v="SR-RTN/26-27/37300"/>
    <s v="B-298952"/>
    <s v="B-GOLD-FILING"/>
    <s v="GOLD-FILLING-WK"/>
    <x v="0"/>
    <s v="G-NA-91.70-YG"/>
    <n v="56.51"/>
    <n v="51.819670000000002"/>
    <n v="0.91700000000000004"/>
    <n v="53.22"/>
    <n v="48.80274"/>
    <n v="48.802999999999997"/>
    <n v="0.91700000000000004"/>
    <n v="0"/>
    <n v="0"/>
    <n v="0"/>
    <n v="0"/>
    <n v="0"/>
    <n v="0"/>
    <n v="0"/>
    <n v="0"/>
    <n v="0"/>
    <n v="3.29"/>
    <n v="3.0169299999999999"/>
    <n v="0.91699999999999993"/>
    <n v="-3.2899999999999991"/>
    <n v="3.2899999999999991"/>
    <x v="0"/>
    <n v="48.802999999999997"/>
    <n v="0"/>
    <n v="1"/>
  </r>
  <r>
    <s v="AJEET KUMAR"/>
    <d v="2026-06-13T00:00:00"/>
    <s v="SR-RTN/26-27/37336"/>
    <s v="B-298641"/>
    <s v="B-GOLD-FILING"/>
    <s v="GOLD-FILLING-WK"/>
    <x v="0"/>
    <s v="G-NA-91.70-YG"/>
    <n v="56.07"/>
    <n v="51.41619"/>
    <n v="0.91700000000000004"/>
    <n v="52.65"/>
    <n v="48.280050000000003"/>
    <n v="48.280999999999999"/>
    <n v="0.91700000000000004"/>
    <n v="0"/>
    <n v="0"/>
    <n v="0"/>
    <n v="0"/>
    <n v="0"/>
    <n v="0"/>
    <n v="0"/>
    <n v="0"/>
    <n v="0"/>
    <n v="3.42"/>
    <n v="3.1361400000000001"/>
    <n v="0.91700000000000004"/>
    <n v="-3.4200000000000017"/>
    <n v="3.4200000000000017"/>
    <x v="0"/>
    <n v="48.280999999999999"/>
    <n v="0"/>
    <n v="1"/>
  </r>
  <r>
    <s v="AJEET KUMAR"/>
    <d v="2026-06-13T00:00:00"/>
    <s v="SR-RTN/26-27/37336"/>
    <s v="B-299307"/>
    <s v="B-GOLD-FILING"/>
    <s v="GOLD-FILLING-WK"/>
    <x v="1"/>
    <s v="G-NA-75.00-YG"/>
    <n v="95.05"/>
    <n v="71.287499999999994"/>
    <n v="0.75"/>
    <n v="91.97"/>
    <n v="68.977500000000006"/>
    <n v="68.978000000000009"/>
    <n v="0.75000000000000011"/>
    <n v="0"/>
    <n v="0"/>
    <n v="0"/>
    <n v="0"/>
    <n v="0"/>
    <n v="0"/>
    <n v="0"/>
    <n v="0"/>
    <n v="0"/>
    <n v="3.08"/>
    <n v="2.31"/>
    <n v="0.75"/>
    <n v="-3.0799999999999983"/>
    <n v="3.0799999999999983"/>
    <x v="0"/>
    <n v="68.978000000000009"/>
    <n v="0"/>
    <n v="1"/>
  </r>
  <r>
    <s v="AJEET KUMAR"/>
    <d v="2026-06-13T00:00:00"/>
    <s v="SR-RTN/26-27/37350"/>
    <s v="B-298450"/>
    <s v="B-GOLD-FILING"/>
    <s v="GOLD-FILLING-WK"/>
    <x v="0"/>
    <s v="G-NA-91.70-YG"/>
    <n v="41.83"/>
    <n v="38.358110000000003"/>
    <n v="0.91700000000000015"/>
    <n v="40.04"/>
    <n v="36.716679999999997"/>
    <n v="36.716999999999999"/>
    <n v="0.91699999999999993"/>
    <n v="0"/>
    <n v="0"/>
    <n v="0"/>
    <n v="0"/>
    <n v="0"/>
    <n v="0"/>
    <n v="0"/>
    <n v="0"/>
    <n v="0"/>
    <n v="1.79"/>
    <n v="1.6414299999999999"/>
    <n v="0.91699999999999993"/>
    <n v="-1.7899999999999991"/>
    <n v="1.7899999999999991"/>
    <x v="0"/>
    <n v="36.716999999999999"/>
    <n v="0"/>
    <n v="2"/>
  </r>
  <r>
    <s v="AJEET KUMAR"/>
    <d v="2026-06-13T00:00:00"/>
    <s v="SR-RTN/26-27/37351"/>
    <s v="B-291420/1"/>
    <s v="B-GOLD-FILING"/>
    <s v="GOLD-FILLING-WK"/>
    <x v="0"/>
    <s v="G-NA-91.70-YG"/>
    <n v="3.59"/>
    <n v="3.29203"/>
    <n v="0.91700000000000004"/>
    <n v="3.46"/>
    <n v="3.1728200000000002"/>
    <n v="3.173"/>
    <n v="0.91700000000000004"/>
    <n v="0"/>
    <n v="0"/>
    <n v="0"/>
    <n v="0"/>
    <n v="0"/>
    <n v="0"/>
    <n v="0"/>
    <n v="0"/>
    <n v="0"/>
    <n v="0.13"/>
    <n v="0.11921"/>
    <n v="0.91699999999999993"/>
    <n v="-0.12999999999999989"/>
    <n v="0.12999999999999989"/>
    <x v="1"/>
    <n v="2.8979999999999997"/>
    <n v="0.27500000000000036"/>
    <n v="2"/>
  </r>
  <r>
    <s v="AJEET KUMAR"/>
    <d v="2026-06-13T00:00:00"/>
    <s v="SR-RTN/26-27/37369"/>
    <s v="B-295903"/>
    <s v="B-GOLD-FILING"/>
    <s v="GOLD-FILLING-WK"/>
    <x v="1"/>
    <s v="G-NA-75.00-YG"/>
    <n v="27.53"/>
    <n v="20.647500000000001"/>
    <n v="0.75"/>
    <n v="24.78"/>
    <n v="18.585000000000001"/>
    <n v="18.585000000000001"/>
    <n v="0.75"/>
    <n v="0"/>
    <n v="0"/>
    <n v="0"/>
    <n v="0"/>
    <n v="0"/>
    <n v="0"/>
    <n v="0"/>
    <n v="0"/>
    <n v="0"/>
    <n v="2.75"/>
    <n v="2.0625"/>
    <n v="0.75"/>
    <n v="-2.75"/>
    <n v="2.75"/>
    <x v="0"/>
    <n v="18.585000000000001"/>
    <n v="0"/>
    <n v="2"/>
  </r>
  <r>
    <s v="AJEET KUMAR"/>
    <d v="2026-06-13T00:00:00"/>
    <s v="SR-RTN/26-27/37376"/>
    <s v="B-295904"/>
    <s v="B-GOLD-FILING"/>
    <s v="GOLD-FILLING-WK"/>
    <x v="1"/>
    <s v="G-NA-75.00-YG"/>
    <n v="31.37"/>
    <n v="23.5275"/>
    <n v="0.75"/>
    <n v="28.82"/>
    <n v="21.614999999999998"/>
    <n v="21.614999999999998"/>
    <n v="0.74999999999999989"/>
    <n v="0"/>
    <n v="0"/>
    <n v="0"/>
    <n v="0"/>
    <n v="0"/>
    <n v="0"/>
    <n v="0"/>
    <n v="0"/>
    <n v="0"/>
    <n v="2.5499999999999998"/>
    <n v="1.9125000000000001"/>
    <n v="0.75000000000000011"/>
    <n v="-2.5500000000000007"/>
    <n v="2.5500000000000007"/>
    <x v="1"/>
    <n v="17.774999999999999"/>
    <n v="3.84"/>
    <n v="2"/>
  </r>
  <r>
    <s v="AJEET KUMAR"/>
    <d v="2026-06-13T00:00:00"/>
    <s v="SR-RTN/26-27/37381"/>
    <s v="B-299302"/>
    <s v="B-GOLD-FILING"/>
    <s v="GOLD-FILLING-WK"/>
    <x v="1"/>
    <s v="G-NA-75.00-YG"/>
    <n v="203.31"/>
    <n v="152.48249999999999"/>
    <n v="0.74999999999999989"/>
    <n v="193.44"/>
    <n v="145.08000000000001"/>
    <n v="145.08000000000001"/>
    <n v="0.75000000000000011"/>
    <n v="0"/>
    <n v="0"/>
    <n v="0"/>
    <n v="0"/>
    <n v="0"/>
    <n v="0"/>
    <n v="0"/>
    <n v="0"/>
    <n v="0"/>
    <n v="9.8699999999999992"/>
    <n v="7.4024999999999999"/>
    <n v="0.75"/>
    <n v="-9.8700000000000045"/>
    <n v="9.8700000000000045"/>
    <x v="0"/>
    <n v="145.08000000000001"/>
    <n v="0"/>
    <n v="1"/>
  </r>
  <r>
    <s v="AJEET KUMAR"/>
    <d v="2026-06-13T00:00:00"/>
    <s v="SR-RTN/26-27/37423"/>
    <s v="B-298456"/>
    <s v="B-GOLD-FILING"/>
    <s v="GOLD-FILLING-WK"/>
    <x v="0"/>
    <s v="G-NA-91.70-YG"/>
    <n v="50.69"/>
    <n v="46.482729999999997"/>
    <n v="0.91699999999999993"/>
    <n v="47.85"/>
    <n v="43.878450000000001"/>
    <n v="43.878999999999998"/>
    <n v="0.91700000000000004"/>
    <n v="0"/>
    <n v="0"/>
    <n v="0"/>
    <n v="0"/>
    <n v="0"/>
    <n v="0"/>
    <n v="0"/>
    <n v="0"/>
    <n v="0"/>
    <n v="2.84"/>
    <n v="2.6042800000000002"/>
    <n v="0.91700000000000015"/>
    <n v="-2.8399999999999963"/>
    <n v="2.8399999999999963"/>
    <x v="0"/>
    <n v="43.878999999999998"/>
    <n v="0"/>
    <n v="2"/>
  </r>
  <r>
    <s v="AJEET KUMAR"/>
    <d v="2026-06-13T00:00:00"/>
    <s v="SR-RTN/26-27/37488"/>
    <s v="B-291423"/>
    <s v="B-GOLD-FILING"/>
    <s v="GOLD-FILLING-WK"/>
    <x v="0"/>
    <s v="G-NA-91.70-YG"/>
    <n v="17.010000000000002"/>
    <n v="15.59817"/>
    <n v="0.91699999999999993"/>
    <n v="16.55"/>
    <n v="15.176349999999999"/>
    <n v="15.177"/>
    <n v="0.91699999999999993"/>
    <n v="0"/>
    <n v="0"/>
    <n v="0"/>
    <n v="0"/>
    <n v="0"/>
    <n v="0"/>
    <n v="0"/>
    <n v="0"/>
    <n v="0"/>
    <n v="0.46"/>
    <n v="0.42181999999999997"/>
    <n v="0.91699999999999993"/>
    <n v="-0.46000000000000085"/>
    <n v="0.46000000000000085"/>
    <x v="1"/>
    <n v="13.93"/>
    <n v="1.2469999999999999"/>
    <n v="2"/>
  </r>
  <r>
    <s v="AJEET KUMAR"/>
    <d v="2026-06-13T00:00:00"/>
    <s v="SR-RTN/26-27/37491"/>
    <s v="B-298375"/>
    <s v="B-GOLD-FILING"/>
    <s v="GOLD-FILLING-WK"/>
    <x v="0"/>
    <s v="G-NA-91.70-YG"/>
    <n v="67.046000000000006"/>
    <n v="61.481181999999997"/>
    <n v="0.91699999999999982"/>
    <n v="61.545999999999999"/>
    <n v="56.437682000000002"/>
    <n v="56.437999999999995"/>
    <n v="0.91700000000000004"/>
    <n v="0"/>
    <n v="0"/>
    <n v="0"/>
    <n v="0"/>
    <n v="0"/>
    <n v="0"/>
    <n v="0"/>
    <n v="0"/>
    <n v="0"/>
    <n v="5.5"/>
    <n v="5.0434999999999999"/>
    <n v="0.91699999999999993"/>
    <n v="-5.5000000000000071"/>
    <n v="5.5000000000000071"/>
    <x v="0"/>
    <n v="56.437999999999995"/>
    <n v="0"/>
    <n v="1"/>
  </r>
  <r>
    <s v="AJEET KUMAR"/>
    <d v="2026-06-13T00:00:00"/>
    <s v="SR-RTN/26-27/37491"/>
    <s v="B-299310"/>
    <s v="B-GOLD-FILING"/>
    <s v="GOLD-FILLING-WK"/>
    <x v="1"/>
    <s v="G-NA-75.00-RG"/>
    <n v="56.84"/>
    <n v="42.63"/>
    <n v="0.75"/>
    <n v="54.7"/>
    <n v="41.024999999999999"/>
    <n v="41.024999999999999"/>
    <n v="0.74999999999999989"/>
    <n v="0"/>
    <n v="0"/>
    <n v="0"/>
    <n v="0"/>
    <n v="0"/>
    <n v="0"/>
    <n v="0"/>
    <n v="0"/>
    <n v="0"/>
    <n v="2.14"/>
    <n v="1.605"/>
    <n v="0.75"/>
    <n v="-2.1400000000000006"/>
    <n v="2.1400000000000006"/>
    <x v="0"/>
    <n v="41.024999999999999"/>
    <n v="0"/>
    <n v="1"/>
  </r>
  <r>
    <s v="AJEET KUMAR"/>
    <d v="2026-06-13T00:00:00"/>
    <s v="SR-RTN/26-27/37491"/>
    <s v="B-299316"/>
    <s v="B-GOLD-FILING"/>
    <s v="GOLD-FILLING-WK"/>
    <x v="1"/>
    <s v="G-NA-75.00-RG"/>
    <n v="52.26"/>
    <n v="39.195"/>
    <n v="0.75"/>
    <n v="46.5"/>
    <n v="34.875"/>
    <n v="34.875"/>
    <n v="0.75"/>
    <n v="0"/>
    <n v="0"/>
    <n v="0"/>
    <n v="0"/>
    <n v="0"/>
    <n v="0"/>
    <n v="0"/>
    <n v="0"/>
    <n v="0"/>
    <n v="5.76"/>
    <n v="4.32"/>
    <n v="0.75000000000000011"/>
    <n v="-5.759999999999998"/>
    <n v="5.759999999999998"/>
    <x v="0"/>
    <n v="34.875"/>
    <n v="0"/>
    <n v="1"/>
  </r>
  <r>
    <s v="AJEET KUMAR"/>
    <d v="2026-06-13T00:00:00"/>
    <s v="SR-RTN/26-27/37491"/>
    <s v="B-299481"/>
    <s v="B-GOLD-FILING"/>
    <s v="GOLD-FILLING-WK"/>
    <x v="0"/>
    <s v="G-NA-91.70-YG"/>
    <n v="123.07"/>
    <n v="112.85518999999999"/>
    <n v="0.91700000000000004"/>
    <n v="114.42"/>
    <n v="104.92314"/>
    <n v="104.92400000000001"/>
    <n v="0.91700000000000004"/>
    <n v="0"/>
    <n v="0"/>
    <n v="0"/>
    <n v="0"/>
    <n v="0"/>
    <n v="0"/>
    <n v="0"/>
    <n v="0"/>
    <n v="0"/>
    <n v="8.65"/>
    <n v="7.9320500000000003"/>
    <n v="0.91700000000000004"/>
    <n v="-8.6499999999999915"/>
    <n v="8.6499999999999915"/>
    <x v="0"/>
    <n v="104.92400000000001"/>
    <n v="0"/>
    <n v="1"/>
  </r>
  <r>
    <s v="AJEET KUMAR"/>
    <d v="2026-06-13T00:00:00"/>
    <s v="SR-RTN/26-27/37496"/>
    <s v="B-298922"/>
    <s v="B-GOLD-FILING"/>
    <s v="GOLD-FILLING-WK"/>
    <x v="1"/>
    <s v="G-NA-75.00-RG"/>
    <n v="31.22"/>
    <n v="23.414999999999999"/>
    <n v="0.75"/>
    <n v="28.72"/>
    <n v="21.54"/>
    <n v="21.54"/>
    <n v="0.75"/>
    <n v="0"/>
    <n v="0"/>
    <n v="0"/>
    <n v="0"/>
    <n v="0"/>
    <n v="0"/>
    <n v="0"/>
    <n v="0"/>
    <n v="0"/>
    <n v="2.5"/>
    <n v="1.875"/>
    <n v="0.75"/>
    <n v="-2.5"/>
    <n v="2.5"/>
    <x v="1"/>
    <n v="21.495000000000001"/>
    <n v="4.4999999999998153E-2"/>
    <n v="2"/>
  </r>
  <r>
    <s v="AJEET KUMAR"/>
    <d v="2026-06-13T00:00:00"/>
    <s v="SR-RTN/26-27/37505"/>
    <s v="B-298593"/>
    <s v="B-GOLD-FILING"/>
    <s v="GOLD-FILLING-WK"/>
    <x v="0"/>
    <s v="G-NA-91.70-YG"/>
    <n v="70.010000000000005"/>
    <n v="64.199169999999995"/>
    <n v="0.91699999999999982"/>
    <n v="70.010000000000005"/>
    <n v="64.199169999999995"/>
    <n v="64.2"/>
    <n v="0.91699999999999982"/>
    <n v="0"/>
    <n v="0"/>
    <n v="0"/>
    <n v="0"/>
    <n v="0"/>
    <n v="0"/>
    <n v="0"/>
    <n v="0"/>
    <n v="0"/>
    <n v="0"/>
    <n v="0"/>
    <n v="0"/>
    <n v="0"/>
    <n v="0"/>
    <x v="0"/>
    <n v="64.2"/>
    <n v="0"/>
    <n v="2"/>
  </r>
  <r>
    <s v="AJEET KUMAR"/>
    <d v="2026-06-13T00:00:00"/>
    <s v="SR-RTN/26-27/37514"/>
    <s v="B-298635"/>
    <s v="B-GOLD-FILING"/>
    <s v="GOLD-FILLING-WK"/>
    <x v="0"/>
    <s v="G-NA-91.70-YG"/>
    <n v="49.93"/>
    <n v="45.785809999999998"/>
    <n v="0.91699999999999993"/>
    <n v="44"/>
    <n v="40.347999999999999"/>
    <n v="40.347999999999999"/>
    <n v="0.91699999999999993"/>
    <n v="0"/>
    <n v="0"/>
    <n v="0"/>
    <n v="0"/>
    <n v="0"/>
    <n v="0"/>
    <n v="0"/>
    <n v="0"/>
    <n v="0"/>
    <n v="5.93"/>
    <n v="5.4378099999999998"/>
    <n v="0.91700000000000004"/>
    <n v="-5.93"/>
    <n v="5.93"/>
    <x v="1"/>
    <n v="40.119"/>
    <n v="0.2289999999999992"/>
    <n v="2"/>
  </r>
  <r>
    <s v="AJEET KUMAR"/>
    <d v="2026-06-13T00:00:00"/>
    <s v="SR-RTN/26-27/37514"/>
    <s v="B-299578"/>
    <s v="B-GOLD-FILING"/>
    <s v="GOLD-FILLING-WK"/>
    <x v="1"/>
    <s v="G-NA-75.00-YG"/>
    <n v="29.07"/>
    <n v="21.802499999999998"/>
    <n v="0.74999999999999989"/>
    <n v="26.21"/>
    <n v="19.657499999999999"/>
    <n v="19.658000000000001"/>
    <n v="0.74999999999999989"/>
    <n v="0"/>
    <n v="0"/>
    <n v="0"/>
    <n v="0"/>
    <n v="0"/>
    <n v="0"/>
    <n v="0"/>
    <n v="0"/>
    <n v="0"/>
    <n v="2.86"/>
    <n v="2.145"/>
    <n v="0.75"/>
    <n v="-2.8599999999999994"/>
    <n v="2.8599999999999994"/>
    <x v="0"/>
    <n v="19.658000000000001"/>
    <n v="0"/>
    <n v="1"/>
  </r>
  <r>
    <s v="AJEET KUMAR"/>
    <d v="2026-06-13T00:00:00"/>
    <s v="SR-RTN/26-27/37527"/>
    <s v="B-299593"/>
    <s v="B-GOLD-FILING"/>
    <s v="GOLD-FILLING-WK"/>
    <x v="0"/>
    <s v="G-NA-91.70-YG"/>
    <n v="8.19"/>
    <n v="7.51023"/>
    <n v="0.91700000000000004"/>
    <n v="7.88"/>
    <n v="7.2259599999999997"/>
    <n v="7.226"/>
    <n v="0.91699999999999993"/>
    <n v="0"/>
    <n v="0"/>
    <n v="0"/>
    <n v="0"/>
    <n v="0"/>
    <n v="0"/>
    <n v="0"/>
    <n v="0"/>
    <n v="0"/>
    <n v="0.31"/>
    <n v="0.28427000000000002"/>
    <n v="0.91700000000000004"/>
    <n v="-0.30999999999999961"/>
    <n v="0.30999999999999961"/>
    <x v="0"/>
    <n v="7.226"/>
    <n v="0"/>
    <n v="1"/>
  </r>
  <r>
    <s v="AJEET KUMAR"/>
    <d v="2026-06-13T00:00:00"/>
    <s v="SR-RTN/26-27/37552"/>
    <s v="B-299592"/>
    <s v="B-GOLD-FILING"/>
    <s v="GOLD-FILLING-WK"/>
    <x v="0"/>
    <s v="G-NA-91.70-YG"/>
    <n v="44.53"/>
    <n v="40.834009999999999"/>
    <n v="0.91699999999999993"/>
    <n v="43.01"/>
    <n v="39.440170000000002"/>
    <n v="39.440999999999995"/>
    <n v="0.91700000000000004"/>
    <n v="0"/>
    <n v="0"/>
    <n v="0"/>
    <n v="0"/>
    <n v="0"/>
    <n v="0"/>
    <n v="0"/>
    <n v="0"/>
    <n v="0"/>
    <n v="1.52"/>
    <n v="1.39384"/>
    <n v="0.91699999999999993"/>
    <n v="-1.5200000000000031"/>
    <n v="1.5200000000000031"/>
    <x v="0"/>
    <n v="39.440999999999995"/>
    <n v="0"/>
    <n v="1"/>
  </r>
  <r>
    <s v="AJEET KUMAR"/>
    <d v="2026-06-13T00:00:00"/>
    <s v="SR-RTN/26-27/37576"/>
    <s v="B-299866"/>
    <s v="B-GOLD-FILING"/>
    <s v="GOLD-FILLING-WK"/>
    <x v="1"/>
    <s v="G-NA-75.00-RG"/>
    <n v="4.96"/>
    <n v="3.72"/>
    <n v="0.75"/>
    <n v="4.79"/>
    <n v="3.5924999999999998"/>
    <n v="3.593"/>
    <n v="0.75"/>
    <n v="0"/>
    <n v="0"/>
    <n v="0"/>
    <n v="0"/>
    <n v="0"/>
    <n v="0"/>
    <n v="0"/>
    <n v="0"/>
    <n v="0"/>
    <n v="0.17"/>
    <n v="0.1275"/>
    <n v="0.75"/>
    <n v="-0.16999999999999993"/>
    <n v="0.16999999999999993"/>
    <x v="0"/>
    <n v="3.593"/>
    <n v="0"/>
    <n v="1"/>
  </r>
  <r>
    <s v="AJEET KUMAR"/>
    <d v="2026-06-13T00:00:00"/>
    <s v="SR-RTN/26-27/37576"/>
    <s v="B-299869"/>
    <s v="B-GOLD-FILING"/>
    <s v="GOLD-FILLING-WK"/>
    <x v="1"/>
    <s v="G-NA-75.00-RG"/>
    <n v="3.54"/>
    <n v="2.6549999999999998"/>
    <n v="0.74999999999999989"/>
    <n v="3.33"/>
    <n v="2.4975000000000001"/>
    <n v="2.4979999999999998"/>
    <n v="0.75"/>
    <n v="0"/>
    <n v="0"/>
    <n v="0"/>
    <n v="0"/>
    <n v="0"/>
    <n v="0"/>
    <n v="0"/>
    <n v="0"/>
    <n v="0"/>
    <n v="0.21"/>
    <n v="0.1575"/>
    <n v="0.75"/>
    <n v="-0.20999999999999996"/>
    <n v="0.20999999999999996"/>
    <x v="0"/>
    <n v="2.4979999999999998"/>
    <n v="0"/>
    <n v="1"/>
  </r>
  <r>
    <s v="AJEET KUMAR"/>
    <d v="2026-06-13T00:00:00"/>
    <s v="SR-RTN/26-27/37576"/>
    <s v="B-299871"/>
    <s v="B-GOLD-FILING"/>
    <s v="GOLD-FILLING-WK"/>
    <x v="1"/>
    <s v="G-NA-75.00-RG"/>
    <n v="6.1"/>
    <n v="4.5750000000000002"/>
    <n v="0.75000000000000011"/>
    <n v="5.78"/>
    <n v="4.335"/>
    <n v="4.335"/>
    <n v="0.75"/>
    <n v="0"/>
    <n v="0"/>
    <n v="0"/>
    <n v="0"/>
    <n v="0"/>
    <n v="0"/>
    <n v="0"/>
    <n v="0"/>
    <n v="0"/>
    <n v="0.32"/>
    <n v="0.24"/>
    <n v="0.75"/>
    <n v="-0.3199999999999994"/>
    <n v="0.3199999999999994"/>
    <x v="0"/>
    <n v="4.335"/>
    <n v="0"/>
    <n v="1"/>
  </r>
  <r>
    <s v="AJEET KUMAR"/>
    <d v="2026-06-13T00:00:00"/>
    <s v="SR-RTN/26-27/37598"/>
    <s v="B-298890"/>
    <s v="B-GOLD-FILING"/>
    <s v="GOLD-FILLING-WK"/>
    <x v="0"/>
    <s v="G-NA-91.70-YG"/>
    <n v="32.97"/>
    <n v="30.23349"/>
    <n v="0.91700000000000004"/>
    <n v="31.86"/>
    <n v="29.215620000000001"/>
    <n v="29.216000000000001"/>
    <n v="0.91700000000000004"/>
    <n v="0"/>
    <n v="0"/>
    <n v="0"/>
    <n v="0"/>
    <n v="0"/>
    <n v="0"/>
    <n v="0"/>
    <n v="0"/>
    <n v="0"/>
    <n v="1.1100000000000001"/>
    <n v="1.0178700000000001"/>
    <n v="0.91699999999999993"/>
    <n v="-1.1099999999999994"/>
    <n v="1.1099999999999994"/>
    <x v="0"/>
    <n v="29.216000000000001"/>
    <n v="0"/>
    <n v="1"/>
  </r>
  <r>
    <s v="AJEET KUMAR"/>
    <d v="2026-06-13T00:00:00"/>
    <s v="SR-RTN/26-27/37598"/>
    <s v="B-298891"/>
    <s v="B-GOLD-FILING"/>
    <s v="GOLD-FILLING-WK"/>
    <x v="0"/>
    <s v="G-NA-91.70-YG"/>
    <n v="43.4"/>
    <n v="39.797800000000002"/>
    <n v="0.91700000000000004"/>
    <n v="42.2"/>
    <n v="38.697400000000002"/>
    <n v="38.698"/>
    <n v="0.91699999999999993"/>
    <n v="0"/>
    <n v="0"/>
    <n v="0"/>
    <n v="0"/>
    <n v="0"/>
    <n v="0"/>
    <n v="0"/>
    <n v="0"/>
    <n v="0"/>
    <n v="1.2"/>
    <n v="1.1004"/>
    <n v="0.91700000000000004"/>
    <n v="-1.1999999999999957"/>
    <n v="1.1999999999999957"/>
    <x v="0"/>
    <n v="38.698"/>
    <n v="0"/>
    <n v="1"/>
  </r>
  <r>
    <s v="AJEET KUMAR"/>
    <d v="2026-06-13T00:00:00"/>
    <s v="SR-RTN/26-27/37598"/>
    <s v="B-298892"/>
    <s v="B-GOLD-FILING"/>
    <s v="GOLD-FILLING-WK"/>
    <x v="0"/>
    <s v="G-NA-91.70-YG"/>
    <n v="25.16"/>
    <n v="23.071719999999999"/>
    <n v="0.91699999999999993"/>
    <n v="24.16"/>
    <n v="22.154720000000001"/>
    <n v="22.155000000000001"/>
    <n v="0.91700000000000004"/>
    <n v="0"/>
    <n v="0"/>
    <n v="0"/>
    <n v="0"/>
    <n v="0"/>
    <n v="0"/>
    <n v="0"/>
    <n v="0"/>
    <n v="0"/>
    <n v="1"/>
    <n v="0.91700000000000004"/>
    <n v="0.91700000000000004"/>
    <n v="-1"/>
    <n v="1"/>
    <x v="0"/>
    <n v="22.155000000000001"/>
    <n v="0"/>
    <n v="1"/>
  </r>
  <r>
    <s v="AJEET KUMAR"/>
    <d v="2026-06-13T00:00:00"/>
    <s v="SR-RTN/26-27/37599"/>
    <s v="B-298917"/>
    <s v="B-GOLD-FILING"/>
    <s v="GOLD-FILLING-WK"/>
    <x v="0"/>
    <s v="G-NA-91.70-YG"/>
    <n v="120.9"/>
    <n v="110.8653"/>
    <n v="0.91700000000000004"/>
    <n v="114.83"/>
    <n v="105.29911"/>
    <n v="105.30000000000001"/>
    <n v="0.91700000000000004"/>
    <n v="0"/>
    <n v="0"/>
    <n v="0"/>
    <n v="0"/>
    <n v="0"/>
    <n v="0"/>
    <n v="0"/>
    <n v="0"/>
    <n v="0"/>
    <n v="6.07"/>
    <n v="5.5661899999999997"/>
    <n v="0.91699999999999993"/>
    <n v="-6.0700000000000074"/>
    <n v="6.0700000000000074"/>
    <x v="0"/>
    <n v="105.30000000000001"/>
    <n v="0"/>
    <n v="1"/>
  </r>
  <r>
    <s v="AJEET KUMAR"/>
    <d v="2026-06-13T00:00:00"/>
    <s v="SR-RTN/26-27/37618"/>
    <s v="B-298453"/>
    <s v="B-GOLD-FILING"/>
    <s v="GOLD-FILLING-WK"/>
    <x v="0"/>
    <s v="G-NA-91.70-YG"/>
    <n v="37.450000000000003"/>
    <n v="34.341650000000001"/>
    <n v="0.91699999999999993"/>
    <n v="36.700000000000003"/>
    <n v="33.6539"/>
    <n v="33.653999999999996"/>
    <n v="0.91699999999999993"/>
    <n v="0"/>
    <n v="0"/>
    <n v="0"/>
    <n v="0"/>
    <n v="0"/>
    <n v="0"/>
    <n v="0"/>
    <n v="0"/>
    <n v="0"/>
    <n v="0.75"/>
    <n v="0.68774999999999997"/>
    <n v="0.91699999999999993"/>
    <n v="-0.75"/>
    <n v="0.75"/>
    <x v="1"/>
    <n v="30.399000000000001"/>
    <n v="3.2549999999999955"/>
    <n v="2"/>
  </r>
  <r>
    <s v="AJEET KUMAR"/>
    <d v="2026-06-13T00:00:00"/>
    <s v="SR-RTN/26-27/37708"/>
    <s v="B-298158"/>
    <s v="B-GOLD-FILING"/>
    <s v="GOLD-FILLING-WK"/>
    <x v="1"/>
    <s v="G-NA-75.00-YG"/>
    <n v="313.91000000000003"/>
    <n v="235.4325"/>
    <n v="0.75"/>
    <n v="306.69"/>
    <n v="230.01750000000001"/>
    <n v="230.018"/>
    <n v="0.75"/>
    <n v="0"/>
    <n v="0"/>
    <n v="0"/>
    <n v="0"/>
    <n v="0"/>
    <n v="0"/>
    <n v="0"/>
    <n v="0"/>
    <n v="0"/>
    <n v="7.22"/>
    <n v="5.415"/>
    <n v="0.75"/>
    <n v="-7.2200000000000273"/>
    <n v="7.2200000000000273"/>
    <x v="0"/>
    <n v="230.018"/>
    <n v="0"/>
    <n v="3"/>
  </r>
  <r>
    <s v="AJEET KUMAR"/>
    <d v="2026-06-13T00:00:00"/>
    <s v="SR-RTN/26-27/37712"/>
    <s v="B-299303"/>
    <s v="B-GOLD-FILING"/>
    <s v="GOLD-FILLING-WK"/>
    <x v="1"/>
    <s v="G-NA-75.00-RG"/>
    <n v="20.18"/>
    <n v="15.135"/>
    <n v="0.75"/>
    <n v="19.43"/>
    <n v="14.5725"/>
    <n v="14.572999999999999"/>
    <n v="0.75"/>
    <n v="0"/>
    <n v="0"/>
    <n v="0"/>
    <n v="0"/>
    <n v="0"/>
    <n v="0"/>
    <n v="0"/>
    <n v="0"/>
    <n v="0"/>
    <n v="0.75"/>
    <n v="0.5625"/>
    <n v="0.75"/>
    <n v="-0.75"/>
    <n v="0.75"/>
    <x v="0"/>
    <n v="14.572999999999999"/>
    <n v="0"/>
    <n v="1"/>
  </r>
  <r>
    <s v="AJEET KUMAR"/>
    <d v="2026-06-13T00:00:00"/>
    <s v="SR-RTN/26-27/37727"/>
    <s v="B-298677"/>
    <s v="B-GOLD-FILING"/>
    <s v="GOLD-FILLING-WK"/>
    <x v="0"/>
    <s v="G-NA-91.70-YG"/>
    <n v="428.97"/>
    <n v="393.36549000000002"/>
    <n v="0.91700000000000004"/>
    <n v="402.5"/>
    <n v="369.09249999999997"/>
    <n v="369.09299999999996"/>
    <n v="0.91699999999999993"/>
    <n v="4.54"/>
    <n v="4.1631799999999997"/>
    <n v="0.91699999999999993"/>
    <n v="0"/>
    <n v="0"/>
    <n v="0"/>
    <n v="0"/>
    <n v="0"/>
    <n v="0"/>
    <n v="21.93"/>
    <n v="20.10981"/>
    <n v="0.91700000000000004"/>
    <n v="-31.010000000000026"/>
    <n v="21.930000000000028"/>
    <x v="0"/>
    <n v="369.09299999999996"/>
    <n v="0"/>
    <n v="1"/>
  </r>
  <r>
    <s v="AJEET KUMAR"/>
    <d v="2026-06-13T00:00:00"/>
    <s v="SR-RTN/26-27/37731"/>
    <s v="B-299918"/>
    <s v="B-GOLD-FILING"/>
    <s v="GOLD-FILLING-WK"/>
    <x v="1"/>
    <s v="G-NA-75.00-RG"/>
    <n v="10.039999999999999"/>
    <n v="7.53"/>
    <n v="0.75000000000000011"/>
    <n v="9.2799999999999994"/>
    <n v="6.96"/>
    <n v="6.96"/>
    <n v="0.75"/>
    <n v="0"/>
    <n v="0"/>
    <n v="0"/>
    <n v="0"/>
    <n v="0"/>
    <n v="0"/>
    <n v="0"/>
    <n v="0"/>
    <n v="0"/>
    <n v="0.76"/>
    <n v="0.56999999999999995"/>
    <n v="0.74999999999999989"/>
    <n v="-0.75999999999999979"/>
    <n v="0.75999999999999979"/>
    <x v="0"/>
    <n v="6.96"/>
    <n v="0"/>
    <n v="1"/>
  </r>
  <r>
    <s v="AJEET KUMAR"/>
    <d v="2026-06-13T00:00:00"/>
    <s v="SR-RTN/26-27/37732"/>
    <s v="B-299870"/>
    <s v="B-GOLD-FILING"/>
    <s v="GOLD-FILLING-WK"/>
    <x v="1"/>
    <s v="G-NA-75.00-RG"/>
    <n v="3.3"/>
    <n v="2.4750000000000001"/>
    <n v="0.75000000000000011"/>
    <n v="3.08"/>
    <n v="2.31"/>
    <n v="2.31"/>
    <n v="0.75"/>
    <n v="0"/>
    <n v="0"/>
    <n v="0"/>
    <n v="0"/>
    <n v="0"/>
    <n v="0"/>
    <n v="0"/>
    <n v="0"/>
    <n v="0"/>
    <n v="0.22"/>
    <n v="0.16500000000000001"/>
    <n v="0.75"/>
    <n v="-0.21999999999999975"/>
    <n v="0.21999999999999975"/>
    <x v="0"/>
    <n v="2.31"/>
    <n v="0"/>
    <n v="1"/>
  </r>
  <r>
    <s v="AJEET KUMAR"/>
    <d v="2026-06-13T00:00:00"/>
    <s v="SR-RTN/26-27/37733"/>
    <s v="B-299311"/>
    <s v="B-GOLD-FILING"/>
    <s v="GOLD-FILLING-WK"/>
    <x v="1"/>
    <s v="G-NA-75.00-RG"/>
    <n v="60.11"/>
    <n v="45.082500000000003"/>
    <n v="0.75000000000000011"/>
    <n v="57.62"/>
    <n v="43.215000000000003"/>
    <n v="43.215000000000003"/>
    <n v="0.75000000000000011"/>
    <n v="0"/>
    <n v="0"/>
    <n v="0"/>
    <n v="0"/>
    <n v="0"/>
    <n v="0"/>
    <n v="0"/>
    <n v="0"/>
    <n v="0"/>
    <n v="2.4900000000000002"/>
    <n v="1.8674999999999999"/>
    <n v="0.74999999999999989"/>
    <n v="-2.490000000000002"/>
    <n v="2.490000000000002"/>
    <x v="0"/>
    <n v="43.215000000000003"/>
    <n v="0"/>
    <n v="1"/>
  </r>
  <r>
    <s v="AJEET KUMAR"/>
    <d v="2026-06-13T00:00:00"/>
    <s v="SR-RTN/26-27/37734"/>
    <s v="B-298677/1"/>
    <s v="B-GOLD-FILING"/>
    <s v="GOLD-FILLING-WK"/>
    <x v="0"/>
    <s v="G-NA-91.70-YG"/>
    <n v="48.58"/>
    <n v="44.54786"/>
    <n v="0.91700000000000004"/>
    <n v="46.06"/>
    <n v="42.237020000000001"/>
    <n v="42.238"/>
    <n v="0.91699999999999993"/>
    <n v="0"/>
    <n v="0"/>
    <n v="0"/>
    <n v="0"/>
    <n v="0"/>
    <n v="0"/>
    <n v="0"/>
    <n v="0"/>
    <n v="0"/>
    <n v="2.52"/>
    <n v="2.3108399999999998"/>
    <n v="0.91699999999999993"/>
    <n v="-2.519999999999996"/>
    <n v="2.519999999999996"/>
    <x v="0"/>
    <n v="42.238"/>
    <n v="0"/>
    <n v="1"/>
  </r>
  <r>
    <s v="AJEET KUMAR"/>
    <d v="2026-06-13T00:00:00"/>
    <s v="SR-RTN/26-27/37735"/>
    <s v="B-299476"/>
    <s v="B-GOLD-FILING"/>
    <s v="GOLD-FILLING-WK"/>
    <x v="0"/>
    <s v="G-NA-91.70-YG"/>
    <n v="31.08"/>
    <n v="28.500360000000001"/>
    <n v="0.91700000000000004"/>
    <n v="28.69"/>
    <n v="26.308730000000001"/>
    <n v="26.309000000000001"/>
    <n v="0.91699999999999993"/>
    <n v="0"/>
    <n v="0"/>
    <n v="0"/>
    <n v="0"/>
    <n v="0"/>
    <n v="0"/>
    <n v="0"/>
    <n v="0"/>
    <n v="0"/>
    <n v="2.39"/>
    <n v="2.19163"/>
    <n v="0.91699999999999993"/>
    <n v="-2.389999999999997"/>
    <n v="2.389999999999997"/>
    <x v="0"/>
    <n v="26.309000000000001"/>
    <n v="0"/>
    <n v="1"/>
  </r>
  <r>
    <s v="AJEET KUMAR"/>
    <d v="2026-06-13T00:00:00"/>
    <s v="SR-RTN/26-27/37736"/>
    <s v="B-299594"/>
    <s v="B-GOLD-FILING"/>
    <s v="GOLD-FILLING-WK"/>
    <x v="0"/>
    <s v="G-NA-91.70-YG"/>
    <n v="17.309999999999999"/>
    <n v="15.87327"/>
    <n v="0.91700000000000004"/>
    <n v="16.22"/>
    <n v="14.87374"/>
    <n v="14.873999999999999"/>
    <n v="0.91700000000000004"/>
    <n v="0"/>
    <n v="0"/>
    <n v="0"/>
    <n v="0"/>
    <n v="0"/>
    <n v="0"/>
    <n v="0"/>
    <n v="0"/>
    <n v="0"/>
    <n v="1.0900000000000001"/>
    <n v="0.99953000000000003"/>
    <n v="0.91699999999999993"/>
    <n v="-1.0899999999999999"/>
    <n v="1.0899999999999999"/>
    <x v="0"/>
    <n v="14.873999999999999"/>
    <n v="0"/>
    <n v="1"/>
  </r>
  <r>
    <s v="AJEET KUMAR"/>
    <d v="2026-06-13T00:00:00"/>
    <s v="SR-RTN/26-27/37737"/>
    <s v="B-299477"/>
    <s v="B-GOLD-FILING"/>
    <s v="GOLD-FILLING-WK"/>
    <x v="0"/>
    <s v="G-NA-91.70-YG"/>
    <n v="24.26"/>
    <n v="22.246420000000001"/>
    <n v="0.91699999999999993"/>
    <n v="22.28"/>
    <n v="20.430759999999999"/>
    <n v="20.431000000000001"/>
    <n v="0.91699999999999993"/>
    <n v="0"/>
    <n v="0"/>
    <n v="0"/>
    <n v="0"/>
    <n v="0"/>
    <n v="0"/>
    <n v="0"/>
    <n v="0"/>
    <n v="0"/>
    <n v="1.98"/>
    <n v="1.8156600000000001"/>
    <n v="0.91700000000000004"/>
    <n v="-1.9800000000000004"/>
    <n v="1.9800000000000004"/>
    <x v="0"/>
    <n v="20.431000000000001"/>
    <n v="0"/>
    <n v="1"/>
  </r>
  <r>
    <s v="AJEET KUMAR"/>
    <d v="2026-06-13T00:00:00"/>
    <s v="SR-RTN/26-27/37738"/>
    <s v="B-298635"/>
    <s v="B-GOLD-FILING"/>
    <s v="GOLD-FILLING-WK"/>
    <x v="0"/>
    <s v="G-NA-91.70-YG"/>
    <n v="43.82"/>
    <n v="40.182940000000002"/>
    <n v="0.91700000000000004"/>
    <n v="43.75"/>
    <n v="40.118749999999999"/>
    <n v="40.119"/>
    <n v="0.91699999999999993"/>
    <n v="0"/>
    <n v="0"/>
    <n v="0"/>
    <n v="0"/>
    <n v="0"/>
    <n v="0"/>
    <n v="0"/>
    <n v="0"/>
    <n v="0"/>
    <n v="7.0000000000000007E-2"/>
    <n v="6.4189999999999997E-2"/>
    <n v="0.91699999999999982"/>
    <n v="-7.0000000000000284E-2"/>
    <n v="7.0000000000000284E-2"/>
    <x v="0"/>
    <n v="40.119"/>
    <n v="0"/>
    <n v="2"/>
  </r>
  <r>
    <s v="AJEET KUMAR"/>
    <d v="2026-06-13T00:00:00"/>
    <s v="SR-RTN/26-27/37739"/>
    <s v="B-298408"/>
    <s v="B-GOLD-FILING"/>
    <s v="GOLD-FILLING-WK"/>
    <x v="0"/>
    <s v="G-NA-91.70-YG"/>
    <n v="88.78"/>
    <n v="81.411259999999999"/>
    <n v="0.91699999999999993"/>
    <n v="88.13"/>
    <n v="80.815209999999993"/>
    <n v="80.816000000000003"/>
    <n v="0.91699999999999993"/>
    <n v="0"/>
    <n v="0"/>
    <n v="0"/>
    <n v="0"/>
    <n v="0"/>
    <n v="0"/>
    <n v="0"/>
    <n v="0"/>
    <n v="0"/>
    <n v="0.65"/>
    <n v="0.59604999999999997"/>
    <n v="0.91699999999999993"/>
    <n v="-0.65000000000000568"/>
    <n v="0.65000000000000568"/>
    <x v="1"/>
    <n v="69.362000000000009"/>
    <n v="11.453999999999994"/>
    <n v="2"/>
  </r>
  <r>
    <s v="AJEET KUMAR"/>
    <d v="2026-06-13T00:00:00"/>
    <s v="SR-RTN/26-27/37741"/>
    <s v="B-299563"/>
    <s v="B-GOLD-FILING"/>
    <s v="GOLD-FILLING-WK"/>
    <x v="1"/>
    <s v="G-NA-75.00-YG"/>
    <n v="10.119999999999999"/>
    <n v="7.59"/>
    <n v="0.75"/>
    <n v="9.5399999999999991"/>
    <n v="7.1550000000000002"/>
    <n v="7.1550000000000002"/>
    <n v="0.75000000000000011"/>
    <n v="0"/>
    <n v="0"/>
    <n v="0"/>
    <n v="0"/>
    <n v="0"/>
    <n v="0"/>
    <n v="0"/>
    <n v="0"/>
    <n v="0"/>
    <n v="0.57999999999999996"/>
    <n v="0.435"/>
    <n v="0.75"/>
    <n v="-0.58000000000000007"/>
    <n v="0.58000000000000007"/>
    <x v="0"/>
    <n v="7.1550000000000002"/>
    <n v="0"/>
    <n v="1"/>
  </r>
  <r>
    <s v="AJEET KUMAR"/>
    <d v="2026-06-13T00:00:00"/>
    <s v="SR-RTN/26-27/37742"/>
    <s v="B-299597"/>
    <s v="B-GOLD-FILING"/>
    <s v="GOLD-FILLING-WK"/>
    <x v="0"/>
    <s v="G-NA-91.70-YG"/>
    <n v="18.57"/>
    <n v="17.028690000000001"/>
    <n v="0.91700000000000004"/>
    <n v="17.3"/>
    <n v="15.864100000000001"/>
    <n v="15.865"/>
    <n v="0.91700000000000004"/>
    <n v="0"/>
    <n v="0"/>
    <n v="0"/>
    <n v="0"/>
    <n v="0"/>
    <n v="0"/>
    <n v="0"/>
    <n v="0"/>
    <n v="0"/>
    <n v="1.27"/>
    <n v="1.16459"/>
    <n v="0.91700000000000004"/>
    <n v="-1.2699999999999996"/>
    <n v="1.2699999999999996"/>
    <x v="0"/>
    <n v="15.865"/>
    <n v="0"/>
    <n v="1"/>
  </r>
  <r>
    <s v="AJEET KUMAR"/>
    <d v="2026-06-13T00:00:00"/>
    <s v="SR-RTN/26-27/37743"/>
    <s v="B-299868"/>
    <s v="B-GOLD-FILING"/>
    <s v="GOLD-FILLING-WK"/>
    <x v="1"/>
    <s v="G-NA-75.00-YG"/>
    <n v="2.92"/>
    <n v="2.19"/>
    <n v="0.75"/>
    <n v="2.74"/>
    <n v="2.0550000000000002"/>
    <n v="2.0550000000000002"/>
    <n v="0.75"/>
    <n v="0"/>
    <n v="0"/>
    <n v="0"/>
    <n v="0"/>
    <n v="0"/>
    <n v="0"/>
    <n v="0"/>
    <n v="0"/>
    <n v="0"/>
    <n v="0.18"/>
    <n v="0.13500000000000001"/>
    <n v="0.75000000000000011"/>
    <n v="-0.17999999999999972"/>
    <n v="0.17999999999999972"/>
    <x v="0"/>
    <n v="2.0550000000000002"/>
    <n v="0"/>
    <n v="1"/>
  </r>
  <r>
    <s v="AJEET KUMAR"/>
    <d v="2026-06-13T00:00:00"/>
    <s v="SR-RTN/26-27/37744"/>
    <s v="B-299312"/>
    <s v="B-GOLD-FILING"/>
    <s v="GOLD-FILLING-WK"/>
    <x v="1"/>
    <s v="G-NA-75.00-RG"/>
    <n v="44.34"/>
    <n v="33.255000000000003"/>
    <n v="0.75"/>
    <n v="41.57"/>
    <n v="31.177499999999998"/>
    <n v="31.178000000000001"/>
    <n v="0.75"/>
    <n v="0"/>
    <n v="0"/>
    <n v="0"/>
    <n v="0"/>
    <n v="0"/>
    <n v="0"/>
    <n v="0"/>
    <n v="0"/>
    <n v="0"/>
    <n v="2.77"/>
    <n v="2.0775000000000001"/>
    <n v="0.75"/>
    <n v="-2.7700000000000031"/>
    <n v="2.7700000000000031"/>
    <x v="0"/>
    <n v="31.178000000000001"/>
    <n v="0"/>
    <n v="1"/>
  </r>
  <r>
    <s v="AJEET KUMAR"/>
    <d v="2026-06-13T00:00:00"/>
    <s v="SR-RTN/26-27/37747"/>
    <s v="B-299306"/>
    <s v="B-GOLD-FILING"/>
    <s v="GOLD-FILLING-WK"/>
    <x v="1"/>
    <s v="G-NA-75.00-RG"/>
    <n v="13.087999999999999"/>
    <n v="9.8160000000000007"/>
    <n v="0.75000000000000011"/>
    <n v="12.458"/>
    <n v="9.3435000000000006"/>
    <n v="9.3439999999999994"/>
    <n v="0.75"/>
    <n v="0"/>
    <n v="0"/>
    <n v="0"/>
    <n v="0"/>
    <n v="0"/>
    <n v="0"/>
    <n v="0"/>
    <n v="0"/>
    <n v="0"/>
    <n v="0.63"/>
    <n v="0.47249999999999998"/>
    <n v="0.75"/>
    <n v="-0.62999999999999901"/>
    <n v="0.62999999999999901"/>
    <x v="0"/>
    <n v="9.3439999999999994"/>
    <n v="0"/>
    <n v="1"/>
  </r>
  <r>
    <s v="AJEET KUMAR"/>
    <d v="2026-06-13T00:00:00"/>
    <s v="SR-RTN/26-27/37751"/>
    <s v="B-297990"/>
    <s v="B-GOLD-FILING"/>
    <s v="GOLD-FILLING-WK"/>
    <x v="0"/>
    <s v="G-NA-91.70-YG"/>
    <n v="53.2"/>
    <n v="48.784399999999998"/>
    <n v="0.91699999999999993"/>
    <n v="48.42"/>
    <n v="44.401139999999998"/>
    <n v="44.402000000000001"/>
    <n v="0.91699999999999993"/>
    <n v="0"/>
    <n v="0"/>
    <n v="0"/>
    <n v="0"/>
    <n v="0"/>
    <n v="0"/>
    <n v="0"/>
    <n v="0"/>
    <n v="0"/>
    <n v="4.78"/>
    <n v="4.3832599999999999"/>
    <n v="0.91699999999999993"/>
    <n v="-4.7800000000000011"/>
    <n v="4.7800000000000011"/>
    <x v="0"/>
    <n v="44.402000000000001"/>
    <n v="0"/>
    <n v="1"/>
  </r>
  <r>
    <s v="AJEET KUMAR"/>
    <d v="2026-06-13T00:00:00"/>
    <s v="SR-RTN/26-27/37836"/>
    <s v="B-299739"/>
    <s v="B-GOLD-FILING"/>
    <s v="GOLD-FILLING-WK"/>
    <x v="1"/>
    <s v="G-NA-75.00-RG"/>
    <n v="27.27"/>
    <n v="20.452500000000001"/>
    <n v="0.75"/>
    <n v="24.73"/>
    <n v="18.547499999999999"/>
    <n v="18.548000000000002"/>
    <n v="0.75"/>
    <n v="0"/>
    <n v="0"/>
    <n v="0"/>
    <n v="0"/>
    <n v="0"/>
    <n v="0"/>
    <n v="0"/>
    <n v="0"/>
    <n v="0"/>
    <n v="2.54"/>
    <n v="1.905"/>
    <n v="0.75"/>
    <n v="-2.5399999999999991"/>
    <n v="2.5399999999999991"/>
    <x v="0"/>
    <n v="18.548000000000002"/>
    <n v="0"/>
    <n v="2"/>
  </r>
  <r>
    <s v="AJEET KUMAR"/>
    <d v="2026-06-13T00:00:00"/>
    <s v="SR-RTN/26-27/37837"/>
    <s v="B-299546"/>
    <s v="B-GOLD-FILING"/>
    <s v="GOLD-FILLING-WK"/>
    <x v="0"/>
    <s v="G-NA-91.70-YG"/>
    <n v="3.17"/>
    <n v="2.9068900000000002"/>
    <n v="0.91700000000000004"/>
    <n v="3.07"/>
    <n v="2.8151899999999999"/>
    <n v="2.8159999999999998"/>
    <n v="0.91700000000000004"/>
    <n v="0"/>
    <n v="0"/>
    <n v="0"/>
    <n v="0"/>
    <n v="0"/>
    <n v="0"/>
    <n v="0"/>
    <n v="0"/>
    <n v="0"/>
    <n v="0.1"/>
    <n v="9.1700000000000004E-2"/>
    <n v="0.91700000000000004"/>
    <n v="-0.10000000000000009"/>
    <n v="0.10000000000000009"/>
    <x v="0"/>
    <n v="2.8159999999999998"/>
    <n v="0"/>
    <n v="1"/>
  </r>
  <r>
    <s v="AJEET KUMAR"/>
    <d v="2026-06-15T00:00:00"/>
    <s v="RTN-8814783"/>
    <s v="SR-42057/1"/>
    <s v="CAST-FILLING"/>
    <s v="GOLD-FILLING-WK"/>
    <x v="1"/>
    <s v="G-NA-75.00-RG"/>
    <n v="4.8899999999999997"/>
    <n v="3.6675"/>
    <n v="0.75"/>
    <n v="4.5999999999999996"/>
    <n v="3.45"/>
    <n v="3.45"/>
    <n v="0.75000000000000011"/>
    <n v="0"/>
    <n v="0"/>
    <n v="0"/>
    <n v="0"/>
    <n v="0"/>
    <n v="0"/>
    <n v="0"/>
    <n v="0"/>
    <n v="0"/>
    <n v="0.28999999999999998"/>
    <n v="0.2175"/>
    <n v="0.75"/>
    <n v="-0.29000000000000004"/>
    <n v="0.29000000000000004"/>
    <x v="0"/>
    <n v="3.45"/>
    <n v="0"/>
    <n v="1"/>
  </r>
  <r>
    <s v="AJEET KUMAR"/>
    <d v="2026-06-15T00:00:00"/>
    <s v="RTN-8817220"/>
    <s v="SR-42280"/>
    <s v="CAST-FILLING"/>
    <s v="GOLD-FILLING-WK"/>
    <x v="0"/>
    <s v="G-NA-91.70-YG"/>
    <n v="212.7"/>
    <n v="195.04589999999999"/>
    <n v="0.91700000000000004"/>
    <n v="194.89"/>
    <n v="178.71413000000001"/>
    <n v="178.715"/>
    <n v="0.91700000000000015"/>
    <n v="0"/>
    <n v="0"/>
    <n v="0"/>
    <n v="0"/>
    <n v="0"/>
    <n v="0"/>
    <n v="0"/>
    <n v="0"/>
    <n v="0"/>
    <n v="17.809999999999999"/>
    <n v="16.331769999999999"/>
    <n v="0.91700000000000004"/>
    <n v="-17.810000000000002"/>
    <n v="17.810000000000002"/>
    <x v="1"/>
    <n v="177.715"/>
    <n v="1"/>
    <n v="2"/>
  </r>
  <r>
    <s v="AJEET KUMAR"/>
    <d v="2026-06-15T00:00:00"/>
    <s v="SR-RTN/26-27/37861"/>
    <s v="B-298142"/>
    <s v="B-GOLD-FILING"/>
    <s v="GOLD-FILLING-WK"/>
    <x v="0"/>
    <s v="G-NA-91.70-YG"/>
    <n v="248.02"/>
    <n v="227.43433999999999"/>
    <n v="0.91699999999999993"/>
    <n v="247.42"/>
    <n v="226.88414"/>
    <n v="226.88499999999999"/>
    <n v="0.91700000000000004"/>
    <n v="0"/>
    <n v="0"/>
    <n v="0"/>
    <n v="0"/>
    <n v="0"/>
    <n v="0"/>
    <n v="0"/>
    <n v="0"/>
    <n v="0"/>
    <n v="0.6"/>
    <n v="0.55020000000000002"/>
    <n v="0.91700000000000004"/>
    <n v="-0.60000000000002274"/>
    <n v="0.60000000000002274"/>
    <x v="1"/>
    <n v="79.320999999999998"/>
    <n v="147.56399999999999"/>
    <n v="5"/>
  </r>
  <r>
    <s v="AJEET KUMAR"/>
    <d v="2026-06-15T00:00:00"/>
    <s v="SR-RTN/26-27/37868"/>
    <s v="B-299582"/>
    <s v="B-GOLD-FILING"/>
    <s v="GOLD-FILLING-WK"/>
    <x v="1"/>
    <s v="G-NA-75.00-RG"/>
    <n v="40.74"/>
    <n v="30.555"/>
    <n v="0.75"/>
    <n v="36.880000000000003"/>
    <n v="27.66"/>
    <n v="27.66"/>
    <n v="0.75"/>
    <n v="0"/>
    <n v="0"/>
    <n v="0"/>
    <n v="0"/>
    <n v="0"/>
    <n v="0"/>
    <n v="0"/>
    <n v="0"/>
    <n v="0"/>
    <n v="3.86"/>
    <n v="2.895"/>
    <n v="0.75"/>
    <n v="-3.8599999999999994"/>
    <n v="3.8599999999999994"/>
    <x v="1"/>
    <n v="27.113"/>
    <n v="0.5470000000000006"/>
    <n v="2"/>
  </r>
  <r>
    <s v="AJEET KUMAR"/>
    <d v="2026-06-15T00:00:00"/>
    <s v="SR-RTN/26-27/37903"/>
    <s v="B-299649"/>
    <s v="B-GOLD-FILING"/>
    <s v="GOLD-FILLING-WK"/>
    <x v="1"/>
    <s v="G-NA-75.00-YG"/>
    <n v="17.41"/>
    <n v="13.057499999999999"/>
    <n v="0.75"/>
    <n v="17"/>
    <n v="12.75"/>
    <n v="12.75"/>
    <n v="0.75"/>
    <n v="0"/>
    <n v="0"/>
    <n v="0"/>
    <n v="0"/>
    <n v="0"/>
    <n v="0"/>
    <n v="0"/>
    <n v="0"/>
    <n v="0"/>
    <n v="0.41"/>
    <n v="0.3075"/>
    <n v="0.75"/>
    <n v="-0.41000000000000014"/>
    <n v="0.41000000000000014"/>
    <x v="0"/>
    <n v="12.75"/>
    <n v="0"/>
    <n v="1"/>
  </r>
  <r>
    <s v="AJEET KUMAR"/>
    <d v="2026-06-15T00:00:00"/>
    <s v="SR-RTN/26-27/37914"/>
    <s v="B-298455"/>
    <s v="B-GOLD-FILING"/>
    <s v="GOLD-FILLING-WK"/>
    <x v="0"/>
    <s v="G-NA-91.70-YG"/>
    <n v="32.22"/>
    <n v="29.545739999999999"/>
    <n v="0.91700000000000004"/>
    <n v="29.45"/>
    <n v="27.005649999999999"/>
    <n v="27.006"/>
    <n v="0.91700000000000004"/>
    <n v="0"/>
    <n v="0"/>
    <n v="0"/>
    <n v="0"/>
    <n v="0"/>
    <n v="0"/>
    <n v="0"/>
    <n v="0"/>
    <n v="0"/>
    <n v="2.77"/>
    <n v="2.5400900000000002"/>
    <n v="0.91700000000000004"/>
    <n v="-2.7699999999999996"/>
    <n v="2.7699999999999996"/>
    <x v="1"/>
    <n v="25.053000000000001"/>
    <n v="1.9529999999999994"/>
    <n v="3"/>
  </r>
  <r>
    <s v="AJEET KUMAR"/>
    <d v="2026-06-15T00:00:00"/>
    <s v="SR-RTN/26-27/37914"/>
    <s v="B-299577"/>
    <s v="B-GOLD-FILING"/>
    <s v="GOLD-FILLING-WK"/>
    <x v="1"/>
    <s v="G-NA-75.00-RG"/>
    <n v="62.03"/>
    <n v="46.522500000000001"/>
    <n v="0.75"/>
    <n v="56.06"/>
    <n v="42.045000000000002"/>
    <n v="42.045000000000002"/>
    <n v="0.75"/>
    <n v="0"/>
    <n v="0"/>
    <n v="0"/>
    <n v="0"/>
    <n v="0"/>
    <n v="0"/>
    <n v="0"/>
    <n v="0"/>
    <n v="0"/>
    <n v="5.97"/>
    <n v="4.4775"/>
    <n v="0.75"/>
    <n v="-5.9699999999999989"/>
    <n v="5.9699999999999989"/>
    <x v="0"/>
    <n v="42.045000000000002"/>
    <n v="0"/>
    <n v="1"/>
  </r>
  <r>
    <s v="AJEET KUMAR"/>
    <d v="2026-06-15T00:00:00"/>
    <s v="SR-RTN/26-27/37914"/>
    <s v="B-299660"/>
    <s v="B-GOLD-FILING"/>
    <s v="GOLD-FILLING-WK"/>
    <x v="1"/>
    <s v="G-NA-75.00-YG"/>
    <n v="31.75"/>
    <n v="23.8125"/>
    <n v="0.75"/>
    <n v="27.69"/>
    <n v="20.767499999999998"/>
    <n v="20.768000000000001"/>
    <n v="0.74999999999999989"/>
    <n v="0"/>
    <n v="0"/>
    <n v="0"/>
    <n v="0"/>
    <n v="0"/>
    <n v="0"/>
    <n v="0"/>
    <n v="0"/>
    <n v="0"/>
    <n v="4.0599999999999996"/>
    <n v="3.0449999999999999"/>
    <n v="0.75"/>
    <n v="-4.0599999999999987"/>
    <n v="4.0599999999999987"/>
    <x v="0"/>
    <n v="20.768000000000001"/>
    <n v="0"/>
    <n v="1"/>
  </r>
  <r>
    <s v="AJEET KUMAR"/>
    <d v="2026-06-15T00:00:00"/>
    <s v="SR-RTN/26-27/37929"/>
    <s v="B-298615"/>
    <s v="B-GOLD-FILING"/>
    <s v="GOLD-FILLING-WK"/>
    <x v="0"/>
    <s v="G-NA-91.70-YG"/>
    <n v="46.71"/>
    <n v="42.833069999999999"/>
    <n v="0.91699999999999993"/>
    <n v="43.92"/>
    <n v="40.274639999999998"/>
    <n v="40.274999999999999"/>
    <n v="0.91699999999999993"/>
    <n v="0"/>
    <n v="0"/>
    <n v="0"/>
    <n v="0"/>
    <n v="0"/>
    <n v="0"/>
    <n v="0"/>
    <n v="0"/>
    <n v="0"/>
    <n v="2.79"/>
    <n v="2.55843"/>
    <n v="0.91700000000000004"/>
    <n v="-2.7899999999999991"/>
    <n v="2.7899999999999991"/>
    <x v="0"/>
    <n v="40.274999999999999"/>
    <n v="0"/>
    <n v="1"/>
  </r>
  <r>
    <s v="AJEET KUMAR"/>
    <d v="2026-06-15T00:00:00"/>
    <s v="SR-RTN/26-27/37936"/>
    <s v="B-299663"/>
    <s v="B-GOLD-FILING"/>
    <s v="GOLD-FILLING-WK"/>
    <x v="1"/>
    <s v="G-NA-75.00-YG"/>
    <n v="22.9"/>
    <n v="17.175000000000001"/>
    <n v="0.75000000000000011"/>
    <n v="22.42"/>
    <n v="16.815000000000001"/>
    <n v="16.815000000000001"/>
    <n v="0.75"/>
    <n v="0"/>
    <n v="0"/>
    <n v="0"/>
    <n v="0"/>
    <n v="0"/>
    <n v="0"/>
    <n v="0"/>
    <n v="0"/>
    <n v="0"/>
    <n v="0.48"/>
    <n v="0.36"/>
    <n v="0.75"/>
    <n v="-0.47999999999999687"/>
    <n v="0.47999999999999687"/>
    <x v="0"/>
    <n v="16.815000000000001"/>
    <n v="0"/>
    <n v="1"/>
  </r>
  <r>
    <s v="AJEET KUMAR"/>
    <d v="2026-06-15T00:00:00"/>
    <s v="SR-RTN/26-27/37996"/>
    <s v="B-299313"/>
    <s v="B-GOLD-FILING"/>
    <s v="GOLD-FILLING-WK"/>
    <x v="1"/>
    <s v="G-NA-75.00-RG"/>
    <n v="34.32"/>
    <n v="25.74"/>
    <n v="0.75"/>
    <n v="32.869999999999997"/>
    <n v="24.6525"/>
    <n v="24.653000000000002"/>
    <n v="0.75"/>
    <n v="0"/>
    <n v="0"/>
    <n v="0"/>
    <n v="0"/>
    <n v="0"/>
    <n v="0"/>
    <n v="0"/>
    <n v="0"/>
    <n v="0"/>
    <n v="1.45"/>
    <n v="1.0874999999999999"/>
    <n v="0.75"/>
    <n v="-1.4500000000000028"/>
    <n v="1.4500000000000028"/>
    <x v="0"/>
    <n v="24.653000000000002"/>
    <n v="0"/>
    <n v="1"/>
  </r>
  <r>
    <s v="AJEET KUMAR"/>
    <d v="2026-06-15T00:00:00"/>
    <s v="SR-RTN/26-27/37996"/>
    <s v="B-299478"/>
    <s v="B-GOLD-FILING"/>
    <s v="GOLD-FILLING-WK"/>
    <x v="1"/>
    <s v="G-NA-75.00-YG"/>
    <n v="19.34"/>
    <n v="14.505000000000001"/>
    <n v="0.75"/>
    <n v="18.68"/>
    <n v="14.01"/>
    <n v="14.01"/>
    <n v="0.75"/>
    <n v="0"/>
    <n v="0"/>
    <n v="0"/>
    <n v="0"/>
    <n v="0"/>
    <n v="0"/>
    <n v="0"/>
    <n v="0"/>
    <n v="0"/>
    <n v="0.66"/>
    <n v="0.495"/>
    <n v="0.75"/>
    <n v="-0.66000000000000014"/>
    <n v="0.66000000000000014"/>
    <x v="0"/>
    <n v="14.01"/>
    <n v="0"/>
    <n v="1"/>
  </r>
  <r>
    <s v="AJEET KUMAR"/>
    <d v="2026-06-15T00:00:00"/>
    <s v="SR-RTN/26-27/37998"/>
    <s v="B-299654"/>
    <s v="B-GOLD-FILING"/>
    <s v="GOLD-FILLING-WK"/>
    <x v="1"/>
    <s v="G-NA-75.00-YG"/>
    <n v="27.11"/>
    <n v="20.3325"/>
    <n v="0.75"/>
    <n v="25.42"/>
    <n v="19.065000000000001"/>
    <n v="19.065000000000001"/>
    <n v="0.75"/>
    <n v="0"/>
    <n v="0"/>
    <n v="0"/>
    <n v="0"/>
    <n v="0"/>
    <n v="0"/>
    <n v="0"/>
    <n v="0"/>
    <n v="0"/>
    <n v="1.69"/>
    <n v="1.2675000000000001"/>
    <n v="0.75000000000000011"/>
    <n v="-1.6899999999999977"/>
    <n v="1.6899999999999977"/>
    <x v="0"/>
    <n v="19.065000000000001"/>
    <n v="0"/>
    <n v="2"/>
  </r>
  <r>
    <s v="AJEET KUMAR"/>
    <d v="2026-06-15T00:00:00"/>
    <s v="SR-RTN/26-27/38026"/>
    <s v="B-299314"/>
    <s v="B-GOLD-FILING"/>
    <s v="GOLD-FILLING-WK"/>
    <x v="1"/>
    <s v="G-NA-75.00-RG"/>
    <n v="14.71"/>
    <n v="11.032500000000001"/>
    <n v="0.75"/>
    <n v="13.25"/>
    <n v="9.9375"/>
    <n v="9.9379999999999988"/>
    <n v="0.75"/>
    <n v="0"/>
    <n v="0"/>
    <n v="0"/>
    <n v="0"/>
    <n v="0"/>
    <n v="0"/>
    <n v="0"/>
    <n v="0"/>
    <n v="0"/>
    <n v="1.46"/>
    <n v="1.095"/>
    <n v="0.75"/>
    <n v="-1.4600000000000009"/>
    <n v="1.4600000000000009"/>
    <x v="0"/>
    <n v="9.9379999999999988"/>
    <n v="0"/>
    <n v="2"/>
  </r>
  <r>
    <s v="AJEET KUMAR"/>
    <d v="2026-06-15T00:00:00"/>
    <s v="SR-RTN/26-27/38033"/>
    <s v="B-299480"/>
    <s v="B-GOLD-FILING"/>
    <s v="GOLD-FILLING-WK"/>
    <x v="0"/>
    <s v="G-NA-91.70-YG"/>
    <n v="165.95"/>
    <n v="152.17615000000001"/>
    <n v="0.91700000000000015"/>
    <n v="157.27000000000001"/>
    <n v="144.21659"/>
    <n v="144.21700000000001"/>
    <n v="0.91699999999999993"/>
    <n v="0"/>
    <n v="0"/>
    <n v="0"/>
    <n v="0"/>
    <n v="0"/>
    <n v="0"/>
    <n v="0"/>
    <n v="0"/>
    <n v="0"/>
    <n v="8.68"/>
    <n v="7.9595599999999997"/>
    <n v="0.91700000000000004"/>
    <n v="-8.6799999999999784"/>
    <n v="8.6799999999999784"/>
    <x v="0"/>
    <n v="144.21700000000001"/>
    <n v="0"/>
    <n v="1"/>
  </r>
  <r>
    <s v="AJEET KUMAR"/>
    <d v="2026-06-15T00:00:00"/>
    <s v="SR-RTN/26-27/38050"/>
    <s v="B-299479"/>
    <s v="B-GOLD-FILING"/>
    <s v="GOLD-FILLING-WK"/>
    <x v="0"/>
    <s v="G-NA-91.70-YG"/>
    <n v="76.84"/>
    <n v="70.462280000000007"/>
    <n v="0.91700000000000004"/>
    <n v="73.23"/>
    <n v="67.151910000000001"/>
    <n v="67.152000000000001"/>
    <n v="0.91699999999999993"/>
    <n v="0"/>
    <n v="0"/>
    <n v="0"/>
    <n v="0"/>
    <n v="0"/>
    <n v="0"/>
    <n v="0"/>
    <n v="0"/>
    <n v="0"/>
    <n v="3.61"/>
    <n v="3.3103699999999998"/>
    <n v="0.91699999999999993"/>
    <n v="-3.6099999999999994"/>
    <n v="3.6099999999999994"/>
    <x v="0"/>
    <n v="67.152000000000001"/>
    <n v="0"/>
    <n v="1"/>
  </r>
  <r>
    <s v="AJEET KUMAR"/>
    <d v="2026-06-15T00:00:00"/>
    <s v="SR-RTN/26-27/38069"/>
    <s v="B-298454"/>
    <s v="B-GOLD-FILING"/>
    <s v="GOLD-FILLING-WK"/>
    <x v="0"/>
    <s v="G-NA-91.70-YG"/>
    <n v="52.4"/>
    <n v="48.050800000000002"/>
    <n v="0.91700000000000004"/>
    <n v="50.3"/>
    <n v="46.125100000000003"/>
    <n v="46.125999999999998"/>
    <n v="0.91700000000000015"/>
    <n v="0"/>
    <n v="0"/>
    <n v="0"/>
    <n v="0"/>
    <n v="0"/>
    <n v="0"/>
    <n v="0"/>
    <n v="0"/>
    <n v="0"/>
    <n v="2.1"/>
    <n v="1.9257"/>
    <n v="0.91699999999999993"/>
    <n v="-2.1000000000000014"/>
    <n v="2.1000000000000014"/>
    <x v="0"/>
    <n v="46.125999999999998"/>
    <n v="0"/>
    <n v="2"/>
  </r>
  <r>
    <s v="AJEET KUMAR"/>
    <d v="2026-06-15T00:00:00"/>
    <s v="SR-RTN/26-27/38096"/>
    <s v="B-298922"/>
    <s v="B-GOLD-FILING"/>
    <s v="GOLD-FILLING-WK"/>
    <x v="1"/>
    <s v="G-NA-75.00-RG"/>
    <n v="28.7"/>
    <n v="21.524999999999999"/>
    <n v="0.75"/>
    <n v="28.66"/>
    <n v="21.495000000000001"/>
    <n v="21.495000000000001"/>
    <n v="0.75"/>
    <n v="0"/>
    <n v="0"/>
    <n v="0"/>
    <n v="0"/>
    <n v="0"/>
    <n v="0"/>
    <n v="0"/>
    <n v="0"/>
    <n v="0"/>
    <n v="0.04"/>
    <n v="0.03"/>
    <n v="0.75"/>
    <n v="-3.9999999999999147E-2"/>
    <n v="3.9999999999999147E-2"/>
    <x v="0"/>
    <n v="21.495000000000001"/>
    <n v="0"/>
    <n v="2"/>
  </r>
  <r>
    <s v="AJEET KUMAR"/>
    <d v="2026-06-15T00:00:00"/>
    <s v="SR-RTN/26-27/38096"/>
    <s v="B-299687"/>
    <s v="B-GOLD-FILING"/>
    <s v="GOLD-FILLING-WK"/>
    <x v="1"/>
    <s v="G-NA-75.00-RG"/>
    <n v="11.2"/>
    <n v="8.4"/>
    <n v="0.75000000000000011"/>
    <n v="10.48"/>
    <n v="7.86"/>
    <n v="7.86"/>
    <n v="0.75"/>
    <n v="0"/>
    <n v="0"/>
    <n v="0"/>
    <n v="0"/>
    <n v="0"/>
    <n v="0"/>
    <n v="0"/>
    <n v="0"/>
    <n v="0"/>
    <n v="0.72"/>
    <n v="0.54"/>
    <n v="0.75000000000000011"/>
    <n v="-0.71999999999999886"/>
    <n v="0.71999999999999886"/>
    <x v="0"/>
    <n v="7.86"/>
    <n v="0"/>
    <n v="1"/>
  </r>
  <r>
    <s v="AJEET KUMAR"/>
    <d v="2026-06-15T00:00:00"/>
    <s v="SR-RTN/26-27/38170"/>
    <s v="B-297993"/>
    <s v="B-GOLD-FILING"/>
    <s v="GOLD-FILLING-WK"/>
    <x v="0"/>
    <s v="G-NA-91.70-YG"/>
    <n v="26"/>
    <n v="23.841999999999999"/>
    <n v="0.91699999999999993"/>
    <n v="23.56"/>
    <n v="21.604520000000001"/>
    <n v="21.605"/>
    <n v="0.91700000000000004"/>
    <n v="0"/>
    <n v="0"/>
    <n v="0"/>
    <n v="0"/>
    <n v="0"/>
    <n v="0"/>
    <n v="0"/>
    <n v="0"/>
    <n v="0"/>
    <n v="2.44"/>
    <n v="2.2374800000000001"/>
    <n v="0.91700000000000004"/>
    <n v="-2.4400000000000013"/>
    <n v="2.4400000000000013"/>
    <x v="0"/>
    <n v="21.605"/>
    <n v="0"/>
    <n v="1"/>
  </r>
  <r>
    <s v="AJEET KUMAR"/>
    <d v="2026-06-15T00:00:00"/>
    <s v="SR-RTN/26-27/38178"/>
    <s v="B-298595"/>
    <s v="B-GOLD-FILING"/>
    <s v="GOLD-FILLING-WK"/>
    <x v="1"/>
    <s v="G-NA-75.00-RG"/>
    <n v="21.12"/>
    <n v="15.84"/>
    <n v="0.75"/>
    <n v="20.89"/>
    <n v="15.6675"/>
    <n v="15.667999999999999"/>
    <n v="0.75"/>
    <n v="0"/>
    <n v="0"/>
    <n v="0"/>
    <n v="0"/>
    <n v="0"/>
    <n v="0"/>
    <n v="0"/>
    <n v="0"/>
    <n v="0"/>
    <n v="0.23"/>
    <n v="0.17249999999999999"/>
    <n v="0.74999999999999989"/>
    <n v="-0.23000000000000043"/>
    <n v="0.23000000000000043"/>
    <x v="1"/>
    <n v="15.15"/>
    <n v="0.51799999999999891"/>
    <n v="2"/>
  </r>
  <r>
    <s v="AJEET KUMAR"/>
    <d v="2026-06-15T00:00:00"/>
    <s v="SR-RTN/26-27/38178"/>
    <s v="B-299739"/>
    <s v="B-GOLD-FILING"/>
    <s v="GOLD-FILLING-WK"/>
    <x v="1"/>
    <s v="G-NA-75.00-RG"/>
    <n v="25.62"/>
    <n v="19.215"/>
    <n v="0.75"/>
    <n v="25.51"/>
    <n v="19.1325"/>
    <n v="19.133000000000003"/>
    <n v="0.75"/>
    <n v="0"/>
    <n v="0"/>
    <n v="0"/>
    <n v="0"/>
    <n v="0"/>
    <n v="0"/>
    <n v="0"/>
    <n v="0"/>
    <n v="0"/>
    <n v="0.11"/>
    <n v="8.2500000000000004E-2"/>
    <n v="0.75"/>
    <n v="-0.10999999999999943"/>
    <n v="0.10999999999999943"/>
    <x v="1"/>
    <n v="18.548000000000002"/>
    <n v="0.58500000000000085"/>
    <n v="2"/>
  </r>
  <r>
    <s v="AJEET KUMAR"/>
    <d v="2026-06-15T00:00:00"/>
    <s v="SR-RTN/26-27/38194"/>
    <s v="B-299914"/>
    <s v="B-GOLD-FILING"/>
    <s v="GOLD-FILLING-WK"/>
    <x v="0"/>
    <s v="G-NA-91.70-YG"/>
    <n v="1.57"/>
    <n v="1.4396899999999999"/>
    <n v="0.91699999999999993"/>
    <n v="1.42"/>
    <n v="1.3021400000000001"/>
    <n v="1.3029999999999999"/>
    <n v="0.91700000000000015"/>
    <n v="0"/>
    <n v="0"/>
    <n v="0"/>
    <n v="0"/>
    <n v="0"/>
    <n v="0"/>
    <n v="0"/>
    <n v="0"/>
    <n v="0"/>
    <n v="0.15"/>
    <n v="0.13755000000000001"/>
    <n v="0.91700000000000004"/>
    <n v="-0.15000000000000013"/>
    <n v="0.15000000000000013"/>
    <x v="0"/>
    <n v="1.3029999999999999"/>
    <n v="0"/>
    <n v="1"/>
  </r>
  <r>
    <s v="AJEET KUMAR"/>
    <d v="2026-06-15T00:00:00"/>
    <s v="SR-RTN/26-27/38194"/>
    <s v="B-299915"/>
    <s v="B-GOLD-FILING"/>
    <s v="GOLD-FILLING-WK"/>
    <x v="0"/>
    <s v="G-NA-91.70-YG"/>
    <n v="1.51"/>
    <n v="1.3846700000000001"/>
    <n v="0.91700000000000004"/>
    <n v="1.43"/>
    <n v="1.31131"/>
    <n v="1.3119999999999998"/>
    <n v="0.91700000000000004"/>
    <n v="0"/>
    <n v="0"/>
    <n v="0"/>
    <n v="0"/>
    <n v="0"/>
    <n v="0"/>
    <n v="0"/>
    <n v="0"/>
    <n v="0"/>
    <n v="0.08"/>
    <n v="7.3359999999999995E-2"/>
    <n v="0.91699999999999993"/>
    <n v="-8.0000000000000071E-2"/>
    <n v="8.0000000000000071E-2"/>
    <x v="0"/>
    <n v="1.3119999999999998"/>
    <n v="0"/>
    <n v="1"/>
  </r>
  <r>
    <s v="AJEET KUMAR"/>
    <d v="2026-06-15T00:00:00"/>
    <s v="SR-RTN/26-27/38195"/>
    <s v="B-298455"/>
    <s v="B-GOLD-FILING"/>
    <s v="GOLD-FILLING-WK"/>
    <x v="0"/>
    <s v="G-NA-91.70-YG"/>
    <n v="29.45"/>
    <n v="27.005649999999999"/>
    <n v="0.91700000000000004"/>
    <n v="29.35"/>
    <n v="26.91395"/>
    <n v="26.914000000000001"/>
    <n v="0.91699999999999993"/>
    <n v="0"/>
    <n v="0"/>
    <n v="0"/>
    <n v="0"/>
    <n v="0"/>
    <n v="0"/>
    <n v="0"/>
    <n v="0"/>
    <n v="0"/>
    <n v="0.1"/>
    <n v="9.1700000000000004E-2"/>
    <n v="0.91700000000000004"/>
    <n v="-9.9999999999997868E-2"/>
    <n v="9.9999999999997868E-2"/>
    <x v="1"/>
    <n v="25.053000000000001"/>
    <n v="1.8610000000000007"/>
    <n v="3"/>
  </r>
  <r>
    <s v="AJEET KUMAR"/>
    <d v="2026-06-15T00:00:00"/>
    <s v="SR-RTN/26-27/38205"/>
    <s v="B-291826"/>
    <s v="B-GOLD-FILING"/>
    <s v="GOLD-FILLING-WK"/>
    <x v="0"/>
    <s v="G-NA-91.70-YG"/>
    <n v="39.89"/>
    <n v="36.579129999999999"/>
    <n v="0.91699999999999993"/>
    <n v="37.19"/>
    <n v="34.103230000000003"/>
    <n v="34.103999999999999"/>
    <n v="0.91700000000000015"/>
    <n v="0"/>
    <n v="0"/>
    <n v="0"/>
    <n v="0"/>
    <n v="0"/>
    <n v="0"/>
    <n v="0"/>
    <n v="0"/>
    <n v="0"/>
    <n v="2.7"/>
    <n v="2.4759000000000002"/>
    <n v="0.91700000000000004"/>
    <n v="-2.7000000000000028"/>
    <n v="2.7000000000000028"/>
    <x v="1"/>
    <n v="15.148999999999999"/>
    <n v="18.954999999999998"/>
    <n v="2"/>
  </r>
  <r>
    <s v="AJEET KUMAR"/>
    <d v="2026-06-15T00:00:00"/>
    <s v="SR-RTN/26-27/38205"/>
    <s v="B-299723"/>
    <s v="B-GOLD-FILING"/>
    <s v="GOLD-FILLING-WK"/>
    <x v="0"/>
    <s v="G-NA-91.70-YG"/>
    <n v="73.66"/>
    <n v="67.546220000000005"/>
    <n v="0.91700000000000015"/>
    <n v="67.48"/>
    <n v="61.879159999999999"/>
    <n v="61.879999999999995"/>
    <n v="0.91699999999999993"/>
    <n v="0"/>
    <n v="0"/>
    <n v="0"/>
    <n v="0"/>
    <n v="0"/>
    <n v="0"/>
    <n v="0"/>
    <n v="0"/>
    <n v="0"/>
    <n v="6.18"/>
    <n v="5.6670600000000002"/>
    <n v="0.91700000000000004"/>
    <n v="-6.1799999999999926"/>
    <n v="6.1799999999999926"/>
    <x v="0"/>
    <n v="61.879999999999995"/>
    <n v="0"/>
    <n v="1"/>
  </r>
  <r>
    <s v="AJEET KUMAR"/>
    <d v="2026-06-15T00:00:00"/>
    <s v="SR-RTN/26-27/38230"/>
    <s v="B-299652"/>
    <s v="B-GOLD-FILING"/>
    <s v="GOLD-FILLING-WK"/>
    <x v="1"/>
    <s v="G-NA-75.00-YG"/>
    <n v="20.48"/>
    <n v="15.36"/>
    <n v="0.75"/>
    <n v="19.2"/>
    <n v="14.4"/>
    <n v="14.4"/>
    <n v="0.75"/>
    <n v="0"/>
    <n v="0"/>
    <n v="0"/>
    <n v="0"/>
    <n v="0"/>
    <n v="0"/>
    <n v="0"/>
    <n v="0"/>
    <n v="0"/>
    <n v="1.28"/>
    <n v="0.96"/>
    <n v="0.75"/>
    <n v="-1.2800000000000011"/>
    <n v="1.2800000000000011"/>
    <x v="0"/>
    <n v="14.4"/>
    <n v="0"/>
    <n v="1"/>
  </r>
  <r>
    <s v="AJEET KUMAR"/>
    <d v="2026-06-15T00:00:00"/>
    <s v="SR-RTN/26-27/38249"/>
    <s v="B-299931"/>
    <s v="B-GOLD-FILING"/>
    <s v="GOLD-FILLING-WK"/>
    <x v="0"/>
    <s v="G-NA-91.70-YG"/>
    <n v="5.2"/>
    <n v="4.7683999999999997"/>
    <n v="0.91699999999999993"/>
    <n v="4.76"/>
    <n v="4.3649199999999997"/>
    <n v="4.3650000000000002"/>
    <n v="0.91699999999999993"/>
    <n v="0"/>
    <n v="0"/>
    <n v="0"/>
    <n v="0"/>
    <n v="0"/>
    <n v="0"/>
    <n v="0"/>
    <n v="0"/>
    <n v="0"/>
    <n v="0.44"/>
    <n v="0.40348000000000001"/>
    <n v="0.91700000000000004"/>
    <n v="-0.44000000000000039"/>
    <n v="0.44000000000000039"/>
    <x v="0"/>
    <n v="4.3650000000000002"/>
    <n v="0"/>
    <n v="1"/>
  </r>
  <r>
    <s v="AJEET KUMAR"/>
    <d v="2026-06-15T00:00:00"/>
    <s v="SR-RTN/26-27/38314"/>
    <s v="B-298678"/>
    <s v="B-GOLD-FILING"/>
    <s v="GOLD-FILLING-WK"/>
    <x v="0"/>
    <s v="G-NA-91.70-YG"/>
    <n v="467.35"/>
    <n v="428.55995000000001"/>
    <n v="0.91700000000000004"/>
    <n v="440.54"/>
    <n v="403.97518000000002"/>
    <n v="403.976"/>
    <n v="0.91700000000000004"/>
    <n v="4.88"/>
    <n v="4.4749600000000003"/>
    <n v="0.91700000000000004"/>
    <n v="0"/>
    <n v="0"/>
    <n v="0"/>
    <n v="0"/>
    <n v="0"/>
    <n v="0"/>
    <n v="21.93"/>
    <n v="20.10981"/>
    <n v="0.91700000000000004"/>
    <n v="-31.69"/>
    <n v="21.930000000000003"/>
    <x v="0"/>
    <n v="403.976"/>
    <n v="0"/>
    <n v="1"/>
  </r>
  <r>
    <s v="AJEET KUMAR"/>
    <d v="2026-06-15T00:00:00"/>
    <s v="SR-RTN/26-27/38320"/>
    <s v="B-299650"/>
    <s v="B-GOLD-FILING"/>
    <s v="GOLD-FILLING-WK"/>
    <x v="1"/>
    <s v="G-NA-75.00-YG"/>
    <n v="34.97"/>
    <n v="26.227499999999999"/>
    <n v="0.75"/>
    <n v="32.54"/>
    <n v="24.405000000000001"/>
    <n v="24.405000000000001"/>
    <n v="0.75"/>
    <n v="0"/>
    <n v="0"/>
    <n v="0"/>
    <n v="0"/>
    <n v="0"/>
    <n v="0"/>
    <n v="0"/>
    <n v="0"/>
    <n v="0"/>
    <n v="2.4300000000000002"/>
    <n v="1.8225"/>
    <n v="0.75"/>
    <n v="-2.4299999999999997"/>
    <n v="2.4299999999999997"/>
    <x v="0"/>
    <n v="24.405000000000001"/>
    <n v="0"/>
    <n v="1"/>
  </r>
  <r>
    <s v="AJEET KUMAR"/>
    <d v="2026-06-15T00:00:00"/>
    <s v="SR-RTN/26-27/38326"/>
    <s v="B-298893"/>
    <s v="B-GOLD-FILING"/>
    <s v="GOLD-FILLING-WK"/>
    <x v="0"/>
    <s v="G-NA-91.70-YG"/>
    <n v="34.39"/>
    <n v="31.535630000000001"/>
    <n v="0.91700000000000004"/>
    <n v="34.24"/>
    <n v="31.39808"/>
    <n v="31.399000000000001"/>
    <n v="0.91699999999999993"/>
    <n v="0"/>
    <n v="0"/>
    <n v="0"/>
    <n v="0"/>
    <n v="0"/>
    <n v="0"/>
    <n v="0"/>
    <n v="0"/>
    <n v="0"/>
    <n v="0.15"/>
    <n v="0.13755000000000001"/>
    <n v="0.91700000000000004"/>
    <n v="-0.14999999999999858"/>
    <n v="0.14999999999999858"/>
    <x v="1"/>
    <n v="31.215"/>
    <n v="0.18400000000000105"/>
    <n v="4"/>
  </r>
  <r>
    <s v="AJEET KUMAR"/>
    <d v="2026-06-15T00:00:00"/>
    <s v="SR-RTN/26-27/38344"/>
    <s v="B-299642"/>
    <s v="B-GOLD-FILING"/>
    <s v="GOLD-FILLING-WK"/>
    <x v="1"/>
    <s v="G-NA-75.00-YG"/>
    <n v="22.48"/>
    <n v="16.86"/>
    <n v="0.75"/>
    <n v="21.03"/>
    <n v="15.772500000000001"/>
    <n v="15.773"/>
    <n v="0.75"/>
    <n v="0"/>
    <n v="0"/>
    <n v="0"/>
    <n v="0"/>
    <n v="0"/>
    <n v="0"/>
    <n v="0"/>
    <n v="0"/>
    <n v="0"/>
    <n v="1.45"/>
    <n v="1.0874999999999999"/>
    <n v="0.75"/>
    <n v="-1.4499999999999993"/>
    <n v="1.4499999999999993"/>
    <x v="0"/>
    <n v="15.773"/>
    <n v="0"/>
    <n v="1"/>
  </r>
  <r>
    <s v="AJEET KUMAR"/>
    <d v="2026-06-15T00:00:00"/>
    <s v="SR-RTN/26-27/38350"/>
    <s v="B-299580"/>
    <s v="B-GOLD-FILING"/>
    <s v="GOLD-FILLING-WK"/>
    <x v="1"/>
    <s v="G-NA-75.00-WG"/>
    <n v="41.62"/>
    <n v="31.215"/>
    <n v="0.75"/>
    <n v="37.090000000000003"/>
    <n v="27.817499999999999"/>
    <n v="27.818000000000001"/>
    <n v="0.74999999999999989"/>
    <n v="0"/>
    <n v="0"/>
    <n v="0"/>
    <n v="0"/>
    <n v="0"/>
    <n v="0"/>
    <n v="0"/>
    <n v="0"/>
    <n v="0"/>
    <n v="4.53"/>
    <n v="3.3975"/>
    <n v="0.75"/>
    <n v="-4.529999999999994"/>
    <n v="4.529999999999994"/>
    <x v="0"/>
    <n v="27.818000000000001"/>
    <n v="0"/>
    <n v="1"/>
  </r>
  <r>
    <s v="AJEET KUMAR"/>
    <d v="2026-06-15T00:00:00"/>
    <s v="SR-RTN/26-27/38358"/>
    <s v="B-299581"/>
    <s v="B-GOLD-FILING"/>
    <s v="GOLD-FILLING-WK"/>
    <x v="0"/>
    <s v="G-NA-91.70-YG"/>
    <n v="22.32"/>
    <n v="20.46744"/>
    <n v="0.91700000000000004"/>
    <n v="21.32"/>
    <n v="19.550439999999998"/>
    <n v="19.551000000000002"/>
    <n v="0.91699999999999993"/>
    <n v="0"/>
    <n v="0"/>
    <n v="0"/>
    <n v="0"/>
    <n v="0"/>
    <n v="0"/>
    <n v="0"/>
    <n v="0"/>
    <n v="0"/>
    <n v="1"/>
    <n v="0.91700000000000004"/>
    <n v="0.91700000000000004"/>
    <n v="-1"/>
    <n v="1"/>
    <x v="1"/>
    <n v="19.047000000000001"/>
    <n v="0.50400000000000134"/>
    <n v="2"/>
  </r>
  <r>
    <s v="AJEET KUMAR"/>
    <d v="2026-06-15T00:00:00"/>
    <s v="SR-RTN/26-27/38369"/>
    <s v="B-300305"/>
    <s v="B-GOLD-FILING"/>
    <s v="GOLD-FILLING-WK"/>
    <x v="1"/>
    <s v="G-NA-75.00-YG"/>
    <n v="494.46"/>
    <n v="370.84500000000003"/>
    <n v="0.75000000000000011"/>
    <n v="447.89"/>
    <n v="335.91750000000002"/>
    <n v="335.91799999999995"/>
    <n v="0.75000000000000011"/>
    <n v="0"/>
    <n v="0"/>
    <n v="0"/>
    <n v="0"/>
    <n v="0"/>
    <n v="0"/>
    <n v="0"/>
    <n v="0"/>
    <n v="0"/>
    <n v="46.57"/>
    <n v="34.927500000000002"/>
    <n v="0.75"/>
    <n v="-46.569999999999993"/>
    <n v="46.569999999999993"/>
    <x v="0"/>
    <n v="335.91799999999995"/>
    <n v="0"/>
    <n v="3"/>
  </r>
  <r>
    <s v="AJEET KUMAR"/>
    <d v="2026-06-15T00:00:00"/>
    <s v="SR-RTN/26-27/38392"/>
    <s v="B-299884"/>
    <s v="B-GOLD-FILING"/>
    <s v="GOLD-FILLING-WK"/>
    <x v="1"/>
    <s v="G-NA-75.00-YG"/>
    <n v="21.09"/>
    <n v="15.817500000000001"/>
    <n v="0.75"/>
    <n v="21.09"/>
    <n v="15.817500000000001"/>
    <n v="15.818"/>
    <n v="0.75"/>
    <n v="0"/>
    <n v="0"/>
    <n v="0"/>
    <n v="0"/>
    <n v="0"/>
    <n v="0"/>
    <n v="0"/>
    <n v="0"/>
    <n v="0"/>
    <n v="0"/>
    <n v="0"/>
    <n v="0"/>
    <n v="0"/>
    <n v="0"/>
    <x v="1"/>
    <n v="14.753"/>
    <n v="1.0649999999999995"/>
    <n v="2"/>
  </r>
  <r>
    <s v="AJEET KUMAR"/>
    <d v="2026-06-15T00:00:00"/>
    <s v="SR-RTN/26-27/38392"/>
    <s v="B-299885"/>
    <s v="B-GOLD-FILING"/>
    <s v="GOLD-FILLING-WK"/>
    <x v="1"/>
    <s v="G-NA-75.00-YG"/>
    <n v="21.07"/>
    <n v="15.8025"/>
    <n v="0.75"/>
    <n v="21.07"/>
    <n v="15.8025"/>
    <n v="15.802999999999999"/>
    <n v="0.75"/>
    <n v="0"/>
    <n v="0"/>
    <n v="0"/>
    <n v="0"/>
    <n v="0"/>
    <n v="0"/>
    <n v="0"/>
    <n v="0"/>
    <n v="0"/>
    <n v="0"/>
    <n v="0"/>
    <n v="0"/>
    <n v="0"/>
    <n v="0"/>
    <x v="1"/>
    <n v="14.88"/>
    <n v="0.92299999999999827"/>
    <n v="2"/>
  </r>
  <r>
    <s v="AJEET KUMAR"/>
    <d v="2026-06-15T00:00:00"/>
    <s v="SR-RTN/26-27/38396"/>
    <s v="B-297766"/>
    <s v="B-GOLD-FILING"/>
    <s v="GOLD-FILLING-WK"/>
    <x v="0"/>
    <s v="G-NA-91.70-YG"/>
    <n v="28.17"/>
    <n v="25.831890000000001"/>
    <n v="0.91700000000000004"/>
    <n v="27.88"/>
    <n v="25.56596"/>
    <n v="25.566000000000003"/>
    <n v="0.91700000000000004"/>
    <n v="0"/>
    <n v="0"/>
    <n v="0"/>
    <n v="0"/>
    <n v="0"/>
    <n v="0"/>
    <n v="0"/>
    <n v="0"/>
    <n v="0"/>
    <n v="0.28999999999999998"/>
    <n v="0.26593"/>
    <n v="0.91700000000000004"/>
    <n v="-0.2900000000000027"/>
    <n v="0.2900000000000027"/>
    <x v="0"/>
    <n v="25.566000000000003"/>
    <n v="0"/>
    <n v="1"/>
  </r>
  <r>
    <s v="AJEET KUMAR"/>
    <d v="2026-06-15T00:00:00"/>
    <s v="SR-RTN/26-27/38407"/>
    <s v="B-299579"/>
    <s v="B-GOLD-FILING"/>
    <s v="GOLD-FILLING-WK"/>
    <x v="1"/>
    <s v="G-NA-75.00-RG"/>
    <n v="40.81"/>
    <n v="30.607500000000002"/>
    <n v="0.75"/>
    <n v="35.659999999999997"/>
    <n v="26.745000000000001"/>
    <n v="26.745000000000001"/>
    <n v="0.75000000000000011"/>
    <n v="0"/>
    <n v="0"/>
    <n v="0"/>
    <n v="0"/>
    <n v="0"/>
    <n v="0"/>
    <n v="0"/>
    <n v="0"/>
    <n v="0"/>
    <n v="5.15"/>
    <n v="3.8624999999999998"/>
    <n v="0.74999999999999989"/>
    <n v="-5.1500000000000057"/>
    <n v="5.1500000000000057"/>
    <x v="0"/>
    <n v="26.745000000000001"/>
    <n v="0"/>
    <n v="1"/>
  </r>
  <r>
    <s v="AJEET KUMAR"/>
    <d v="2026-06-15T00:00:00"/>
    <s v="SR-RTN/26-27/38407"/>
    <s v="B-299724"/>
    <s v="B-GOLD-FILING"/>
    <s v="GOLD-FILLING-WK"/>
    <x v="0"/>
    <s v="G-NA-91.70-YG"/>
    <n v="82.15"/>
    <n v="75.331549999999993"/>
    <n v="0.91699999999999982"/>
    <n v="77.13"/>
    <n v="70.728210000000004"/>
    <n v="70.728999999999999"/>
    <n v="0.91700000000000015"/>
    <n v="0"/>
    <n v="0"/>
    <n v="0"/>
    <n v="0"/>
    <n v="0"/>
    <n v="0"/>
    <n v="0"/>
    <n v="0"/>
    <n v="0"/>
    <n v="5.0199999999999996"/>
    <n v="4.6033400000000002"/>
    <n v="0.91700000000000015"/>
    <n v="-5.0200000000000102"/>
    <n v="5.0200000000000102"/>
    <x v="0"/>
    <n v="70.728999999999999"/>
    <n v="0"/>
    <n v="1"/>
  </r>
  <r>
    <s v="AJEET KUMAR"/>
    <d v="2026-06-15T00:00:00"/>
    <s v="SR-RTN/26-27/38407"/>
    <s v="B-299733"/>
    <s v="B-GOLD-FILING"/>
    <s v="GOLD-FILLING-WK"/>
    <x v="0"/>
    <s v="G-NA-91.70-YG"/>
    <n v="73.97"/>
    <n v="67.830489999999998"/>
    <n v="0.91699999999999993"/>
    <n v="68.83"/>
    <n v="63.117109999999997"/>
    <n v="63.117999999999995"/>
    <n v="0.91699999999999993"/>
    <n v="0"/>
    <n v="0"/>
    <n v="0"/>
    <n v="0"/>
    <n v="0"/>
    <n v="0"/>
    <n v="0"/>
    <n v="0"/>
    <n v="0"/>
    <n v="5.14"/>
    <n v="4.7133799999999999"/>
    <n v="0.91700000000000004"/>
    <n v="-5.14"/>
    <n v="5.14"/>
    <x v="0"/>
    <n v="63.117999999999995"/>
    <n v="0"/>
    <n v="1"/>
  </r>
  <r>
    <s v="AJEET KUMAR"/>
    <d v="2026-06-15T00:00:00"/>
    <s v="SR-RTN/26-27/38414"/>
    <s v="B-298914"/>
    <s v="B-GOLD-FILING"/>
    <s v="GOLD-FILLING-WK"/>
    <x v="0"/>
    <s v="G-NA-91.70-YG"/>
    <n v="43.93"/>
    <n v="40.283810000000003"/>
    <n v="0.91700000000000004"/>
    <n v="41.87"/>
    <n v="38.39479"/>
    <n v="38.394999999999996"/>
    <n v="0.91700000000000004"/>
    <n v="0"/>
    <n v="0"/>
    <n v="0"/>
    <n v="0"/>
    <n v="0"/>
    <n v="0"/>
    <n v="0"/>
    <n v="0"/>
    <n v="0"/>
    <n v="2.06"/>
    <n v="1.8890199999999999"/>
    <n v="0.91699999999999993"/>
    <n v="-2.0600000000000023"/>
    <n v="2.0600000000000023"/>
    <x v="0"/>
    <n v="38.394999999999996"/>
    <n v="0"/>
    <n v="1"/>
  </r>
  <r>
    <s v="AJEET KUMAR"/>
    <d v="2026-06-15T00:00:00"/>
    <s v="SR-RTN/26-27/38421"/>
    <s v="B-298893"/>
    <s v="B-GOLD-FILING"/>
    <s v="GOLD-FILLING-WK"/>
    <x v="0"/>
    <s v="G-NA-91.70-YG"/>
    <n v="34.04"/>
    <n v="31.214680000000001"/>
    <n v="0.91700000000000004"/>
    <n v="34.04"/>
    <n v="31.214680000000001"/>
    <n v="31.215"/>
    <n v="0.91700000000000004"/>
    <n v="0"/>
    <n v="0"/>
    <n v="0"/>
    <n v="0"/>
    <n v="0"/>
    <n v="0"/>
    <n v="0"/>
    <n v="0"/>
    <n v="0"/>
    <n v="0"/>
    <n v="0"/>
    <n v="0"/>
    <n v="0"/>
    <n v="0"/>
    <x v="0"/>
    <n v="31.215"/>
    <n v="0"/>
    <n v="4"/>
  </r>
  <r>
    <s v="AJEET KUMAR"/>
    <d v="2026-06-15T00:00:00"/>
    <s v="SR-RTN/26-27/38422"/>
    <s v="B-298893"/>
    <s v="B-GOLD-FILING"/>
    <s v="GOLD-FILLING-WK"/>
    <x v="0"/>
    <s v="G-NA-91.70-YG"/>
    <n v="34.06"/>
    <n v="31.23302"/>
    <n v="0.91699999999999993"/>
    <n v="34.06"/>
    <n v="31.23302"/>
    <n v="31.234000000000002"/>
    <n v="0.91699999999999993"/>
    <n v="0"/>
    <n v="0"/>
    <n v="0"/>
    <n v="0"/>
    <n v="0"/>
    <n v="0"/>
    <n v="0"/>
    <n v="0"/>
    <n v="0"/>
    <n v="0"/>
    <n v="0"/>
    <n v="0"/>
    <n v="0"/>
    <n v="0"/>
    <x v="1"/>
    <n v="31.215"/>
    <n v="1.9000000000001904E-2"/>
    <n v="4"/>
  </r>
  <r>
    <s v="AJEET KUMAR"/>
    <d v="2026-06-15T00:00:00"/>
    <s v="SR-RTN/26-27/38425"/>
    <s v="B-299582"/>
    <s v="B-GOLD-FILING"/>
    <s v="GOLD-FILLING-WK"/>
    <x v="1"/>
    <s v="G-NA-75.00-RG"/>
    <n v="36.58"/>
    <n v="27.434999999999999"/>
    <n v="0.75"/>
    <n v="36.15"/>
    <n v="27.112500000000001"/>
    <n v="27.113"/>
    <n v="0.75"/>
    <n v="0"/>
    <n v="0"/>
    <n v="0"/>
    <n v="0"/>
    <n v="0"/>
    <n v="0"/>
    <n v="0"/>
    <n v="0"/>
    <n v="0"/>
    <n v="0.43"/>
    <n v="0.32250000000000001"/>
    <n v="0.75"/>
    <n v="-0.42999999999999972"/>
    <n v="0.42999999999999972"/>
    <x v="0"/>
    <n v="27.113"/>
    <n v="0"/>
    <n v="2"/>
  </r>
  <r>
    <s v="AJEET KUMAR"/>
    <d v="2026-06-15T00:00:00"/>
    <s v="SR-RTN/26-27/38427"/>
    <s v="B-299648"/>
    <s v="B-GOLD-FILING"/>
    <s v="GOLD-FILLING-WK"/>
    <x v="1"/>
    <s v="G-NA-75.00-YG"/>
    <n v="33.75"/>
    <n v="25.3125"/>
    <n v="0.75"/>
    <n v="31.34"/>
    <n v="23.504999999999999"/>
    <n v="23.504999999999999"/>
    <n v="0.75"/>
    <n v="0"/>
    <n v="0"/>
    <n v="0"/>
    <n v="0"/>
    <n v="0"/>
    <n v="0"/>
    <n v="0"/>
    <n v="0"/>
    <n v="0"/>
    <n v="2.41"/>
    <n v="1.8075000000000001"/>
    <n v="0.75"/>
    <n v="-2.41"/>
    <n v="2.41"/>
    <x v="0"/>
    <n v="23.504999999999999"/>
    <n v="0"/>
    <n v="1"/>
  </r>
  <r>
    <s v="AJEET KUMAR"/>
    <d v="2026-06-15T00:00:00"/>
    <s v="SR-RTN/26-27/38445"/>
    <s v="B-299482"/>
    <s v="B-GOLD-FILING"/>
    <s v="GOLD-FILLING-WK"/>
    <x v="0"/>
    <s v="G-NA-91.70-YG"/>
    <n v="590.16999999999996"/>
    <n v="541.18588999999997"/>
    <n v="0.91700000000000004"/>
    <n v="561.4"/>
    <n v="514.80380000000002"/>
    <n v="514.80399999999997"/>
    <n v="0.91700000000000004"/>
    <n v="0"/>
    <n v="0"/>
    <n v="0"/>
    <n v="0"/>
    <n v="0"/>
    <n v="0"/>
    <n v="0"/>
    <n v="0"/>
    <n v="0"/>
    <n v="28.77"/>
    <n v="26.382090000000002"/>
    <n v="0.91700000000000004"/>
    <n v="-28.769999999999982"/>
    <n v="28.769999999999982"/>
    <x v="0"/>
    <n v="514.80399999999997"/>
    <n v="0"/>
    <n v="1"/>
  </r>
  <r>
    <s v="AJEET KUMAR"/>
    <d v="2026-06-16T00:00:00"/>
    <s v="RTN-8825512"/>
    <s v="SR-42280"/>
    <s v="CAST-FILLING"/>
    <s v="GOLD-FILLING-WK"/>
    <x v="0"/>
    <s v="G-NA-91.70-YG"/>
    <n v="194.06"/>
    <n v="177.95302000000001"/>
    <n v="0.91700000000000004"/>
    <n v="193.8"/>
    <n v="177.71459999999999"/>
    <n v="177.715"/>
    <n v="0.91699999999999993"/>
    <n v="0"/>
    <n v="0"/>
    <n v="0"/>
    <n v="0"/>
    <n v="0"/>
    <n v="0"/>
    <n v="0"/>
    <n v="0"/>
    <n v="0"/>
    <n v="0.26"/>
    <n v="0.23841999999999999"/>
    <n v="0.91699999999999993"/>
    <n v="-0.25999999999999091"/>
    <n v="0.25999999999999091"/>
    <x v="0"/>
    <n v="177.715"/>
    <n v="0"/>
    <n v="2"/>
  </r>
  <r>
    <s v="AJEET KUMAR"/>
    <d v="2026-06-16T00:00:00"/>
    <s v="SR-RTN/26-27/38479"/>
    <s v="B-299573"/>
    <s v="B-GOLD-FILING"/>
    <s v="GOLD-FILLING-WK"/>
    <x v="1"/>
    <s v="G-NA-75.00-RG"/>
    <n v="82.13"/>
    <n v="61.597499999999997"/>
    <n v="0.75"/>
    <n v="71.040000000000006"/>
    <n v="53.28"/>
    <n v="53.28"/>
    <n v="0.75"/>
    <n v="0"/>
    <n v="0"/>
    <n v="0"/>
    <n v="0"/>
    <n v="0"/>
    <n v="0"/>
    <n v="0"/>
    <n v="0"/>
    <n v="0"/>
    <n v="11.09"/>
    <n v="8.3175000000000008"/>
    <n v="0.75000000000000011"/>
    <n v="-11.089999999999989"/>
    <n v="11.089999999999989"/>
    <x v="0"/>
    <n v="53.28"/>
    <n v="0"/>
    <n v="1"/>
  </r>
  <r>
    <s v="AJEET KUMAR"/>
    <d v="2026-06-16T00:00:00"/>
    <s v="SR-RTN/26-27/38479"/>
    <s v="B-299643"/>
    <s v="B-GOLD-FILING"/>
    <s v="GOLD-FILLING-WK"/>
    <x v="1"/>
    <s v="G-NA-75.00-YG"/>
    <n v="34.44"/>
    <n v="25.83"/>
    <n v="0.75"/>
    <n v="30.29"/>
    <n v="22.717500000000001"/>
    <n v="22.718"/>
    <n v="0.75000000000000011"/>
    <n v="0"/>
    <n v="0"/>
    <n v="0"/>
    <n v="0"/>
    <n v="0"/>
    <n v="0"/>
    <n v="0"/>
    <n v="0"/>
    <n v="0"/>
    <n v="4.1500000000000004"/>
    <n v="3.1124999999999998"/>
    <n v="0.74999999999999989"/>
    <n v="-4.1499999999999986"/>
    <n v="4.1499999999999986"/>
    <x v="0"/>
    <n v="22.718"/>
    <n v="0"/>
    <n v="1"/>
  </r>
  <r>
    <s v="AJEET KUMAR"/>
    <d v="2026-06-16T00:00:00"/>
    <s v="SR-RTN/26-27/38479"/>
    <s v="B-299654"/>
    <s v="B-GOLD-FILING"/>
    <s v="GOLD-FILLING-WK"/>
    <x v="1"/>
    <s v="G-NA-75.00-YG"/>
    <n v="26.16"/>
    <n v="19.62"/>
    <n v="0.75"/>
    <n v="25.9"/>
    <n v="19.425000000000001"/>
    <n v="19.425000000000001"/>
    <n v="0.75000000000000011"/>
    <n v="0"/>
    <n v="0"/>
    <n v="0"/>
    <n v="0"/>
    <n v="0"/>
    <n v="0"/>
    <n v="0"/>
    <n v="0"/>
    <n v="0"/>
    <n v="0.26"/>
    <n v="0.19500000000000001"/>
    <n v="0.75"/>
    <n v="-0.26000000000000156"/>
    <n v="0.26000000000000156"/>
    <x v="1"/>
    <n v="19.065000000000001"/>
    <n v="0.35999999999999943"/>
    <n v="2"/>
  </r>
  <r>
    <s v="AJEET KUMAR"/>
    <d v="2026-06-16T00:00:00"/>
    <s v="SR-RTN/26-27/38479"/>
    <s v="B-299659"/>
    <s v="B-GOLD-FILING"/>
    <s v="GOLD-FILLING-WK"/>
    <x v="1"/>
    <s v="G-NA-75.00-YG"/>
    <n v="28.78"/>
    <n v="21.585000000000001"/>
    <n v="0.75"/>
    <n v="26.06"/>
    <n v="19.545000000000002"/>
    <n v="19.545000000000002"/>
    <n v="0.75000000000000011"/>
    <n v="0"/>
    <n v="0"/>
    <n v="0"/>
    <n v="0"/>
    <n v="0"/>
    <n v="0"/>
    <n v="0"/>
    <n v="0"/>
    <n v="0"/>
    <n v="2.72"/>
    <n v="2.04"/>
    <n v="0.75"/>
    <n v="-2.7200000000000024"/>
    <n v="2.7200000000000024"/>
    <x v="0"/>
    <n v="19.545000000000002"/>
    <n v="0"/>
    <n v="1"/>
  </r>
  <r>
    <s v="AJEET KUMAR"/>
    <d v="2026-06-16T00:00:00"/>
    <s v="SR-RTN/26-27/38479"/>
    <s v="B-299761"/>
    <s v="B-GOLD-FILING"/>
    <s v="GOLD-FILLING-WK"/>
    <x v="1"/>
    <s v="G-NA-75.00-RG"/>
    <n v="28.02"/>
    <n v="21.015000000000001"/>
    <n v="0.75"/>
    <n v="25.17"/>
    <n v="18.877500000000001"/>
    <n v="18.878"/>
    <n v="0.75"/>
    <n v="0"/>
    <n v="0"/>
    <n v="0"/>
    <n v="0"/>
    <n v="0"/>
    <n v="0"/>
    <n v="0"/>
    <n v="0"/>
    <n v="0"/>
    <n v="2.85"/>
    <n v="2.1375000000000002"/>
    <n v="0.75"/>
    <n v="-2.8499999999999979"/>
    <n v="2.8499999999999979"/>
    <x v="0"/>
    <n v="18.878"/>
    <n v="0"/>
    <n v="1"/>
  </r>
  <r>
    <s v="AJEET KUMAR"/>
    <d v="2026-06-16T00:00:00"/>
    <s v="SR-RTN/26-27/38479"/>
    <s v="B-299981"/>
    <s v="B-GOLD-FILING"/>
    <s v="GOLD-FILLING-WK"/>
    <x v="1"/>
    <s v="G-NA-75.00-RG"/>
    <n v="21.65"/>
    <n v="16.237500000000001"/>
    <n v="0.75000000000000011"/>
    <n v="19.350000000000001"/>
    <n v="14.512499999999999"/>
    <n v="14.513"/>
    <n v="0.74999999999999989"/>
    <n v="0"/>
    <n v="0"/>
    <n v="0"/>
    <n v="0"/>
    <n v="0"/>
    <n v="0"/>
    <n v="0"/>
    <n v="0"/>
    <n v="0"/>
    <n v="2.2999999999999998"/>
    <n v="1.7250000000000001"/>
    <n v="0.75000000000000011"/>
    <n v="-2.2999999999999972"/>
    <n v="2.2999999999999972"/>
    <x v="0"/>
    <n v="14.513"/>
    <n v="0"/>
    <n v="1"/>
  </r>
  <r>
    <s v="AJEET KUMAR"/>
    <d v="2026-06-16T00:00:00"/>
    <s v="SR-RTN/26-27/38480"/>
    <s v="B-299980"/>
    <s v="B-GOLD-FILING"/>
    <s v="GOLD-FILLING-WK"/>
    <x v="1"/>
    <s v="G-NA-75.00-YG"/>
    <n v="9.2100000000000009"/>
    <n v="6.9074999999999998"/>
    <n v="0.74999999999999989"/>
    <n v="8.58"/>
    <n v="6.4349999999999996"/>
    <n v="6.4349999999999996"/>
    <n v="0.75"/>
    <n v="0"/>
    <n v="0"/>
    <n v="0"/>
    <n v="0"/>
    <n v="0"/>
    <n v="0"/>
    <n v="0"/>
    <n v="0"/>
    <n v="0"/>
    <n v="0.63"/>
    <n v="0.47249999999999998"/>
    <n v="0.75"/>
    <n v="-0.63000000000000078"/>
    <n v="0.63000000000000078"/>
    <x v="0"/>
    <n v="6.4349999999999996"/>
    <n v="0"/>
    <n v="1"/>
  </r>
  <r>
    <s v="AJEET KUMAR"/>
    <d v="2026-06-16T00:00:00"/>
    <s v="SR-RTN/26-27/38547"/>
    <s v="B-300305"/>
    <s v="B-GOLD-FILING"/>
    <s v="GOLD-FILLING-WK"/>
    <x v="1"/>
    <s v="G-NA-75.00-YG"/>
    <n v="474.04"/>
    <n v="355.53"/>
    <n v="0.74999999999999989"/>
    <n v="471.77"/>
    <n v="353.82749999999999"/>
    <n v="353.82799999999997"/>
    <n v="0.75"/>
    <n v="0"/>
    <n v="0"/>
    <n v="0"/>
    <n v="0"/>
    <n v="0"/>
    <n v="0"/>
    <n v="0"/>
    <n v="0"/>
    <n v="0"/>
    <n v="2.27"/>
    <n v="1.7024999999999999"/>
    <n v="0.75"/>
    <n v="-2.2700000000000387"/>
    <n v="2.2700000000000387"/>
    <x v="1"/>
    <n v="335.91799999999995"/>
    <n v="17.910000000000025"/>
    <n v="3"/>
  </r>
  <r>
    <s v="AJEET KUMAR"/>
    <d v="2026-06-16T00:00:00"/>
    <s v="SR-RTN/26-27/38566"/>
    <s v="B-300305"/>
    <s v="B-GOLD-FILING"/>
    <s v="GOLD-FILLING-WK"/>
    <x v="1"/>
    <s v="G-NA-75.00-YG"/>
    <n v="471.77"/>
    <n v="353.82749999999999"/>
    <n v="0.75"/>
    <n v="471.77"/>
    <n v="353.82749999999999"/>
    <n v="353.82799999999997"/>
    <n v="0.75"/>
    <n v="0"/>
    <n v="0"/>
    <n v="0"/>
    <n v="0"/>
    <n v="0"/>
    <n v="0"/>
    <n v="0"/>
    <n v="0"/>
    <n v="0"/>
    <n v="0"/>
    <n v="0"/>
    <n v="0"/>
    <n v="0"/>
    <n v="0"/>
    <x v="1"/>
    <n v="335.91799999999995"/>
    <n v="17.910000000000025"/>
    <n v="3"/>
  </r>
  <r>
    <s v="AJEET KUMAR"/>
    <d v="2026-06-16T00:00:00"/>
    <s v="SR-RTN/26-27/38636"/>
    <s v="B-299885"/>
    <s v="B-GOLD-FILING"/>
    <s v="GOLD-FILLING-WK"/>
    <x v="1"/>
    <s v="G-NA-75.00-YG"/>
    <n v="21.05"/>
    <n v="15.7875"/>
    <n v="0.75"/>
    <n v="19.84"/>
    <n v="14.88"/>
    <n v="14.88"/>
    <n v="0.75"/>
    <n v="0"/>
    <n v="0"/>
    <n v="0"/>
    <n v="0"/>
    <n v="0"/>
    <n v="0"/>
    <n v="0"/>
    <n v="0"/>
    <n v="0"/>
    <n v="1.21"/>
    <n v="0.90749999999999997"/>
    <n v="0.75"/>
    <n v="-1.2100000000000009"/>
    <n v="1.2100000000000009"/>
    <x v="0"/>
    <n v="14.88"/>
    <n v="0"/>
    <n v="2"/>
  </r>
  <r>
    <s v="AJEET KUMAR"/>
    <d v="2026-06-16T00:00:00"/>
    <s v="SR-RTN/26-27/38637"/>
    <s v="B-299576"/>
    <s v="B-GOLD-FILING"/>
    <s v="GOLD-FILLING-WK"/>
    <x v="1"/>
    <s v="G-NA-75.00-RG"/>
    <n v="29.11"/>
    <n v="21.8325"/>
    <n v="0.75"/>
    <n v="25.25"/>
    <n v="18.9375"/>
    <n v="18.938000000000002"/>
    <n v="0.75"/>
    <n v="0"/>
    <n v="0"/>
    <n v="0"/>
    <n v="0"/>
    <n v="0"/>
    <n v="0"/>
    <n v="0"/>
    <n v="0"/>
    <n v="0"/>
    <n v="3.86"/>
    <n v="2.895"/>
    <n v="0.75"/>
    <n v="-3.8599999999999994"/>
    <n v="3.8599999999999994"/>
    <x v="0"/>
    <n v="18.938000000000002"/>
    <n v="0"/>
    <n v="1"/>
  </r>
  <r>
    <s v="AJEET KUMAR"/>
    <d v="2026-06-16T00:00:00"/>
    <s v="SR-RTN/26-27/38647"/>
    <s v="B-298457"/>
    <s v="B-GOLD-FILING"/>
    <s v="GOLD-FILLING-WK"/>
    <x v="0"/>
    <s v="G-NA-91.70-YG"/>
    <n v="37.08"/>
    <n v="34.002360000000003"/>
    <n v="0.91700000000000015"/>
    <n v="37.08"/>
    <n v="34.002360000000003"/>
    <n v="34.003"/>
    <n v="0.91700000000000015"/>
    <n v="0"/>
    <n v="0"/>
    <n v="0"/>
    <n v="0"/>
    <n v="0"/>
    <n v="0"/>
    <n v="0"/>
    <n v="0"/>
    <n v="0"/>
    <n v="0"/>
    <n v="0"/>
    <n v="0"/>
    <n v="0"/>
    <n v="0"/>
    <x v="1"/>
    <n v="30.014000000000003"/>
    <n v="3.9889999999999972"/>
    <n v="4"/>
  </r>
  <r>
    <s v="AJEET KUMAR"/>
    <d v="2026-06-16T00:00:00"/>
    <s v="SR-RTN/26-27/38665"/>
    <s v="B-298458"/>
    <s v="B-GOLD-FILING"/>
    <s v="GOLD-FILLING-WK"/>
    <x v="0"/>
    <s v="G-NA-91.70-YG"/>
    <n v="42.35"/>
    <n v="38.834949999999999"/>
    <n v="0.91699999999999993"/>
    <n v="41.36"/>
    <n v="37.927120000000002"/>
    <n v="37.927999999999997"/>
    <n v="0.91700000000000004"/>
    <n v="0"/>
    <n v="0"/>
    <n v="0"/>
    <n v="0"/>
    <n v="0"/>
    <n v="0"/>
    <n v="0"/>
    <n v="0"/>
    <n v="0"/>
    <n v="0.99"/>
    <n v="0.90783000000000003"/>
    <n v="0.91700000000000004"/>
    <n v="-0.99000000000000199"/>
    <n v="0.99000000000000199"/>
    <x v="1"/>
    <n v="34.845999999999997"/>
    <n v="3.0820000000000007"/>
    <n v="2"/>
  </r>
  <r>
    <s v="AJEET KUMAR"/>
    <d v="2026-06-16T00:00:00"/>
    <s v="SR-RTN/26-27/38684"/>
    <s v="B-298451"/>
    <s v="B-GOLD-FILING"/>
    <s v="GOLD-FILLING-WK"/>
    <x v="0"/>
    <s v="G-NA-91.70-YG"/>
    <n v="55.13"/>
    <n v="50.554209999999998"/>
    <n v="0.91699999999999993"/>
    <n v="53.84"/>
    <n v="49.371279999999999"/>
    <n v="49.372"/>
    <n v="0.91699999999999993"/>
    <n v="0"/>
    <n v="0"/>
    <n v="0"/>
    <n v="0"/>
    <n v="0"/>
    <n v="0"/>
    <n v="0"/>
    <n v="0"/>
    <n v="0"/>
    <n v="1.29"/>
    <n v="1.18293"/>
    <n v="0.91700000000000004"/>
    <n v="-1.2899999999999991"/>
    <n v="1.2899999999999991"/>
    <x v="0"/>
    <n v="49.372"/>
    <n v="0"/>
    <n v="2"/>
  </r>
  <r>
    <s v="AJEET KUMAR"/>
    <d v="2026-06-16T00:00:00"/>
    <s v="SR-RTN/26-27/38696"/>
    <s v="B-299595"/>
    <s v="B-GOLD-FILING"/>
    <s v="GOLD-FILLING-WK"/>
    <x v="0"/>
    <s v="G-NA-91.70-YG"/>
    <n v="74.77"/>
    <n v="68.564089999999993"/>
    <n v="0.91699999999999993"/>
    <n v="68.77"/>
    <n v="63.062089999999998"/>
    <n v="63.062999999999995"/>
    <n v="0.91700000000000004"/>
    <n v="0"/>
    <n v="0"/>
    <n v="0"/>
    <n v="0"/>
    <n v="0"/>
    <n v="0"/>
    <n v="0"/>
    <n v="0"/>
    <n v="0"/>
    <n v="6"/>
    <n v="5.5019999999999998"/>
    <n v="0.91699999999999993"/>
    <n v="-6"/>
    <n v="6"/>
    <x v="1"/>
    <n v="58.293999999999997"/>
    <n v="4.7689999999999984"/>
    <n v="2"/>
  </r>
  <r>
    <s v="AJEET KUMAR"/>
    <d v="2026-06-16T00:00:00"/>
    <s v="SR-RTN/26-27/38718"/>
    <s v="B-299884"/>
    <s v="B-GOLD-FILING"/>
    <s v="GOLD-FILLING-WK"/>
    <x v="1"/>
    <s v="G-NA-75.00-YG"/>
    <n v="21.08"/>
    <n v="15.81"/>
    <n v="0.75000000000000011"/>
    <n v="19.670000000000002"/>
    <n v="14.7525"/>
    <n v="14.753"/>
    <n v="0.74999999999999989"/>
    <n v="0"/>
    <n v="0"/>
    <n v="0"/>
    <n v="0"/>
    <n v="0"/>
    <n v="0"/>
    <n v="0"/>
    <n v="0"/>
    <n v="0"/>
    <n v="1.41"/>
    <n v="1.0575000000000001"/>
    <n v="0.75000000000000011"/>
    <n v="-1.4099999999999966"/>
    <n v="1.4099999999999966"/>
    <x v="0"/>
    <n v="14.753"/>
    <n v="0"/>
    <n v="2"/>
  </r>
  <r>
    <s v="AJEET KUMAR"/>
    <d v="2026-06-16T00:00:00"/>
    <s v="SR-RTN/26-27/38738"/>
    <s v="B-298457"/>
    <s v="B-GOLD-FILING"/>
    <s v="GOLD-FILLING-WK"/>
    <x v="0"/>
    <s v="G-NA-91.70-YG"/>
    <n v="37.08"/>
    <n v="34.002360000000003"/>
    <n v="0.91700000000000015"/>
    <n v="37.08"/>
    <n v="34.002360000000003"/>
    <n v="34.003"/>
    <n v="0.91700000000000015"/>
    <n v="0"/>
    <n v="0"/>
    <n v="0"/>
    <n v="0"/>
    <n v="0"/>
    <n v="0"/>
    <n v="0"/>
    <n v="0"/>
    <n v="0"/>
    <n v="0"/>
    <n v="0"/>
    <n v="0"/>
    <n v="0"/>
    <n v="0"/>
    <x v="1"/>
    <n v="30.014000000000003"/>
    <n v="3.9889999999999972"/>
    <n v="4"/>
  </r>
  <r>
    <s v="AJEET KUMAR"/>
    <d v="2026-06-16T00:00:00"/>
    <s v="SR-RTN/26-27/38790"/>
    <s v="B-299727"/>
    <s v="B-GOLD-FILING"/>
    <s v="GOLD-FILLING-WK"/>
    <x v="0"/>
    <s v="G-NA-91.70-YG"/>
    <n v="98.21"/>
    <n v="90.058570000000003"/>
    <n v="0.91700000000000004"/>
    <n v="90.1"/>
    <n v="82.621700000000004"/>
    <n v="82.622"/>
    <n v="0.91700000000000015"/>
    <n v="0"/>
    <n v="0"/>
    <n v="0"/>
    <n v="0"/>
    <n v="0"/>
    <n v="0"/>
    <n v="0"/>
    <n v="0"/>
    <n v="0"/>
    <n v="8.11"/>
    <n v="7.4368699999999999"/>
    <n v="0.91700000000000004"/>
    <n v="-8.11"/>
    <n v="8.11"/>
    <x v="0"/>
    <n v="82.622"/>
    <n v="0"/>
    <n v="1"/>
  </r>
  <r>
    <s v="AJEET KUMAR"/>
    <d v="2026-06-16T00:00:00"/>
    <s v="SR-RTN/26-27/38790"/>
    <s v="B-299734"/>
    <s v="B-GOLD-FILING"/>
    <s v="GOLD-FILLING-WK"/>
    <x v="0"/>
    <s v="G-NA-91.70-YG"/>
    <n v="102.62"/>
    <n v="94.102540000000005"/>
    <n v="0.91700000000000004"/>
    <n v="102.62"/>
    <n v="94.102540000000005"/>
    <n v="94.103000000000009"/>
    <n v="0.91700000000000004"/>
    <n v="0"/>
    <n v="0"/>
    <n v="0"/>
    <n v="0"/>
    <n v="0"/>
    <n v="0"/>
    <n v="0"/>
    <n v="0"/>
    <n v="0"/>
    <n v="0"/>
    <n v="0"/>
    <n v="0"/>
    <n v="0"/>
    <n v="0"/>
    <x v="1"/>
    <n v="88.739000000000004"/>
    <n v="5.3640000000000043"/>
    <n v="2"/>
  </r>
  <r>
    <s v="AJEET KUMAR"/>
    <d v="2026-06-16T00:00:00"/>
    <s v="SR-RTN/26-27/38798"/>
    <s v="B-299721"/>
    <s v="B-GOLD-FILING"/>
    <s v="GOLD-FILLING-WK"/>
    <x v="1"/>
    <s v="G-NA-75.00-YG"/>
    <n v="21.32"/>
    <n v="15.99"/>
    <n v="0.75"/>
    <n v="19.29"/>
    <n v="14.467499999999999"/>
    <n v="14.468"/>
    <n v="0.75"/>
    <n v="0"/>
    <n v="0"/>
    <n v="0"/>
    <n v="0"/>
    <n v="0"/>
    <n v="0"/>
    <n v="0"/>
    <n v="0"/>
    <n v="0"/>
    <n v="2.0299999999999998"/>
    <n v="1.5225"/>
    <n v="0.75"/>
    <n v="-2.0300000000000011"/>
    <n v="2.0300000000000011"/>
    <x v="0"/>
    <n v="14.468"/>
    <n v="0"/>
    <n v="1"/>
  </r>
  <r>
    <s v="AJEET KUMAR"/>
    <d v="2026-06-16T00:00:00"/>
    <s v="SR-RTN/26-27/38815"/>
    <s v="B-299732"/>
    <s v="B-GOLD-FILING"/>
    <s v="GOLD-FILLING-WK"/>
    <x v="0"/>
    <s v="G-NA-91.70-YG"/>
    <n v="140.81"/>
    <n v="129.12277"/>
    <n v="0.91700000000000004"/>
    <n v="140.81"/>
    <n v="129.12277"/>
    <n v="129.12300000000002"/>
    <n v="0.91700000000000004"/>
    <n v="0"/>
    <n v="0"/>
    <n v="0"/>
    <n v="0"/>
    <n v="0"/>
    <n v="0"/>
    <n v="0"/>
    <n v="0"/>
    <n v="0"/>
    <n v="0"/>
    <n v="0"/>
    <n v="0"/>
    <n v="0"/>
    <n v="0"/>
    <x v="1"/>
    <n v="122.649"/>
    <n v="6.474000000000018"/>
    <n v="2"/>
  </r>
  <r>
    <s v="AJEET KUMAR"/>
    <d v="2026-06-16T00:00:00"/>
    <s v="SR-RTN/26-27/38817"/>
    <s v="B-299720"/>
    <s v="B-GOLD-FILING"/>
    <s v="GOLD-FILLING-WK"/>
    <x v="1"/>
    <s v="G-NA-75.00-YG"/>
    <n v="23.43"/>
    <n v="17.572500000000002"/>
    <n v="0.75000000000000011"/>
    <n v="21.55"/>
    <n v="16.162500000000001"/>
    <n v="16.163"/>
    <n v="0.75"/>
    <n v="0"/>
    <n v="0"/>
    <n v="0"/>
    <n v="0"/>
    <n v="0"/>
    <n v="0"/>
    <n v="0"/>
    <n v="0"/>
    <n v="0"/>
    <n v="1.88"/>
    <n v="1.41"/>
    <n v="0.75"/>
    <n v="-1.879999999999999"/>
    <n v="1.879999999999999"/>
    <x v="0"/>
    <n v="16.163"/>
    <n v="0"/>
    <n v="1"/>
  </r>
  <r>
    <s v="AJEET KUMAR"/>
    <d v="2026-06-16T00:00:00"/>
    <s v="SR-RTN/26-27/38830"/>
    <s v="B-299581"/>
    <s v="B-GOLD-FILING"/>
    <s v="GOLD-FILLING-WK"/>
    <x v="0"/>
    <s v="G-NA-91.70-YG"/>
    <n v="20.95"/>
    <n v="19.21115"/>
    <n v="0.91700000000000004"/>
    <n v="20.77"/>
    <n v="19.04609"/>
    <n v="19.047000000000001"/>
    <n v="0.91700000000000004"/>
    <n v="0"/>
    <n v="0"/>
    <n v="0"/>
    <n v="0"/>
    <n v="0"/>
    <n v="0"/>
    <n v="0"/>
    <n v="0"/>
    <n v="0"/>
    <n v="0.18"/>
    <n v="0.16506000000000001"/>
    <n v="0.91700000000000015"/>
    <n v="-0.17999999999999972"/>
    <n v="0.17999999999999972"/>
    <x v="0"/>
    <n v="19.047000000000001"/>
    <n v="0"/>
    <n v="2"/>
  </r>
  <r>
    <s v="AJEET KUMAR"/>
    <d v="2026-06-16T00:00:00"/>
    <s v="SR-RTN/26-27/38830"/>
    <s v="B-300333"/>
    <s v="B-GOLD-FILING"/>
    <s v="GOLD-FILLING-WK"/>
    <x v="1"/>
    <s v="G-NA-75.00-YG"/>
    <n v="28.91"/>
    <n v="21.682500000000001"/>
    <n v="0.75"/>
    <n v="28.75"/>
    <n v="21.5625"/>
    <n v="21.563000000000002"/>
    <n v="0.75"/>
    <n v="0"/>
    <n v="0"/>
    <n v="0"/>
    <n v="0"/>
    <n v="0"/>
    <n v="0"/>
    <n v="0"/>
    <n v="0"/>
    <n v="0"/>
    <n v="0.16"/>
    <n v="0.12"/>
    <n v="0.75"/>
    <n v="-0.16000000000000014"/>
    <n v="0.16000000000000014"/>
    <x v="0"/>
    <n v="21.563000000000002"/>
    <n v="0"/>
    <n v="1"/>
  </r>
  <r>
    <s v="AJEET KUMAR"/>
    <d v="2026-06-16T00:00:00"/>
    <s v="SR-RTN/26-27/38832"/>
    <s v="B-298449"/>
    <s v="B-GOLD-FILING"/>
    <s v="GOLD-FILLING-WK"/>
    <x v="0"/>
    <s v="G-NA-91.70-YG"/>
    <n v="38.14"/>
    <n v="34.974379999999996"/>
    <n v="0.91699999999999993"/>
    <n v="36.409999999999997"/>
    <n v="33.387970000000003"/>
    <n v="33.387999999999998"/>
    <n v="0.91700000000000015"/>
    <n v="0"/>
    <n v="0"/>
    <n v="0"/>
    <n v="0"/>
    <n v="0"/>
    <n v="0"/>
    <n v="0"/>
    <n v="0"/>
    <n v="0"/>
    <n v="1.73"/>
    <n v="1.5864100000000001"/>
    <n v="0.91700000000000004"/>
    <n v="-1.730000000000004"/>
    <n v="1.730000000000004"/>
    <x v="0"/>
    <n v="33.387999999999998"/>
    <n v="0"/>
    <n v="2"/>
  </r>
  <r>
    <s v="AJEET KUMAR"/>
    <d v="2026-06-16T00:00:00"/>
    <s v="SR-RTN/26-27/38835"/>
    <s v="B-299653"/>
    <s v="B-GOLD-FILING"/>
    <s v="GOLD-FILLING-WK"/>
    <x v="1"/>
    <s v="G-NA-75.00-YG"/>
    <n v="34.5"/>
    <n v="25.875"/>
    <n v="0.75"/>
    <n v="31.74"/>
    <n v="23.805"/>
    <n v="23.805"/>
    <n v="0.75"/>
    <n v="0"/>
    <n v="0"/>
    <n v="0"/>
    <n v="0"/>
    <n v="0"/>
    <n v="0"/>
    <n v="0"/>
    <n v="0"/>
    <n v="0"/>
    <n v="2.76"/>
    <n v="2.0699999999999998"/>
    <n v="0.75"/>
    <n v="-2.7600000000000016"/>
    <n v="2.7600000000000016"/>
    <x v="0"/>
    <n v="23.805"/>
    <n v="0"/>
    <n v="1"/>
  </r>
  <r>
    <s v="AJEET KUMAR"/>
    <d v="2026-06-16T00:00:00"/>
    <s v="SR-RTN/26-27/38835"/>
    <s v="B-299725"/>
    <s v="B-GOLD-FILING"/>
    <s v="GOLD-FILLING-WK"/>
    <x v="0"/>
    <s v="G-NA-91.70-YG"/>
    <n v="100.12"/>
    <n v="91.810040000000001"/>
    <n v="0.91699999999999993"/>
    <n v="100.12"/>
    <n v="91.810040000000001"/>
    <n v="91.811000000000007"/>
    <n v="0.91699999999999993"/>
    <n v="0"/>
    <n v="0"/>
    <n v="0"/>
    <n v="0"/>
    <n v="0"/>
    <n v="0"/>
    <n v="0"/>
    <n v="0"/>
    <n v="0"/>
    <n v="0"/>
    <n v="0"/>
    <n v="0"/>
    <n v="0"/>
    <n v="0"/>
    <x v="1"/>
    <n v="88.849000000000004"/>
    <n v="2.9620000000000033"/>
    <n v="2"/>
  </r>
  <r>
    <s v="AJEET KUMAR"/>
    <d v="2026-06-16T00:00:00"/>
    <s v="SR-RTN/26-27/38864"/>
    <s v="B-299475"/>
    <s v="B-GOLD-FILING"/>
    <s v="GOLD-FILLING-WK"/>
    <x v="0"/>
    <s v="G-NA-91.70-YG"/>
    <n v="45.67"/>
    <n v="41.879390000000001"/>
    <n v="0.91700000000000004"/>
    <n v="43.19"/>
    <n v="39.605229999999999"/>
    <n v="39.605999999999995"/>
    <n v="0.91700000000000004"/>
    <n v="0"/>
    <n v="0"/>
    <n v="0"/>
    <n v="0"/>
    <n v="0"/>
    <n v="0"/>
    <n v="0"/>
    <n v="0"/>
    <n v="0"/>
    <n v="2.48"/>
    <n v="2.2741600000000002"/>
    <n v="0.91700000000000004"/>
    <n v="-2.480000000000004"/>
    <n v="2.480000000000004"/>
    <x v="0"/>
    <n v="39.605999999999995"/>
    <n v="0"/>
    <n v="1"/>
  </r>
  <r>
    <s v="AJEET KUMAR"/>
    <d v="2026-06-16T00:00:00"/>
    <s v="SR-RTN/26-27/38864"/>
    <s v="B-299979"/>
    <s v="B-GOLD-FILING"/>
    <s v="GOLD-FILLING-WK"/>
    <x v="0"/>
    <s v="G-NA-91.70-YG"/>
    <n v="52.78"/>
    <n v="48.399259999999998"/>
    <n v="0.91699999999999993"/>
    <n v="50.12"/>
    <n v="45.960039999999999"/>
    <n v="45.960999999999999"/>
    <n v="0.91700000000000004"/>
    <n v="0"/>
    <n v="0"/>
    <n v="0"/>
    <n v="0"/>
    <n v="0"/>
    <n v="0"/>
    <n v="0"/>
    <n v="0"/>
    <n v="0"/>
    <n v="2.66"/>
    <n v="2.4392200000000002"/>
    <n v="0.91700000000000004"/>
    <n v="-2.6600000000000037"/>
    <n v="2.6600000000000037"/>
    <x v="0"/>
    <n v="45.960999999999999"/>
    <n v="0"/>
    <n v="1"/>
  </r>
  <r>
    <s v="AJEET KUMAR"/>
    <d v="2026-06-16T00:00:00"/>
    <s v="SR-RTN/26-27/38866"/>
    <s v="B-291826"/>
    <s v="B-GOLD-FILING"/>
    <s v="GOLD-FILLING-WK"/>
    <x v="0"/>
    <s v="G-NA-91.70-YG"/>
    <n v="16.600000000000001"/>
    <n v="15.222200000000001"/>
    <n v="0.91699999999999993"/>
    <n v="16.52"/>
    <n v="15.14884"/>
    <n v="15.148999999999999"/>
    <n v="0.91700000000000004"/>
    <n v="0"/>
    <n v="0"/>
    <n v="0"/>
    <n v="0"/>
    <n v="0"/>
    <n v="0"/>
    <n v="0"/>
    <n v="0"/>
    <n v="0"/>
    <n v="0.08"/>
    <n v="7.3359999999999995E-2"/>
    <n v="0.91699999999999993"/>
    <n v="-8.0000000000001847E-2"/>
    <n v="8.0000000000001847E-2"/>
    <x v="0"/>
    <n v="15.148999999999999"/>
    <n v="0"/>
    <n v="2"/>
  </r>
  <r>
    <s v="AJEET KUMAR"/>
    <d v="2026-06-16T00:00:00"/>
    <s v="SR-RTN/26-27/38866"/>
    <s v="B-291829"/>
    <s v="B-GOLD-FILING"/>
    <s v="GOLD-FILLING-WK"/>
    <x v="0"/>
    <s v="G-NA-91.70-YG"/>
    <n v="35.04"/>
    <n v="32.131680000000003"/>
    <n v="0.91700000000000015"/>
    <n v="34.700000000000003"/>
    <n v="31.819900000000001"/>
    <n v="31.82"/>
    <n v="0.91699999999999993"/>
    <n v="0"/>
    <n v="0"/>
    <n v="0"/>
    <n v="0"/>
    <n v="0"/>
    <n v="0"/>
    <n v="0"/>
    <n v="0"/>
    <n v="0"/>
    <n v="0.34"/>
    <n v="0.31178"/>
    <n v="0.91699999999999993"/>
    <n v="-0.33999999999999631"/>
    <n v="0.33999999999999631"/>
    <x v="0"/>
    <n v="31.82"/>
    <n v="0"/>
    <n v="1"/>
  </r>
  <r>
    <s v="AJEET KUMAR"/>
    <d v="2026-06-16T00:00:00"/>
    <s v="SR-RTN/26-27/38888"/>
    <s v="B-299711"/>
    <s v="B-GOLD-FILING"/>
    <s v="GOLD-FILLING-WK"/>
    <x v="0"/>
    <s v="G-NA-91.70-YG"/>
    <n v="68.180000000000007"/>
    <n v="62.521059999999999"/>
    <n v="0.91699999999999993"/>
    <n v="65.38"/>
    <n v="59.95346"/>
    <n v="59.954000000000001"/>
    <n v="0.91700000000000004"/>
    <n v="0"/>
    <n v="0"/>
    <n v="0"/>
    <n v="0"/>
    <n v="0"/>
    <n v="0"/>
    <n v="0"/>
    <n v="0"/>
    <n v="0"/>
    <n v="2.8"/>
    <n v="2.5676000000000001"/>
    <n v="0.91700000000000015"/>
    <n v="-2.8000000000000114"/>
    <n v="2.8000000000000114"/>
    <x v="0"/>
    <n v="59.954000000000001"/>
    <n v="0"/>
    <n v="1"/>
  </r>
  <r>
    <s v="AJEET KUMAR"/>
    <d v="2026-06-16T00:00:00"/>
    <s v="SR-RTN/26-27/38927"/>
    <s v="B-299658"/>
    <s v="B-GOLD-FILING"/>
    <s v="GOLD-FILLING-WK"/>
    <x v="1"/>
    <s v="G-NA-75.00-YG"/>
    <n v="31.82"/>
    <n v="23.864999999999998"/>
    <n v="0.74999999999999989"/>
    <n v="28.07"/>
    <n v="21.052499999999998"/>
    <n v="21.053000000000001"/>
    <n v="0.74999999999999989"/>
    <n v="0"/>
    <n v="0"/>
    <n v="0"/>
    <n v="0"/>
    <n v="0"/>
    <n v="0"/>
    <n v="0"/>
    <n v="0"/>
    <n v="0"/>
    <n v="3.75"/>
    <n v="2.8125"/>
    <n v="0.75"/>
    <n v="-3.75"/>
    <n v="3.75"/>
    <x v="0"/>
    <n v="21.053000000000001"/>
    <n v="0"/>
    <n v="1"/>
  </r>
  <r>
    <s v="AJEET KUMAR"/>
    <d v="2026-06-16T00:00:00"/>
    <s v="SR-RTN/26-27/38991"/>
    <s v="B-299314"/>
    <s v="B-GOLD-FILING"/>
    <s v="GOLD-FILLING-WK"/>
    <x v="1"/>
    <s v="G-NA-75.00-RG"/>
    <n v="17.260000000000002"/>
    <n v="12.945"/>
    <n v="0.75"/>
    <n v="16.95"/>
    <n v="12.7125"/>
    <n v="12.712999999999999"/>
    <n v="0.75"/>
    <n v="0"/>
    <n v="0"/>
    <n v="0"/>
    <n v="0"/>
    <n v="0"/>
    <n v="0"/>
    <n v="0"/>
    <n v="0"/>
    <n v="0"/>
    <n v="0.31"/>
    <n v="0.23250000000000001"/>
    <n v="0.75"/>
    <n v="-0.31000000000000227"/>
    <n v="0.31000000000000227"/>
    <x v="1"/>
    <n v="9.9379999999999988"/>
    <n v="2.7750000000000004"/>
    <n v="2"/>
  </r>
  <r>
    <s v="AJEET KUMAR"/>
    <d v="2026-06-16T00:00:00"/>
    <s v="SR-RTN/26-27/38992"/>
    <s v="B-298450"/>
    <s v="B-GOLD-FILING"/>
    <s v="GOLD-FILLING-WK"/>
    <x v="0"/>
    <s v="G-NA-91.70-YG"/>
    <n v="44.53"/>
    <n v="40.834009999999999"/>
    <n v="0.91699999999999993"/>
    <n v="43.63"/>
    <n v="40.008710000000001"/>
    <n v="40.009"/>
    <n v="0.91699999999999993"/>
    <n v="0"/>
    <n v="0"/>
    <n v="0"/>
    <n v="0"/>
    <n v="0"/>
    <n v="0"/>
    <n v="0"/>
    <n v="0"/>
    <n v="0"/>
    <n v="0.9"/>
    <n v="0.82530000000000003"/>
    <n v="0.91700000000000004"/>
    <n v="-0.89999999999999858"/>
    <n v="0.89999999999999858"/>
    <x v="1"/>
    <n v="36.716999999999999"/>
    <n v="3.2920000000000016"/>
    <n v="2"/>
  </r>
  <r>
    <s v="AJEET KUMAR"/>
    <d v="2026-06-16T00:00:00"/>
    <s v="SR-RTN/26-27/38996"/>
    <s v="B-299887"/>
    <s v="B-GOLD-FILING"/>
    <s v="GOLD-FILLING-WK"/>
    <x v="1"/>
    <s v="G-NA-75.00-YG"/>
    <n v="28.52"/>
    <n v="21.39"/>
    <n v="0.75"/>
    <n v="26.25"/>
    <n v="19.6875"/>
    <n v="19.688000000000002"/>
    <n v="0.75"/>
    <n v="0"/>
    <n v="0"/>
    <n v="0"/>
    <n v="0"/>
    <n v="0"/>
    <n v="0"/>
    <n v="0"/>
    <n v="0"/>
    <n v="0"/>
    <n v="2.27"/>
    <n v="1.7024999999999999"/>
    <n v="0.75"/>
    <n v="-2.2699999999999996"/>
    <n v="2.2699999999999996"/>
    <x v="0"/>
    <n v="19.688000000000002"/>
    <n v="0"/>
    <n v="1"/>
  </r>
  <r>
    <s v="AJEET KUMAR"/>
    <d v="2026-06-16T00:00:00"/>
    <s v="SR-RTN/26-27/39014"/>
    <s v="B-299596"/>
    <s v="B-GOLD-FILING"/>
    <s v="GOLD-FILLING-WK"/>
    <x v="0"/>
    <s v="G-NA-91.70-YG"/>
    <n v="115.16"/>
    <n v="105.60172"/>
    <n v="0.91700000000000004"/>
    <n v="108.68"/>
    <n v="99.659559999999999"/>
    <n v="99.660000000000011"/>
    <n v="0.91699999999999993"/>
    <n v="0"/>
    <n v="0"/>
    <n v="0"/>
    <n v="0"/>
    <n v="0"/>
    <n v="0"/>
    <n v="0"/>
    <n v="0"/>
    <n v="0"/>
    <n v="6.48"/>
    <n v="5.9421600000000003"/>
    <n v="0.91700000000000004"/>
    <n v="-6.4799999999999898"/>
    <n v="6.4799999999999898"/>
    <x v="0"/>
    <n v="99.660000000000011"/>
    <n v="0"/>
    <n v="1"/>
  </r>
  <r>
    <s v="AJEET KUMAR"/>
    <d v="2026-06-16T00:00:00"/>
    <s v="SR-RTN/26-27/39014"/>
    <s v="B-299746"/>
    <s v="B-GOLD-FILING"/>
    <s v="GOLD-FILLING-WK"/>
    <x v="0"/>
    <s v="G-NA-91.70-YG"/>
    <n v="32.82"/>
    <n v="30.095939999999999"/>
    <n v="0.91699999999999993"/>
    <n v="30.71"/>
    <n v="28.161069999999999"/>
    <n v="28.162000000000003"/>
    <n v="0.91699999999999993"/>
    <n v="0"/>
    <n v="0"/>
    <n v="0"/>
    <n v="0"/>
    <n v="0"/>
    <n v="0"/>
    <n v="0"/>
    <n v="0"/>
    <n v="0"/>
    <n v="2.11"/>
    <n v="1.9348700000000001"/>
    <n v="0.91700000000000015"/>
    <n v="-2.1099999999999994"/>
    <n v="2.1099999999999994"/>
    <x v="0"/>
    <n v="28.162000000000003"/>
    <n v="0"/>
    <n v="1"/>
  </r>
  <r>
    <s v="AJEET KUMAR"/>
    <d v="2026-06-16T00:00:00"/>
    <s v="SR-RTN/26-27/39029"/>
    <s v="B-299745"/>
    <s v="B-GOLD-FILING"/>
    <s v="GOLD-FILLING-WK"/>
    <x v="0"/>
    <s v="G-NA-91.70-YG"/>
    <n v="27.58"/>
    <n v="25.290859999999999"/>
    <n v="0.91700000000000004"/>
    <n v="25.12"/>
    <n v="23.035039999999999"/>
    <n v="23.036000000000001"/>
    <n v="0.91699999999999993"/>
    <n v="0"/>
    <n v="0"/>
    <n v="0"/>
    <n v="0"/>
    <n v="0"/>
    <n v="0"/>
    <n v="0"/>
    <n v="0"/>
    <n v="0"/>
    <n v="2.46"/>
    <n v="2.2558199999999999"/>
    <n v="0.91700000000000004"/>
    <n v="-2.4599999999999973"/>
    <n v="2.4599999999999973"/>
    <x v="0"/>
    <n v="23.036000000000001"/>
    <n v="0"/>
    <n v="1"/>
  </r>
  <r>
    <s v="AJEET KUMAR"/>
    <d v="2026-06-16T00:00:00"/>
    <s v="SR-RTN/26-27/39113"/>
    <s v="B-299760"/>
    <s v="B-GOLD-FILING"/>
    <s v="GOLD-FILLING-WK"/>
    <x v="0"/>
    <s v="G-NA-91.70-YG"/>
    <n v="463.41"/>
    <n v="424.94697000000002"/>
    <n v="0.91700000000000004"/>
    <n v="434.86"/>
    <n v="398.76661999999999"/>
    <n v="398.767"/>
    <n v="0.91699999999999993"/>
    <n v="0"/>
    <n v="0"/>
    <n v="0"/>
    <n v="0"/>
    <n v="0"/>
    <n v="0"/>
    <n v="0"/>
    <n v="0"/>
    <n v="0"/>
    <n v="28.55"/>
    <n v="26.180350000000001"/>
    <n v="0.91700000000000004"/>
    <n v="-28.550000000000011"/>
    <n v="28.550000000000011"/>
    <x v="1"/>
    <n v="398.64799999999997"/>
    <n v="0.11900000000002819"/>
    <n v="3"/>
  </r>
  <r>
    <s v="AJEET KUMAR"/>
    <d v="2026-06-16T00:00:00"/>
    <s v="SR-W/O-RTN/26-27/2743"/>
    <s v="NONE"/>
    <s v="B-GOLD-FILING"/>
    <s v="GOLD-FILLING-WK"/>
    <x v="1"/>
    <s v="G-NA-75.00-RG"/>
    <n v="12.4"/>
    <n v="9.3000000000000007"/>
    <n v="0.75"/>
    <n v="12.04"/>
    <n v="9.0299999999999994"/>
    <n v="9.0299999999999994"/>
    <n v="0.75"/>
    <n v="0"/>
    <n v="0"/>
    <n v="0"/>
    <n v="0"/>
    <n v="0"/>
    <n v="0"/>
    <n v="0"/>
    <n v="0"/>
    <n v="0"/>
    <n v="0.36"/>
    <n v="0.27"/>
    <n v="0.75000000000000011"/>
    <n v="-0.36000000000000121"/>
    <n v="0.36000000000000121"/>
    <x v="1"/>
    <n v="0"/>
    <n v="9.0299999999999994"/>
    <n v="67"/>
  </r>
  <r>
    <s v="AJEET KUMAR"/>
    <d v="2026-06-16T00:00:00"/>
    <s v="SR-W/O-RTN/26-27/2743"/>
    <s v="NONE"/>
    <s v="B-GOLD-FILING"/>
    <s v="GOLD-FILLING-WK"/>
    <x v="1"/>
    <s v="G-NA-75.00-WG"/>
    <n v="3.64"/>
    <n v="2.73"/>
    <n v="0.75"/>
    <n v="3.61"/>
    <n v="2.7075"/>
    <n v="2.7079999999999997"/>
    <n v="0.75"/>
    <n v="0"/>
    <n v="0"/>
    <n v="0"/>
    <n v="0"/>
    <n v="0"/>
    <n v="0"/>
    <n v="0"/>
    <n v="0"/>
    <n v="0"/>
    <n v="0.03"/>
    <n v="2.2499999999999999E-2"/>
    <n v="0.75"/>
    <n v="-3.0000000000000249E-2"/>
    <n v="3.0000000000000249E-2"/>
    <x v="1"/>
    <n v="0"/>
    <n v="2.7079999999999997"/>
    <n v="67"/>
  </r>
  <r>
    <s v="AJEET KUMAR"/>
    <d v="2026-06-16T00:00:00"/>
    <s v="SR-W/O-RTN/26-27/2743"/>
    <s v="NONE"/>
    <s v="B-GOLD-FILING"/>
    <s v="GOLD-FILLING-WK"/>
    <x v="1"/>
    <s v="G-NA-75.00-YG"/>
    <n v="6.88"/>
    <n v="5.16"/>
    <n v="0.75"/>
    <n v="6.07"/>
    <n v="4.5525000000000002"/>
    <n v="4.5529999999999999"/>
    <n v="0.75"/>
    <n v="0"/>
    <n v="0"/>
    <n v="0"/>
    <n v="0"/>
    <n v="0"/>
    <n v="0"/>
    <n v="0"/>
    <n v="0"/>
    <n v="0"/>
    <n v="0.81"/>
    <n v="0.60750000000000004"/>
    <n v="0.75"/>
    <n v="-0.80999999999999961"/>
    <n v="0.80999999999999961"/>
    <x v="1"/>
    <n v="0"/>
    <n v="4.5529999999999999"/>
    <n v="67"/>
  </r>
  <r>
    <s v="AJEET KUMAR"/>
    <d v="2026-06-16T00:00:00"/>
    <s v="SR-W/O-RTN/26-27/2745"/>
    <s v="NONE"/>
    <s v="B-GOLD-FILING"/>
    <s v="GOLD-FILLING-WK"/>
    <x v="0"/>
    <s v="G-NA-91.70-YG"/>
    <n v="28.84"/>
    <n v="26.446280000000002"/>
    <n v="0.91700000000000004"/>
    <n v="17.600000000000001"/>
    <n v="16.139199999999999"/>
    <n v="16.14"/>
    <n v="0.91699999999999982"/>
    <n v="0"/>
    <n v="0"/>
    <n v="0"/>
    <n v="0"/>
    <n v="0"/>
    <n v="0"/>
    <n v="0"/>
    <n v="0"/>
    <n v="0"/>
    <n v="11.24"/>
    <n v="10.307079999999999"/>
    <n v="0.91699999999999993"/>
    <n v="-11.239999999999998"/>
    <n v="11.239999999999998"/>
    <x v="1"/>
    <n v="0"/>
    <n v="16.14"/>
    <n v="67"/>
  </r>
  <r>
    <s v="AJEET KUMAR"/>
    <d v="2026-06-17T00:00:00"/>
    <s v="RTN-8841389"/>
    <s v="SR-42387"/>
    <s v="CAST-FILLING"/>
    <s v="GOLD-FILLING-WK"/>
    <x v="0"/>
    <s v="G-NA-91.70-YG"/>
    <n v="72.02"/>
    <n v="66.042339999999996"/>
    <n v="0.91700000000000004"/>
    <n v="67.23"/>
    <n v="61.649909999999998"/>
    <n v="61.65"/>
    <n v="0.91699999999999993"/>
    <n v="0"/>
    <n v="0"/>
    <n v="0"/>
    <n v="0"/>
    <n v="0"/>
    <n v="0"/>
    <n v="0"/>
    <n v="0"/>
    <n v="0"/>
    <n v="4.79"/>
    <n v="4.3924300000000001"/>
    <n v="0.91700000000000004"/>
    <n v="-4.789999999999992"/>
    <n v="4.789999999999992"/>
    <x v="0"/>
    <n v="61.65"/>
    <n v="0"/>
    <n v="1"/>
  </r>
  <r>
    <s v="AJEET KUMAR"/>
    <d v="2026-06-17T00:00:00"/>
    <s v="RTN-8843702"/>
    <s v="SR-42395"/>
    <s v="CAST-FILLING"/>
    <s v="GOLD-FILLING-WK"/>
    <x v="0"/>
    <s v="G-NA-91.70-YG"/>
    <n v="302.27"/>
    <n v="277.18159000000003"/>
    <n v="0.91700000000000015"/>
    <n v="285.99"/>
    <n v="262.25283000000002"/>
    <n v="262.25299999999999"/>
    <n v="0.91700000000000004"/>
    <n v="0"/>
    <n v="0"/>
    <n v="0"/>
    <n v="0"/>
    <n v="0"/>
    <n v="0"/>
    <n v="0"/>
    <n v="0"/>
    <n v="0"/>
    <n v="16.28"/>
    <n v="14.92876"/>
    <n v="0.91699999999999993"/>
    <n v="-16.279999999999973"/>
    <n v="16.279999999999973"/>
    <x v="0"/>
    <n v="262.25299999999999"/>
    <n v="0"/>
    <n v="1"/>
  </r>
  <r>
    <s v="AJEET KUMAR"/>
    <d v="2026-06-17T00:00:00"/>
    <s v="SR-RTN/26-27/39151"/>
    <s v="B-299651"/>
    <s v="B-GOLD-FILING"/>
    <s v="GOLD-FILLING-WK"/>
    <x v="1"/>
    <s v="G-NA-75.00-YG"/>
    <n v="38.340000000000003"/>
    <n v="28.754999999999999"/>
    <n v="0.74999999999999989"/>
    <n v="34.450000000000003"/>
    <n v="25.837499999999999"/>
    <n v="25.838000000000001"/>
    <n v="0.74999999999999989"/>
    <n v="0"/>
    <n v="0"/>
    <n v="0"/>
    <n v="0"/>
    <n v="0"/>
    <n v="0"/>
    <n v="0"/>
    <n v="0"/>
    <n v="0"/>
    <n v="3.89"/>
    <n v="2.9175"/>
    <n v="0.75"/>
    <n v="-3.8900000000000006"/>
    <n v="3.8900000000000006"/>
    <x v="0"/>
    <n v="25.838000000000001"/>
    <n v="0"/>
    <n v="1"/>
  </r>
  <r>
    <s v="AJEET KUMAR"/>
    <d v="2026-06-17T00:00:00"/>
    <s v="SR-RTN/26-27/39167"/>
    <s v="B-300303"/>
    <s v="B-GOLD-FILING"/>
    <s v="GOLD-FILLING-WK"/>
    <x v="0"/>
    <s v="G-NA-91.70-YG"/>
    <n v="10.58"/>
    <n v="9.7018599999999999"/>
    <n v="0.91700000000000004"/>
    <n v="10.119999999999999"/>
    <n v="9.2800399999999996"/>
    <n v="9.2809999999999988"/>
    <n v="0.91700000000000004"/>
    <n v="0"/>
    <n v="0"/>
    <n v="0"/>
    <n v="0"/>
    <n v="0"/>
    <n v="0"/>
    <n v="0"/>
    <n v="0"/>
    <n v="0"/>
    <n v="0.46"/>
    <n v="0.42181999999999997"/>
    <n v="0.91699999999999993"/>
    <n v="-0.46000000000000085"/>
    <n v="0.46000000000000085"/>
    <x v="1"/>
    <n v="8.0329999999999995"/>
    <n v="1.2479999999999993"/>
    <n v="2"/>
  </r>
  <r>
    <s v="AJEET KUMAR"/>
    <d v="2026-06-17T00:00:00"/>
    <s v="SR-RTN/26-27/39168"/>
    <s v="B-298454"/>
    <s v="B-GOLD-FILING"/>
    <s v="GOLD-FILLING-WK"/>
    <x v="0"/>
    <s v="G-NA-91.70-YG"/>
    <n v="54.74"/>
    <n v="50.196579999999997"/>
    <n v="0.91699999999999993"/>
    <n v="54"/>
    <n v="49.518000000000001"/>
    <n v="49.518000000000001"/>
    <n v="0.91700000000000004"/>
    <n v="0"/>
    <n v="0"/>
    <n v="0"/>
    <n v="0"/>
    <n v="0"/>
    <n v="0"/>
    <n v="0"/>
    <n v="0"/>
    <n v="0"/>
    <n v="0.74"/>
    <n v="0.67857999999999996"/>
    <n v="0.91699999999999993"/>
    <n v="-0.74000000000000199"/>
    <n v="0.74000000000000199"/>
    <x v="1"/>
    <n v="46.125999999999998"/>
    <n v="3.392000000000003"/>
    <n v="2"/>
  </r>
  <r>
    <s v="AJEET KUMAR"/>
    <d v="2026-06-17T00:00:00"/>
    <s v="SR-RTN/26-27/39169"/>
    <s v="B-299706"/>
    <s v="B-GOLD-FILING"/>
    <s v="GOLD-FILLING-WK"/>
    <x v="0"/>
    <s v="G-NA-91.70-YG"/>
    <n v="89.9"/>
    <n v="82.438299999999998"/>
    <n v="0.91699999999999993"/>
    <n v="84.05"/>
    <n v="77.073849999999993"/>
    <n v="77.073999999999998"/>
    <n v="0.91699999999999993"/>
    <n v="0"/>
    <n v="0"/>
    <n v="0"/>
    <n v="0"/>
    <n v="0"/>
    <n v="0"/>
    <n v="0"/>
    <n v="0"/>
    <n v="0"/>
    <n v="5.85"/>
    <n v="5.3644499999999997"/>
    <n v="0.91700000000000004"/>
    <n v="-5.8500000000000085"/>
    <n v="5.8500000000000085"/>
    <x v="0"/>
    <n v="77.073999999999998"/>
    <n v="0"/>
    <n v="1"/>
  </r>
  <r>
    <s v="AJEET KUMAR"/>
    <d v="2026-06-17T00:00:00"/>
    <s v="SR-RTN/26-27/39180"/>
    <s v="B-299481/1"/>
    <s v="B-GOLD-FILING"/>
    <s v="GOLD-FILLING-WK"/>
    <x v="0"/>
    <s v="G-NA-91.70-YG"/>
    <n v="80"/>
    <n v="73.36"/>
    <n v="0.91700000000000004"/>
    <n v="74.77"/>
    <n v="68.564089999999993"/>
    <n v="68.564999999999998"/>
    <n v="0.91699999999999993"/>
    <n v="0"/>
    <n v="0"/>
    <n v="0"/>
    <n v="0"/>
    <n v="0"/>
    <n v="0"/>
    <n v="0"/>
    <n v="0"/>
    <n v="0"/>
    <n v="5.23"/>
    <n v="4.7959100000000001"/>
    <n v="0.91699999999999993"/>
    <n v="-5.230000000000004"/>
    <n v="5.230000000000004"/>
    <x v="0"/>
    <n v="68.564999999999998"/>
    <n v="0"/>
    <n v="1"/>
  </r>
  <r>
    <s v="AJEET KUMAR"/>
    <d v="2026-06-17T00:00:00"/>
    <s v="SR-RTN/26-27/39183"/>
    <s v="B-291828"/>
    <s v="B-GOLD-FILING"/>
    <s v="GOLD-FILLING-WK"/>
    <x v="0"/>
    <s v="G-NA-91.70-YG"/>
    <n v="64.13"/>
    <n v="58.807209999999998"/>
    <n v="0.91700000000000004"/>
    <n v="63.97"/>
    <n v="58.660490000000003"/>
    <n v="58.660999999999994"/>
    <n v="0.91700000000000004"/>
    <n v="0"/>
    <n v="0"/>
    <n v="0"/>
    <n v="0"/>
    <n v="0"/>
    <n v="0"/>
    <n v="0"/>
    <n v="0"/>
    <n v="0"/>
    <n v="0.16"/>
    <n v="0.14671999999999999"/>
    <n v="0.91699999999999993"/>
    <n v="-0.15999999999999659"/>
    <n v="0.15999999999999659"/>
    <x v="0"/>
    <n v="58.660999999999994"/>
    <n v="0"/>
    <n v="1"/>
  </r>
  <r>
    <s v="AJEET KUMAR"/>
    <d v="2026-06-17T00:00:00"/>
    <s v="SR-RTN/26-27/39199"/>
    <s v="B-291846"/>
    <s v="B-GOLD-FILING"/>
    <s v="GOLD-FILLING-WK"/>
    <x v="0"/>
    <s v="G-NA-91.70-YG"/>
    <n v="50.04"/>
    <n v="45.886679999999998"/>
    <n v="0.91700000000000004"/>
    <n v="49.79"/>
    <n v="45.657429999999998"/>
    <n v="45.657999999999994"/>
    <n v="0.91699999999999993"/>
    <n v="0"/>
    <n v="0"/>
    <n v="0"/>
    <n v="0"/>
    <n v="0"/>
    <n v="0"/>
    <n v="0"/>
    <n v="0"/>
    <n v="0"/>
    <n v="0.25"/>
    <n v="0.22925000000000001"/>
    <n v="0.91700000000000004"/>
    <n v="-0.25"/>
    <n v="0.25"/>
    <x v="0"/>
    <n v="45.657999999999994"/>
    <n v="0"/>
    <n v="1"/>
  </r>
  <r>
    <s v="AJEET KUMAR"/>
    <d v="2026-06-17T00:00:00"/>
    <s v="SR-RTN/26-27/39202"/>
    <s v="B-299575"/>
    <s v="B-GOLD-FILING"/>
    <s v="GOLD-FILLING-WK"/>
    <x v="1"/>
    <s v="G-NA-75.00-YG"/>
    <n v="54.22"/>
    <n v="40.664999999999999"/>
    <n v="0.75"/>
    <n v="51.5"/>
    <n v="38.625"/>
    <n v="38.625"/>
    <n v="0.75"/>
    <n v="0"/>
    <n v="0"/>
    <n v="0"/>
    <n v="0"/>
    <n v="0"/>
    <n v="0"/>
    <n v="0"/>
    <n v="0"/>
    <n v="0"/>
    <n v="2.72"/>
    <n v="2.04"/>
    <n v="0.75"/>
    <n v="-2.7199999999999989"/>
    <n v="2.7199999999999989"/>
    <x v="0"/>
    <n v="38.625"/>
    <n v="0"/>
    <n v="1"/>
  </r>
  <r>
    <s v="AJEET KUMAR"/>
    <d v="2026-06-17T00:00:00"/>
    <s v="SR-RTN/26-27/39228"/>
    <s v="B-298456"/>
    <s v="B-GOLD-FILING"/>
    <s v="GOLD-FILLING-WK"/>
    <x v="0"/>
    <s v="G-NA-91.70-YG"/>
    <n v="52.25"/>
    <n v="47.913249999999998"/>
    <n v="0.91699999999999993"/>
    <n v="51.31"/>
    <n v="47.051270000000002"/>
    <n v="47.052"/>
    <n v="0.91700000000000004"/>
    <n v="0"/>
    <n v="0"/>
    <n v="0"/>
    <n v="0"/>
    <n v="0"/>
    <n v="0"/>
    <n v="0"/>
    <n v="0"/>
    <n v="0"/>
    <n v="0.94"/>
    <n v="0.86197999999999997"/>
    <n v="0.91700000000000004"/>
    <n v="-0.93999999999999773"/>
    <n v="0.93999999999999773"/>
    <x v="1"/>
    <n v="43.878999999999998"/>
    <n v="3.1730000000000018"/>
    <n v="2"/>
  </r>
  <r>
    <s v="AJEET KUMAR"/>
    <d v="2026-06-17T00:00:00"/>
    <s v="SR-RTN/26-27/39238"/>
    <s v="B-295898"/>
    <s v="B-GOLD-FILING"/>
    <s v="GOLD-FILLING-WK"/>
    <x v="1"/>
    <s v="G-NA-75.00-YG"/>
    <n v="57.62"/>
    <n v="43.215000000000003"/>
    <n v="0.75000000000000011"/>
    <n v="54.71"/>
    <n v="41.032499999999999"/>
    <n v="41.032999999999994"/>
    <n v="0.75"/>
    <n v="0"/>
    <n v="0"/>
    <n v="0"/>
    <n v="0"/>
    <n v="0"/>
    <n v="0"/>
    <n v="0"/>
    <n v="0"/>
    <n v="0"/>
    <n v="2.91"/>
    <n v="2.1825000000000001"/>
    <n v="0.75"/>
    <n v="-2.9099999999999966"/>
    <n v="2.9099999999999966"/>
    <x v="0"/>
    <n v="41.032999999999994"/>
    <n v="0"/>
    <n v="1"/>
  </r>
  <r>
    <s v="AJEET KUMAR"/>
    <d v="2026-06-17T00:00:00"/>
    <s v="SR-RTN/26-27/39245"/>
    <s v="B-299655"/>
    <s v="B-GOLD-FILING"/>
    <s v="GOLD-FILLING-WK"/>
    <x v="1"/>
    <s v="G-NA-75.00-YG"/>
    <n v="30"/>
    <n v="22.5"/>
    <n v="0.75"/>
    <n v="26.67"/>
    <n v="20.002500000000001"/>
    <n v="20.003"/>
    <n v="0.75"/>
    <n v="0"/>
    <n v="0"/>
    <n v="0"/>
    <n v="0"/>
    <n v="0"/>
    <n v="0"/>
    <n v="0"/>
    <n v="0"/>
    <n v="0"/>
    <n v="3.33"/>
    <n v="2.4975000000000001"/>
    <n v="0.75"/>
    <n v="-3.3299999999999983"/>
    <n v="3.3299999999999983"/>
    <x v="0"/>
    <n v="20.003"/>
    <n v="0"/>
    <n v="1"/>
  </r>
  <r>
    <s v="AJEET KUMAR"/>
    <d v="2026-06-17T00:00:00"/>
    <s v="SR-RTN/26-27/39245"/>
    <s v="B-299662"/>
    <s v="B-GOLD-FILING"/>
    <s v="GOLD-FILLING-WK"/>
    <x v="1"/>
    <s v="G-NA-75.00-YG"/>
    <n v="27.02"/>
    <n v="20.265000000000001"/>
    <n v="0.75"/>
    <n v="24.52"/>
    <n v="18.39"/>
    <n v="18.39"/>
    <n v="0.75"/>
    <n v="0"/>
    <n v="0"/>
    <n v="0"/>
    <n v="0"/>
    <n v="0"/>
    <n v="0"/>
    <n v="0"/>
    <n v="0"/>
    <n v="0"/>
    <n v="2.5"/>
    <n v="1.875"/>
    <n v="0.75"/>
    <n v="-2.5"/>
    <n v="2.5"/>
    <x v="0"/>
    <n v="18.39"/>
    <n v="0"/>
    <n v="1"/>
  </r>
  <r>
    <s v="AJEET KUMAR"/>
    <d v="2026-06-17T00:00:00"/>
    <s v="SR-RTN/26-27/39250"/>
    <s v="B-300342"/>
    <s v="B-GOLD-FILING"/>
    <s v="GOLD-FILLING-WK"/>
    <x v="0"/>
    <s v="G-NA-91.70-YG"/>
    <n v="41.53"/>
    <n v="38.083010000000002"/>
    <n v="0.91700000000000004"/>
    <n v="39.03"/>
    <n v="35.790509999999998"/>
    <n v="35.790999999999997"/>
    <n v="0.91699999999999993"/>
    <n v="0"/>
    <n v="0"/>
    <n v="0"/>
    <n v="0"/>
    <n v="0"/>
    <n v="0"/>
    <n v="0"/>
    <n v="0"/>
    <n v="0"/>
    <n v="2.5"/>
    <n v="2.2925"/>
    <n v="0.91700000000000004"/>
    <n v="-2.5"/>
    <n v="2.5"/>
    <x v="0"/>
    <n v="35.790999999999997"/>
    <n v="0"/>
    <n v="1"/>
  </r>
  <r>
    <s v="AJEET KUMAR"/>
    <d v="2026-06-17T00:00:00"/>
    <s v="SR-RTN/26-27/39253"/>
    <s v="B-298457"/>
    <s v="B-GOLD-FILING"/>
    <s v="GOLD-FILLING-WK"/>
    <x v="0"/>
    <s v="G-NA-91.70-YG"/>
    <n v="37.19"/>
    <n v="34.103230000000003"/>
    <n v="0.91700000000000015"/>
    <n v="37.19"/>
    <n v="34.103230000000003"/>
    <n v="34.103999999999999"/>
    <n v="0.91700000000000015"/>
    <n v="0"/>
    <n v="0"/>
    <n v="0"/>
    <n v="0"/>
    <n v="0"/>
    <n v="0"/>
    <n v="0"/>
    <n v="0"/>
    <n v="0"/>
    <n v="0"/>
    <n v="0"/>
    <n v="0"/>
    <n v="0"/>
    <n v="0"/>
    <x v="1"/>
    <n v="30.014000000000003"/>
    <n v="4.0899999999999963"/>
    <n v="4"/>
  </r>
  <r>
    <s v="AJEET KUMAR"/>
    <d v="2026-06-17T00:00:00"/>
    <s v="SR-RTN/26-27/39273"/>
    <s v="B-300090"/>
    <s v="B-GOLD-FILING"/>
    <s v="GOLD-FILLING-WK"/>
    <x v="0"/>
    <s v="G-NA-91.70-YG"/>
    <n v="112.16"/>
    <n v="102.85072"/>
    <n v="0.91700000000000004"/>
    <n v="106.64"/>
    <n v="97.788880000000006"/>
    <n v="97.789000000000001"/>
    <n v="0.91700000000000004"/>
    <n v="0"/>
    <n v="0"/>
    <n v="0"/>
    <n v="0"/>
    <n v="0"/>
    <n v="0"/>
    <n v="0"/>
    <n v="0"/>
    <n v="0"/>
    <n v="5.52"/>
    <n v="5.0618400000000001"/>
    <n v="0.91700000000000004"/>
    <n v="-5.519999999999996"/>
    <n v="5.519999999999996"/>
    <x v="0"/>
    <n v="97.789000000000001"/>
    <n v="0"/>
    <n v="1"/>
  </r>
  <r>
    <s v="AJEET KUMAR"/>
    <d v="2026-06-17T00:00:00"/>
    <s v="SR-RTN/26-27/39276"/>
    <s v="B-299734"/>
    <s v="B-GOLD-FILING"/>
    <s v="GOLD-FILLING-WK"/>
    <x v="0"/>
    <s v="G-NA-91.70-YG"/>
    <n v="102.57"/>
    <n v="94.056690000000003"/>
    <n v="0.91700000000000004"/>
    <n v="96.77"/>
    <n v="88.73809"/>
    <n v="88.739000000000004"/>
    <n v="0.91700000000000004"/>
    <n v="0"/>
    <n v="0"/>
    <n v="0"/>
    <n v="0"/>
    <n v="0"/>
    <n v="0"/>
    <n v="0"/>
    <n v="0"/>
    <n v="0"/>
    <n v="5.8"/>
    <n v="5.3186"/>
    <n v="0.91700000000000004"/>
    <n v="-5.7999999999999972"/>
    <n v="5.7999999999999972"/>
    <x v="0"/>
    <n v="88.739000000000004"/>
    <n v="0"/>
    <n v="2"/>
  </r>
  <r>
    <s v="AJEET KUMAR"/>
    <d v="2026-06-17T00:00:00"/>
    <s v="SR-RTN/26-27/39295"/>
    <s v="B-299718"/>
    <s v="B-GOLD-FILING"/>
    <s v="GOLD-FILLING-WK"/>
    <x v="1"/>
    <s v="G-NA-75.00-RG"/>
    <n v="39"/>
    <n v="29.25"/>
    <n v="0.75"/>
    <n v="36.61"/>
    <n v="27.4575"/>
    <n v="27.458000000000002"/>
    <n v="0.75"/>
    <n v="0"/>
    <n v="0"/>
    <n v="0"/>
    <n v="0"/>
    <n v="0"/>
    <n v="0"/>
    <n v="0"/>
    <n v="0"/>
    <n v="0"/>
    <n v="2.39"/>
    <n v="1.7925"/>
    <n v="0.75"/>
    <n v="-2.3900000000000006"/>
    <n v="2.3900000000000006"/>
    <x v="0"/>
    <n v="27.458000000000002"/>
    <n v="0"/>
    <n v="1"/>
  </r>
  <r>
    <s v="AJEET KUMAR"/>
    <d v="2026-06-17T00:00:00"/>
    <s v="SR-RTN/26-27/39296"/>
    <s v="B-299644"/>
    <s v="B-GOLD-FILING"/>
    <s v="GOLD-FILLING-WK"/>
    <x v="1"/>
    <s v="G-NA-75.00-YG"/>
    <n v="22.06"/>
    <n v="16.545000000000002"/>
    <n v="0.75000000000000011"/>
    <n v="21.48"/>
    <n v="16.11"/>
    <n v="16.11"/>
    <n v="0.75"/>
    <n v="0"/>
    <n v="0"/>
    <n v="0"/>
    <n v="0"/>
    <n v="0"/>
    <n v="0"/>
    <n v="0"/>
    <n v="0"/>
    <n v="0"/>
    <n v="0.57999999999999996"/>
    <n v="0.435"/>
    <n v="0.75"/>
    <n v="-0.57999999999999829"/>
    <n v="0.57999999999999829"/>
    <x v="0"/>
    <n v="16.11"/>
    <n v="0"/>
    <n v="1"/>
  </r>
  <r>
    <s v="AJEET KUMAR"/>
    <d v="2026-06-17T00:00:00"/>
    <s v="SR-RTN/26-27/39297"/>
    <s v="B-299736"/>
    <s v="B-GOLD-FILING"/>
    <s v="GOLD-FILLING-WK"/>
    <x v="0"/>
    <s v="G-NA-91.70-YG"/>
    <n v="70.84"/>
    <n v="64.960279999999997"/>
    <n v="0.91699999999999993"/>
    <n v="70.84"/>
    <n v="64.960279999999997"/>
    <n v="64.960999999999999"/>
    <n v="0.91699999999999993"/>
    <n v="0"/>
    <n v="0"/>
    <n v="0"/>
    <n v="0"/>
    <n v="0"/>
    <n v="0"/>
    <n v="0"/>
    <n v="0"/>
    <n v="0"/>
    <n v="0"/>
    <n v="0"/>
    <n v="0"/>
    <n v="0"/>
    <n v="0"/>
    <x v="1"/>
    <n v="61.906999999999996"/>
    <n v="3.054000000000002"/>
    <n v="2"/>
  </r>
  <r>
    <s v="AJEET KUMAR"/>
    <d v="2026-06-17T00:00:00"/>
    <s v="SR-RTN/26-27/39299"/>
    <s v="B-299719"/>
    <s v="B-GOLD-FILING"/>
    <s v="GOLD-FILLING-WK"/>
    <x v="1"/>
    <s v="G-NA-75.00-RG"/>
    <n v="38.880000000000003"/>
    <n v="29.16"/>
    <n v="0.75"/>
    <n v="36.14"/>
    <n v="27.105"/>
    <n v="27.105"/>
    <n v="0.75"/>
    <n v="0"/>
    <n v="0"/>
    <n v="0"/>
    <n v="0"/>
    <n v="0"/>
    <n v="0"/>
    <n v="0"/>
    <n v="0"/>
    <n v="0"/>
    <n v="2.74"/>
    <n v="2.0550000000000002"/>
    <n v="0.75"/>
    <n v="-2.740000000000002"/>
    <n v="2.740000000000002"/>
    <x v="0"/>
    <n v="27.105"/>
    <n v="0"/>
    <n v="1"/>
  </r>
  <r>
    <s v="AJEET KUMAR"/>
    <d v="2026-06-17T00:00:00"/>
    <s v="SR-RTN/26-27/39300"/>
    <s v="B-299740"/>
    <s v="B-GOLD-FILING"/>
    <s v="GOLD-FILLING-WK"/>
    <x v="0"/>
    <s v="G-NA-91.70-YG"/>
    <n v="60.48"/>
    <n v="55.460160000000002"/>
    <n v="0.91700000000000004"/>
    <n v="57.43"/>
    <n v="52.663310000000003"/>
    <n v="52.663999999999994"/>
    <n v="0.91700000000000004"/>
    <n v="0"/>
    <n v="0"/>
    <n v="0"/>
    <n v="0"/>
    <n v="0"/>
    <n v="0"/>
    <n v="0"/>
    <n v="0"/>
    <n v="0"/>
    <n v="3.05"/>
    <n v="2.7968500000000001"/>
    <n v="0.91700000000000004"/>
    <n v="-3.0499999999999972"/>
    <n v="3.0499999999999972"/>
    <x v="0"/>
    <n v="52.663999999999994"/>
    <n v="0"/>
    <n v="1"/>
  </r>
  <r>
    <s v="AJEET KUMAR"/>
    <d v="2026-06-17T00:00:00"/>
    <s v="SR-RTN/26-27/39307"/>
    <s v="B-299738"/>
    <s v="B-GOLD-FILING"/>
    <s v="GOLD-FILLING-WK"/>
    <x v="1"/>
    <s v="G-NA-75.00-RG"/>
    <n v="18.16"/>
    <n v="13.62"/>
    <n v="0.75"/>
    <n v="17.18"/>
    <n v="12.885"/>
    <n v="12.885"/>
    <n v="0.75"/>
    <n v="0"/>
    <n v="0"/>
    <n v="0"/>
    <n v="0"/>
    <n v="0"/>
    <n v="0"/>
    <n v="0"/>
    <n v="0"/>
    <n v="0"/>
    <n v="0.98"/>
    <n v="0.73499999999999999"/>
    <n v="0.75"/>
    <n v="-0.98000000000000043"/>
    <n v="0.98000000000000043"/>
    <x v="0"/>
    <n v="12.885"/>
    <n v="0"/>
    <n v="1"/>
  </r>
  <r>
    <s v="AJEET KUMAR"/>
    <d v="2026-06-17T00:00:00"/>
    <s v="SR-RTN/26-27/39312"/>
    <s v="B-298142"/>
    <s v="B-GOLD-FILING"/>
    <s v="GOLD-FILLING-WK"/>
    <x v="0"/>
    <s v="G-NA-91.70-YG"/>
    <n v="214.77"/>
    <n v="196.94408999999999"/>
    <n v="0.91699999999999993"/>
    <n v="214.72"/>
    <n v="196.89823999999999"/>
    <n v="196.899"/>
    <n v="0.91699999999999993"/>
    <n v="0"/>
    <n v="0"/>
    <n v="0"/>
    <n v="0"/>
    <n v="0"/>
    <n v="0"/>
    <n v="0"/>
    <n v="0"/>
    <n v="0"/>
    <n v="0.05"/>
    <n v="4.5850000000000002E-2"/>
    <n v="0.91700000000000004"/>
    <n v="-5.0000000000011369E-2"/>
    <n v="5.0000000000011369E-2"/>
    <x v="1"/>
    <n v="79.320999999999998"/>
    <n v="117.578"/>
    <n v="5"/>
  </r>
  <r>
    <s v="AJEET KUMAR"/>
    <d v="2026-06-17T00:00:00"/>
    <s v="SR-RTN/26-27/39361"/>
    <s v="B-298142"/>
    <s v="B-GOLD-FILING"/>
    <s v="GOLD-FILLING-WK"/>
    <x v="0"/>
    <s v="G-NA-91.70-YG"/>
    <n v="214.72"/>
    <n v="196.89823999999999"/>
    <n v="0.91699999999999993"/>
    <n v="214.64"/>
    <n v="196.82488000000001"/>
    <n v="196.82500000000002"/>
    <n v="0.91700000000000004"/>
    <n v="0"/>
    <n v="0"/>
    <n v="0"/>
    <n v="0"/>
    <n v="0"/>
    <n v="0"/>
    <n v="0"/>
    <n v="0"/>
    <n v="0"/>
    <n v="0.08"/>
    <n v="7.3359999999999995E-2"/>
    <n v="0.91699999999999993"/>
    <n v="-8.0000000000012506E-2"/>
    <n v="8.0000000000012506E-2"/>
    <x v="1"/>
    <n v="79.320999999999998"/>
    <n v="117.50400000000002"/>
    <n v="5"/>
  </r>
  <r>
    <s v="AJEET KUMAR"/>
    <d v="2026-06-17T00:00:00"/>
    <s v="SR-RTN/26-27/39366"/>
    <s v="B-299760"/>
    <s v="B-GOLD-FILING"/>
    <s v="GOLD-FILLING-WK"/>
    <x v="0"/>
    <s v="G-NA-91.70-YG"/>
    <n v="435"/>
    <n v="398.89499999999998"/>
    <n v="0.91699999999999993"/>
    <n v="434.78"/>
    <n v="398.69326000000001"/>
    <n v="398.69399999999996"/>
    <n v="0.91700000000000004"/>
    <n v="0"/>
    <n v="0"/>
    <n v="0"/>
    <n v="0"/>
    <n v="0"/>
    <n v="0"/>
    <n v="0"/>
    <n v="0"/>
    <n v="0"/>
    <n v="0.22"/>
    <n v="0.20174"/>
    <n v="0.91700000000000004"/>
    <n v="-0.22000000000002728"/>
    <n v="0.22000000000002728"/>
    <x v="1"/>
    <n v="398.64799999999997"/>
    <n v="4.5999999999992269E-2"/>
    <n v="3"/>
  </r>
  <r>
    <s v="AJEET KUMAR"/>
    <d v="2026-06-17T00:00:00"/>
    <s v="SR-RTN/26-27/39368"/>
    <s v="B-299728"/>
    <s v="B-GOLD-FILING"/>
    <s v="GOLD-FILLING-WK"/>
    <x v="0"/>
    <s v="G-NA-91.70-YG"/>
    <n v="80.48"/>
    <n v="73.800160000000005"/>
    <n v="0.91700000000000004"/>
    <n v="80.48"/>
    <n v="73.800160000000005"/>
    <n v="73.801000000000002"/>
    <n v="0.91700000000000004"/>
    <n v="0"/>
    <n v="0"/>
    <n v="0"/>
    <n v="0"/>
    <n v="0"/>
    <n v="0"/>
    <n v="0"/>
    <n v="0"/>
    <n v="0"/>
    <n v="0"/>
    <n v="0"/>
    <n v="0"/>
    <n v="0"/>
    <n v="0"/>
    <x v="1"/>
    <n v="70.838999999999999"/>
    <n v="2.9620000000000033"/>
    <n v="3"/>
  </r>
  <r>
    <s v="AJEET KUMAR"/>
    <d v="2026-06-17T00:00:00"/>
    <s v="SR-RTN/26-27/39384"/>
    <s v="B-299741"/>
    <s v="B-GOLD-FILING"/>
    <s v="GOLD-FILLING-WK"/>
    <x v="1"/>
    <s v="G-NA-75.00-YG"/>
    <n v="29.69"/>
    <n v="22.267499999999998"/>
    <n v="0.74999999999999989"/>
    <n v="28.07"/>
    <n v="21.052499999999998"/>
    <n v="21.053000000000001"/>
    <n v="0.74999999999999989"/>
    <n v="0"/>
    <n v="0"/>
    <n v="0"/>
    <n v="0"/>
    <n v="0"/>
    <n v="0"/>
    <n v="0"/>
    <n v="0"/>
    <n v="0"/>
    <n v="1.62"/>
    <n v="1.2150000000000001"/>
    <n v="0.75"/>
    <n v="-1.620000000000001"/>
    <n v="1.620000000000001"/>
    <x v="0"/>
    <n v="21.053000000000001"/>
    <n v="0"/>
    <n v="1"/>
  </r>
  <r>
    <s v="AJEET KUMAR"/>
    <d v="2026-06-17T00:00:00"/>
    <s v="SR-RTN/26-27/39387"/>
    <s v="B-299759/1"/>
    <s v="B-GOLD-FILING"/>
    <s v="GOLD-FILLING-WK"/>
    <x v="0"/>
    <s v="G-NA-91.70-YG"/>
    <n v="36.36"/>
    <n v="33.342120000000001"/>
    <n v="0.91700000000000004"/>
    <n v="34.42"/>
    <n v="31.563140000000001"/>
    <n v="31.564"/>
    <n v="0.91699999999999993"/>
    <n v="0"/>
    <n v="0"/>
    <n v="0"/>
    <n v="0"/>
    <n v="0"/>
    <n v="0"/>
    <n v="0"/>
    <n v="0"/>
    <n v="0"/>
    <n v="1.94"/>
    <n v="1.77898"/>
    <n v="0.91700000000000004"/>
    <n v="-1.9399999999999977"/>
    <n v="1.9399999999999977"/>
    <x v="0"/>
    <n v="31.564"/>
    <n v="0"/>
    <n v="2"/>
  </r>
  <r>
    <s v="AJEET KUMAR"/>
    <d v="2026-06-17T00:00:00"/>
    <s v="SR-RTN/26-27/39396"/>
    <s v="B-299760"/>
    <s v="B-GOLD-FILING"/>
    <s v="GOLD-FILLING-WK"/>
    <x v="0"/>
    <s v="G-NA-91.70-YG"/>
    <n v="434.78"/>
    <n v="398.69326000000001"/>
    <n v="0.91700000000000004"/>
    <n v="434.73"/>
    <n v="398.64740999999998"/>
    <n v="398.64799999999997"/>
    <n v="0.91699999999999993"/>
    <n v="0"/>
    <n v="0"/>
    <n v="0"/>
    <n v="0"/>
    <n v="0"/>
    <n v="0"/>
    <n v="0"/>
    <n v="0"/>
    <n v="0"/>
    <n v="0.05"/>
    <n v="4.5850000000000002E-2"/>
    <n v="0.91700000000000004"/>
    <n v="-4.9999999999954525E-2"/>
    <n v="4.9999999999954525E-2"/>
    <x v="0"/>
    <n v="398.64799999999997"/>
    <n v="0"/>
    <n v="3"/>
  </r>
  <r>
    <s v="AJEET KUMAR"/>
    <d v="2026-06-17T00:00:00"/>
    <s v="SR-RTN/26-27/39409"/>
    <s v="B-299888"/>
    <s v="B-GOLD-FILING"/>
    <s v="GOLD-FILLING-WK"/>
    <x v="0"/>
    <s v="G-NA-91.70-YG"/>
    <n v="28.62"/>
    <n v="26.244540000000001"/>
    <n v="0.91700000000000004"/>
    <n v="25.95"/>
    <n v="23.796150000000001"/>
    <n v="23.797000000000001"/>
    <n v="0.91700000000000004"/>
    <n v="0"/>
    <n v="0"/>
    <n v="0"/>
    <n v="0"/>
    <n v="0"/>
    <n v="0"/>
    <n v="0"/>
    <n v="0"/>
    <n v="0"/>
    <n v="2.67"/>
    <n v="2.4483899999999998"/>
    <n v="0.91699999999999993"/>
    <n v="-2.6700000000000017"/>
    <n v="2.6700000000000017"/>
    <x v="0"/>
    <n v="23.797000000000001"/>
    <n v="0"/>
    <n v="1"/>
  </r>
  <r>
    <s v="AJEET KUMAR"/>
    <d v="2026-06-17T00:00:00"/>
    <s v="SR-RTN/26-27/39416"/>
    <s v="B-300341"/>
    <s v="B-GOLD-FILING"/>
    <s v="GOLD-FILLING-WK"/>
    <x v="0"/>
    <s v="G-NA-91.70-YG"/>
    <n v="19.721"/>
    <n v="18.084157000000001"/>
    <n v="0.91700000000000004"/>
    <n v="18.640999999999998"/>
    <n v="17.093796999999999"/>
    <n v="17.094000000000001"/>
    <n v="0.91700000000000004"/>
    <n v="0"/>
    <n v="0"/>
    <n v="0"/>
    <n v="0"/>
    <n v="0"/>
    <n v="0"/>
    <n v="0"/>
    <n v="0"/>
    <n v="0"/>
    <n v="1.08"/>
    <n v="0.99036000000000002"/>
    <n v="0.91699999999999993"/>
    <n v="-1.0800000000000018"/>
    <n v="1.0800000000000018"/>
    <x v="0"/>
    <n v="17.094000000000001"/>
    <n v="0"/>
    <n v="1"/>
  </r>
  <r>
    <s v="AJEET KUMAR"/>
    <d v="2026-06-17T00:00:00"/>
    <s v="SR-RTN/26-27/39417"/>
    <s v="B-299615"/>
    <s v="B-GOLD-FILING"/>
    <s v="GOLD-FILLING-WK"/>
    <x v="0"/>
    <s v="G-NA-91.70-YG"/>
    <n v="26.43"/>
    <n v="24.23631"/>
    <n v="0.91700000000000004"/>
    <n v="24.44"/>
    <n v="22.411480000000001"/>
    <n v="22.412000000000003"/>
    <n v="0.91700000000000004"/>
    <n v="0"/>
    <n v="0"/>
    <n v="0"/>
    <n v="0"/>
    <n v="0"/>
    <n v="0"/>
    <n v="0"/>
    <n v="0"/>
    <n v="0"/>
    <n v="1.99"/>
    <n v="1.82483"/>
    <n v="0.91699999999999993"/>
    <n v="-1.9899999999999984"/>
    <n v="1.9899999999999984"/>
    <x v="0"/>
    <n v="22.412000000000003"/>
    <n v="0"/>
    <n v="1"/>
  </r>
  <r>
    <s v="AJEET KUMAR"/>
    <d v="2026-06-17T00:00:00"/>
    <s v="SR-RTN/26-27/39420"/>
    <s v="B-299701"/>
    <s v="B-GOLD-FILING"/>
    <s v="GOLD-FILLING-WK"/>
    <x v="0"/>
    <s v="G-NA-91.70-YG"/>
    <n v="108.15"/>
    <n v="99.173550000000006"/>
    <n v="0.91700000000000004"/>
    <n v="100.6"/>
    <n v="92.250200000000007"/>
    <n v="92.251000000000005"/>
    <n v="0.91700000000000015"/>
    <n v="0"/>
    <n v="0"/>
    <n v="0"/>
    <n v="0"/>
    <n v="0"/>
    <n v="0"/>
    <n v="0"/>
    <n v="0"/>
    <n v="0"/>
    <n v="7.55"/>
    <n v="6.9233500000000001"/>
    <n v="0.91700000000000004"/>
    <n v="-7.5500000000000114"/>
    <n v="7.5500000000000114"/>
    <x v="0"/>
    <n v="92.251000000000005"/>
    <n v="0"/>
    <n v="1"/>
  </r>
  <r>
    <s v="AJEET KUMAR"/>
    <d v="2026-06-17T00:00:00"/>
    <s v="SR-RTN/26-27/39425"/>
    <s v="B-300310"/>
    <s v="B-GOLD-FILING"/>
    <s v="GOLD-FILLING-WK"/>
    <x v="0"/>
    <s v="G-NA-91.70-YG"/>
    <n v="13.88"/>
    <n v="12.727959999999999"/>
    <n v="0.91699999999999993"/>
    <n v="13.21"/>
    <n v="12.113569999999999"/>
    <n v="12.113999999999999"/>
    <n v="0.91699999999999993"/>
    <n v="0"/>
    <n v="0"/>
    <n v="0"/>
    <n v="0"/>
    <n v="0"/>
    <n v="0"/>
    <n v="0"/>
    <n v="0"/>
    <n v="0"/>
    <n v="0.67"/>
    <n v="0.61438999999999999"/>
    <n v="0.91699999999999993"/>
    <n v="-0.67"/>
    <n v="0.67"/>
    <x v="0"/>
    <n v="12.113999999999999"/>
    <n v="0"/>
    <n v="1"/>
  </r>
  <r>
    <s v="AJEET KUMAR"/>
    <d v="2026-06-17T00:00:00"/>
    <s v="SR-RTN/26-27/39435"/>
    <s v="B-299725"/>
    <s v="B-GOLD-FILING"/>
    <s v="GOLD-FILLING-WK"/>
    <x v="0"/>
    <s v="G-NA-91.70-YG"/>
    <n v="100.06"/>
    <n v="91.755020000000002"/>
    <n v="0.91700000000000004"/>
    <n v="96.89"/>
    <n v="88.848129999999998"/>
    <n v="88.849000000000004"/>
    <n v="0.91699999999999993"/>
    <n v="0"/>
    <n v="0"/>
    <n v="0"/>
    <n v="0"/>
    <n v="0"/>
    <n v="0"/>
    <n v="0"/>
    <n v="0"/>
    <n v="0"/>
    <n v="3.17"/>
    <n v="2.9068900000000002"/>
    <n v="0.91700000000000004"/>
    <n v="-3.1700000000000017"/>
    <n v="3.1700000000000017"/>
    <x v="0"/>
    <n v="88.849000000000004"/>
    <n v="0"/>
    <n v="2"/>
  </r>
  <r>
    <s v="AJEET KUMAR"/>
    <d v="2026-06-17T00:00:00"/>
    <s v="SR-RTN/26-27/39443"/>
    <s v="B-299729"/>
    <s v="B-GOLD-FILING"/>
    <s v="GOLD-FILLING-WK"/>
    <x v="0"/>
    <s v="G-NA-91.70-YG"/>
    <n v="105.42"/>
    <n v="96.670140000000004"/>
    <n v="0.91700000000000004"/>
    <n v="98.8"/>
    <n v="90.599599999999995"/>
    <n v="90.600000000000009"/>
    <n v="0.91699999999999993"/>
    <n v="0"/>
    <n v="0"/>
    <n v="0"/>
    <n v="0"/>
    <n v="0"/>
    <n v="0"/>
    <n v="0"/>
    <n v="0"/>
    <n v="0"/>
    <n v="6.62"/>
    <n v="6.0705400000000003"/>
    <n v="0.91700000000000004"/>
    <n v="-6.6200000000000045"/>
    <n v="6.6200000000000045"/>
    <x v="0"/>
    <n v="90.600000000000009"/>
    <n v="0"/>
    <n v="1"/>
  </r>
  <r>
    <s v="AJEET KUMAR"/>
    <d v="2026-06-17T00:00:00"/>
    <s v="SR-RTN/26-27/39455"/>
    <s v="B-299595"/>
    <s v="B-GOLD-FILING"/>
    <s v="GOLD-FILLING-WK"/>
    <x v="0"/>
    <s v="G-NA-91.70-YG"/>
    <n v="68.28"/>
    <n v="62.612760000000002"/>
    <n v="0.91700000000000004"/>
    <n v="63.57"/>
    <n v="58.293689999999998"/>
    <n v="58.293999999999997"/>
    <n v="0.91699999999999993"/>
    <n v="0"/>
    <n v="0"/>
    <n v="0"/>
    <n v="0"/>
    <n v="0"/>
    <n v="0"/>
    <n v="0"/>
    <n v="0"/>
    <n v="0"/>
    <n v="4.71"/>
    <n v="4.31907"/>
    <n v="0.91700000000000004"/>
    <n v="-4.7100000000000009"/>
    <n v="4.7100000000000009"/>
    <x v="0"/>
    <n v="58.293999999999997"/>
    <n v="0"/>
    <n v="2"/>
  </r>
  <r>
    <s v="AJEET KUMAR"/>
    <d v="2026-06-17T00:00:00"/>
    <s v="SR-RTN/26-27/39455"/>
    <s v="B-299656"/>
    <s v="B-GOLD-FILING"/>
    <s v="GOLD-FILLING-WK"/>
    <x v="1"/>
    <s v="G-NA-75.00-YG"/>
    <n v="32.76"/>
    <n v="24.57"/>
    <n v="0.75"/>
    <n v="30.21"/>
    <n v="22.657499999999999"/>
    <n v="22.658000000000001"/>
    <n v="0.74999999999999989"/>
    <n v="0"/>
    <n v="0"/>
    <n v="0"/>
    <n v="0"/>
    <n v="0"/>
    <n v="0"/>
    <n v="0"/>
    <n v="0"/>
    <n v="0"/>
    <n v="2.5499999999999998"/>
    <n v="1.9125000000000001"/>
    <n v="0.75000000000000011"/>
    <n v="-2.5499999999999972"/>
    <n v="2.5499999999999972"/>
    <x v="0"/>
    <n v="22.658000000000001"/>
    <n v="0"/>
    <n v="1"/>
  </r>
  <r>
    <s v="AJEET KUMAR"/>
    <d v="2026-06-17T00:00:00"/>
    <s v="SR-RTN/26-27/39455"/>
    <s v="B-300324"/>
    <s v="B-GOLD-FILING"/>
    <s v="GOLD-FILLING-WK"/>
    <x v="0"/>
    <s v="G-NA-91.70-YG"/>
    <n v="17.61"/>
    <n v="16.14837"/>
    <n v="0.91700000000000004"/>
    <n v="15.91"/>
    <n v="14.58947"/>
    <n v="14.59"/>
    <n v="0.91700000000000004"/>
    <n v="0"/>
    <n v="0"/>
    <n v="0"/>
    <n v="0"/>
    <n v="0"/>
    <n v="0"/>
    <n v="0"/>
    <n v="0"/>
    <n v="0"/>
    <n v="1.7"/>
    <n v="1.5589"/>
    <n v="0.91700000000000004"/>
    <n v="-1.6999999999999993"/>
    <n v="1.6999999999999993"/>
    <x v="0"/>
    <n v="14.59"/>
    <n v="0"/>
    <n v="1"/>
  </r>
  <r>
    <s v="AJEET KUMAR"/>
    <d v="2026-06-17T00:00:00"/>
    <s v="SR-RTN/26-27/39473"/>
    <s v="B-299641"/>
    <s v="B-GOLD-FILING"/>
    <s v="GOLD-FILLING-WK"/>
    <x v="1"/>
    <s v="G-NA-75.00-YG"/>
    <n v="24.83"/>
    <n v="18.622499999999999"/>
    <n v="0.75"/>
    <n v="22.56"/>
    <n v="16.920000000000002"/>
    <n v="16.920000000000002"/>
    <n v="0.75000000000000011"/>
    <n v="0"/>
    <n v="0"/>
    <n v="0"/>
    <n v="0"/>
    <n v="0"/>
    <n v="0"/>
    <n v="0"/>
    <n v="0"/>
    <n v="0"/>
    <n v="2.27"/>
    <n v="1.7024999999999999"/>
    <n v="0.75"/>
    <n v="-2.2699999999999996"/>
    <n v="2.2699999999999996"/>
    <x v="0"/>
    <n v="16.920000000000002"/>
    <n v="0"/>
    <n v="1"/>
  </r>
  <r>
    <s v="AJEET KUMAR"/>
    <d v="2026-06-17T00:00:00"/>
    <s v="SR-RTN/26-27/39473"/>
    <s v="B-300322"/>
    <s v="B-GOLD-FILING"/>
    <s v="GOLD-FILLING-WK"/>
    <x v="0"/>
    <s v="G-NA-91.70-YG"/>
    <n v="34.32"/>
    <n v="31.471440000000001"/>
    <n v="0.91700000000000004"/>
    <n v="30.84"/>
    <n v="28.280280000000001"/>
    <n v="28.281000000000002"/>
    <n v="0.91700000000000004"/>
    <n v="0"/>
    <n v="0"/>
    <n v="0"/>
    <n v="0"/>
    <n v="0"/>
    <n v="0"/>
    <n v="0"/>
    <n v="0"/>
    <n v="0"/>
    <n v="3.48"/>
    <n v="3.19116"/>
    <n v="0.91700000000000004"/>
    <n v="-3.4800000000000004"/>
    <n v="3.4800000000000004"/>
    <x v="0"/>
    <n v="28.281000000000002"/>
    <n v="0"/>
    <n v="1"/>
  </r>
  <r>
    <s v="AJEET KUMAR"/>
    <d v="2026-06-17T00:00:00"/>
    <s v="SR-RTN/26-27/39490"/>
    <s v="B-301963"/>
    <s v="B-GOLD-FILING"/>
    <s v="GOLD-FILLING-WK"/>
    <x v="0"/>
    <s v="G-NA-91.70-YG"/>
    <n v="406.33"/>
    <n v="372.60460999999998"/>
    <n v="0.91700000000000004"/>
    <n v="403.43"/>
    <n v="369.94531000000001"/>
    <n v="369.94599999999997"/>
    <n v="0.91700000000000004"/>
    <n v="0"/>
    <n v="0"/>
    <n v="0"/>
    <n v="0"/>
    <n v="0"/>
    <n v="0"/>
    <n v="0"/>
    <n v="0"/>
    <n v="0"/>
    <n v="2.9"/>
    <n v="2.6593"/>
    <n v="0.91700000000000004"/>
    <n v="-2.8999999999999773"/>
    <n v="2.8999999999999773"/>
    <x v="1"/>
    <n v="254.86199999999999"/>
    <n v="115.08399999999997"/>
    <n v="4"/>
  </r>
  <r>
    <s v="AJEET KUMAR"/>
    <d v="2026-06-17T00:00:00"/>
    <s v="SR-RTN/26-27/39506"/>
    <s v="B-299747"/>
    <s v="B-GOLD-FILING"/>
    <s v="GOLD-FILLING-WK"/>
    <x v="1"/>
    <s v="G-NA-75.00-RG"/>
    <n v="18.920000000000002"/>
    <n v="14.19"/>
    <n v="0.74999999999999989"/>
    <n v="17.84"/>
    <n v="13.38"/>
    <n v="13.38"/>
    <n v="0.75"/>
    <n v="0"/>
    <n v="0"/>
    <n v="0"/>
    <n v="0"/>
    <n v="0"/>
    <n v="0"/>
    <n v="0"/>
    <n v="0"/>
    <n v="0"/>
    <n v="1.08"/>
    <n v="0.81"/>
    <n v="0.75"/>
    <n v="-1.0800000000000018"/>
    <n v="1.0800000000000018"/>
    <x v="0"/>
    <n v="13.38"/>
    <n v="0"/>
    <n v="1"/>
  </r>
  <r>
    <s v="AJEET KUMAR"/>
    <d v="2026-06-17T00:00:00"/>
    <s v="SR-RTN/26-27/39512"/>
    <s v="B-300306"/>
    <s v="B-GOLD-FILING"/>
    <s v="GOLD-FILLING-WK"/>
    <x v="0"/>
    <s v="G-NA-91.70-YG"/>
    <n v="15.87"/>
    <n v="14.55279"/>
    <n v="0.91700000000000004"/>
    <n v="14.87"/>
    <n v="13.63579"/>
    <n v="13.635999999999999"/>
    <n v="0.91700000000000004"/>
    <n v="0"/>
    <n v="0"/>
    <n v="0"/>
    <n v="0"/>
    <n v="0"/>
    <n v="0"/>
    <n v="0"/>
    <n v="0"/>
    <n v="0"/>
    <n v="1"/>
    <n v="0.91700000000000004"/>
    <n v="0.91700000000000004"/>
    <n v="-1"/>
    <n v="1"/>
    <x v="0"/>
    <n v="13.635999999999999"/>
    <n v="0"/>
    <n v="1"/>
  </r>
  <r>
    <s v="AJEET KUMAR"/>
    <d v="2026-06-17T00:00:00"/>
    <s v="SR-RTN/26-27/39512"/>
    <s v="B-300309"/>
    <s v="B-GOLD-FILING"/>
    <s v="GOLD-FILLING-WK"/>
    <x v="0"/>
    <s v="G-NA-91.70-YG"/>
    <n v="13.76"/>
    <n v="12.61792"/>
    <n v="0.91700000000000004"/>
    <n v="13.09"/>
    <n v="12.00353"/>
    <n v="12.004"/>
    <n v="0.91699999999999993"/>
    <n v="0"/>
    <n v="0"/>
    <n v="0"/>
    <n v="0"/>
    <n v="0"/>
    <n v="0"/>
    <n v="0"/>
    <n v="0"/>
    <n v="0"/>
    <n v="0.67"/>
    <n v="0.61438999999999999"/>
    <n v="0.91699999999999993"/>
    <n v="-0.67"/>
    <n v="0.67"/>
    <x v="0"/>
    <n v="12.004"/>
    <n v="0"/>
    <n v="1"/>
  </r>
  <r>
    <s v="AJEET KUMAR"/>
    <d v="2026-06-17T00:00:00"/>
    <s v="SR-RTN/26-27/39512"/>
    <s v="B-300313"/>
    <s v="B-GOLD-FILING"/>
    <s v="GOLD-FILLING-WK"/>
    <x v="0"/>
    <s v="G-NA-91.70-YG"/>
    <n v="13.74"/>
    <n v="12.59958"/>
    <n v="0.91699999999999993"/>
    <n v="13.07"/>
    <n v="11.985189999999999"/>
    <n v="11.985999999999999"/>
    <n v="0.91699999999999993"/>
    <n v="0"/>
    <n v="0"/>
    <n v="0"/>
    <n v="0"/>
    <n v="0"/>
    <n v="0"/>
    <n v="0"/>
    <n v="0"/>
    <n v="0"/>
    <n v="0.67"/>
    <n v="0.61438999999999999"/>
    <n v="0.91699999999999993"/>
    <n v="-0.67"/>
    <n v="0.67"/>
    <x v="0"/>
    <n v="11.985999999999999"/>
    <n v="0"/>
    <n v="1"/>
  </r>
  <r>
    <s v="AJEET KUMAR"/>
    <d v="2026-06-17T00:00:00"/>
    <s v="SR-RTN/26-27/39512"/>
    <s v="B-300318"/>
    <s v="B-GOLD-FILING"/>
    <s v="GOLD-FILLING-WK"/>
    <x v="0"/>
    <s v="G-NA-91.70-YG"/>
    <n v="15.83"/>
    <n v="14.516109999999999"/>
    <n v="0.91699999999999993"/>
    <n v="14.99"/>
    <n v="13.74583"/>
    <n v="13.745999999999999"/>
    <n v="0.91699999999999993"/>
    <n v="0"/>
    <n v="0"/>
    <n v="0"/>
    <n v="0"/>
    <n v="0"/>
    <n v="0"/>
    <n v="0"/>
    <n v="0"/>
    <n v="0"/>
    <n v="0.84"/>
    <n v="0.77027999999999996"/>
    <n v="0.91700000000000004"/>
    <n v="-0.83999999999999986"/>
    <n v="0.83999999999999986"/>
    <x v="0"/>
    <n v="13.745999999999999"/>
    <n v="0"/>
    <n v="1"/>
  </r>
  <r>
    <s v="AJEET KUMAR"/>
    <d v="2026-06-17T00:00:00"/>
    <s v="SR-RTN/26-27/39574"/>
    <s v="B-299732"/>
    <s v="B-GOLD-FILING"/>
    <s v="GOLD-FILLING-WK"/>
    <x v="0"/>
    <s v="G-NA-91.70-YG"/>
    <n v="140.75"/>
    <n v="129.06774999999999"/>
    <n v="0.91699999999999993"/>
    <n v="133.75"/>
    <n v="122.64875000000001"/>
    <n v="122.649"/>
    <n v="0.91700000000000004"/>
    <n v="0"/>
    <n v="0"/>
    <n v="0"/>
    <n v="0"/>
    <n v="0"/>
    <n v="0"/>
    <n v="0"/>
    <n v="0"/>
    <n v="0"/>
    <n v="7"/>
    <n v="6.4189999999999996"/>
    <n v="0.91699999999999993"/>
    <n v="-7"/>
    <n v="7"/>
    <x v="0"/>
    <n v="122.649"/>
    <n v="0"/>
    <n v="2"/>
  </r>
  <r>
    <s v="AJEET KUMAR"/>
    <d v="2026-06-17T00:00:00"/>
    <s v="SR-RTN/26-27/39586"/>
    <s v="B-299731"/>
    <s v="B-GOLD-FILING"/>
    <s v="GOLD-FILLING-WK"/>
    <x v="0"/>
    <s v="G-NA-91.70-YG"/>
    <n v="108.18"/>
    <n v="99.201059999999998"/>
    <n v="0.91699999999999993"/>
    <n v="103.45"/>
    <n v="94.863650000000007"/>
    <n v="94.864000000000004"/>
    <n v="0.91700000000000004"/>
    <n v="0"/>
    <n v="0"/>
    <n v="0"/>
    <n v="0"/>
    <n v="0"/>
    <n v="0"/>
    <n v="0"/>
    <n v="0"/>
    <n v="0"/>
    <n v="4.7300000000000004"/>
    <n v="4.3374100000000002"/>
    <n v="0.91699999999999993"/>
    <n v="-4.730000000000004"/>
    <n v="4.730000000000004"/>
    <x v="0"/>
    <n v="94.864000000000004"/>
    <n v="0"/>
    <n v="1"/>
  </r>
  <r>
    <s v="AJEET KUMAR"/>
    <d v="2026-06-17T00:00:00"/>
    <s v="SR-RTN/26-27/39588"/>
    <s v="B-301963"/>
    <s v="B-GOLD-FILING"/>
    <s v="GOLD-FILLING-WK"/>
    <x v="0"/>
    <s v="G-NA-91.70-YG"/>
    <n v="403.43"/>
    <n v="369.94531000000001"/>
    <n v="0.91700000000000004"/>
    <n v="402.9"/>
    <n v="369.45929999999998"/>
    <n v="369.46"/>
    <n v="0.91700000000000004"/>
    <n v="0"/>
    <n v="0"/>
    <n v="0"/>
    <n v="0"/>
    <n v="0"/>
    <n v="0"/>
    <n v="0"/>
    <n v="0"/>
    <n v="0"/>
    <n v="0.53"/>
    <n v="0.48601"/>
    <n v="0.91699999999999993"/>
    <n v="-0.53000000000002956"/>
    <n v="0.53000000000002956"/>
    <x v="1"/>
    <n v="254.86199999999999"/>
    <n v="114.59799999999998"/>
    <n v="4"/>
  </r>
  <r>
    <s v="AJEET KUMAR"/>
    <d v="2026-06-17T00:00:00"/>
    <s v="SR-RTN/26-27/39600"/>
    <s v="B-301827"/>
    <s v="B-GOLD-FILING"/>
    <s v="GOLD-FILLING-WK"/>
    <x v="1"/>
    <s v="G-NA-75.00-RG"/>
    <n v="7.181"/>
    <n v="5.3857499999999998"/>
    <n v="0.75"/>
    <n v="6.891"/>
    <n v="5.1682499999999996"/>
    <n v="5.1690000000000005"/>
    <n v="0.74999999999999989"/>
    <n v="0"/>
    <n v="0"/>
    <n v="0"/>
    <n v="0"/>
    <n v="0"/>
    <n v="0"/>
    <n v="0"/>
    <n v="0"/>
    <n v="0"/>
    <n v="0.28999999999999998"/>
    <n v="0.2175"/>
    <n v="0.75"/>
    <n v="-0.29000000000000004"/>
    <n v="0.29000000000000004"/>
    <x v="0"/>
    <n v="5.1690000000000005"/>
    <n v="0"/>
    <n v="1"/>
  </r>
  <r>
    <s v="AJEET KUMAR"/>
    <d v="2026-06-17T00:00:00"/>
    <s v="SR-RTN/26-27/39601"/>
    <s v="B-301799"/>
    <s v="B-GOLD-FILING"/>
    <s v="GOLD-FILLING-WK"/>
    <x v="1"/>
    <s v="G-NA-75.00-RG"/>
    <n v="3.0139999999999998"/>
    <n v="2.2605"/>
    <n v="0.75"/>
    <n v="2.8340000000000001"/>
    <n v="2.1255000000000002"/>
    <n v="2.1259999999999999"/>
    <n v="0.75"/>
    <n v="0"/>
    <n v="0"/>
    <n v="0"/>
    <n v="0"/>
    <n v="0"/>
    <n v="0"/>
    <n v="0"/>
    <n v="0"/>
    <n v="0"/>
    <n v="0.18"/>
    <n v="0.13500000000000001"/>
    <n v="0.75000000000000011"/>
    <n v="-0.17999999999999972"/>
    <n v="0.17999999999999972"/>
    <x v="0"/>
    <n v="2.1259999999999999"/>
    <n v="0"/>
    <n v="1"/>
  </r>
  <r>
    <s v="AJEET KUMAR"/>
    <d v="2026-06-17T00:00:00"/>
    <s v="SR-RTN/26-27/39602"/>
    <s v="B-299697"/>
    <s v="B-GOLD-FILING"/>
    <s v="GOLD-FILLING-WK"/>
    <x v="0"/>
    <s v="G-NA-91.70-YG"/>
    <n v="42.44"/>
    <n v="38.917479999999998"/>
    <n v="0.91700000000000004"/>
    <n v="40.659999999999997"/>
    <n v="37.285220000000002"/>
    <n v="37.285999999999994"/>
    <n v="0.91700000000000015"/>
    <n v="0"/>
    <n v="0"/>
    <n v="0"/>
    <n v="0"/>
    <n v="0"/>
    <n v="0"/>
    <n v="0"/>
    <n v="0"/>
    <n v="0"/>
    <n v="1.78"/>
    <n v="1.63226"/>
    <n v="0.91700000000000004"/>
    <n v="-1.7800000000000011"/>
    <n v="1.7800000000000011"/>
    <x v="0"/>
    <n v="37.285999999999994"/>
    <n v="0"/>
    <n v="1"/>
  </r>
  <r>
    <s v="AJEET KUMAR"/>
    <d v="2026-06-17T00:00:00"/>
    <s v="SR-RTN/26-27/39603"/>
    <s v="B-299700"/>
    <s v="B-GOLD-FILING"/>
    <s v="GOLD-FILLING-WK"/>
    <x v="0"/>
    <s v="G-NA-91.70-YG"/>
    <n v="91.02"/>
    <n v="83.465339999999998"/>
    <n v="0.91700000000000004"/>
    <n v="85.65"/>
    <n v="78.541049999999998"/>
    <n v="78.542000000000002"/>
    <n v="0.91699999999999993"/>
    <n v="0"/>
    <n v="0"/>
    <n v="0"/>
    <n v="0"/>
    <n v="0"/>
    <n v="0"/>
    <n v="0"/>
    <n v="0"/>
    <n v="0"/>
    <n v="5.37"/>
    <n v="4.9242900000000001"/>
    <n v="0.91700000000000004"/>
    <n v="-5.3699999999999903"/>
    <n v="5.3699999999999903"/>
    <x v="0"/>
    <n v="78.542000000000002"/>
    <n v="0"/>
    <n v="1"/>
  </r>
  <r>
    <s v="AJEET KUMAR"/>
    <d v="2026-06-17T00:00:00"/>
    <s v="SR-RTN/26-27/39606"/>
    <s v="B-299693"/>
    <s v="B-GOLD-FILING"/>
    <s v="GOLD-FILLING-WK"/>
    <x v="1"/>
    <s v="G-NA-75.00-RG"/>
    <n v="50.98"/>
    <n v="38.234999999999999"/>
    <n v="0.75"/>
    <n v="47"/>
    <n v="35.25"/>
    <n v="35.25"/>
    <n v="0.75"/>
    <n v="0"/>
    <n v="0"/>
    <n v="0"/>
    <n v="0"/>
    <n v="0"/>
    <n v="0"/>
    <n v="0"/>
    <n v="0"/>
    <n v="0"/>
    <n v="3.98"/>
    <n v="2.9849999999999999"/>
    <n v="0.75"/>
    <n v="-3.9799999999999969"/>
    <n v="3.9799999999999969"/>
    <x v="0"/>
    <n v="35.25"/>
    <n v="0"/>
    <n v="1"/>
  </r>
  <r>
    <s v="AJEET KUMAR"/>
    <d v="2026-06-17T00:00:00"/>
    <s v="SR-RTN/26-27/39607"/>
    <s v="B-299689"/>
    <s v="B-GOLD-FILING"/>
    <s v="GOLD-FILLING-WK"/>
    <x v="1"/>
    <s v="G-NA-75.00-YG"/>
    <n v="47.61"/>
    <n v="35.707500000000003"/>
    <n v="0.75000000000000011"/>
    <n v="43.36"/>
    <n v="32.520000000000003"/>
    <n v="32.520000000000003"/>
    <n v="0.75000000000000011"/>
    <n v="0"/>
    <n v="0"/>
    <n v="0"/>
    <n v="0"/>
    <n v="0"/>
    <n v="0"/>
    <n v="0"/>
    <n v="0"/>
    <n v="0"/>
    <n v="4.25"/>
    <n v="3.1875"/>
    <n v="0.75"/>
    <n v="-4.25"/>
    <n v="4.25"/>
    <x v="0"/>
    <n v="32.520000000000003"/>
    <n v="0"/>
    <n v="1"/>
  </r>
  <r>
    <s v="AJEET KUMAR"/>
    <d v="2026-06-17T00:00:00"/>
    <s v="SR-RTN/26-27/39609"/>
    <s v="B-299736"/>
    <s v="B-GOLD-FILING"/>
    <s v="GOLD-FILLING-WK"/>
    <x v="0"/>
    <s v="G-NA-91.70-YG"/>
    <n v="70.81"/>
    <n v="64.932770000000005"/>
    <n v="0.91700000000000004"/>
    <n v="67.510000000000005"/>
    <n v="61.906669999999998"/>
    <n v="61.906999999999996"/>
    <n v="0.91699999999999993"/>
    <n v="0"/>
    <n v="0"/>
    <n v="0"/>
    <n v="0"/>
    <n v="0"/>
    <n v="0"/>
    <n v="0"/>
    <n v="0"/>
    <n v="0"/>
    <n v="3.3"/>
    <n v="3.0261"/>
    <n v="0.91700000000000004"/>
    <n v="-3.2999999999999972"/>
    <n v="3.2999999999999972"/>
    <x v="0"/>
    <n v="61.906999999999996"/>
    <n v="0"/>
    <n v="2"/>
  </r>
  <r>
    <s v="AJEET KUMAR"/>
    <d v="2026-06-17T00:00:00"/>
    <s v="SR-RTN/26-27/39620"/>
    <s v="B-298142"/>
    <s v="B-GOLD-FILING"/>
    <s v="GOLD-FILLING-WK"/>
    <x v="0"/>
    <s v="G-NA-91.70-YG"/>
    <n v="214.64"/>
    <n v="196.82488000000001"/>
    <n v="0.91700000000000004"/>
    <n v="214.32"/>
    <n v="196.53144"/>
    <n v="196.53200000000001"/>
    <n v="0.91700000000000004"/>
    <n v="0"/>
    <n v="0"/>
    <n v="0"/>
    <n v="0"/>
    <n v="0"/>
    <n v="0"/>
    <n v="0"/>
    <n v="0"/>
    <n v="0"/>
    <n v="0.32"/>
    <n v="0.29343999999999998"/>
    <n v="0.91699999999999993"/>
    <n v="-0.31999999999999318"/>
    <n v="0.31999999999999318"/>
    <x v="1"/>
    <n v="79.320999999999998"/>
    <n v="117.21100000000001"/>
    <n v="5"/>
  </r>
  <r>
    <s v="AJEET KUMAR"/>
    <d v="2026-06-17T00:00:00"/>
    <s v="SR-W/O-RTN/26-27/2762"/>
    <s v="NONE"/>
    <s v="B-GOLD-FILING"/>
    <s v="GOLD-FILLING-WK"/>
    <x v="1"/>
    <s v="G-NA-75.00-RG"/>
    <n v="12.04"/>
    <n v="9.0299999999999994"/>
    <n v="0.75"/>
    <n v="12.01"/>
    <n v="9.0075000000000003"/>
    <n v="9.0079999999999991"/>
    <n v="0.75"/>
    <n v="0"/>
    <n v="0"/>
    <n v="0"/>
    <n v="0"/>
    <n v="0"/>
    <n v="0"/>
    <n v="0"/>
    <n v="0"/>
    <n v="0"/>
    <n v="0.03"/>
    <n v="2.2499999999999999E-2"/>
    <n v="0.75"/>
    <n v="-2.9999999999999361E-2"/>
    <n v="2.9999999999999361E-2"/>
    <x v="1"/>
    <n v="0"/>
    <n v="9.0079999999999991"/>
    <n v="67"/>
  </r>
  <r>
    <s v="AJEET KUMAR"/>
    <d v="2026-06-17T00:00:00"/>
    <s v="SR-W/O-RTN/26-27/2762"/>
    <s v="NONE"/>
    <s v="B-GOLD-FILING"/>
    <s v="GOLD-FILLING-WK"/>
    <x v="1"/>
    <s v="G-NA-75.00-YG"/>
    <n v="6.07"/>
    <n v="4.5525000000000002"/>
    <n v="0.75"/>
    <n v="5.69"/>
    <n v="4.2675000000000001"/>
    <n v="4.2680000000000007"/>
    <n v="0.75"/>
    <n v="0"/>
    <n v="0"/>
    <n v="0"/>
    <n v="0"/>
    <n v="0"/>
    <n v="0"/>
    <n v="0"/>
    <n v="0"/>
    <n v="0"/>
    <n v="0.38"/>
    <n v="0.28499999999999998"/>
    <n v="0.74999999999999989"/>
    <n v="-0.37999999999999989"/>
    <n v="0.37999999999999989"/>
    <x v="1"/>
    <n v="0"/>
    <n v="4.2680000000000007"/>
    <n v="67"/>
  </r>
  <r>
    <s v="AJEET KUMAR"/>
    <d v="2026-06-17T00:00:00"/>
    <s v="SR-W/O-RTN/26-27/2762"/>
    <s v="NONE"/>
    <s v="B-GOLD-FILING"/>
    <s v="GOLD-FILLING-WK"/>
    <x v="0"/>
    <s v="G-NA-91.70-YG"/>
    <n v="17.579999999999998"/>
    <n v="16.12086"/>
    <n v="0.91700000000000015"/>
    <n v="11.14"/>
    <n v="10.21538"/>
    <n v="10.215999999999999"/>
    <n v="0.91699999999999993"/>
    <n v="0"/>
    <n v="0"/>
    <n v="0"/>
    <n v="0"/>
    <n v="0"/>
    <n v="0"/>
    <n v="0"/>
    <n v="0"/>
    <n v="0"/>
    <n v="6.44"/>
    <n v="5.9054799999999998"/>
    <n v="0.91699999999999993"/>
    <n v="-6.4399999999999977"/>
    <n v="6.4399999999999977"/>
    <x v="1"/>
    <n v="0"/>
    <n v="10.215999999999999"/>
    <n v="67"/>
  </r>
  <r>
    <s v="AJEET KUMAR"/>
    <d v="2026-06-17T00:00:00"/>
    <s v="SR-W/O-RTN/26-27/2817"/>
    <s v="NONE"/>
    <s v="B-GOLD-FILING"/>
    <s v="GOLD-FILLING-WK"/>
    <x v="1"/>
    <s v="G-NA-75.00-RG"/>
    <n v="12.01"/>
    <n v="9.0075000000000003"/>
    <n v="0.75"/>
    <n v="11.89"/>
    <n v="8.9175000000000004"/>
    <n v="8.9179999999999993"/>
    <n v="0.75"/>
    <n v="0"/>
    <n v="0"/>
    <n v="0"/>
    <n v="0"/>
    <n v="0"/>
    <n v="0"/>
    <n v="0"/>
    <n v="0"/>
    <n v="0"/>
    <n v="0.12"/>
    <n v="0.09"/>
    <n v="0.75"/>
    <n v="-0.11999999999999922"/>
    <n v="0.11999999999999922"/>
    <x v="1"/>
    <n v="0"/>
    <n v="8.9179999999999993"/>
    <n v="67"/>
  </r>
  <r>
    <s v="AJEET KUMAR"/>
    <d v="2026-06-17T00:00:00"/>
    <s v="SR-W/O-RTN/26-27/2817"/>
    <s v="NONE"/>
    <s v="B-GOLD-FILING"/>
    <s v="GOLD-FILLING-WK"/>
    <x v="1"/>
    <s v="G-NA-75.00-YG"/>
    <n v="5.69"/>
    <n v="4.2675000000000001"/>
    <n v="0.75"/>
    <n v="5.47"/>
    <n v="4.1025"/>
    <n v="4.1030000000000006"/>
    <n v="0.75"/>
    <n v="0"/>
    <n v="0"/>
    <n v="0"/>
    <n v="0"/>
    <n v="0"/>
    <n v="0"/>
    <n v="0"/>
    <n v="0"/>
    <n v="0"/>
    <n v="0.22"/>
    <n v="0.16500000000000001"/>
    <n v="0.75"/>
    <n v="-0.22000000000000064"/>
    <n v="0.22000000000000064"/>
    <x v="1"/>
    <n v="0"/>
    <n v="4.1030000000000006"/>
    <n v="67"/>
  </r>
  <r>
    <s v="AJEET KUMAR"/>
    <d v="2026-06-17T00:00:00"/>
    <s v="SR-W/O-RTN/26-27/2817"/>
    <s v="NONE"/>
    <s v="B-GOLD-FILING"/>
    <s v="GOLD-FILLING-WK"/>
    <x v="0"/>
    <s v="G-NA-91.70-YG"/>
    <n v="11.14"/>
    <n v="10.21538"/>
    <n v="0.91699999999999993"/>
    <n v="5.68"/>
    <n v="5.2085600000000003"/>
    <n v="5.2090000000000005"/>
    <n v="0.91700000000000015"/>
    <n v="0"/>
    <n v="0"/>
    <n v="0"/>
    <n v="0"/>
    <n v="0"/>
    <n v="0"/>
    <n v="0"/>
    <n v="0"/>
    <n v="0"/>
    <n v="5.46"/>
    <n v="5.0068200000000003"/>
    <n v="0.91700000000000004"/>
    <n v="-5.4600000000000009"/>
    <n v="5.4600000000000009"/>
    <x v="1"/>
    <n v="0"/>
    <n v="5.2090000000000005"/>
    <n v="67"/>
  </r>
  <r>
    <s v="AJEET KUMAR"/>
    <d v="2026-06-18T00:00:00"/>
    <s v="RTN-8851539"/>
    <s v="SR-42512"/>
    <s v="CAST-FILLING"/>
    <s v="GOLD-FILLING-WK"/>
    <x v="0"/>
    <s v="G-NA-91.70-YG"/>
    <n v="178.33"/>
    <n v="163.52860999999999"/>
    <n v="0.91699999999999982"/>
    <n v="178.33"/>
    <n v="163.52860999999999"/>
    <n v="163.529"/>
    <n v="0.91699999999999982"/>
    <n v="0"/>
    <n v="0"/>
    <n v="0"/>
    <n v="0"/>
    <n v="0"/>
    <n v="0"/>
    <n v="0"/>
    <n v="0"/>
    <n v="0"/>
    <n v="0"/>
    <n v="0"/>
    <n v="0"/>
    <n v="0"/>
    <n v="0"/>
    <x v="1"/>
    <n v="158.816"/>
    <n v="4.7129999999999939"/>
    <n v="2"/>
  </r>
  <r>
    <s v="AJEET KUMAR"/>
    <d v="2026-06-18T00:00:00"/>
    <s v="RTN-8859111"/>
    <s v="SR-42501"/>
    <s v="CAST-FILLING"/>
    <s v="GOLD-FILLING-WK"/>
    <x v="1"/>
    <s v="G-NA-75.00-RG"/>
    <n v="72.459999999999994"/>
    <n v="54.344999999999999"/>
    <n v="0.75"/>
    <n v="67.95"/>
    <n v="50.962499999999999"/>
    <n v="50.963000000000001"/>
    <n v="0.75"/>
    <n v="0"/>
    <n v="0"/>
    <n v="0"/>
    <n v="0"/>
    <n v="0"/>
    <n v="0"/>
    <n v="0"/>
    <n v="0"/>
    <n v="0"/>
    <n v="4.51"/>
    <n v="3.3824999999999998"/>
    <n v="0.75"/>
    <n v="-4.5099999999999909"/>
    <n v="4.5099999999999909"/>
    <x v="0"/>
    <n v="50.963000000000001"/>
    <n v="0"/>
    <n v="1"/>
  </r>
  <r>
    <s v="AJEET KUMAR"/>
    <d v="2026-06-18T00:00:00"/>
    <s v="RTN-8860525"/>
    <s v="SR-42493."/>
    <s v="CAST-FILLING"/>
    <s v="GOLD-FILLING-WK"/>
    <x v="0"/>
    <s v="G-NA-91.70-YG"/>
    <n v="159.84"/>
    <n v="146.57328000000001"/>
    <n v="0.91700000000000004"/>
    <n v="148.13"/>
    <n v="135.83520999999999"/>
    <n v="135.83600000000001"/>
    <n v="0.91699999999999993"/>
    <n v="0"/>
    <n v="0"/>
    <n v="0"/>
    <n v="0"/>
    <n v="0"/>
    <n v="0"/>
    <n v="0"/>
    <n v="0"/>
    <n v="0"/>
    <n v="11.71"/>
    <n v="10.73807"/>
    <n v="0.91699999999999993"/>
    <n v="-11.710000000000008"/>
    <n v="11.710000000000008"/>
    <x v="0"/>
    <n v="135.83600000000001"/>
    <n v="0"/>
    <n v="1"/>
  </r>
  <r>
    <s v="AJEET KUMAR"/>
    <d v="2026-06-18T00:00:00"/>
    <s v="RTN-8860538"/>
    <s v="SR-42450"/>
    <s v="CAST-FILLING"/>
    <s v="GOLD-FILLING-WK"/>
    <x v="0"/>
    <s v="G-NA-91.70-YG"/>
    <n v="180.93"/>
    <n v="165.91281000000001"/>
    <n v="0.91700000000000004"/>
    <n v="168"/>
    <n v="154.05600000000001"/>
    <n v="154.05600000000001"/>
    <n v="0.91700000000000004"/>
    <n v="0"/>
    <n v="0"/>
    <n v="0"/>
    <n v="0"/>
    <n v="0"/>
    <n v="0"/>
    <n v="0"/>
    <n v="0"/>
    <n v="0"/>
    <n v="12.93"/>
    <n v="11.856809999999999"/>
    <n v="0.91699999999999993"/>
    <n v="-12.930000000000007"/>
    <n v="12.930000000000007"/>
    <x v="0"/>
    <n v="154.05600000000001"/>
    <n v="0"/>
    <n v="1"/>
  </r>
  <r>
    <s v="AJEET KUMAR"/>
    <d v="2026-06-18T00:00:00"/>
    <s v="RTN-8861774"/>
    <s v="SR-42500"/>
    <s v="CAST-FILLING"/>
    <s v="GOLD-FILLING-WK"/>
    <x v="1"/>
    <s v="G-NA-75.00-RG"/>
    <n v="118.65"/>
    <n v="88.987499999999997"/>
    <n v="0.74999999999999989"/>
    <n v="110.36"/>
    <n v="82.77"/>
    <n v="82.77"/>
    <n v="0.75"/>
    <n v="0"/>
    <n v="0"/>
    <n v="0"/>
    <n v="0"/>
    <n v="0"/>
    <n v="0"/>
    <n v="0"/>
    <n v="0"/>
    <n v="0"/>
    <n v="8.2899999999999991"/>
    <n v="6.2175000000000002"/>
    <n v="0.75000000000000011"/>
    <n v="-8.2900000000000063"/>
    <n v="8.2900000000000063"/>
    <x v="0"/>
    <n v="82.77"/>
    <n v="0"/>
    <n v="1"/>
  </r>
  <r>
    <s v="AJEET KUMAR"/>
    <d v="2026-06-18T00:00:00"/>
    <s v="SR-RTN/26-27/39654"/>
    <s v="B-299709"/>
    <s v="B-GOLD-FILING"/>
    <s v="GOLD-FILLING-WK"/>
    <x v="0"/>
    <s v="G-NA-91.70-YG"/>
    <n v="80.69"/>
    <n v="73.992729999999995"/>
    <n v="0.91699999999999993"/>
    <n v="75.099999999999994"/>
    <n v="68.866699999999994"/>
    <n v="68.867000000000004"/>
    <n v="0.91700000000000004"/>
    <n v="0"/>
    <n v="0"/>
    <n v="0"/>
    <n v="0"/>
    <n v="0"/>
    <n v="0"/>
    <n v="0"/>
    <n v="0"/>
    <n v="0"/>
    <n v="5.59"/>
    <n v="5.1260300000000001"/>
    <n v="0.91700000000000004"/>
    <n v="-5.5900000000000034"/>
    <n v="5.5900000000000034"/>
    <x v="0"/>
    <n v="68.867000000000004"/>
    <n v="0"/>
    <n v="1"/>
  </r>
  <r>
    <s v="AJEET KUMAR"/>
    <d v="2026-06-18T00:00:00"/>
    <s v="SR-RTN/26-27/39654"/>
    <s v="B-299726"/>
    <s v="B-GOLD-FILING"/>
    <s v="GOLD-FILLING-WK"/>
    <x v="0"/>
    <s v="G-NA-91.70-YG"/>
    <n v="46.8"/>
    <n v="42.915599999999998"/>
    <n v="0.91700000000000004"/>
    <n v="43.4"/>
    <n v="39.797800000000002"/>
    <n v="39.797999999999995"/>
    <n v="0.91700000000000004"/>
    <n v="0"/>
    <n v="0"/>
    <n v="0"/>
    <n v="0"/>
    <n v="0"/>
    <n v="0"/>
    <n v="0"/>
    <n v="0"/>
    <n v="0"/>
    <n v="3.4"/>
    <n v="3.1177999999999999"/>
    <n v="0.91700000000000004"/>
    <n v="-3.3999999999999986"/>
    <n v="3.3999999999999986"/>
    <x v="0"/>
    <n v="39.797999999999995"/>
    <n v="0"/>
    <n v="1"/>
  </r>
  <r>
    <s v="AJEET KUMAR"/>
    <d v="2026-06-18T00:00:00"/>
    <s v="SR-RTN/26-27/39655"/>
    <s v="B-300299"/>
    <s v="B-GOLD-FILING"/>
    <s v="GOLD-FILLING-WK"/>
    <x v="1"/>
    <s v="G-NA-75.00-YG"/>
    <n v="14.83"/>
    <n v="11.1225"/>
    <n v="0.75"/>
    <n v="14.06"/>
    <n v="10.545"/>
    <n v="10.545"/>
    <n v="0.75"/>
    <n v="0"/>
    <n v="0"/>
    <n v="0"/>
    <n v="0"/>
    <n v="0"/>
    <n v="0"/>
    <n v="0"/>
    <n v="0"/>
    <n v="0"/>
    <n v="0.77"/>
    <n v="0.57750000000000001"/>
    <n v="0.75"/>
    <n v="-0.76999999999999957"/>
    <n v="0.76999999999999957"/>
    <x v="0"/>
    <n v="10.545"/>
    <n v="0"/>
    <n v="2"/>
  </r>
  <r>
    <s v="AJEET KUMAR"/>
    <d v="2026-06-18T00:00:00"/>
    <s v="SR-RTN/26-27/39656"/>
    <s v="B-300320"/>
    <s v="B-GOLD-FILING"/>
    <s v="GOLD-FILLING-WK"/>
    <x v="0"/>
    <s v="G-NA-91.70-YG"/>
    <n v="53.5"/>
    <n v="49.0595"/>
    <n v="0.91700000000000004"/>
    <n v="51.73"/>
    <n v="47.436410000000002"/>
    <n v="47.436999999999998"/>
    <n v="0.91700000000000015"/>
    <n v="0"/>
    <n v="0"/>
    <n v="0"/>
    <n v="0"/>
    <n v="0"/>
    <n v="0"/>
    <n v="0"/>
    <n v="0"/>
    <n v="0"/>
    <n v="1.77"/>
    <n v="1.6230899999999999"/>
    <n v="0.91699999999999993"/>
    <n v="-1.7700000000000031"/>
    <n v="1.7700000000000031"/>
    <x v="1"/>
    <n v="46.170999999999999"/>
    <n v="1.2659999999999982"/>
    <n v="2"/>
  </r>
  <r>
    <s v="AJEET KUMAR"/>
    <d v="2026-06-18T00:00:00"/>
    <s v="SR-RTN/26-27/39675"/>
    <s v="B-298146"/>
    <s v="B-GOLD-FILING"/>
    <s v="GOLD-FILLING-WK"/>
    <x v="0"/>
    <s v="G-NA-91.70-YG"/>
    <n v="117.28"/>
    <n v="107.54576"/>
    <n v="0.91700000000000004"/>
    <n v="113.95"/>
    <n v="104.49215"/>
    <n v="104.49300000000001"/>
    <n v="0.91699999999999993"/>
    <n v="0"/>
    <n v="0"/>
    <n v="0"/>
    <n v="0"/>
    <n v="0"/>
    <n v="0"/>
    <n v="0"/>
    <n v="0"/>
    <n v="0"/>
    <n v="3.33"/>
    <n v="3.0536099999999999"/>
    <n v="0.91699999999999993"/>
    <n v="-3.3299999999999983"/>
    <n v="3.3299999999999983"/>
    <x v="0"/>
    <n v="104.49300000000001"/>
    <n v="0"/>
    <n v="1"/>
  </r>
  <r>
    <s v="AJEET KUMAR"/>
    <d v="2026-06-18T00:00:00"/>
    <s v="SR-RTN/26-27/39689"/>
    <s v="B-299647"/>
    <s v="B-GOLD-FILING"/>
    <s v="GOLD-FILLING-WK"/>
    <x v="1"/>
    <s v="G-NA-75.00-RG"/>
    <n v="31.89"/>
    <n v="23.9175"/>
    <n v="0.75"/>
    <n v="28.16"/>
    <n v="21.12"/>
    <n v="21.12"/>
    <n v="0.75"/>
    <n v="0"/>
    <n v="0"/>
    <n v="0"/>
    <n v="0"/>
    <n v="0"/>
    <n v="0"/>
    <n v="0"/>
    <n v="0"/>
    <n v="0"/>
    <n v="3.73"/>
    <n v="2.7974999999999999"/>
    <n v="0.75"/>
    <n v="-3.7300000000000004"/>
    <n v="3.7300000000000004"/>
    <x v="0"/>
    <n v="21.12"/>
    <n v="0"/>
    <n v="1"/>
  </r>
  <r>
    <s v="AJEET KUMAR"/>
    <d v="2026-06-18T00:00:00"/>
    <s v="SR-RTN/26-27/39694"/>
    <s v="B-298449"/>
    <s v="B-GOLD-FILING"/>
    <s v="GOLD-FILLING-WK"/>
    <x v="0"/>
    <s v="G-NA-91.70-YG"/>
    <n v="42.85"/>
    <n v="39.29345"/>
    <n v="0.91699999999999993"/>
    <n v="40.74"/>
    <n v="37.358580000000003"/>
    <n v="37.358999999999995"/>
    <n v="0.91700000000000004"/>
    <n v="0"/>
    <n v="0"/>
    <n v="0"/>
    <n v="0"/>
    <n v="0"/>
    <n v="0"/>
    <n v="0"/>
    <n v="0"/>
    <n v="0"/>
    <n v="2.11"/>
    <n v="1.9348700000000001"/>
    <n v="0.91700000000000015"/>
    <n v="-2.1099999999999994"/>
    <n v="2.1099999999999994"/>
    <x v="1"/>
    <n v="33.387999999999998"/>
    <n v="3.9709999999999965"/>
    <n v="2"/>
  </r>
  <r>
    <s v="AJEET KUMAR"/>
    <d v="2026-06-18T00:00:00"/>
    <s v="SR-RTN/26-27/39710"/>
    <s v="B-300759"/>
    <s v="B-GOLD-FILING"/>
    <s v="GOLD-FILLING-WK"/>
    <x v="0"/>
    <s v="G-NA-91.70-YG"/>
    <n v="42.68"/>
    <n v="39.137560000000001"/>
    <n v="0.91700000000000004"/>
    <n v="38.729999999999997"/>
    <n v="35.515410000000003"/>
    <n v="35.515999999999998"/>
    <n v="0.91700000000000015"/>
    <n v="0"/>
    <n v="0"/>
    <n v="0"/>
    <n v="0"/>
    <n v="0"/>
    <n v="0"/>
    <n v="0"/>
    <n v="0"/>
    <n v="0"/>
    <n v="3.95"/>
    <n v="3.62215"/>
    <n v="0.91699999999999993"/>
    <n v="-3.9500000000000028"/>
    <n v="3.9500000000000028"/>
    <x v="1"/>
    <n v="35.305"/>
    <n v="0.21099999999999852"/>
    <n v="2"/>
  </r>
  <r>
    <s v="AJEET KUMAR"/>
    <d v="2026-06-18T00:00:00"/>
    <s v="SR-RTN/26-27/39719"/>
    <s v="B-300319"/>
    <s v="B-GOLD-FILING"/>
    <s v="GOLD-FILLING-WK"/>
    <x v="0"/>
    <s v="G-NA-91.70-YG"/>
    <n v="14.11"/>
    <n v="12.93887"/>
    <n v="0.91700000000000004"/>
    <n v="13.22"/>
    <n v="12.12274"/>
    <n v="12.122999999999999"/>
    <n v="0.91699999999999993"/>
    <n v="0"/>
    <n v="0"/>
    <n v="0"/>
    <n v="0"/>
    <n v="0"/>
    <n v="0"/>
    <n v="0"/>
    <n v="0"/>
    <n v="0"/>
    <n v="0.89"/>
    <n v="0.81613000000000002"/>
    <n v="0.91700000000000004"/>
    <n v="-0.88999999999999879"/>
    <n v="0.88999999999999879"/>
    <x v="1"/>
    <n v="10.985999999999999"/>
    <n v="1.1370000000000005"/>
    <n v="2"/>
  </r>
  <r>
    <s v="AJEET KUMAR"/>
    <d v="2026-06-18T00:00:00"/>
    <s v="SR-RTN/26-27/39720"/>
    <s v="B-300315"/>
    <s v="B-GOLD-FILING"/>
    <s v="GOLD-FILLING-WK"/>
    <x v="0"/>
    <s v="G-NA-91.70-YG"/>
    <n v="13.37"/>
    <n v="12.260289999999999"/>
    <n v="0.91700000000000004"/>
    <n v="12.82"/>
    <n v="11.755940000000001"/>
    <n v="11.756"/>
    <n v="0.91700000000000004"/>
    <n v="0"/>
    <n v="0"/>
    <n v="0"/>
    <n v="0"/>
    <n v="0"/>
    <n v="0"/>
    <n v="0"/>
    <n v="0"/>
    <n v="0"/>
    <n v="0.55000000000000004"/>
    <n v="0.50434999999999997"/>
    <n v="0.91699999999999982"/>
    <n v="-0.54999999999999893"/>
    <n v="0.54999999999999893"/>
    <x v="0"/>
    <n v="11.756"/>
    <n v="0"/>
    <n v="1"/>
  </r>
  <r>
    <s v="AJEET KUMAR"/>
    <d v="2026-06-18T00:00:00"/>
    <s v="SR-RTN/26-27/39721"/>
    <s v="B-300314"/>
    <s v="B-GOLD-FILING"/>
    <s v="GOLD-FILLING-WK"/>
    <x v="0"/>
    <s v="G-NA-91.70-YG"/>
    <n v="14.06"/>
    <n v="12.89302"/>
    <n v="0.91699999999999993"/>
    <n v="13.29"/>
    <n v="12.18693"/>
    <n v="12.186999999999999"/>
    <n v="0.91700000000000004"/>
    <n v="0"/>
    <n v="0"/>
    <n v="0"/>
    <n v="0"/>
    <n v="0"/>
    <n v="0"/>
    <n v="0"/>
    <n v="0"/>
    <n v="0"/>
    <n v="0.77"/>
    <n v="0.70609"/>
    <n v="0.91699999999999993"/>
    <n v="-0.77000000000000135"/>
    <n v="0.77000000000000135"/>
    <x v="0"/>
    <n v="12.186999999999999"/>
    <n v="0"/>
    <n v="1"/>
  </r>
  <r>
    <s v="AJEET KUMAR"/>
    <d v="2026-06-18T00:00:00"/>
    <s v="SR-RTN/26-27/39758"/>
    <s v="B-299475/1"/>
    <s v="B-GOLD-FILING"/>
    <s v="GOLD-FILLING-WK"/>
    <x v="0"/>
    <s v="G-NA-91.70-YG"/>
    <n v="47.15"/>
    <n v="43.236550000000001"/>
    <n v="0.91700000000000004"/>
    <n v="43.84"/>
    <n v="40.201279999999997"/>
    <n v="40.201999999999998"/>
    <n v="0.91699999999999982"/>
    <n v="0"/>
    <n v="0"/>
    <n v="0"/>
    <n v="0"/>
    <n v="0"/>
    <n v="0"/>
    <n v="0"/>
    <n v="0"/>
    <n v="0"/>
    <n v="3.31"/>
    <n v="3.0352700000000001"/>
    <n v="0.91700000000000004"/>
    <n v="-3.3099999999999952"/>
    <n v="3.3099999999999952"/>
    <x v="0"/>
    <n v="40.201999999999998"/>
    <n v="0"/>
    <n v="1"/>
  </r>
  <r>
    <s v="AJEET KUMAR"/>
    <d v="2026-06-18T00:00:00"/>
    <s v="SR-RTN/26-27/39777"/>
    <s v="B-299705"/>
    <s v="B-GOLD-FILING"/>
    <s v="GOLD-FILLING-WK"/>
    <x v="0"/>
    <s v="G-NA-91.70-YG"/>
    <n v="71.599999999999994"/>
    <n v="65.657200000000003"/>
    <n v="0.91700000000000015"/>
    <n v="63.47"/>
    <n v="58.201990000000002"/>
    <n v="58.201999999999998"/>
    <n v="0.91700000000000004"/>
    <n v="0"/>
    <n v="0"/>
    <n v="0"/>
    <n v="0"/>
    <n v="0"/>
    <n v="0"/>
    <n v="0"/>
    <n v="0"/>
    <n v="0"/>
    <n v="8.1300000000000008"/>
    <n v="7.4552100000000001"/>
    <n v="0.91699999999999993"/>
    <n v="-8.1299999999999955"/>
    <n v="8.1299999999999955"/>
    <x v="0"/>
    <n v="58.201999999999998"/>
    <n v="0"/>
    <n v="1"/>
  </r>
  <r>
    <s v="AJEET KUMAR"/>
    <d v="2026-06-18T00:00:00"/>
    <s v="SR-RTN/26-27/39778"/>
    <s v="B-299688"/>
    <s v="B-GOLD-FILING"/>
    <s v="GOLD-FILLING-WK"/>
    <x v="1"/>
    <s v="G-NA-75.00-YG"/>
    <n v="75.92"/>
    <n v="56.94"/>
    <n v="0.75"/>
    <n v="71.53"/>
    <n v="53.647500000000001"/>
    <n v="53.647999999999996"/>
    <n v="0.75"/>
    <n v="0"/>
    <n v="0"/>
    <n v="0"/>
    <n v="0"/>
    <n v="0"/>
    <n v="0"/>
    <n v="0"/>
    <n v="0"/>
    <n v="0"/>
    <n v="4.3899999999999997"/>
    <n v="3.2925"/>
    <n v="0.75"/>
    <n v="-4.3900000000000006"/>
    <n v="4.3900000000000006"/>
    <x v="1"/>
    <n v="50.768000000000001"/>
    <n v="2.8799999999999955"/>
    <n v="2"/>
  </r>
  <r>
    <s v="AJEET KUMAR"/>
    <d v="2026-06-18T00:00:00"/>
    <s v="SR-RTN/26-27/39780"/>
    <s v="B-300320"/>
    <s v="B-GOLD-FILING"/>
    <s v="GOLD-FILLING-WK"/>
    <x v="0"/>
    <s v="G-NA-91.70-YG"/>
    <n v="50.35"/>
    <n v="46.170949999999998"/>
    <n v="0.91699999999999993"/>
    <n v="50.35"/>
    <n v="46.170949999999998"/>
    <n v="46.170999999999999"/>
    <n v="0.91699999999999993"/>
    <n v="0"/>
    <n v="0"/>
    <n v="0"/>
    <n v="0"/>
    <n v="0"/>
    <n v="0"/>
    <n v="0"/>
    <n v="0"/>
    <n v="0"/>
    <n v="0"/>
    <n v="0"/>
    <n v="0"/>
    <n v="0"/>
    <n v="0"/>
    <x v="0"/>
    <n v="46.170999999999999"/>
    <n v="0"/>
    <n v="2"/>
  </r>
  <r>
    <s v="AJEET KUMAR"/>
    <d v="2026-06-18T00:00:00"/>
    <s v="SR-RTN/26-27/39784"/>
    <s v="B-299661"/>
    <s v="B-GOLD-FILING"/>
    <s v="GOLD-FILLING-WK"/>
    <x v="1"/>
    <s v="G-NA-75.00-RG"/>
    <n v="28.75"/>
    <n v="21.5625"/>
    <n v="0.75"/>
    <n v="25.31"/>
    <n v="18.982500000000002"/>
    <n v="18.983000000000001"/>
    <n v="0.75000000000000011"/>
    <n v="0"/>
    <n v="0"/>
    <n v="0"/>
    <n v="0"/>
    <n v="0"/>
    <n v="0"/>
    <n v="0"/>
    <n v="0"/>
    <n v="0"/>
    <n v="3.44"/>
    <n v="2.58"/>
    <n v="0.75"/>
    <n v="-3.4400000000000013"/>
    <n v="3.4400000000000013"/>
    <x v="0"/>
    <n v="18.983000000000001"/>
    <n v="0"/>
    <n v="1"/>
  </r>
  <r>
    <s v="AJEET KUMAR"/>
    <d v="2026-06-18T00:00:00"/>
    <s v="SR-RTN/26-27/39791"/>
    <s v="B-299728"/>
    <s v="B-GOLD-FILING"/>
    <s v="GOLD-FILLING-WK"/>
    <x v="0"/>
    <s v="G-NA-91.70-YG"/>
    <n v="80.430000000000007"/>
    <n v="73.754310000000004"/>
    <n v="0.91699999999999993"/>
    <n v="77.540000000000006"/>
    <n v="71.104179999999999"/>
    <n v="71.105000000000004"/>
    <n v="0.91699999999999993"/>
    <n v="0"/>
    <n v="0"/>
    <n v="0"/>
    <n v="0"/>
    <n v="0"/>
    <n v="0"/>
    <n v="0"/>
    <n v="0"/>
    <n v="0"/>
    <n v="2.89"/>
    <n v="2.6501299999999999"/>
    <n v="0.91699999999999993"/>
    <n v="-2.8900000000000006"/>
    <n v="2.8900000000000006"/>
    <x v="1"/>
    <n v="70.838999999999999"/>
    <n v="0.26600000000000534"/>
    <n v="3"/>
  </r>
  <r>
    <s v="AJEET KUMAR"/>
    <d v="2026-06-18T00:00:00"/>
    <s v="SR-RTN/26-27/39798"/>
    <s v="B-300307"/>
    <s v="B-GOLD-FILING"/>
    <s v="GOLD-FILLING-WK"/>
    <x v="0"/>
    <s v="G-NA-91.70-YG"/>
    <n v="13.04"/>
    <n v="11.95768"/>
    <n v="0.91700000000000004"/>
    <n v="12.36"/>
    <n v="11.33412"/>
    <n v="11.334999999999999"/>
    <n v="0.91700000000000004"/>
    <n v="0"/>
    <n v="0"/>
    <n v="0"/>
    <n v="0"/>
    <n v="0"/>
    <n v="0"/>
    <n v="0"/>
    <n v="0"/>
    <n v="0"/>
    <n v="0.68"/>
    <n v="0.62356"/>
    <n v="0.91699999999999993"/>
    <n v="-0.67999999999999972"/>
    <n v="0.67999999999999972"/>
    <x v="0"/>
    <n v="11.334999999999999"/>
    <n v="0"/>
    <n v="1"/>
  </r>
  <r>
    <s v="AJEET KUMAR"/>
    <d v="2026-06-18T00:00:00"/>
    <s v="SR-RTN/26-27/39799"/>
    <s v="B-299686"/>
    <s v="B-GOLD-FILING"/>
    <s v="GOLD-FILLING-WK"/>
    <x v="1"/>
    <s v="G-NA-75.00-YG"/>
    <n v="14.21"/>
    <n v="10.657500000000001"/>
    <n v="0.75"/>
    <n v="12.83"/>
    <n v="9.6225000000000005"/>
    <n v="9.6229999999999993"/>
    <n v="0.75"/>
    <n v="0"/>
    <n v="0"/>
    <n v="0"/>
    <n v="0"/>
    <n v="0"/>
    <n v="0"/>
    <n v="0"/>
    <n v="0"/>
    <n v="0"/>
    <n v="1.38"/>
    <n v="1.0349999999999999"/>
    <n v="0.75"/>
    <n v="-1.3800000000000008"/>
    <n v="1.3800000000000008"/>
    <x v="0"/>
    <n v="9.6229999999999993"/>
    <n v="0"/>
    <n v="1"/>
  </r>
  <r>
    <s v="AJEET KUMAR"/>
    <d v="2026-06-18T00:00:00"/>
    <s v="SR-RTN/26-27/39801"/>
    <s v="B-300089"/>
    <s v="B-GOLD-FILING"/>
    <s v="GOLD-FILLING-WK"/>
    <x v="1"/>
    <s v="G-NA-75.00-YG"/>
    <n v="19.260000000000002"/>
    <n v="14.445"/>
    <n v="0.75"/>
    <n v="17.25"/>
    <n v="12.9375"/>
    <n v="12.937999999999999"/>
    <n v="0.75"/>
    <n v="0"/>
    <n v="0"/>
    <n v="0"/>
    <n v="0"/>
    <n v="0"/>
    <n v="0"/>
    <n v="0"/>
    <n v="0"/>
    <n v="0"/>
    <n v="2.0099999999999998"/>
    <n v="1.5075000000000001"/>
    <n v="0.75000000000000011"/>
    <n v="-2.0100000000000016"/>
    <n v="2.0100000000000016"/>
    <x v="0"/>
    <n v="12.937999999999999"/>
    <n v="0"/>
    <n v="1"/>
  </r>
  <r>
    <s v="AJEET KUMAR"/>
    <d v="2026-06-18T00:00:00"/>
    <s v="SR-RTN/26-27/39812"/>
    <s v="B-299710"/>
    <s v="B-GOLD-FILING"/>
    <s v="GOLD-FILLING-WK"/>
    <x v="0"/>
    <s v="G-NA-91.70-YG"/>
    <n v="89.05"/>
    <n v="81.658850000000001"/>
    <n v="0.91700000000000004"/>
    <n v="80.48"/>
    <n v="73.800160000000005"/>
    <n v="73.801000000000002"/>
    <n v="0.91700000000000004"/>
    <n v="0"/>
    <n v="0"/>
    <n v="0"/>
    <n v="0"/>
    <n v="0"/>
    <n v="0"/>
    <n v="0"/>
    <n v="0"/>
    <n v="0"/>
    <n v="8.57"/>
    <n v="7.8586900000000002"/>
    <n v="0.91700000000000004"/>
    <n v="-8.5699999999999932"/>
    <n v="8.5699999999999932"/>
    <x v="0"/>
    <n v="73.801000000000002"/>
    <n v="0"/>
    <n v="1"/>
  </r>
  <r>
    <s v="AJEET KUMAR"/>
    <d v="2026-06-18T00:00:00"/>
    <s v="SR-RTN/26-27/39813"/>
    <s v="B-300321"/>
    <s v="B-GOLD-FILING"/>
    <s v="GOLD-FILLING-WK"/>
    <x v="0"/>
    <s v="G-NA-91.70-YG"/>
    <n v="16.03"/>
    <n v="14.69951"/>
    <n v="0.91699999999999993"/>
    <n v="15.04"/>
    <n v="13.791679999999999"/>
    <n v="13.792"/>
    <n v="0.91700000000000004"/>
    <n v="0"/>
    <n v="0"/>
    <n v="0"/>
    <n v="0"/>
    <n v="0"/>
    <n v="0"/>
    <n v="0"/>
    <n v="0"/>
    <n v="0"/>
    <n v="0.99"/>
    <n v="0.90783000000000003"/>
    <n v="0.91700000000000004"/>
    <n v="-0.99000000000000199"/>
    <n v="0.99000000000000199"/>
    <x v="0"/>
    <n v="13.792"/>
    <n v="0"/>
    <n v="1"/>
  </r>
  <r>
    <s v="AJEET KUMAR"/>
    <d v="2026-06-18T00:00:00"/>
    <s v="SR-RTN/26-27/39825"/>
    <s v="B-300319"/>
    <s v="B-GOLD-FILING"/>
    <s v="GOLD-FILLING-WK"/>
    <x v="0"/>
    <s v="G-NA-91.70-YG"/>
    <n v="11.98"/>
    <n v="10.985659999999999"/>
    <n v="0.91699999999999993"/>
    <n v="11.98"/>
    <n v="10.985659999999999"/>
    <n v="10.985999999999999"/>
    <n v="0.91699999999999993"/>
    <n v="0"/>
    <n v="0"/>
    <n v="0"/>
    <n v="0"/>
    <n v="0"/>
    <n v="0"/>
    <n v="0"/>
    <n v="0"/>
    <n v="0"/>
    <n v="0"/>
    <n v="0"/>
    <n v="0"/>
    <n v="0"/>
    <n v="0"/>
    <x v="0"/>
    <n v="10.985999999999999"/>
    <n v="0"/>
    <n v="2"/>
  </r>
  <r>
    <s v="AJEET KUMAR"/>
    <d v="2026-06-18T00:00:00"/>
    <s v="SR-RTN/26-27/39893"/>
    <s v="B-300299"/>
    <s v="B-GOLD-FILING"/>
    <s v="GOLD-FILLING-WK"/>
    <x v="1"/>
    <s v="G-NA-75.00-YG"/>
    <n v="14.4"/>
    <n v="10.8"/>
    <n v="0.75"/>
    <n v="14.37"/>
    <n v="10.7775"/>
    <n v="10.777999999999999"/>
    <n v="0.75"/>
    <n v="0"/>
    <n v="0"/>
    <n v="0"/>
    <n v="0"/>
    <n v="0"/>
    <n v="0"/>
    <n v="0"/>
    <n v="0"/>
    <n v="0"/>
    <n v="0.03"/>
    <n v="2.2499999999999999E-2"/>
    <n v="0.75"/>
    <n v="-3.0000000000001137E-2"/>
    <n v="3.0000000000001137E-2"/>
    <x v="1"/>
    <n v="10.545"/>
    <n v="0.23299999999999876"/>
    <n v="2"/>
  </r>
  <r>
    <s v="AJEET KUMAR"/>
    <d v="2026-06-18T00:00:00"/>
    <s v="SR-RTN/26-27/39897"/>
    <s v="B-299913"/>
    <s v="B-GOLD-FILING"/>
    <s v="GOLD-FILLING-WK"/>
    <x v="0"/>
    <s v="G-NA-91.70-YG"/>
    <n v="28.62"/>
    <n v="26.244540000000001"/>
    <n v="0.91700000000000004"/>
    <n v="28.62"/>
    <n v="26.244540000000001"/>
    <n v="26.245000000000001"/>
    <n v="0.91700000000000004"/>
    <n v="0"/>
    <n v="0"/>
    <n v="0"/>
    <n v="0"/>
    <n v="0"/>
    <n v="0"/>
    <n v="0"/>
    <n v="0"/>
    <n v="0"/>
    <n v="0"/>
    <n v="0"/>
    <n v="0"/>
    <n v="0"/>
    <n v="0"/>
    <x v="1"/>
    <n v="25.383000000000003"/>
    <n v="0.86199999999999832"/>
    <n v="3"/>
  </r>
  <r>
    <s v="AJEET KUMAR"/>
    <d v="2026-06-18T00:00:00"/>
    <s v="SR-RTN/26-27/39902"/>
    <s v="B-299715"/>
    <s v="B-GOLD-FILING"/>
    <s v="GOLD-FILLING-WK"/>
    <x v="0"/>
    <s v="G-NA-91.70-YG"/>
    <n v="65.430000000000007"/>
    <n v="59.999310000000001"/>
    <n v="0.91699999999999993"/>
    <n v="60.6"/>
    <n v="55.5702"/>
    <n v="55.570999999999998"/>
    <n v="0.91699999999999993"/>
    <n v="0"/>
    <n v="0"/>
    <n v="0"/>
    <n v="0"/>
    <n v="0"/>
    <n v="0"/>
    <n v="0"/>
    <n v="0"/>
    <n v="0"/>
    <n v="4.83"/>
    <n v="4.4291099999999997"/>
    <n v="0.91699999999999993"/>
    <n v="-4.8300000000000054"/>
    <n v="4.8300000000000054"/>
    <x v="0"/>
    <n v="55.570999999999998"/>
    <n v="0"/>
    <n v="1"/>
  </r>
  <r>
    <s v="AJEET KUMAR"/>
    <d v="2026-06-18T00:00:00"/>
    <s v="SR-RTN/26-27/39903"/>
    <s v="B-299695"/>
    <s v="B-GOLD-FILING"/>
    <s v="GOLD-FILLING-WK"/>
    <x v="0"/>
    <s v="G-NA-91.70-YG"/>
    <n v="64.75"/>
    <n v="59.375749999999996"/>
    <n v="0.91699999999999993"/>
    <n v="62.14"/>
    <n v="56.982379999999999"/>
    <n v="56.982999999999997"/>
    <n v="0.91699999999999993"/>
    <n v="0"/>
    <n v="0"/>
    <n v="0"/>
    <n v="0"/>
    <n v="0"/>
    <n v="0"/>
    <n v="0"/>
    <n v="0"/>
    <n v="0"/>
    <n v="2.61"/>
    <n v="2.39337"/>
    <n v="0.91700000000000004"/>
    <n v="-2.6099999999999994"/>
    <n v="2.6099999999999994"/>
    <x v="0"/>
    <n v="56.982999999999997"/>
    <n v="0"/>
    <n v="1"/>
  </r>
  <r>
    <s v="AJEET KUMAR"/>
    <d v="2026-06-18T00:00:00"/>
    <s v="SR-RTN/26-27/39906"/>
    <s v="B-300746"/>
    <s v="B-GOLD-FILING"/>
    <s v="GOLD-FILLING-WK"/>
    <x v="0"/>
    <s v="G-NA-91.70-YG"/>
    <n v="47.86"/>
    <n v="43.887619999999998"/>
    <n v="0.91699999999999993"/>
    <n v="43.69"/>
    <n v="40.06373"/>
    <n v="40.064"/>
    <n v="0.91700000000000004"/>
    <n v="0"/>
    <n v="0"/>
    <n v="0"/>
    <n v="0"/>
    <n v="0"/>
    <n v="0"/>
    <n v="0"/>
    <n v="0"/>
    <n v="0"/>
    <n v="4.17"/>
    <n v="3.82389"/>
    <n v="0.91700000000000004"/>
    <n v="-4.1700000000000017"/>
    <n v="4.1700000000000017"/>
    <x v="0"/>
    <n v="40.064"/>
    <n v="0"/>
    <n v="1"/>
  </r>
  <r>
    <s v="AJEET KUMAR"/>
    <d v="2026-06-18T00:00:00"/>
    <s v="SR-RTN/26-27/39907"/>
    <s v="B-300908"/>
    <s v="B-GOLD-FILING"/>
    <s v="GOLD-FILLING-WK"/>
    <x v="0"/>
    <s v="G-NA-91.70-YG"/>
    <n v="58.61"/>
    <n v="53.745370000000001"/>
    <n v="0.91700000000000004"/>
    <n v="55.48"/>
    <n v="50.875160000000001"/>
    <n v="50.875999999999998"/>
    <n v="0.91700000000000004"/>
    <n v="0"/>
    <n v="0"/>
    <n v="0"/>
    <n v="0"/>
    <n v="0"/>
    <n v="0"/>
    <n v="0"/>
    <n v="0"/>
    <n v="0"/>
    <n v="3.13"/>
    <n v="2.8702100000000002"/>
    <n v="0.91700000000000004"/>
    <n v="-3.1300000000000026"/>
    <n v="3.1300000000000026"/>
    <x v="0"/>
    <n v="50.875999999999998"/>
    <n v="0"/>
    <n v="2"/>
  </r>
  <r>
    <s v="AJEET KUMAR"/>
    <d v="2026-06-18T00:00:00"/>
    <s v="SR-RTN/26-27/39918"/>
    <s v="B-299645"/>
    <s v="B-GOLD-FILING"/>
    <s v="GOLD-FILLING-WK"/>
    <x v="1"/>
    <s v="G-NA-75.00-RG"/>
    <n v="32.69"/>
    <n v="24.517499999999998"/>
    <n v="0.75"/>
    <n v="30.92"/>
    <n v="23.19"/>
    <n v="23.19"/>
    <n v="0.75"/>
    <n v="0"/>
    <n v="0"/>
    <n v="0"/>
    <n v="0"/>
    <n v="0"/>
    <n v="0"/>
    <n v="0"/>
    <n v="0"/>
    <n v="0"/>
    <n v="1.77"/>
    <n v="1.3274999999999999"/>
    <n v="0.74999999999999989"/>
    <n v="-1.769999999999996"/>
    <n v="1.769999999999996"/>
    <x v="1"/>
    <n v="22.673000000000002"/>
    <n v="0.51699999999999946"/>
    <n v="2"/>
  </r>
  <r>
    <s v="AJEET KUMAR"/>
    <d v="2026-06-18T00:00:00"/>
    <s v="SR-RTN/26-27/39946"/>
    <s v="B-300908"/>
    <s v="B-GOLD-FILING"/>
    <s v="GOLD-FILLING-WK"/>
    <x v="0"/>
    <s v="G-NA-91.70-YG"/>
    <n v="55.48"/>
    <n v="50.875160000000001"/>
    <n v="0.91700000000000004"/>
    <n v="55.48"/>
    <n v="50.875160000000001"/>
    <n v="50.875999999999998"/>
    <n v="0.91700000000000004"/>
    <n v="0"/>
    <n v="0"/>
    <n v="0"/>
    <n v="0"/>
    <n v="0"/>
    <n v="0"/>
    <n v="0"/>
    <n v="0"/>
    <n v="0"/>
    <n v="0"/>
    <n v="0"/>
    <n v="0"/>
    <n v="0"/>
    <n v="0"/>
    <x v="1"/>
    <n v="50.875999999999998"/>
    <n v="0"/>
    <n v="2"/>
  </r>
  <r>
    <s v="AJEET KUMAR"/>
    <d v="2026-06-18T00:00:00"/>
    <s v="SR-RTN/26-27/39951"/>
    <s v="B-299728"/>
    <s v="B-GOLD-FILING"/>
    <s v="GOLD-FILLING-WK"/>
    <x v="0"/>
    <s v="G-NA-91.70-YG"/>
    <n v="77.430000000000007"/>
    <n v="71.003309999999999"/>
    <n v="0.91699999999999993"/>
    <n v="77.25"/>
    <n v="70.838250000000002"/>
    <n v="70.838999999999999"/>
    <n v="0.91700000000000004"/>
    <n v="0"/>
    <n v="0"/>
    <n v="0"/>
    <n v="0"/>
    <n v="0"/>
    <n v="0"/>
    <n v="0"/>
    <n v="0"/>
    <n v="0"/>
    <n v="0.18"/>
    <n v="0.16506000000000001"/>
    <n v="0.91700000000000015"/>
    <n v="-0.18000000000000682"/>
    <n v="0.18000000000000682"/>
    <x v="0"/>
    <n v="70.838999999999999"/>
    <n v="0"/>
    <n v="3"/>
  </r>
  <r>
    <s v="AJEET KUMAR"/>
    <d v="2026-06-18T00:00:00"/>
    <s v="SR-RTN/26-27/39958"/>
    <s v="B-299692"/>
    <s v="B-GOLD-FILING"/>
    <s v="GOLD-FILLING-WK"/>
    <x v="1"/>
    <s v="G-NA-75.00-RG"/>
    <n v="93.37"/>
    <n v="70.027500000000003"/>
    <n v="0.75"/>
    <n v="88.05"/>
    <n v="66.037499999999994"/>
    <n v="66.038000000000011"/>
    <n v="0.75"/>
    <n v="0"/>
    <n v="0"/>
    <n v="0"/>
    <n v="0"/>
    <n v="0"/>
    <n v="0"/>
    <n v="0"/>
    <n v="0"/>
    <n v="0"/>
    <n v="5.32"/>
    <n v="3.99"/>
    <n v="0.75"/>
    <n v="-5.3200000000000074"/>
    <n v="5.3200000000000074"/>
    <x v="0"/>
    <n v="66.038000000000011"/>
    <n v="0"/>
    <n v="1"/>
  </r>
  <r>
    <s v="AJEET KUMAR"/>
    <d v="2026-06-18T00:00:00"/>
    <s v="SR-RTN/26-27/39967"/>
    <s v="B-299759/1"/>
    <s v="B-GOLD-FILING"/>
    <s v="GOLD-FILLING-WK"/>
    <x v="0"/>
    <s v="G-NA-91.70-YG"/>
    <n v="34.42"/>
    <n v="31.563140000000001"/>
    <n v="0.91699999999999993"/>
    <n v="34.42"/>
    <n v="31.563140000000001"/>
    <n v="31.564"/>
    <n v="0.91699999999999993"/>
    <n v="0"/>
    <n v="0"/>
    <n v="0"/>
    <n v="0"/>
    <n v="0"/>
    <n v="0"/>
    <n v="0"/>
    <n v="0"/>
    <n v="0"/>
    <n v="0"/>
    <n v="0"/>
    <n v="0"/>
    <n v="0"/>
    <n v="0"/>
    <x v="1"/>
    <n v="31.564"/>
    <n v="0"/>
    <n v="2"/>
  </r>
  <r>
    <s v="AJEET KUMAR"/>
    <d v="2026-06-18T00:00:00"/>
    <s v="SR-RTN/26-27/39967"/>
    <s v="B-300896"/>
    <s v="B-GOLD-FILING"/>
    <s v="GOLD-FILLING-WK"/>
    <x v="0"/>
    <s v="G-NA-91.70-YG"/>
    <n v="53.32"/>
    <n v="48.894440000000003"/>
    <n v="0.91700000000000004"/>
    <n v="51.37"/>
    <n v="47.106290000000001"/>
    <n v="47.106999999999999"/>
    <n v="0.91700000000000004"/>
    <n v="0"/>
    <n v="0"/>
    <n v="0"/>
    <n v="0"/>
    <n v="0"/>
    <n v="0"/>
    <n v="0"/>
    <n v="0"/>
    <n v="0"/>
    <n v="1.95"/>
    <n v="1.7881499999999999"/>
    <n v="0.91699999999999993"/>
    <n v="-1.9500000000000028"/>
    <n v="1.9500000000000028"/>
    <x v="0"/>
    <n v="47.106999999999999"/>
    <n v="0"/>
    <n v="1"/>
  </r>
  <r>
    <s v="AJEET KUMAR"/>
    <d v="2026-06-18T00:00:00"/>
    <s v="SR-RTN/26-27/39969"/>
    <s v="B-300303"/>
    <s v="B-GOLD-FILING"/>
    <s v="GOLD-FILLING-WK"/>
    <x v="0"/>
    <s v="G-NA-91.70-YG"/>
    <n v="8.81"/>
    <n v="8.0787700000000005"/>
    <n v="0.91700000000000004"/>
    <n v="8.76"/>
    <n v="8.0329200000000007"/>
    <n v="8.0329999999999995"/>
    <n v="0.91700000000000015"/>
    <n v="0"/>
    <n v="0"/>
    <n v="0"/>
    <n v="0"/>
    <n v="0"/>
    <n v="0"/>
    <n v="0"/>
    <n v="0"/>
    <n v="0"/>
    <n v="0.05"/>
    <n v="4.5850000000000002E-2"/>
    <n v="0.91700000000000004"/>
    <n v="-5.0000000000000711E-2"/>
    <n v="5.0000000000000711E-2"/>
    <x v="0"/>
    <n v="8.0329999999999995"/>
    <n v="0"/>
    <n v="2"/>
  </r>
  <r>
    <s v="AJEET KUMAR"/>
    <d v="2026-06-18T00:00:00"/>
    <s v="SR-RTN/26-27/39969"/>
    <s v="B-300312"/>
    <s v="B-GOLD-FILING"/>
    <s v="GOLD-FILLING-WK"/>
    <x v="0"/>
    <s v="G-NA-91.70-YG"/>
    <n v="13.48"/>
    <n v="12.36116"/>
    <n v="0.91699999999999993"/>
    <n v="12.33"/>
    <n v="11.306609999999999"/>
    <n v="11.306999999999999"/>
    <n v="0.91699999999999993"/>
    <n v="0"/>
    <n v="0"/>
    <n v="0"/>
    <n v="0"/>
    <n v="0"/>
    <n v="0"/>
    <n v="0"/>
    <n v="0"/>
    <n v="0"/>
    <n v="1.1499999999999999"/>
    <n v="1.0545500000000001"/>
    <n v="0.91700000000000015"/>
    <n v="-1.1500000000000004"/>
    <n v="1.1500000000000004"/>
    <x v="0"/>
    <n v="11.306999999999999"/>
    <n v="0"/>
    <n v="1"/>
  </r>
  <r>
    <s v="AJEET KUMAR"/>
    <d v="2026-06-18T00:00:00"/>
    <s v="SR-RTN/26-27/39972"/>
    <s v="B-300760"/>
    <s v="B-GOLD-FILING"/>
    <s v="GOLD-FILLING-WK"/>
    <x v="0"/>
    <s v="G-NA-91.70-YG"/>
    <n v="43.33"/>
    <n v="39.733609999999999"/>
    <n v="0.91700000000000004"/>
    <n v="39.22"/>
    <n v="35.964739999999999"/>
    <n v="35.964999999999996"/>
    <n v="0.91700000000000004"/>
    <n v="0"/>
    <n v="0"/>
    <n v="0"/>
    <n v="0"/>
    <n v="0"/>
    <n v="0"/>
    <n v="0"/>
    <n v="0"/>
    <n v="0"/>
    <n v="4.1100000000000003"/>
    <n v="3.7688700000000002"/>
    <n v="0.91699999999999993"/>
    <n v="-4.1099999999999994"/>
    <n v="4.1099999999999994"/>
    <x v="0"/>
    <n v="35.964999999999996"/>
    <n v="0"/>
    <n v="1"/>
  </r>
  <r>
    <s v="AJEET KUMAR"/>
    <d v="2026-06-18T00:00:00"/>
    <s v="SR-RTN/26-27/39987"/>
    <s v="B-299759"/>
    <s v="B-GOLD-FILING"/>
    <s v="GOLD-FILLING-WK"/>
    <x v="0"/>
    <s v="G-NA-91.70-YG"/>
    <n v="493.52"/>
    <n v="452.55784"/>
    <n v="0.91700000000000004"/>
    <n v="462.68"/>
    <n v="424.27755999999999"/>
    <n v="424.27799999999996"/>
    <n v="0.91699999999999993"/>
    <n v="0"/>
    <n v="0"/>
    <n v="0"/>
    <n v="0"/>
    <n v="0"/>
    <n v="0"/>
    <n v="0"/>
    <n v="0"/>
    <n v="0"/>
    <n v="30.84"/>
    <n v="28.280280000000001"/>
    <n v="0.91700000000000004"/>
    <n v="-30.839999999999975"/>
    <n v="30.839999999999975"/>
    <x v="1"/>
    <n v="424.16799999999995"/>
    <n v="0.11000000000001364"/>
    <n v="2"/>
  </r>
  <r>
    <s v="AJEET KUMAR"/>
    <d v="2026-06-18T00:00:00"/>
    <s v="SR-RTN/26-27/40014"/>
    <s v="B-299696"/>
    <s v="B-GOLD-FILING"/>
    <s v="GOLD-FILLING-WK"/>
    <x v="0"/>
    <s v="G-NA-91.70-YG"/>
    <n v="106.02"/>
    <n v="97.220339999999993"/>
    <n v="0.91699999999999993"/>
    <n v="100.63"/>
    <n v="92.277709999999999"/>
    <n v="92.278000000000006"/>
    <n v="0.91700000000000004"/>
    <n v="0"/>
    <n v="0"/>
    <n v="0"/>
    <n v="0"/>
    <n v="0"/>
    <n v="0"/>
    <n v="0"/>
    <n v="0"/>
    <n v="0"/>
    <n v="5.39"/>
    <n v="4.9426300000000003"/>
    <n v="0.91700000000000015"/>
    <n v="-5.39"/>
    <n v="5.39"/>
    <x v="0"/>
    <n v="92.278000000000006"/>
    <n v="0"/>
    <n v="1"/>
  </r>
  <r>
    <s v="AJEET KUMAR"/>
    <d v="2026-06-18T00:00:00"/>
    <s v="SR-RTN/26-27/40014"/>
    <s v="B-300740"/>
    <s v="B-GOLD-FILING"/>
    <s v="GOLD-FILLING-WK"/>
    <x v="0"/>
    <s v="G-NA-91.70-YG"/>
    <n v="49.01"/>
    <n v="44.942169999999997"/>
    <n v="0.91700000000000004"/>
    <n v="44.84"/>
    <n v="41.118279999999999"/>
    <n v="41.119"/>
    <n v="0.91699999999999993"/>
    <n v="0"/>
    <n v="0"/>
    <n v="0"/>
    <n v="0"/>
    <n v="0"/>
    <n v="0"/>
    <n v="0"/>
    <n v="0"/>
    <n v="0"/>
    <n v="4.17"/>
    <n v="3.82389"/>
    <n v="0.91700000000000004"/>
    <n v="-4.1699999999999946"/>
    <n v="4.1699999999999946"/>
    <x v="0"/>
    <n v="41.119"/>
    <n v="0"/>
    <n v="1"/>
  </r>
  <r>
    <s v="AJEET KUMAR"/>
    <d v="2026-06-18T00:00:00"/>
    <s v="SR-RTN/26-27/40014"/>
    <s v="B-300759"/>
    <s v="B-GOLD-FILING"/>
    <s v="GOLD-FILLING-WK"/>
    <x v="0"/>
    <s v="G-NA-91.70-YG"/>
    <n v="38.799999999999997"/>
    <n v="35.579599999999999"/>
    <n v="0.91700000000000004"/>
    <n v="38.5"/>
    <n v="35.304499999999997"/>
    <n v="35.305"/>
    <n v="0.91699999999999993"/>
    <n v="0"/>
    <n v="0"/>
    <n v="0"/>
    <n v="0"/>
    <n v="0"/>
    <n v="0"/>
    <n v="0"/>
    <n v="0"/>
    <n v="0"/>
    <n v="0.3"/>
    <n v="0.27510000000000001"/>
    <n v="0.91700000000000004"/>
    <n v="-0.29999999999999716"/>
    <n v="0.29999999999999716"/>
    <x v="0"/>
    <n v="35.305"/>
    <n v="0"/>
    <n v="2"/>
  </r>
  <r>
    <s v="AJEET KUMAR"/>
    <d v="2026-06-18T00:00:00"/>
    <s v="SR-RTN/26-27/40032"/>
    <s v="B-299691"/>
    <s v="B-GOLD-FILING"/>
    <s v="GOLD-FILLING-WK"/>
    <x v="1"/>
    <s v="G-NA-75.00-RG"/>
    <n v="26.1"/>
    <n v="19.574999999999999"/>
    <n v="0.74999999999999989"/>
    <n v="23.7"/>
    <n v="17.774999999999999"/>
    <n v="17.774999999999999"/>
    <n v="0.75"/>
    <n v="0"/>
    <n v="0"/>
    <n v="0"/>
    <n v="0"/>
    <n v="0"/>
    <n v="0"/>
    <n v="0"/>
    <n v="0"/>
    <n v="0"/>
    <n v="2.4"/>
    <n v="1.8"/>
    <n v="0.75"/>
    <n v="-2.4000000000000021"/>
    <n v="2.4000000000000021"/>
    <x v="1"/>
    <n v="15.892999999999999"/>
    <n v="1.8819999999999997"/>
    <n v="2"/>
  </r>
  <r>
    <s v="AJEET KUMAR"/>
    <d v="2026-06-18T00:00:00"/>
    <s v="SR-RTN/26-27/40036"/>
    <s v="B-299759"/>
    <s v="B-GOLD-FILING"/>
    <s v="GOLD-FILLING-WK"/>
    <x v="0"/>
    <s v="G-NA-91.70-YG"/>
    <n v="462.68"/>
    <n v="424.27755999999999"/>
    <n v="0.91699999999999993"/>
    <n v="462.56"/>
    <n v="424.16752000000002"/>
    <n v="424.16799999999995"/>
    <n v="0.91700000000000004"/>
    <n v="0"/>
    <n v="0"/>
    <n v="0"/>
    <n v="0"/>
    <n v="0"/>
    <n v="0"/>
    <n v="0"/>
    <n v="0"/>
    <n v="0"/>
    <n v="0.12"/>
    <n v="0.11004"/>
    <n v="0.91700000000000004"/>
    <n v="-0.12000000000000455"/>
    <n v="0.12000000000000455"/>
    <x v="0"/>
    <n v="424.16799999999995"/>
    <n v="0"/>
    <n v="2"/>
  </r>
  <r>
    <s v="AJEET KUMAR"/>
    <d v="2026-06-18T00:00:00"/>
    <s v="SR-RTN/26-27/40090"/>
    <s v="B-299913"/>
    <s v="B-GOLD-FILING"/>
    <s v="GOLD-FILLING-WK"/>
    <x v="0"/>
    <s v="G-NA-91.70-YG"/>
    <n v="28.6"/>
    <n v="26.226199999999999"/>
    <n v="0.91699999999999993"/>
    <n v="27.68"/>
    <n v="25.382560000000002"/>
    <n v="25.383000000000003"/>
    <n v="0.91700000000000004"/>
    <n v="0"/>
    <n v="0"/>
    <n v="0"/>
    <n v="0"/>
    <n v="0"/>
    <n v="0"/>
    <n v="0"/>
    <n v="0"/>
    <n v="0"/>
    <n v="0.92"/>
    <n v="0.84363999999999995"/>
    <n v="0.91699999999999993"/>
    <n v="-0.92000000000000171"/>
    <n v="0.92000000000000171"/>
    <x v="0"/>
    <n v="25.383000000000003"/>
    <n v="0"/>
    <n v="3"/>
  </r>
  <r>
    <s v="AJEET KUMAR"/>
    <d v="2026-06-18T00:00:00"/>
    <s v="SR-RTN/26-27/40120"/>
    <s v="B-300301"/>
    <s v="B-GOLD-FILING"/>
    <s v="GOLD-FILLING-WK"/>
    <x v="1"/>
    <s v="G-NA-75.00-RG"/>
    <n v="67.98"/>
    <n v="50.984999999999999"/>
    <n v="0.75"/>
    <n v="62.43"/>
    <n v="46.822499999999998"/>
    <n v="46.823"/>
    <n v="0.75"/>
    <n v="0"/>
    <n v="0"/>
    <n v="0"/>
    <n v="0"/>
    <n v="0"/>
    <n v="0"/>
    <n v="0"/>
    <n v="0"/>
    <n v="0"/>
    <n v="5.55"/>
    <n v="4.1624999999999996"/>
    <n v="0.75"/>
    <n v="-5.5500000000000043"/>
    <n v="5.5500000000000043"/>
    <x v="0"/>
    <n v="46.823"/>
    <n v="0"/>
    <n v="1"/>
  </r>
  <r>
    <s v="AJEET KUMAR"/>
    <d v="2026-06-18T00:00:00"/>
    <s v="SR-RTN/26-27/40123"/>
    <s v="B-298159"/>
    <s v="B-GOLD-FILING"/>
    <s v="GOLD-FILLING-WK"/>
    <x v="1"/>
    <s v="G-NA-75.00-YG"/>
    <n v="303.14999999999998"/>
    <n v="227.36250000000001"/>
    <n v="0.75000000000000011"/>
    <n v="279.5"/>
    <n v="209.625"/>
    <n v="209.625"/>
    <n v="0.75"/>
    <n v="0"/>
    <n v="0"/>
    <n v="0"/>
    <n v="0"/>
    <n v="0"/>
    <n v="0"/>
    <n v="0"/>
    <n v="0"/>
    <n v="0"/>
    <n v="23.65"/>
    <n v="17.737500000000001"/>
    <n v="0.75000000000000011"/>
    <n v="-23.649999999999977"/>
    <n v="23.649999999999977"/>
    <x v="1"/>
    <n v="189.91499999999999"/>
    <n v="19.710000000000008"/>
    <n v="4"/>
  </r>
  <r>
    <s v="AJEET KUMAR"/>
    <d v="2026-06-18T00:00:00"/>
    <s v="SR-RTN/26-27/40124"/>
    <s v="B-300347"/>
    <s v="B-GOLD-FILING"/>
    <s v="GOLD-FILLING-WK"/>
    <x v="1"/>
    <s v="G-NA-75.00-RG"/>
    <n v="62.57"/>
    <n v="46.927500000000002"/>
    <n v="0.75"/>
    <n v="58.86"/>
    <n v="44.145000000000003"/>
    <n v="44.145000000000003"/>
    <n v="0.75000000000000011"/>
    <n v="0"/>
    <n v="0"/>
    <n v="0"/>
    <n v="0"/>
    <n v="0"/>
    <n v="0"/>
    <n v="0"/>
    <n v="0"/>
    <n v="0"/>
    <n v="3.71"/>
    <n v="2.7825000000000002"/>
    <n v="0.75000000000000011"/>
    <n v="-3.7100000000000009"/>
    <n v="3.7100000000000009"/>
    <x v="1"/>
    <n v="40.897999999999996"/>
    <n v="3.247000000000007"/>
    <n v="3"/>
  </r>
  <r>
    <s v="AJEET KUMAR"/>
    <d v="2026-06-18T00:00:00"/>
    <s v="SR-RTN/26-27/40132"/>
    <s v="B-298160"/>
    <s v="B-GOLD-FILING"/>
    <s v="GOLD-FILLING-WK"/>
    <x v="1"/>
    <s v="G-NA-75.00-YG"/>
    <n v="308.02"/>
    <n v="231.01499999999999"/>
    <n v="0.75"/>
    <n v="283.27999999999997"/>
    <n v="212.46"/>
    <n v="212.46"/>
    <n v="0.75000000000000011"/>
    <n v="0"/>
    <n v="0"/>
    <n v="0"/>
    <n v="0"/>
    <n v="0"/>
    <n v="0"/>
    <n v="0"/>
    <n v="0"/>
    <n v="0"/>
    <n v="24.74"/>
    <n v="18.555"/>
    <n v="0.75"/>
    <n v="-24.740000000000009"/>
    <n v="24.740000000000009"/>
    <x v="1"/>
    <n v="194.565"/>
    <n v="17.89500000000001"/>
    <n v="4"/>
  </r>
  <r>
    <s v="AJEET KUMAR"/>
    <d v="2026-06-19T00:00:00"/>
    <s v="RTN-8865320"/>
    <s v="SR-42512"/>
    <s v="CAST-FILLING"/>
    <s v="GOLD-FILLING-WK"/>
    <x v="0"/>
    <s v="G-NA-91.70-YG"/>
    <n v="178.28"/>
    <n v="163.48276000000001"/>
    <n v="0.91700000000000004"/>
    <n v="173.19"/>
    <n v="158.81523000000001"/>
    <n v="158.816"/>
    <n v="0.91700000000000004"/>
    <n v="0"/>
    <n v="0"/>
    <n v="0"/>
    <n v="0"/>
    <n v="0"/>
    <n v="0"/>
    <n v="0"/>
    <n v="0"/>
    <n v="0"/>
    <n v="5.09"/>
    <n v="4.6675300000000002"/>
    <n v="0.91700000000000004"/>
    <n v="-5.0900000000000034"/>
    <n v="5.0900000000000034"/>
    <x v="0"/>
    <n v="158.816"/>
    <n v="0"/>
    <n v="2"/>
  </r>
  <r>
    <s v="AJEET KUMAR"/>
    <d v="2026-06-19T00:00:00"/>
    <s v="RTN-8876453"/>
    <s v="SR-42635"/>
    <s v="CAST-FILLING"/>
    <s v="GOLD-FILLING-WK"/>
    <x v="0"/>
    <s v="G-NA-91.70-YG"/>
    <n v="12.33"/>
    <n v="11.306609999999999"/>
    <n v="0.91699999999999993"/>
    <n v="11.53"/>
    <n v="10.57301"/>
    <n v="10.574"/>
    <n v="0.91700000000000004"/>
    <n v="0"/>
    <n v="0"/>
    <n v="0"/>
    <n v="0"/>
    <n v="0"/>
    <n v="0"/>
    <n v="0"/>
    <n v="0"/>
    <n v="0"/>
    <n v="0.8"/>
    <n v="0.73360000000000003"/>
    <n v="0.91700000000000004"/>
    <n v="-0.80000000000000071"/>
    <n v="0.80000000000000071"/>
    <x v="0"/>
    <n v="10.574"/>
    <n v="0"/>
    <n v="1"/>
  </r>
  <r>
    <s v="AJEET KUMAR"/>
    <d v="2026-06-19T00:00:00"/>
    <s v="SR-RTN/26-27/40139"/>
    <s v="B-300348"/>
    <s v="B-GOLD-FILING"/>
    <s v="GOLD-FILLING-WK"/>
    <x v="1"/>
    <s v="G-NA-75.00-RG"/>
    <n v="69.83"/>
    <n v="52.372500000000002"/>
    <n v="0.75"/>
    <n v="65.33"/>
    <n v="48.997500000000002"/>
    <n v="48.997999999999998"/>
    <n v="0.75"/>
    <n v="0"/>
    <n v="0"/>
    <n v="0"/>
    <n v="0"/>
    <n v="0"/>
    <n v="0"/>
    <n v="0"/>
    <n v="0"/>
    <n v="0"/>
    <n v="4.5"/>
    <n v="3.375"/>
    <n v="0.75"/>
    <n v="-4.5"/>
    <n v="4.5"/>
    <x v="1"/>
    <n v="16.313000000000002"/>
    <n v="32.684999999999995"/>
    <n v="4"/>
  </r>
  <r>
    <s v="AJEET KUMAR"/>
    <d v="2026-06-19T00:00:00"/>
    <s v="SR-RTN/26-27/40140"/>
    <s v="B-300916"/>
    <s v="B-GOLD-FILING"/>
    <s v="GOLD-FILLING-WK"/>
    <x v="1"/>
    <s v="G-NA-75.00-RG"/>
    <n v="36.86"/>
    <n v="27.645"/>
    <n v="0.75"/>
    <n v="33.520000000000003"/>
    <n v="25.14"/>
    <n v="25.14"/>
    <n v="0.75"/>
    <n v="0"/>
    <n v="0"/>
    <n v="0"/>
    <n v="0"/>
    <n v="0"/>
    <n v="0"/>
    <n v="0"/>
    <n v="0"/>
    <n v="0"/>
    <n v="3.34"/>
    <n v="2.5049999999999999"/>
    <n v="0.75"/>
    <n v="-3.3399999999999963"/>
    <n v="3.3399999999999963"/>
    <x v="0"/>
    <n v="25.14"/>
    <n v="0"/>
    <n v="2"/>
  </r>
  <r>
    <s v="AJEET KUMAR"/>
    <d v="2026-06-19T00:00:00"/>
    <s v="SR-RTN/26-27/40197"/>
    <s v="B-302575"/>
    <s v="B-GOLD-FILING"/>
    <s v="GOLD-FILLING-WK"/>
    <x v="1"/>
    <s v="G-NA-75.00-YG"/>
    <n v="3.56"/>
    <n v="2.67"/>
    <n v="0.75"/>
    <n v="3.56"/>
    <n v="2.67"/>
    <n v="2.67"/>
    <n v="0.75"/>
    <n v="0"/>
    <n v="0"/>
    <n v="0"/>
    <n v="0"/>
    <n v="0"/>
    <n v="0"/>
    <n v="0"/>
    <n v="0"/>
    <n v="0"/>
    <n v="0"/>
    <n v="0"/>
    <n v="0"/>
    <n v="0"/>
    <n v="0"/>
    <x v="0"/>
    <n v="2.67"/>
    <n v="0"/>
    <n v="2"/>
  </r>
  <r>
    <s v="AJEET KUMAR"/>
    <d v="2026-06-19T00:00:00"/>
    <s v="SR-RTN/26-27/40201"/>
    <s v="B-300298"/>
    <s v="B-GOLD-FILING"/>
    <s v="GOLD-FILLING-WK"/>
    <x v="1"/>
    <s v="G-NA-75.00-YG"/>
    <n v="16.829999999999998"/>
    <n v="12.6225"/>
    <n v="0.75000000000000011"/>
    <n v="16.03"/>
    <n v="12.022500000000001"/>
    <n v="12.023"/>
    <n v="0.75"/>
    <n v="0"/>
    <n v="0"/>
    <n v="0"/>
    <n v="0"/>
    <n v="0"/>
    <n v="0"/>
    <n v="0"/>
    <n v="0"/>
    <n v="0"/>
    <n v="0.8"/>
    <n v="0.6"/>
    <n v="0.74999999999999989"/>
    <n v="-0.79999999999999716"/>
    <n v="0.79999999999999716"/>
    <x v="0"/>
    <n v="12.023"/>
    <n v="0"/>
    <n v="1"/>
  </r>
  <r>
    <s v="AJEET KUMAR"/>
    <d v="2026-06-19T00:00:00"/>
    <s v="SR-RTN/26-27/40265"/>
    <s v="B-301760"/>
    <s v="B-GOLD-FILING"/>
    <s v="GOLD-FILLING-WK"/>
    <x v="0"/>
    <s v="G-NA-91.70-YG"/>
    <n v="3.37"/>
    <n v="3.09029"/>
    <n v="0.91699999999999993"/>
    <n v="3.01"/>
    <n v="2.76017"/>
    <n v="2.7609999999999997"/>
    <n v="0.91700000000000004"/>
    <n v="0"/>
    <n v="0"/>
    <n v="0"/>
    <n v="0"/>
    <n v="0"/>
    <n v="0"/>
    <n v="0"/>
    <n v="0"/>
    <n v="0"/>
    <n v="0.36"/>
    <n v="0.33012000000000002"/>
    <n v="0.91700000000000015"/>
    <n v="-0.36000000000000032"/>
    <n v="0.36000000000000032"/>
    <x v="0"/>
    <n v="2.7609999999999997"/>
    <n v="0"/>
    <n v="1"/>
  </r>
  <r>
    <s v="AJEET KUMAR"/>
    <d v="2026-06-19T00:00:00"/>
    <s v="SR-RTN/26-27/40375"/>
    <s v="B-300347"/>
    <s v="B-GOLD-FILING"/>
    <s v="GOLD-FILLING-WK"/>
    <x v="1"/>
    <s v="G-NA-75.00-RG"/>
    <n v="54.53"/>
    <n v="40.897500000000001"/>
    <n v="0.75"/>
    <n v="54.53"/>
    <n v="40.897500000000001"/>
    <n v="40.897999999999996"/>
    <n v="0.75"/>
    <n v="0"/>
    <n v="0"/>
    <n v="0"/>
    <n v="0"/>
    <n v="0"/>
    <n v="0"/>
    <n v="0"/>
    <n v="0"/>
    <n v="0"/>
    <n v="0"/>
    <n v="0"/>
    <n v="0"/>
    <n v="0"/>
    <n v="0"/>
    <x v="0"/>
    <n v="40.897999999999996"/>
    <n v="0"/>
    <n v="3"/>
  </r>
  <r>
    <s v="AJEET KUMAR"/>
    <d v="2026-06-19T00:00:00"/>
    <s v="SR-RTN/26-27/40376"/>
    <s v="B-300347"/>
    <s v="B-GOLD-FILING"/>
    <s v="GOLD-FILLING-WK"/>
    <x v="1"/>
    <s v="G-NA-75.00-RG"/>
    <n v="54.62"/>
    <n v="40.965000000000003"/>
    <n v="0.75000000000000011"/>
    <n v="54.62"/>
    <n v="40.965000000000003"/>
    <n v="40.965000000000003"/>
    <n v="0.75000000000000011"/>
    <n v="0"/>
    <n v="0"/>
    <n v="0"/>
    <n v="0"/>
    <n v="0"/>
    <n v="0"/>
    <n v="0"/>
    <n v="0"/>
    <n v="0"/>
    <n v="0"/>
    <n v="0"/>
    <n v="0"/>
    <n v="0"/>
    <n v="0"/>
    <x v="1"/>
    <n v="40.897999999999996"/>
    <n v="6.7000000000007276E-2"/>
    <n v="3"/>
  </r>
  <r>
    <s v="AJEET KUMAR"/>
    <d v="2026-06-19T00:00:00"/>
    <s v="SR-RTN/26-27/40381"/>
    <s v="B-295894"/>
    <s v="B-GOLD-FILING"/>
    <s v="GOLD-FILLING-WK"/>
    <x v="1"/>
    <s v="G-NA-75.00-RG"/>
    <n v="149.02000000000001"/>
    <n v="111.765"/>
    <n v="0.75"/>
    <n v="130.63999999999999"/>
    <n v="97.98"/>
    <n v="97.98"/>
    <n v="0.75000000000000011"/>
    <n v="0"/>
    <n v="0"/>
    <n v="0"/>
    <n v="0"/>
    <n v="0"/>
    <n v="0"/>
    <n v="0"/>
    <n v="0"/>
    <n v="0"/>
    <n v="18.38"/>
    <n v="13.785"/>
    <n v="0.75"/>
    <n v="-18.380000000000024"/>
    <n v="18.380000000000024"/>
    <x v="1"/>
    <n v="87.254999999999995"/>
    <n v="10.725000000000009"/>
    <n v="2"/>
  </r>
  <r>
    <s v="AJEET KUMAR"/>
    <d v="2026-06-19T00:00:00"/>
    <s v="SR-RTN/26-27/40417"/>
    <s v="B-301004"/>
    <s v="B-GOLD-FILING"/>
    <s v="GOLD-FILLING-WK"/>
    <x v="1"/>
    <s v="G-NA-75.00-RG"/>
    <n v="31.87"/>
    <n v="23.9025"/>
    <n v="0.75"/>
    <n v="30.98"/>
    <n v="23.234999999999999"/>
    <n v="23.234999999999999"/>
    <n v="0.75"/>
    <n v="0"/>
    <n v="0"/>
    <n v="0"/>
    <n v="0"/>
    <n v="0"/>
    <n v="0"/>
    <n v="0"/>
    <n v="0"/>
    <n v="0"/>
    <n v="0.89"/>
    <n v="0.66749999999999998"/>
    <n v="0.75"/>
    <n v="-0.89000000000000057"/>
    <n v="0.89000000000000057"/>
    <x v="1"/>
    <n v="21.278000000000002"/>
    <n v="1.9569999999999972"/>
    <n v="2"/>
  </r>
  <r>
    <s v="AJEET KUMAR"/>
    <d v="2026-06-19T00:00:00"/>
    <s v="SR-RTN/26-27/40423"/>
    <s v="B-300783"/>
    <s v="B-GOLD-FILING"/>
    <s v="GOLD-FILLING-WK"/>
    <x v="0"/>
    <s v="G-NA-91.70-YG"/>
    <n v="73.197000000000003"/>
    <n v="67.121649000000005"/>
    <n v="0.91700000000000004"/>
    <n v="69.427000000000007"/>
    <n v="63.664558999999997"/>
    <n v="63.664999999999999"/>
    <n v="0.91699999999999982"/>
    <n v="0"/>
    <n v="0"/>
    <n v="0"/>
    <n v="0"/>
    <n v="0"/>
    <n v="0"/>
    <n v="0"/>
    <n v="0"/>
    <n v="0"/>
    <n v="3.77"/>
    <n v="3.45709"/>
    <n v="0.91700000000000004"/>
    <n v="-3.769999999999996"/>
    <n v="3.769999999999996"/>
    <x v="0"/>
    <n v="63.664999999999999"/>
    <n v="0"/>
    <n v="1"/>
  </r>
  <r>
    <s v="AJEET KUMAR"/>
    <d v="2026-06-19T00:00:00"/>
    <s v="SR-RTN/26-27/40423"/>
    <s v="B-300784"/>
    <s v="B-GOLD-FILING"/>
    <s v="GOLD-FILLING-WK"/>
    <x v="0"/>
    <s v="G-NA-91.70-YG"/>
    <n v="77.097999999999999"/>
    <n v="70.698865999999995"/>
    <n v="0.91699999999999993"/>
    <n v="70.858000000000004"/>
    <n v="64.976786000000004"/>
    <n v="64.977000000000004"/>
    <n v="0.91700000000000004"/>
    <n v="0"/>
    <n v="0"/>
    <n v="0"/>
    <n v="0"/>
    <n v="0"/>
    <n v="0"/>
    <n v="0"/>
    <n v="0"/>
    <n v="0"/>
    <n v="6.24"/>
    <n v="5.7220800000000001"/>
    <n v="0.91699999999999993"/>
    <n v="-6.2399999999999949"/>
    <n v="6.2399999999999949"/>
    <x v="1"/>
    <n v="58.503"/>
    <n v="6.4740000000000038"/>
    <n v="2"/>
  </r>
  <r>
    <s v="AJEET KUMAR"/>
    <d v="2026-06-19T00:00:00"/>
    <s v="SR-RTN/26-27/40423"/>
    <s v="B-300787"/>
    <s v="B-GOLD-FILING"/>
    <s v="GOLD-FILLING-WK"/>
    <x v="0"/>
    <s v="G-NA-91.70-YG"/>
    <n v="64.855999999999995"/>
    <n v="59.472951999999999"/>
    <n v="0.91700000000000004"/>
    <n v="60.496000000000002"/>
    <n v="55.474831999999999"/>
    <n v="55.474999999999994"/>
    <n v="0.91699999999999993"/>
    <n v="0"/>
    <n v="0"/>
    <n v="0"/>
    <n v="0"/>
    <n v="0"/>
    <n v="0"/>
    <n v="0"/>
    <n v="0"/>
    <n v="0"/>
    <n v="4.3600000000000003"/>
    <n v="3.9981200000000001"/>
    <n v="0.91699999999999993"/>
    <n v="-4.3599999999999923"/>
    <n v="4.3599999999999923"/>
    <x v="0"/>
    <n v="55.474999999999994"/>
    <n v="0"/>
    <n v="1"/>
  </r>
  <r>
    <s v="AJEET KUMAR"/>
    <d v="2026-06-19T00:00:00"/>
    <s v="SR-RTN/26-27/40423"/>
    <s v="B-300916"/>
    <s v="B-GOLD-FILING"/>
    <s v="GOLD-FILLING-WK"/>
    <x v="1"/>
    <s v="G-NA-75.00-RG"/>
    <n v="33.700000000000003"/>
    <n v="25.274999999999999"/>
    <n v="0.74999999999999989"/>
    <n v="33.68"/>
    <n v="25.26"/>
    <n v="25.26"/>
    <n v="0.75"/>
    <n v="0"/>
    <n v="0"/>
    <n v="0"/>
    <n v="0"/>
    <n v="0"/>
    <n v="0"/>
    <n v="0"/>
    <n v="0"/>
    <n v="0"/>
    <n v="0.02"/>
    <n v="1.4999999999999999E-2"/>
    <n v="0.75"/>
    <n v="-2.0000000000003126E-2"/>
    <n v="2.0000000000003126E-2"/>
    <x v="1"/>
    <n v="25.14"/>
    <n v="0.12000000000000099"/>
    <n v="2"/>
  </r>
  <r>
    <s v="AJEET KUMAR"/>
    <d v="2026-06-19T00:00:00"/>
    <s v="SR-RTN/26-27/40431"/>
    <s v="B-298451"/>
    <s v="B-GOLD-FILING"/>
    <s v="GOLD-FILLING-WK"/>
    <x v="0"/>
    <s v="G-NA-91.70-YG"/>
    <n v="61.78"/>
    <n v="56.652259999999998"/>
    <n v="0.91699999999999993"/>
    <n v="57.08"/>
    <n v="52.342359999999999"/>
    <n v="52.342999999999996"/>
    <n v="0.91700000000000004"/>
    <n v="0"/>
    <n v="0"/>
    <n v="0"/>
    <n v="0"/>
    <n v="0"/>
    <n v="0"/>
    <n v="0"/>
    <n v="0"/>
    <n v="0"/>
    <n v="4.7"/>
    <n v="4.3098999999999998"/>
    <n v="0.91699999999999993"/>
    <n v="-4.7000000000000028"/>
    <n v="4.7000000000000028"/>
    <x v="1"/>
    <n v="49.372"/>
    <n v="2.9709999999999965"/>
    <n v="2"/>
  </r>
  <r>
    <s v="AJEET KUMAR"/>
    <d v="2026-06-19T00:00:00"/>
    <s v="SR-RTN/26-27/40444"/>
    <s v="B-301840"/>
    <s v="B-GOLD-FILING"/>
    <s v="GOLD-FILLING-WK"/>
    <x v="1"/>
    <s v="G-NA-75.00-RG"/>
    <n v="47.54"/>
    <n v="35.655000000000001"/>
    <n v="0.75"/>
    <n v="43.89"/>
    <n v="32.917499999999997"/>
    <n v="32.917999999999999"/>
    <n v="0.74999999999999989"/>
    <n v="0"/>
    <n v="0"/>
    <n v="0"/>
    <n v="0"/>
    <n v="0"/>
    <n v="0"/>
    <n v="0"/>
    <n v="0"/>
    <n v="0"/>
    <n v="3.65"/>
    <n v="2.7374999999999998"/>
    <n v="0.75"/>
    <n v="-3.6499999999999986"/>
    <n v="3.6499999999999986"/>
    <x v="1"/>
    <n v="32.774999999999999"/>
    <n v="0.14300000000000068"/>
    <n v="2"/>
  </r>
  <r>
    <s v="AJEET KUMAR"/>
    <d v="2026-06-19T00:00:00"/>
    <s v="SR-RTN/26-27/40463"/>
    <s v="B-300917"/>
    <s v="B-GOLD-FILING"/>
    <s v="GOLD-FILLING-WK"/>
    <x v="1"/>
    <s v="G-NA-75.00-RG"/>
    <n v="95.93"/>
    <n v="71.947500000000005"/>
    <n v="0.75"/>
    <n v="88.83"/>
    <n v="66.622500000000002"/>
    <n v="66.623000000000005"/>
    <n v="0.75"/>
    <n v="0"/>
    <n v="0"/>
    <n v="0"/>
    <n v="0"/>
    <n v="0"/>
    <n v="0"/>
    <n v="0"/>
    <n v="0"/>
    <n v="0"/>
    <n v="7.1"/>
    <n v="5.3250000000000002"/>
    <n v="0.75000000000000011"/>
    <n v="-7.1000000000000085"/>
    <n v="7.1000000000000085"/>
    <x v="0"/>
    <n v="66.623000000000005"/>
    <n v="0"/>
    <n v="1"/>
  </r>
  <r>
    <s v="AJEET KUMAR"/>
    <d v="2026-06-19T00:00:00"/>
    <s v="SR-RTN/26-27/40465"/>
    <s v="B-299688"/>
    <s v="B-GOLD-FILING"/>
    <s v="GOLD-FILLING-WK"/>
    <x v="1"/>
    <s v="G-NA-75.00-YG"/>
    <n v="67.69"/>
    <n v="50.767499999999998"/>
    <n v="0.75"/>
    <n v="67.69"/>
    <n v="50.767499999999998"/>
    <n v="50.768000000000001"/>
    <n v="0.75"/>
    <n v="0"/>
    <n v="0"/>
    <n v="0"/>
    <n v="0"/>
    <n v="0"/>
    <n v="0"/>
    <n v="0"/>
    <n v="0"/>
    <n v="0"/>
    <n v="0"/>
    <n v="0"/>
    <n v="0"/>
    <n v="0"/>
    <n v="0"/>
    <x v="0"/>
    <n v="50.768000000000001"/>
    <n v="0"/>
    <n v="2"/>
  </r>
  <r>
    <s v="AJEET KUMAR"/>
    <d v="2026-06-19T00:00:00"/>
    <s v="SR-RTN/26-27/40465"/>
    <s v="B-299691"/>
    <s v="B-GOLD-FILING"/>
    <s v="GOLD-FILLING-WK"/>
    <x v="1"/>
    <s v="G-NA-75.00-RG"/>
    <n v="21.39"/>
    <n v="16.0425"/>
    <n v="0.75"/>
    <n v="21.19"/>
    <n v="15.8925"/>
    <n v="15.892999999999999"/>
    <n v="0.75"/>
    <n v="0"/>
    <n v="0"/>
    <n v="0"/>
    <n v="0"/>
    <n v="0"/>
    <n v="0"/>
    <n v="0"/>
    <n v="0"/>
    <n v="0"/>
    <n v="0.2"/>
    <n v="0.15"/>
    <n v="0.74999999999999989"/>
    <n v="-0.19999999999999929"/>
    <n v="0.19999999999999929"/>
    <x v="0"/>
    <n v="15.892999999999999"/>
    <n v="0"/>
    <n v="2"/>
  </r>
  <r>
    <s v="AJEET KUMAR"/>
    <d v="2026-06-19T00:00:00"/>
    <s v="SR-RTN/26-27/40483"/>
    <s v="B-301000"/>
    <s v="B-GOLD-FILING"/>
    <s v="GOLD-FILLING-WK"/>
    <x v="0"/>
    <s v="G-NA-91.70-YG"/>
    <n v="20.18"/>
    <n v="18.50506"/>
    <n v="0.91700000000000004"/>
    <n v="19.36"/>
    <n v="17.753119999999999"/>
    <n v="17.754000000000001"/>
    <n v="0.91699999999999993"/>
    <n v="0"/>
    <n v="0"/>
    <n v="0"/>
    <n v="0"/>
    <n v="0"/>
    <n v="0"/>
    <n v="0"/>
    <n v="0"/>
    <n v="0"/>
    <n v="0.82"/>
    <n v="0.75194000000000005"/>
    <n v="0.91700000000000015"/>
    <n v="-0.82000000000000028"/>
    <n v="0.82000000000000028"/>
    <x v="0"/>
    <n v="17.754000000000001"/>
    <n v="0"/>
    <n v="1"/>
  </r>
  <r>
    <s v="AJEET KUMAR"/>
    <d v="2026-06-19T00:00:00"/>
    <s v="SR-RTN/26-27/40495"/>
    <s v="B-301932"/>
    <s v="B-GOLD-FILING"/>
    <s v="GOLD-FILLING-WK"/>
    <x v="0"/>
    <s v="G-NA-91.70-YG"/>
    <n v="31.86"/>
    <n v="29.215620000000001"/>
    <n v="0.91700000000000004"/>
    <n v="31.86"/>
    <n v="29.215620000000001"/>
    <n v="29.216000000000001"/>
    <n v="0.91700000000000004"/>
    <n v="0"/>
    <n v="0"/>
    <n v="0"/>
    <n v="0"/>
    <n v="0"/>
    <n v="0"/>
    <n v="0"/>
    <n v="0"/>
    <n v="0"/>
    <n v="0"/>
    <n v="0"/>
    <n v="0"/>
    <n v="0"/>
    <n v="0"/>
    <x v="1"/>
    <n v="27.107000000000003"/>
    <n v="2.1089999999999982"/>
    <n v="3"/>
  </r>
  <r>
    <s v="AJEET KUMAR"/>
    <d v="2026-06-19T00:00:00"/>
    <s v="SR-RTN/26-27/40508"/>
    <s v="B-300348"/>
    <s v="B-GOLD-FILING"/>
    <s v="GOLD-FILLING-WK"/>
    <x v="1"/>
    <s v="G-NA-75.00-RG"/>
    <n v="61.44"/>
    <n v="46.08"/>
    <n v="0.75"/>
    <n v="61.44"/>
    <n v="46.08"/>
    <n v="46.08"/>
    <n v="0.75"/>
    <n v="0"/>
    <n v="0"/>
    <n v="0"/>
    <n v="0"/>
    <n v="0"/>
    <n v="0"/>
    <n v="0"/>
    <n v="0"/>
    <n v="0"/>
    <n v="0"/>
    <n v="0"/>
    <n v="0"/>
    <n v="0"/>
    <n v="0"/>
    <x v="1"/>
    <n v="16.313000000000002"/>
    <n v="29.766999999999996"/>
    <n v="4"/>
  </r>
  <r>
    <s v="AJEET KUMAR"/>
    <d v="2026-06-19T00:00:00"/>
    <s v="SR-RTN/26-27/40511"/>
    <s v="B-300348"/>
    <s v="B-GOLD-FILING"/>
    <s v="GOLD-FILLING-WK"/>
    <x v="1"/>
    <s v="G-NA-75.00-RG"/>
    <n v="61.54"/>
    <n v="46.155000000000001"/>
    <n v="0.75"/>
    <n v="61.54"/>
    <n v="46.155000000000001"/>
    <n v="46.155000000000001"/>
    <n v="0.75"/>
    <n v="0"/>
    <n v="0"/>
    <n v="0"/>
    <n v="0"/>
    <n v="0"/>
    <n v="0"/>
    <n v="0"/>
    <n v="0"/>
    <n v="0"/>
    <n v="0"/>
    <n v="0"/>
    <n v="0"/>
    <n v="0"/>
    <n v="0"/>
    <x v="1"/>
    <n v="16.313000000000002"/>
    <n v="29.841999999999999"/>
    <n v="4"/>
  </r>
  <r>
    <s v="AJEET KUMAR"/>
    <d v="2026-06-19T00:00:00"/>
    <s v="SR-RTN/26-27/40539"/>
    <s v="B-300297"/>
    <s v="B-GOLD-FILING"/>
    <s v="GOLD-FILLING-WK"/>
    <x v="1"/>
    <s v="G-NA-75.00-YG"/>
    <n v="30.08"/>
    <n v="22.56"/>
    <n v="0.75"/>
    <n v="28.22"/>
    <n v="21.164999999999999"/>
    <n v="21.164999999999999"/>
    <n v="0.75"/>
    <n v="0"/>
    <n v="0"/>
    <n v="0"/>
    <n v="0"/>
    <n v="0"/>
    <n v="0"/>
    <n v="0"/>
    <n v="0"/>
    <n v="0"/>
    <n v="1.86"/>
    <n v="1.395"/>
    <n v="0.75"/>
    <n v="-1.8599999999999994"/>
    <n v="1.8599999999999994"/>
    <x v="0"/>
    <n v="21.164999999999999"/>
    <n v="0"/>
    <n v="1"/>
  </r>
  <r>
    <s v="AJEET KUMAR"/>
    <d v="2026-06-19T00:00:00"/>
    <s v="SR-RTN/26-27/40539"/>
    <s v="B-301002"/>
    <s v="B-GOLD-FILING"/>
    <s v="GOLD-FILLING-WK"/>
    <x v="0"/>
    <s v="G-NA-91.70-YG"/>
    <n v="17.350000000000001"/>
    <n v="15.90995"/>
    <n v="0.91699999999999993"/>
    <n v="16.32"/>
    <n v="14.965439999999999"/>
    <n v="14.965999999999999"/>
    <n v="0.91699999999999993"/>
    <n v="0"/>
    <n v="0"/>
    <n v="0"/>
    <n v="0"/>
    <n v="0"/>
    <n v="0"/>
    <n v="0"/>
    <n v="0"/>
    <n v="0"/>
    <n v="1.03"/>
    <n v="0.94450999999999996"/>
    <n v="0.91699999999999993"/>
    <n v="-1.0300000000000011"/>
    <n v="1.0300000000000011"/>
    <x v="0"/>
    <n v="14.965999999999999"/>
    <n v="0"/>
    <n v="1"/>
  </r>
  <r>
    <s v="AJEET KUMAR"/>
    <d v="2026-06-19T00:00:00"/>
    <s v="SR-RTN/26-27/40539"/>
    <s v="B-301786"/>
    <s v="B-GOLD-FILING"/>
    <s v="GOLD-FILLING-WK"/>
    <x v="1"/>
    <s v="G-NA-75.00-RG"/>
    <n v="8.35"/>
    <n v="6.2625000000000002"/>
    <n v="0.75"/>
    <n v="7.72"/>
    <n v="5.79"/>
    <n v="5.79"/>
    <n v="0.75"/>
    <n v="0"/>
    <n v="0"/>
    <n v="0"/>
    <n v="0"/>
    <n v="0"/>
    <n v="0"/>
    <n v="0"/>
    <n v="0"/>
    <n v="0"/>
    <n v="0.63"/>
    <n v="0.47249999999999998"/>
    <n v="0.75"/>
    <n v="-0.62999999999999989"/>
    <n v="0.62999999999999989"/>
    <x v="0"/>
    <n v="5.79"/>
    <n v="0"/>
    <n v="2"/>
  </r>
  <r>
    <s v="AJEET KUMAR"/>
    <d v="2026-06-19T00:00:00"/>
    <s v="SR-RTN/26-27/40581"/>
    <s v="B-300785"/>
    <s v="B-GOLD-FILING"/>
    <s v="GOLD-FILLING-WK"/>
    <x v="0"/>
    <s v="G-NA-91.70-YG"/>
    <n v="92.069000000000003"/>
    <n v="84.427273"/>
    <n v="0.91699999999999993"/>
    <n v="86.578999999999994"/>
    <n v="79.392943000000002"/>
    <n v="79.393000000000001"/>
    <n v="0.91700000000000015"/>
    <n v="0"/>
    <n v="0"/>
    <n v="0"/>
    <n v="0"/>
    <n v="0"/>
    <n v="0"/>
    <n v="0"/>
    <n v="0"/>
    <n v="0"/>
    <n v="5.49"/>
    <n v="5.0343299999999997"/>
    <n v="0.91699999999999993"/>
    <n v="-5.4900000000000091"/>
    <n v="5.4900000000000091"/>
    <x v="0"/>
    <n v="79.393000000000001"/>
    <n v="0"/>
    <n v="1"/>
  </r>
  <r>
    <s v="AJEET KUMAR"/>
    <d v="2026-06-19T00:00:00"/>
    <s v="SR-RTN/26-27/40581"/>
    <s v="B-300786"/>
    <s v="B-GOLD-FILING"/>
    <s v="GOLD-FILLING-WK"/>
    <x v="0"/>
    <s v="G-NA-91.70-YG"/>
    <n v="71.126000000000005"/>
    <n v="65.222542000000004"/>
    <n v="0.91700000000000004"/>
    <n v="67.105999999999995"/>
    <n v="61.536202000000003"/>
    <n v="61.536999999999999"/>
    <n v="0.91700000000000015"/>
    <n v="0"/>
    <n v="0"/>
    <n v="0"/>
    <n v="0"/>
    <n v="0"/>
    <n v="0"/>
    <n v="0"/>
    <n v="0"/>
    <n v="0"/>
    <n v="4.0199999999999996"/>
    <n v="3.68634"/>
    <n v="0.91700000000000004"/>
    <n v="-4.0200000000000102"/>
    <n v="4.0200000000000102"/>
    <x v="0"/>
    <n v="61.536999999999999"/>
    <n v="0"/>
    <n v="1"/>
  </r>
  <r>
    <s v="AJEET KUMAR"/>
    <d v="2026-06-19T00:00:00"/>
    <s v="SR-RTN/26-27/40581"/>
    <s v="B-300788"/>
    <s v="B-GOLD-FILING"/>
    <s v="GOLD-FILLING-WK"/>
    <x v="0"/>
    <s v="G-NA-91.70-YG"/>
    <n v="74.078000000000003"/>
    <n v="67.929525999999996"/>
    <n v="0.91699999999999993"/>
    <n v="68.378"/>
    <n v="62.702626000000002"/>
    <n v="62.702999999999996"/>
    <n v="0.91700000000000004"/>
    <n v="0"/>
    <n v="0"/>
    <n v="0"/>
    <n v="0"/>
    <n v="0"/>
    <n v="0"/>
    <n v="0"/>
    <n v="0"/>
    <n v="0"/>
    <n v="5.7"/>
    <n v="5.2268999999999997"/>
    <n v="0.91699999999999993"/>
    <n v="-5.7000000000000028"/>
    <n v="5.7000000000000028"/>
    <x v="0"/>
    <n v="62.702999999999996"/>
    <n v="0"/>
    <n v="1"/>
  </r>
  <r>
    <s v="AJEET KUMAR"/>
    <d v="2026-06-19T00:00:00"/>
    <s v="SR-RTN/26-27/40621"/>
    <s v="B-300296"/>
    <s v="B-GOLD-FILING"/>
    <s v="GOLD-FILLING-WK"/>
    <x v="1"/>
    <s v="G-NA-75.00-RG"/>
    <n v="143.36000000000001"/>
    <n v="107.52"/>
    <n v="0.74999999999999989"/>
    <n v="132.94999999999999"/>
    <n v="99.712500000000006"/>
    <n v="99.713000000000008"/>
    <n v="0.75000000000000011"/>
    <n v="0"/>
    <n v="0"/>
    <n v="0"/>
    <n v="0"/>
    <n v="0"/>
    <n v="0"/>
    <n v="0"/>
    <n v="0"/>
    <n v="0"/>
    <n v="10.41"/>
    <n v="7.8075000000000001"/>
    <n v="0.75"/>
    <n v="-10.410000000000025"/>
    <n v="10.410000000000025"/>
    <x v="0"/>
    <n v="99.713000000000008"/>
    <n v="0"/>
    <n v="2"/>
  </r>
  <r>
    <s v="AJEET KUMAR"/>
    <d v="2026-06-19T00:00:00"/>
    <s v="SR-RTN/26-27/40626"/>
    <s v="B-300304"/>
    <s v="B-GOLD-FILING"/>
    <s v="GOLD-FILLING-WK"/>
    <x v="1"/>
    <s v="G-NA-75.00-YG"/>
    <n v="52.14"/>
    <n v="39.104999999999997"/>
    <n v="0.74999999999999989"/>
    <n v="48.04"/>
    <n v="36.03"/>
    <n v="36.03"/>
    <n v="0.75"/>
    <n v="0"/>
    <n v="0"/>
    <n v="0"/>
    <n v="0"/>
    <n v="0"/>
    <n v="0"/>
    <n v="0"/>
    <n v="0"/>
    <n v="0"/>
    <n v="4.0999999999999996"/>
    <n v="3.0750000000000002"/>
    <n v="0.75000000000000011"/>
    <n v="-4.1000000000000014"/>
    <n v="4.1000000000000014"/>
    <x v="0"/>
    <n v="36.03"/>
    <n v="0"/>
    <n v="1"/>
  </r>
  <r>
    <s v="AJEET KUMAR"/>
    <d v="2026-06-19T00:00:00"/>
    <s v="SR-RTN/26-27/40626"/>
    <s v="B-300325"/>
    <s v="B-GOLD-FILING"/>
    <s v="GOLD-FILLING-WK"/>
    <x v="0"/>
    <s v="G-NA-91.70-YG"/>
    <n v="75.900000000000006"/>
    <n v="69.600300000000004"/>
    <n v="0.91700000000000004"/>
    <n v="73.180000000000007"/>
    <n v="67.106059999999999"/>
    <n v="67.106999999999999"/>
    <n v="0.91699999999999993"/>
    <n v="0"/>
    <n v="0"/>
    <n v="0"/>
    <n v="0"/>
    <n v="0"/>
    <n v="0"/>
    <n v="0"/>
    <n v="0"/>
    <n v="0"/>
    <n v="2.72"/>
    <n v="2.49424"/>
    <n v="0.91699999999999993"/>
    <n v="-2.7199999999999989"/>
    <n v="2.7199999999999989"/>
    <x v="0"/>
    <n v="67.106999999999999"/>
    <n v="0"/>
    <n v="1"/>
  </r>
  <r>
    <s v="AJEET KUMAR"/>
    <d v="2026-06-19T00:00:00"/>
    <s v="SR-RTN/26-27/40626"/>
    <s v="B-300918"/>
    <s v="B-GOLD-FILING"/>
    <s v="GOLD-FILLING-WK"/>
    <x v="1"/>
    <s v="G-NA-75.00-YG"/>
    <n v="65.209999999999994"/>
    <n v="48.907499999999999"/>
    <n v="0.75"/>
    <n v="57.39"/>
    <n v="43.042499999999997"/>
    <n v="43.042999999999999"/>
    <n v="0.74999999999999989"/>
    <n v="0"/>
    <n v="0"/>
    <n v="0"/>
    <n v="0"/>
    <n v="0"/>
    <n v="0"/>
    <n v="0"/>
    <n v="0"/>
    <n v="0"/>
    <n v="7.82"/>
    <n v="5.8650000000000002"/>
    <n v="0.75"/>
    <n v="-7.8199999999999932"/>
    <n v="7.8199999999999932"/>
    <x v="0"/>
    <n v="43.042999999999999"/>
    <n v="0"/>
    <n v="1"/>
  </r>
  <r>
    <s v="AJEET KUMAR"/>
    <d v="2026-06-19T00:00:00"/>
    <s v="SR-RTN/26-27/40626"/>
    <s v="B-301930"/>
    <s v="B-GOLD-FILING"/>
    <s v="GOLD-FILLING-WK"/>
    <x v="0"/>
    <s v="G-NA-91.70-YG"/>
    <n v="38.880000000000003"/>
    <n v="35.65296"/>
    <n v="0.91699999999999993"/>
    <n v="35.270000000000003"/>
    <n v="32.342590000000001"/>
    <n v="32.342999999999996"/>
    <n v="0.91699999999999993"/>
    <n v="0"/>
    <n v="0"/>
    <n v="0"/>
    <n v="0"/>
    <n v="0"/>
    <n v="0"/>
    <n v="0"/>
    <n v="0"/>
    <n v="0"/>
    <n v="3.61"/>
    <n v="3.3103699999999998"/>
    <n v="0.91699999999999993"/>
    <n v="-3.6099999999999994"/>
    <n v="3.6099999999999994"/>
    <x v="0"/>
    <n v="32.342999999999996"/>
    <n v="0"/>
    <n v="1"/>
  </r>
  <r>
    <s v="AJEET KUMAR"/>
    <d v="2026-06-19T00:00:00"/>
    <s v="SR-RTN/26-27/40626"/>
    <s v="B-302575"/>
    <s v="B-GOLD-FILING"/>
    <s v="GOLD-FILLING-WK"/>
    <x v="1"/>
    <s v="G-NA-75.00-YG"/>
    <n v="8.6300000000000008"/>
    <n v="6.4725000000000001"/>
    <n v="0.75"/>
    <n v="8.31"/>
    <n v="6.2324999999999999"/>
    <n v="6.2330000000000005"/>
    <n v="0.75"/>
    <n v="0"/>
    <n v="0"/>
    <n v="0"/>
    <n v="0"/>
    <n v="0"/>
    <n v="0"/>
    <n v="0"/>
    <n v="0"/>
    <n v="0"/>
    <n v="0.32"/>
    <n v="0.24"/>
    <n v="0.75"/>
    <n v="-0.32000000000000028"/>
    <n v="0.32000000000000028"/>
    <x v="1"/>
    <n v="2.67"/>
    <n v="3.5630000000000006"/>
    <n v="2"/>
  </r>
  <r>
    <s v="AJEET KUMAR"/>
    <d v="2026-06-19T00:00:00"/>
    <s v="SR-RTN/26-27/40637"/>
    <s v="B-300300"/>
    <s v="B-GOLD-FILING"/>
    <s v="GOLD-FILLING-WK"/>
    <x v="1"/>
    <s v="G-NA-75.00-YG"/>
    <n v="198.81"/>
    <n v="149.10749999999999"/>
    <n v="0.74999999999999989"/>
    <n v="187.19"/>
    <n v="140.39250000000001"/>
    <n v="140.393"/>
    <n v="0.75000000000000011"/>
    <n v="0"/>
    <n v="0"/>
    <n v="0"/>
    <n v="0"/>
    <n v="0"/>
    <n v="0"/>
    <n v="0"/>
    <n v="0"/>
    <n v="0"/>
    <n v="11.62"/>
    <n v="8.7149999999999999"/>
    <n v="0.75"/>
    <n v="-11.620000000000005"/>
    <n v="11.620000000000005"/>
    <x v="0"/>
    <n v="140.393"/>
    <n v="0"/>
    <n v="1"/>
  </r>
  <r>
    <s v="AJEET KUMAR"/>
    <d v="2026-06-19T00:00:00"/>
    <s v="SR-RTN/26-27/40637"/>
    <s v="B-301847"/>
    <s v="B-GOLD-FILING"/>
    <s v="GOLD-FILLING-WK"/>
    <x v="1"/>
    <s v="G-NA-75.00-YG"/>
    <n v="8.24"/>
    <n v="6.18"/>
    <n v="0.75"/>
    <n v="7.41"/>
    <n v="5.5575000000000001"/>
    <n v="5.5580000000000007"/>
    <n v="0.75"/>
    <n v="0"/>
    <n v="0"/>
    <n v="0"/>
    <n v="0"/>
    <n v="0"/>
    <n v="0"/>
    <n v="0"/>
    <n v="0"/>
    <n v="0"/>
    <n v="0.83"/>
    <n v="0.62250000000000005"/>
    <n v="0.75000000000000011"/>
    <n v="-0.83"/>
    <n v="0.83"/>
    <x v="0"/>
    <n v="5.5580000000000007"/>
    <n v="0"/>
    <n v="1"/>
  </r>
  <r>
    <s v="AJEET KUMAR"/>
    <d v="2026-06-19T00:00:00"/>
    <s v="SR-RTN/26-27/40653"/>
    <s v="B-300993"/>
    <s v="B-GOLD-FILING"/>
    <s v="GOLD-FILLING-WK"/>
    <x v="1"/>
    <s v="G-NA-75.00-RG"/>
    <n v="26.251999999999999"/>
    <n v="19.689"/>
    <n v="0.75"/>
    <n v="24.521999999999998"/>
    <n v="18.391500000000001"/>
    <n v="18.391999999999999"/>
    <n v="0.75000000000000011"/>
    <n v="0"/>
    <n v="0"/>
    <n v="0"/>
    <n v="0"/>
    <n v="0"/>
    <n v="0"/>
    <n v="0"/>
    <n v="0"/>
    <n v="0"/>
    <n v="1.73"/>
    <n v="1.2975000000000001"/>
    <n v="0.75000000000000011"/>
    <n v="-1.7300000000000004"/>
    <n v="1.7300000000000004"/>
    <x v="0"/>
    <n v="18.391999999999999"/>
    <n v="0"/>
    <n v="1"/>
  </r>
  <r>
    <s v="AJEET KUMAR"/>
    <d v="2026-06-19T00:00:00"/>
    <s v="SR-RTN/26-27/40666"/>
    <s v="B-301840"/>
    <s v="B-GOLD-FILING"/>
    <s v="GOLD-FILLING-WK"/>
    <x v="1"/>
    <s v="G-NA-75.00-RG"/>
    <n v="43.87"/>
    <n v="32.902500000000003"/>
    <n v="0.75000000000000011"/>
    <n v="43.7"/>
    <n v="32.774999999999999"/>
    <n v="32.774999999999999"/>
    <n v="0.74999999999999989"/>
    <n v="0"/>
    <n v="0"/>
    <n v="0"/>
    <n v="0"/>
    <n v="0"/>
    <n v="0"/>
    <n v="0"/>
    <n v="0"/>
    <n v="0"/>
    <n v="0.17"/>
    <n v="0.1275"/>
    <n v="0.75"/>
    <n v="-0.1699999999999946"/>
    <n v="0.1699999999999946"/>
    <x v="0"/>
    <n v="32.774999999999999"/>
    <n v="0"/>
    <n v="2"/>
  </r>
  <r>
    <s v="AJEET KUMAR"/>
    <d v="2026-06-19T00:00:00"/>
    <s v="SR-W/O-RTN/26-27/2859"/>
    <s v="NONE"/>
    <s v="B-GOLD-FILING"/>
    <s v="GOLD-FILLING-WK"/>
    <x v="1"/>
    <s v="G-NA-75.00-RG"/>
    <n v="11.89"/>
    <n v="8.9175000000000004"/>
    <n v="0.75"/>
    <n v="10.8"/>
    <n v="8.1"/>
    <n v="8.1"/>
    <n v="0.74999999999999989"/>
    <n v="0"/>
    <n v="0"/>
    <n v="0"/>
    <n v="0"/>
    <n v="0"/>
    <n v="0"/>
    <n v="0"/>
    <n v="0"/>
    <n v="0"/>
    <n v="1.0900000000000001"/>
    <n v="0.8175"/>
    <n v="0.75"/>
    <n v="-1.0899999999999999"/>
    <n v="1.0899999999999999"/>
    <x v="1"/>
    <n v="0"/>
    <n v="8.1"/>
    <n v="67"/>
  </r>
  <r>
    <s v="AJEET KUMAR"/>
    <d v="2026-06-19T00:00:00"/>
    <s v="SR-W/O-RTN/26-27/2859"/>
    <s v="NONE"/>
    <s v="B-GOLD-FILING"/>
    <s v="GOLD-FILLING-WK"/>
    <x v="1"/>
    <s v="G-NA-75.00-YG"/>
    <n v="5.47"/>
    <n v="4.1025"/>
    <n v="0.75"/>
    <n v="4.82"/>
    <n v="3.6150000000000002"/>
    <n v="3.6150000000000002"/>
    <n v="0.75"/>
    <n v="0"/>
    <n v="0"/>
    <n v="0"/>
    <n v="0"/>
    <n v="0"/>
    <n v="0"/>
    <n v="0"/>
    <n v="0"/>
    <n v="0"/>
    <n v="0.65"/>
    <n v="0.48749999999999999"/>
    <n v="0.75"/>
    <n v="-0.64999999999999947"/>
    <n v="0.64999999999999947"/>
    <x v="1"/>
    <n v="0"/>
    <n v="3.6150000000000002"/>
    <n v="67"/>
  </r>
  <r>
    <s v="AJEET KUMAR"/>
    <d v="2026-06-19T00:00:00"/>
    <s v="SR-W/O-RTN/26-27/2859"/>
    <s v="NONE"/>
    <s v="B-GOLD-FILING"/>
    <s v="GOLD-FILLING-WK"/>
    <x v="0"/>
    <s v="G-NA-91.70-YG"/>
    <n v="5.68"/>
    <n v="5.2085600000000003"/>
    <n v="0.91700000000000015"/>
    <n v="2.5099999999999998"/>
    <n v="2.3016700000000001"/>
    <n v="2.302"/>
    <n v="0.91700000000000015"/>
    <n v="0"/>
    <n v="0"/>
    <n v="0"/>
    <n v="0"/>
    <n v="0"/>
    <n v="0"/>
    <n v="0"/>
    <n v="0"/>
    <n v="0"/>
    <n v="3.17"/>
    <n v="2.9068900000000002"/>
    <n v="0.91700000000000004"/>
    <n v="-3.17"/>
    <n v="3.17"/>
    <x v="1"/>
    <n v="0"/>
    <n v="2.302"/>
    <n v="67"/>
  </r>
  <r>
    <s v="AJEET KUMAR"/>
    <d v="2026-06-19T00:00:00"/>
    <s v="SR-W/O-RTN/26-27/2873"/>
    <s v="NONE"/>
    <s v="B-GOLD-FILING"/>
    <s v="GOLD-FILLING-WK"/>
    <x v="1"/>
    <s v="G-NA-75.00-RG"/>
    <n v="0.57999999999999996"/>
    <n v="0.435"/>
    <n v="0.75"/>
    <n v="0.49"/>
    <n v="0.36749999999999999"/>
    <n v="0.36799999999999999"/>
    <n v="0.75"/>
    <n v="0.09"/>
    <n v="6.7500000000000004E-2"/>
    <n v="0.75000000000000011"/>
    <n v="0"/>
    <n v="0"/>
    <n v="0"/>
    <n v="0"/>
    <n v="0"/>
    <n v="0"/>
    <n v="0"/>
    <n v="0"/>
    <n v="0"/>
    <n v="-0.17999999999999997"/>
    <n v="-2.7755575615628914E-17"/>
    <x v="1"/>
    <n v="0"/>
    <n v="0.36799999999999999"/>
    <n v="67"/>
  </r>
  <r>
    <s v="AJEET KUMAR"/>
    <d v="2026-06-19T00:00:00"/>
    <s v="SR-W/O-RTN/26-27/2884"/>
    <s v="NONE"/>
    <s v="B-GOLD-FILING"/>
    <s v="GOLD-FILLING-WK"/>
    <x v="1"/>
    <s v="G-NA-75.00-RG"/>
    <n v="0.49"/>
    <n v="0.36749999999999999"/>
    <n v="0.75"/>
    <n v="0.39"/>
    <n v="0.29249999999999998"/>
    <n v="0.29299999999999998"/>
    <n v="0.74999999999999989"/>
    <n v="0.1"/>
    <n v="7.4999999999999997E-2"/>
    <n v="0.74999999999999989"/>
    <n v="0"/>
    <n v="0"/>
    <n v="0"/>
    <n v="0"/>
    <n v="0"/>
    <n v="0"/>
    <n v="0"/>
    <n v="0"/>
    <n v="0"/>
    <n v="-0.2"/>
    <n v="-2.7755575615628914E-17"/>
    <x v="1"/>
    <n v="0"/>
    <n v="0.29299999999999998"/>
    <n v="67"/>
  </r>
  <r>
    <s v="AJEET KUMAR"/>
    <d v="2026-06-20T00:00:00"/>
    <s v="RTN-8879166"/>
    <s v="SR-42517"/>
    <s v="CAST-FILLING"/>
    <s v="GOLD-FILLING-WK"/>
    <x v="0"/>
    <s v="G-NA-91.70-YG"/>
    <n v="15.045999999999999"/>
    <n v="13.797181999999999"/>
    <n v="0.91700000000000004"/>
    <n v="13.986000000000001"/>
    <n v="12.825162000000001"/>
    <n v="12.825999999999999"/>
    <n v="0.91700000000000004"/>
    <n v="0"/>
    <n v="0"/>
    <n v="0"/>
    <n v="0"/>
    <n v="0"/>
    <n v="0"/>
    <n v="0"/>
    <n v="0"/>
    <n v="0"/>
    <n v="1.06"/>
    <n v="0.97202"/>
    <n v="0.91699999999999993"/>
    <n v="-1.0599999999999987"/>
    <n v="1.0599999999999987"/>
    <x v="0"/>
    <n v="12.825999999999999"/>
    <n v="0"/>
    <n v="1"/>
  </r>
  <r>
    <s v="AJEET KUMAR"/>
    <d v="2026-06-20T00:00:00"/>
    <s v="RTN-8879896"/>
    <s v="SR-42545"/>
    <s v="CAST-FILLING"/>
    <s v="GOLD-FILLING-WK"/>
    <x v="0"/>
    <s v="G-NA-91.70-YG"/>
    <n v="108.93"/>
    <n v="99.888810000000007"/>
    <n v="0.91700000000000004"/>
    <n v="101.52"/>
    <n v="93.09384"/>
    <n v="93.094000000000008"/>
    <n v="0.91700000000000004"/>
    <n v="0"/>
    <n v="0"/>
    <n v="0"/>
    <n v="0"/>
    <n v="0"/>
    <n v="0"/>
    <n v="0"/>
    <n v="0"/>
    <n v="0"/>
    <n v="7.41"/>
    <n v="6.7949700000000002"/>
    <n v="0.91700000000000004"/>
    <n v="-7.4100000000000108"/>
    <n v="7.4100000000000108"/>
    <x v="0"/>
    <n v="93.094000000000008"/>
    <n v="0"/>
    <n v="1"/>
  </r>
  <r>
    <s v="AJEET KUMAR"/>
    <d v="2026-06-20T00:00:00"/>
    <s v="RTN-8882542"/>
    <s v="SR-42562"/>
    <s v="CAST-FILLING"/>
    <s v="GOLD-FILLING-WK"/>
    <x v="1"/>
    <s v="G-NA-75.00-RG"/>
    <n v="54.23"/>
    <n v="40.672499999999999"/>
    <n v="0.75"/>
    <n v="49.13"/>
    <n v="36.847499999999997"/>
    <n v="36.847999999999999"/>
    <n v="0.74999999999999989"/>
    <n v="0"/>
    <n v="0"/>
    <n v="0"/>
    <n v="0"/>
    <n v="0"/>
    <n v="0"/>
    <n v="0"/>
    <n v="0"/>
    <n v="0"/>
    <n v="5.0999999999999996"/>
    <n v="3.8250000000000002"/>
    <n v="0.75000000000000011"/>
    <n v="-5.0999999999999943"/>
    <n v="5.0999999999999943"/>
    <x v="0"/>
    <n v="36.847999999999999"/>
    <n v="0"/>
    <n v="1"/>
  </r>
  <r>
    <s v="AJEET KUMAR"/>
    <d v="2026-06-20T00:00:00"/>
    <s v="RTN-8885708"/>
    <s v="SR-42634"/>
    <s v="CAST-FILLING"/>
    <s v="GOLD-FILLING-WK"/>
    <x v="0"/>
    <s v="G-NA-91.70-YG"/>
    <n v="41.8"/>
    <n v="38.330599999999997"/>
    <n v="0.91700000000000004"/>
    <n v="37.32"/>
    <n v="34.222439999999999"/>
    <n v="34.222999999999999"/>
    <n v="0.91699999999999993"/>
    <n v="0"/>
    <n v="0"/>
    <n v="0"/>
    <n v="0"/>
    <n v="0"/>
    <n v="0"/>
    <n v="0"/>
    <n v="0"/>
    <n v="0"/>
    <n v="4.4800000000000004"/>
    <n v="4.1081599999999998"/>
    <n v="0.91699999999999982"/>
    <n v="-4.4799999999999969"/>
    <n v="4.4799999999999969"/>
    <x v="0"/>
    <n v="34.222999999999999"/>
    <n v="0"/>
    <n v="1"/>
  </r>
  <r>
    <s v="AJEET KUMAR"/>
    <d v="2026-06-20T00:00:00"/>
    <s v="RTN-8886468"/>
    <s v="SR-42549"/>
    <s v="CAST-FILLING"/>
    <s v="GOLD-FILLING-WK"/>
    <x v="0"/>
    <s v="G-NA-91.70-YG"/>
    <n v="94.29"/>
    <n v="86.463930000000005"/>
    <n v="0.91700000000000004"/>
    <n v="87.77"/>
    <n v="80.48509"/>
    <n v="80.486000000000004"/>
    <n v="0.91700000000000004"/>
    <n v="0"/>
    <n v="0"/>
    <n v="0"/>
    <n v="0"/>
    <n v="0"/>
    <n v="0"/>
    <n v="0"/>
    <n v="0"/>
    <n v="0"/>
    <n v="6.52"/>
    <n v="5.9788399999999999"/>
    <n v="0.91700000000000004"/>
    <n v="-6.5200000000000102"/>
    <n v="6.5200000000000102"/>
    <x v="0"/>
    <n v="80.486000000000004"/>
    <n v="0"/>
    <n v="1"/>
  </r>
  <r>
    <s v="AJEET KUMAR"/>
    <d v="2026-06-20T00:00:00"/>
    <s v="RTN-8886496"/>
    <s v="SR-42604"/>
    <s v="CAST-FILLING"/>
    <s v="GOLD-FILLING-WK"/>
    <x v="0"/>
    <s v="G-NA-91.70-YG"/>
    <n v="92.89"/>
    <n v="85.180130000000005"/>
    <n v="0.91700000000000004"/>
    <n v="86.95"/>
    <n v="79.733149999999995"/>
    <n v="79.734000000000009"/>
    <n v="0.91699999999999993"/>
    <n v="0"/>
    <n v="0"/>
    <n v="0"/>
    <n v="0"/>
    <n v="0"/>
    <n v="0"/>
    <n v="0"/>
    <n v="0"/>
    <n v="0"/>
    <n v="5.94"/>
    <n v="5.4469799999999999"/>
    <n v="0.91699999999999993"/>
    <n v="-5.9399999999999977"/>
    <n v="5.9399999999999977"/>
    <x v="0"/>
    <n v="79.734000000000009"/>
    <n v="0"/>
    <n v="1"/>
  </r>
  <r>
    <s v="AJEET KUMAR"/>
    <d v="2026-06-20T00:00:00"/>
    <s v="RTN-8887672"/>
    <s v="SR-42630"/>
    <s v="CAST-FILLING"/>
    <s v="GOLD-FILLING-WK"/>
    <x v="0"/>
    <s v="G-NA-91.70-YG"/>
    <n v="57.02"/>
    <n v="52.28734"/>
    <n v="0.91699999999999993"/>
    <n v="51.02"/>
    <n v="46.785339999999998"/>
    <n v="46.785999999999994"/>
    <n v="0.91699999999999993"/>
    <n v="0"/>
    <n v="0"/>
    <n v="0"/>
    <n v="0"/>
    <n v="0"/>
    <n v="0"/>
    <n v="0"/>
    <n v="0"/>
    <n v="0"/>
    <n v="6"/>
    <n v="5.5019999999999998"/>
    <n v="0.91699999999999993"/>
    <n v="-6"/>
    <n v="6"/>
    <x v="0"/>
    <n v="46.785999999999994"/>
    <n v="0"/>
    <n v="1"/>
  </r>
  <r>
    <s v="AJEET KUMAR"/>
    <d v="2026-06-20T00:00:00"/>
    <s v="RTN-8887684"/>
    <s v="SR-42627"/>
    <s v="CAST-FILLING"/>
    <s v="GOLD-FILLING-WK"/>
    <x v="0"/>
    <s v="G-NA-91.70-YG"/>
    <n v="47.47"/>
    <n v="43.529989999999998"/>
    <n v="0.91699999999999993"/>
    <n v="43.74"/>
    <n v="40.109580000000001"/>
    <n v="40.11"/>
    <n v="0.91700000000000004"/>
    <n v="0"/>
    <n v="0"/>
    <n v="0"/>
    <n v="0"/>
    <n v="0"/>
    <n v="0"/>
    <n v="0"/>
    <n v="0"/>
    <n v="0"/>
    <n v="3.73"/>
    <n v="3.42041"/>
    <n v="0.91700000000000004"/>
    <n v="-3.7299999999999969"/>
    <n v="3.7299999999999969"/>
    <x v="0"/>
    <n v="40.11"/>
    <n v="0"/>
    <n v="1"/>
  </r>
  <r>
    <s v="AJEET KUMAR"/>
    <d v="2026-06-20T00:00:00"/>
    <s v="RTN-8888894"/>
    <s v="SR-42631"/>
    <s v="CAST-FILLING"/>
    <s v="GOLD-FILLING-WK"/>
    <x v="0"/>
    <s v="G-NA-91.70-YG"/>
    <n v="59.47"/>
    <n v="54.533990000000003"/>
    <n v="0.91700000000000004"/>
    <n v="55.65"/>
    <n v="51.03105"/>
    <n v="51.031999999999996"/>
    <n v="0.91700000000000004"/>
    <n v="0"/>
    <n v="0"/>
    <n v="0"/>
    <n v="0"/>
    <n v="0"/>
    <n v="0"/>
    <n v="0"/>
    <n v="0"/>
    <n v="0"/>
    <n v="3.82"/>
    <n v="3.5029400000000002"/>
    <n v="0.91700000000000004"/>
    <n v="-3.82"/>
    <n v="3.82"/>
    <x v="0"/>
    <n v="51.031999999999996"/>
    <n v="0"/>
    <n v="1"/>
  </r>
  <r>
    <s v="AJEET KUMAR"/>
    <d v="2026-06-20T00:00:00"/>
    <s v="RTN-8890393"/>
    <s v="SR-42564"/>
    <s v="CAST-FILLING"/>
    <s v="GOLD-FILLING-WK"/>
    <x v="0"/>
    <s v="G-NA-91.70-YG"/>
    <n v="192.8"/>
    <n v="176.79759999999999"/>
    <n v="0.91699999999999993"/>
    <n v="182.07"/>
    <n v="166.95819"/>
    <n v="166.959"/>
    <n v="0.91700000000000004"/>
    <n v="0"/>
    <n v="0"/>
    <n v="0"/>
    <n v="0"/>
    <n v="0"/>
    <n v="0"/>
    <n v="0"/>
    <n v="0"/>
    <n v="0"/>
    <n v="10.73"/>
    <n v="9.8394100000000009"/>
    <n v="0.91700000000000004"/>
    <n v="-10.730000000000018"/>
    <n v="10.730000000000018"/>
    <x v="0"/>
    <n v="166.959"/>
    <n v="0"/>
    <n v="1"/>
  </r>
  <r>
    <s v="AJEET KUMAR"/>
    <d v="2026-06-20T00:00:00"/>
    <s v="RTN-8890396"/>
    <s v="SR-42616"/>
    <s v="CAST-FILLING"/>
    <s v="GOLD-FILLING-WK"/>
    <x v="0"/>
    <s v="G-NA-91.70-YG"/>
    <n v="32.840000000000003"/>
    <n v="30.114280000000001"/>
    <n v="0.91699999999999993"/>
    <n v="31.63"/>
    <n v="29.004709999999999"/>
    <n v="29.005000000000003"/>
    <n v="0.91700000000000004"/>
    <n v="0"/>
    <n v="0"/>
    <n v="0"/>
    <n v="0"/>
    <n v="0"/>
    <n v="0"/>
    <n v="0"/>
    <n v="0"/>
    <n v="0"/>
    <n v="1.21"/>
    <n v="1.1095699999999999"/>
    <n v="0.91699999999999993"/>
    <n v="-1.2100000000000044"/>
    <n v="1.2100000000000044"/>
    <x v="0"/>
    <n v="29.005000000000003"/>
    <n v="0"/>
    <n v="1"/>
  </r>
  <r>
    <s v="AJEET KUMAR"/>
    <d v="2026-06-20T00:00:00"/>
    <s v="SR-RTN/26-27/40701"/>
    <s v="B-299646"/>
    <s v="B-GOLD-FILING"/>
    <s v="GOLD-FILLING-WK"/>
    <x v="1"/>
    <s v="G-NA-75.00-YG"/>
    <n v="32.19"/>
    <n v="24.142499999999998"/>
    <n v="0.75"/>
    <n v="32.19"/>
    <n v="24.142499999999998"/>
    <n v="24.143000000000001"/>
    <n v="0.75"/>
    <n v="0"/>
    <n v="0"/>
    <n v="0"/>
    <n v="0"/>
    <n v="0"/>
    <n v="0"/>
    <n v="0"/>
    <n v="0"/>
    <n v="0"/>
    <n v="0"/>
    <n v="0"/>
    <n v="0"/>
    <n v="0"/>
    <n v="0"/>
    <x v="1"/>
    <n v="22.425000000000001"/>
    <n v="1.718"/>
    <n v="2"/>
  </r>
  <r>
    <s v="AJEET KUMAR"/>
    <d v="2026-06-20T00:00:00"/>
    <s v="SR-RTN/26-27/40714"/>
    <s v="B-301963"/>
    <s v="B-GOLD-FILING"/>
    <s v="GOLD-FILLING-WK"/>
    <x v="0"/>
    <s v="G-NA-91.70-YG"/>
    <n v="277.93"/>
    <n v="254.86180999999999"/>
    <n v="0.91699999999999993"/>
    <n v="277.93"/>
    <n v="254.86180999999999"/>
    <n v="254.86199999999999"/>
    <n v="0.91699999999999993"/>
    <n v="0"/>
    <n v="0"/>
    <n v="0"/>
    <n v="0"/>
    <n v="0"/>
    <n v="0"/>
    <n v="0"/>
    <n v="0"/>
    <n v="0"/>
    <n v="0"/>
    <n v="0"/>
    <n v="0"/>
    <n v="0"/>
    <n v="0"/>
    <x v="0"/>
    <n v="254.86199999999999"/>
    <n v="0"/>
    <n v="4"/>
  </r>
  <r>
    <s v="AJEET KUMAR"/>
    <d v="2026-06-20T00:00:00"/>
    <s v="SR-RTN/26-27/40718"/>
    <s v="B-301963"/>
    <s v="B-GOLD-FILING"/>
    <s v="GOLD-FILLING-WK"/>
    <x v="0"/>
    <s v="G-NA-91.70-YG"/>
    <n v="278.14"/>
    <n v="255.05438000000001"/>
    <n v="0.91700000000000004"/>
    <n v="278.14"/>
    <n v="255.05438000000001"/>
    <n v="255.05500000000001"/>
    <n v="0.91700000000000004"/>
    <n v="0"/>
    <n v="0"/>
    <n v="0"/>
    <n v="0"/>
    <n v="0"/>
    <n v="0"/>
    <n v="0"/>
    <n v="0"/>
    <n v="0"/>
    <n v="0"/>
    <n v="0"/>
    <n v="0"/>
    <n v="0"/>
    <n v="0"/>
    <x v="1"/>
    <n v="254.86199999999999"/>
    <n v="0.19300000000001205"/>
    <n v="4"/>
  </r>
  <r>
    <s v="AJEET KUMAR"/>
    <d v="2026-06-20T00:00:00"/>
    <s v="SR-RTN/26-27/40749"/>
    <s v="B-300758"/>
    <s v="B-GOLD-FILING"/>
    <s v="GOLD-FILLING-WK"/>
    <x v="0"/>
    <s v="G-NA-91.70-YG"/>
    <n v="107.85"/>
    <n v="98.898449999999997"/>
    <n v="0.91700000000000004"/>
    <n v="100.49"/>
    <n v="92.149330000000006"/>
    <n v="92.15"/>
    <n v="0.91700000000000015"/>
    <n v="0"/>
    <n v="0"/>
    <n v="0"/>
    <n v="0"/>
    <n v="0"/>
    <n v="0"/>
    <n v="0"/>
    <n v="0"/>
    <n v="0"/>
    <n v="7.36"/>
    <n v="6.7491199999999996"/>
    <n v="0.91699999999999993"/>
    <n v="-7.36"/>
    <n v="7.36"/>
    <x v="0"/>
    <n v="92.15"/>
    <n v="0"/>
    <n v="1"/>
  </r>
  <r>
    <s v="AJEET KUMAR"/>
    <d v="2026-06-20T00:00:00"/>
    <s v="SR-RTN/26-27/40784"/>
    <s v="B-301855"/>
    <s v="B-GOLD-FILING"/>
    <s v="GOLD-FILLING-WK"/>
    <x v="1"/>
    <s v="G-NA-75.00-RG"/>
    <n v="12.01"/>
    <n v="9.0075000000000003"/>
    <n v="0.75"/>
    <n v="10.48"/>
    <n v="7.86"/>
    <n v="7.86"/>
    <n v="0.75"/>
    <n v="0"/>
    <n v="0"/>
    <n v="0"/>
    <n v="0"/>
    <n v="0"/>
    <n v="0"/>
    <n v="0"/>
    <n v="0"/>
    <n v="0"/>
    <n v="1.53"/>
    <n v="1.1475"/>
    <n v="0.75"/>
    <n v="-1.5299999999999994"/>
    <n v="1.5299999999999994"/>
    <x v="0"/>
    <n v="7.86"/>
    <n v="0"/>
    <n v="1"/>
  </r>
  <r>
    <s v="AJEET KUMAR"/>
    <d v="2026-06-20T00:00:00"/>
    <s v="SR-RTN/26-27/40822"/>
    <s v="B-299645"/>
    <s v="B-GOLD-FILING"/>
    <s v="GOLD-FILLING-WK"/>
    <x v="1"/>
    <s v="G-NA-75.00-RG"/>
    <n v="30.39"/>
    <n v="22.7925"/>
    <n v="0.75"/>
    <n v="30.23"/>
    <n v="22.672499999999999"/>
    <n v="22.673000000000002"/>
    <n v="0.75"/>
    <n v="0"/>
    <n v="0"/>
    <n v="0"/>
    <n v="0"/>
    <n v="0"/>
    <n v="0"/>
    <n v="0"/>
    <n v="0"/>
    <n v="0"/>
    <n v="0.16"/>
    <n v="0.12"/>
    <n v="0.75"/>
    <n v="-0.16000000000000014"/>
    <n v="0.16000000000000014"/>
    <x v="0"/>
    <n v="22.673000000000002"/>
    <n v="0"/>
    <n v="2"/>
  </r>
  <r>
    <s v="AJEET KUMAR"/>
    <d v="2026-06-20T00:00:00"/>
    <s v="SR-RTN/26-27/40822"/>
    <s v="B-300748"/>
    <s v="B-GOLD-FILING"/>
    <s v="GOLD-FILLING-WK"/>
    <x v="0"/>
    <s v="G-NA-91.70-YG"/>
    <n v="172.64"/>
    <n v="158.31088"/>
    <n v="0.91700000000000004"/>
    <n v="163.69"/>
    <n v="150.10373000000001"/>
    <n v="150.10400000000001"/>
    <n v="0.91700000000000004"/>
    <n v="0"/>
    <n v="0"/>
    <n v="0"/>
    <n v="0"/>
    <n v="0"/>
    <n v="0"/>
    <n v="0"/>
    <n v="0"/>
    <n v="0"/>
    <n v="8.9499999999999993"/>
    <n v="8.2071500000000004"/>
    <n v="0.91700000000000015"/>
    <n v="-8.9499999999999886"/>
    <n v="8.9499999999999886"/>
    <x v="0"/>
    <n v="150.10400000000001"/>
    <n v="0"/>
    <n v="1"/>
  </r>
  <r>
    <s v="AJEET KUMAR"/>
    <d v="2026-06-20T00:00:00"/>
    <s v="SR-RTN/26-27/40843"/>
    <s v="B-301868"/>
    <s v="B-GOLD-FILING"/>
    <s v="GOLD-FILLING-WK"/>
    <x v="1"/>
    <s v="G-NA-75.00-YG"/>
    <n v="25.44"/>
    <n v="19.079999999999998"/>
    <n v="0.74999999999999989"/>
    <n v="23.12"/>
    <n v="17.34"/>
    <n v="17.34"/>
    <n v="0.75"/>
    <n v="0"/>
    <n v="0"/>
    <n v="0"/>
    <n v="0"/>
    <n v="0"/>
    <n v="0"/>
    <n v="0"/>
    <n v="0"/>
    <n v="0"/>
    <n v="2.3199999999999998"/>
    <n v="1.74"/>
    <n v="0.75"/>
    <n v="-2.3200000000000003"/>
    <n v="2.3200000000000003"/>
    <x v="0"/>
    <n v="17.34"/>
    <n v="0"/>
    <n v="1"/>
  </r>
  <r>
    <s v="AJEET KUMAR"/>
    <d v="2026-06-20T00:00:00"/>
    <s v="SR-RTN/26-27/40848"/>
    <s v="B-301839"/>
    <s v="B-GOLD-FILING"/>
    <s v="GOLD-FILLING-WK"/>
    <x v="0"/>
    <s v="G-NA-91.70-YG"/>
    <n v="17.559999999999999"/>
    <n v="16.102519999999998"/>
    <n v="0.91699999999999993"/>
    <n v="17.11"/>
    <n v="15.689870000000001"/>
    <n v="15.69"/>
    <n v="0.91700000000000004"/>
    <n v="0"/>
    <n v="0"/>
    <n v="0"/>
    <n v="0"/>
    <n v="0"/>
    <n v="0"/>
    <n v="0"/>
    <n v="0"/>
    <n v="0"/>
    <n v="0.45"/>
    <n v="0.41265000000000002"/>
    <n v="0.91700000000000004"/>
    <n v="-0.44999999999999929"/>
    <n v="0.44999999999999929"/>
    <x v="0"/>
    <n v="15.69"/>
    <n v="0"/>
    <n v="1"/>
  </r>
  <r>
    <s v="AJEET KUMAR"/>
    <d v="2026-06-20T00:00:00"/>
    <s v="SR-RTN/26-27/40849"/>
    <s v="B-300296"/>
    <s v="B-GOLD-FILING"/>
    <s v="GOLD-FILLING-WK"/>
    <x v="1"/>
    <s v="G-NA-75.00-RG"/>
    <n v="133.36000000000001"/>
    <n v="100.02"/>
    <n v="0.74999999999999989"/>
    <n v="132.94999999999999"/>
    <n v="99.712500000000006"/>
    <n v="99.713000000000008"/>
    <n v="0.75000000000000011"/>
    <n v="0"/>
    <n v="0"/>
    <n v="0"/>
    <n v="0"/>
    <n v="0"/>
    <n v="0"/>
    <n v="0"/>
    <n v="0"/>
    <n v="0"/>
    <n v="0.41"/>
    <n v="0.3075"/>
    <n v="0.75"/>
    <n v="-0.41000000000002501"/>
    <n v="0.41000000000002501"/>
    <x v="1"/>
    <n v="99.713000000000008"/>
    <n v="0"/>
    <n v="2"/>
  </r>
  <r>
    <s v="AJEET KUMAR"/>
    <d v="2026-06-20T00:00:00"/>
    <s v="SR-RTN/26-27/40853"/>
    <s v="B-300898"/>
    <s v="B-GOLD-FILING"/>
    <s v="GOLD-FILLING-WK"/>
    <x v="0"/>
    <s v="G-NA-91.70-YG"/>
    <n v="73.2"/>
    <n v="67.124399999999994"/>
    <n v="0.91699999999999993"/>
    <n v="69.599999999999994"/>
    <n v="63.8232"/>
    <n v="63.823999999999998"/>
    <n v="0.91700000000000004"/>
    <n v="0"/>
    <n v="0"/>
    <n v="0"/>
    <n v="0"/>
    <n v="0"/>
    <n v="0"/>
    <n v="0"/>
    <n v="0"/>
    <n v="0"/>
    <n v="3.6"/>
    <n v="3.3012000000000001"/>
    <n v="0.91700000000000004"/>
    <n v="-3.6000000000000085"/>
    <n v="3.6000000000000085"/>
    <x v="0"/>
    <n v="63.823999999999998"/>
    <n v="0"/>
    <n v="1"/>
  </r>
  <r>
    <s v="AJEET KUMAR"/>
    <d v="2026-06-20T00:00:00"/>
    <s v="SR-RTN/26-27/40854"/>
    <s v="B-300323"/>
    <s v="B-GOLD-FILING"/>
    <s v="GOLD-FILLING-WK"/>
    <x v="0"/>
    <s v="G-NA-91.70-YG"/>
    <n v="41.28"/>
    <n v="37.853760000000001"/>
    <n v="0.91700000000000004"/>
    <n v="37.58"/>
    <n v="34.460859999999997"/>
    <n v="34.460999999999999"/>
    <n v="0.91699999999999993"/>
    <n v="0"/>
    <n v="0"/>
    <n v="0"/>
    <n v="0"/>
    <n v="0"/>
    <n v="0"/>
    <n v="0"/>
    <n v="0"/>
    <n v="0"/>
    <n v="3.7"/>
    <n v="3.3929"/>
    <n v="0.91699999999999993"/>
    <n v="-3.7000000000000028"/>
    <n v="3.7000000000000028"/>
    <x v="0"/>
    <n v="34.460999999999999"/>
    <n v="0"/>
    <n v="1"/>
  </r>
  <r>
    <s v="AJEET KUMAR"/>
    <d v="2026-06-20T00:00:00"/>
    <s v="SR-RTN/26-27/40884"/>
    <s v="B-301870"/>
    <s v="B-GOLD-FILING"/>
    <s v="GOLD-FILLING-WK"/>
    <x v="1"/>
    <s v="G-NA-75.00-RG"/>
    <n v="24.08"/>
    <n v="18.059999999999999"/>
    <n v="0.75"/>
    <n v="20.88"/>
    <n v="15.66"/>
    <n v="15.66"/>
    <n v="0.75"/>
    <n v="0"/>
    <n v="0"/>
    <n v="0"/>
    <n v="0"/>
    <n v="0"/>
    <n v="0"/>
    <n v="0"/>
    <n v="0"/>
    <n v="0"/>
    <n v="3.2"/>
    <n v="2.4"/>
    <n v="0.74999999999999989"/>
    <n v="-3.1999999999999993"/>
    <n v="3.1999999999999993"/>
    <x v="0"/>
    <n v="15.66"/>
    <n v="0"/>
    <n v="1"/>
  </r>
  <r>
    <s v="AJEET KUMAR"/>
    <d v="2026-06-20T00:00:00"/>
    <s v="SR-RTN/26-27/40886"/>
    <s v="B-299742"/>
    <s v="B-GOLD-FILING"/>
    <s v="GOLD-FILLING-WK"/>
    <x v="0"/>
    <s v="G-NA-91.70-YG"/>
    <n v="128.54"/>
    <n v="117.87118"/>
    <n v="0.91700000000000004"/>
    <n v="122"/>
    <n v="111.874"/>
    <n v="111.874"/>
    <n v="0.91699999999999993"/>
    <n v="0"/>
    <n v="0"/>
    <n v="0"/>
    <n v="0"/>
    <n v="0"/>
    <n v="0"/>
    <n v="0"/>
    <n v="0"/>
    <n v="0"/>
    <n v="6.54"/>
    <n v="5.9971800000000002"/>
    <n v="0.91700000000000004"/>
    <n v="-6.539999999999992"/>
    <n v="6.539999999999992"/>
    <x v="0"/>
    <n v="111.874"/>
    <n v="0"/>
    <n v="1"/>
  </r>
  <r>
    <s v="AJEET KUMAR"/>
    <d v="2026-06-20T00:00:00"/>
    <s v="SR-RTN/26-27/40887"/>
    <s v="B-299694"/>
    <s v="B-GOLD-FILING"/>
    <s v="GOLD-FILLING-WK"/>
    <x v="0"/>
    <s v="G-NA-91.70-YG"/>
    <n v="48.19"/>
    <n v="44.19023"/>
    <n v="0.91700000000000004"/>
    <n v="45.1"/>
    <n v="41.356699999999996"/>
    <n v="41.356999999999999"/>
    <n v="0.91699999999999993"/>
    <n v="0"/>
    <n v="0"/>
    <n v="0"/>
    <n v="0"/>
    <n v="0"/>
    <n v="0"/>
    <n v="0"/>
    <n v="0"/>
    <n v="0"/>
    <n v="3.09"/>
    <n v="2.8335300000000001"/>
    <n v="0.91700000000000004"/>
    <n v="-3.0899999999999963"/>
    <n v="3.0899999999999963"/>
    <x v="0"/>
    <n v="41.356999999999999"/>
    <n v="0"/>
    <n v="1"/>
  </r>
  <r>
    <s v="AJEET KUMAR"/>
    <d v="2026-06-20T00:00:00"/>
    <s v="SR-RTN/26-27/40898"/>
    <s v="B-300913"/>
    <s v="B-GOLD-FILING"/>
    <s v="GOLD-FILLING-WK"/>
    <x v="0"/>
    <s v="G-NA-91.70-YG"/>
    <n v="45.484999999999999"/>
    <n v="41.709744999999998"/>
    <n v="0.91699999999999993"/>
    <n v="43.234999999999999"/>
    <n v="39.646495000000002"/>
    <n v="39.646999999999998"/>
    <n v="0.91700000000000004"/>
    <n v="0"/>
    <n v="0"/>
    <n v="0"/>
    <n v="0"/>
    <n v="0"/>
    <n v="0"/>
    <n v="0"/>
    <n v="0"/>
    <n v="0"/>
    <n v="2.25"/>
    <n v="2.06325"/>
    <n v="0.91700000000000004"/>
    <n v="-2.25"/>
    <n v="2.25"/>
    <x v="0"/>
    <n v="39.646999999999998"/>
    <n v="0"/>
    <n v="1"/>
  </r>
  <r>
    <s v="AJEET KUMAR"/>
    <d v="2026-06-20T00:00:00"/>
    <s v="SR-RTN/26-27/40898"/>
    <s v="B-300981"/>
    <s v="B-GOLD-FILING"/>
    <s v="GOLD-FILLING-WK"/>
    <x v="0"/>
    <s v="G-NA-91.70-YG"/>
    <n v="31.09"/>
    <n v="28.509530000000002"/>
    <n v="0.91700000000000004"/>
    <n v="27.7"/>
    <n v="25.4009"/>
    <n v="25.401"/>
    <n v="0.91700000000000004"/>
    <n v="0"/>
    <n v="0"/>
    <n v="0"/>
    <n v="0"/>
    <n v="0"/>
    <n v="0"/>
    <n v="0"/>
    <n v="0"/>
    <n v="0"/>
    <n v="3.39"/>
    <n v="3.1086299999999998"/>
    <n v="0.91699999999999993"/>
    <n v="-3.3900000000000006"/>
    <n v="3.3900000000000006"/>
    <x v="0"/>
    <n v="25.401"/>
    <n v="0"/>
    <n v="1"/>
  </r>
  <r>
    <s v="AJEET KUMAR"/>
    <d v="2026-06-20T00:00:00"/>
    <s v="SR-RTN/26-27/40951"/>
    <s v="B-300771"/>
    <s v="B-GOLD-FILING"/>
    <s v="GOLD-FILLING-WK"/>
    <x v="0"/>
    <s v="G-NA-91.70-YG"/>
    <n v="118.06"/>
    <n v="108.26102"/>
    <n v="0.91700000000000004"/>
    <n v="110.98"/>
    <n v="101.76866"/>
    <n v="101.76900000000001"/>
    <n v="0.91699999999999993"/>
    <n v="0"/>
    <n v="0"/>
    <n v="0"/>
    <n v="0"/>
    <n v="0"/>
    <n v="0"/>
    <n v="0"/>
    <n v="0"/>
    <n v="0"/>
    <n v="7.08"/>
    <n v="6.4923599999999997"/>
    <n v="0.91699999999999993"/>
    <n v="-7.0799999999999983"/>
    <n v="7.0799999999999983"/>
    <x v="0"/>
    <n v="101.76900000000001"/>
    <n v="0"/>
    <n v="1"/>
  </r>
  <r>
    <s v="AJEET KUMAR"/>
    <d v="2026-06-20T00:00:00"/>
    <s v="SR-RTN/26-27/40951"/>
    <s v="B-301841"/>
    <s v="B-GOLD-FILING"/>
    <s v="GOLD-FILLING-WK"/>
    <x v="1"/>
    <s v="G-NA-75.00-YG"/>
    <n v="28.98"/>
    <n v="21.734999999999999"/>
    <n v="0.75"/>
    <n v="27.43"/>
    <n v="20.572500000000002"/>
    <n v="20.573"/>
    <n v="0.75000000000000011"/>
    <n v="0"/>
    <n v="0"/>
    <n v="0"/>
    <n v="0"/>
    <n v="0"/>
    <n v="0"/>
    <n v="0"/>
    <n v="0"/>
    <n v="0"/>
    <n v="1.55"/>
    <n v="1.1625000000000001"/>
    <n v="0.75"/>
    <n v="-1.5500000000000007"/>
    <n v="1.5500000000000007"/>
    <x v="0"/>
    <n v="20.573"/>
    <n v="0"/>
    <n v="1"/>
  </r>
  <r>
    <s v="AJEET KUMAR"/>
    <d v="2026-06-20T00:00:00"/>
    <s v="SR-RTN/26-27/40988"/>
    <s v="B-301759"/>
    <s v="B-GOLD-FILING"/>
    <s v="GOLD-FILLING-WK"/>
    <x v="0"/>
    <s v="G-NA-91.70-YG"/>
    <n v="10.09"/>
    <n v="9.2525300000000001"/>
    <n v="0.91700000000000004"/>
    <n v="9.67"/>
    <n v="8.8673900000000003"/>
    <n v="8.8680000000000003"/>
    <n v="0.91700000000000004"/>
    <n v="0"/>
    <n v="0"/>
    <n v="0"/>
    <n v="0"/>
    <n v="0"/>
    <n v="0"/>
    <n v="0"/>
    <n v="0"/>
    <n v="0"/>
    <n v="0.42"/>
    <n v="0.38513999999999998"/>
    <n v="0.91700000000000004"/>
    <n v="-0.41999999999999993"/>
    <n v="0.41999999999999993"/>
    <x v="0"/>
    <n v="8.8680000000000003"/>
    <n v="0"/>
    <n v="1"/>
  </r>
  <r>
    <s v="AJEET KUMAR"/>
    <d v="2026-06-20T00:00:00"/>
    <s v="SR-RTN/26-27/40988"/>
    <s v="B-301933"/>
    <s v="B-GOLD-FILING"/>
    <s v="GOLD-FILLING-WK"/>
    <x v="0"/>
    <s v="G-NA-91.70-YG"/>
    <n v="21.66"/>
    <n v="19.862220000000001"/>
    <n v="0.91700000000000004"/>
    <n v="21.66"/>
    <n v="19.862220000000001"/>
    <n v="19.863"/>
    <n v="0.91700000000000004"/>
    <n v="0"/>
    <n v="0"/>
    <n v="0"/>
    <n v="0"/>
    <n v="0"/>
    <n v="0"/>
    <n v="0"/>
    <n v="0"/>
    <n v="0"/>
    <n v="0"/>
    <n v="0"/>
    <n v="0"/>
    <n v="0"/>
    <n v="0"/>
    <x v="1"/>
    <n v="19.019000000000002"/>
    <n v="0.84399999999999764"/>
    <n v="2"/>
  </r>
  <r>
    <s v="AJEET KUMAR"/>
    <d v="2026-06-20T00:00:00"/>
    <s v="SR-RTN/26-27/40988"/>
    <s v="B-302511"/>
    <s v="B-GOLD-FILING"/>
    <s v="GOLD-FILLING-WK"/>
    <x v="1"/>
    <s v="G-NA-75.00-YG"/>
    <n v="2.48"/>
    <n v="1.86"/>
    <n v="0.75"/>
    <n v="2.11"/>
    <n v="1.5825"/>
    <n v="1.583"/>
    <n v="0.75"/>
    <n v="0"/>
    <n v="0"/>
    <n v="0"/>
    <n v="0"/>
    <n v="0"/>
    <n v="0"/>
    <n v="0"/>
    <n v="0"/>
    <n v="0"/>
    <n v="0.37"/>
    <n v="0.27750000000000002"/>
    <n v="0.75000000000000011"/>
    <n v="-0.37000000000000011"/>
    <n v="0.37000000000000011"/>
    <x v="0"/>
    <n v="1.583"/>
    <n v="0"/>
    <n v="1"/>
  </r>
  <r>
    <s v="AJEET KUMAR"/>
    <d v="2026-06-20T00:00:00"/>
    <s v="SR-RTN/26-27/40988"/>
    <s v="B-302512"/>
    <s v="B-GOLD-FILING"/>
    <s v="GOLD-FILLING-WK"/>
    <x v="1"/>
    <s v="G-NA-75.00-YG"/>
    <n v="2.2200000000000002"/>
    <n v="1.665"/>
    <n v="0.75"/>
    <n v="1.85"/>
    <n v="1.3875"/>
    <n v="1.3879999999999999"/>
    <n v="0.74999999999999989"/>
    <n v="0"/>
    <n v="0"/>
    <n v="0"/>
    <n v="0"/>
    <n v="0"/>
    <n v="0"/>
    <n v="0"/>
    <n v="0"/>
    <n v="0"/>
    <n v="0.37"/>
    <n v="0.27750000000000002"/>
    <n v="0.75000000000000011"/>
    <n v="-0.37000000000000011"/>
    <n v="0.37000000000000011"/>
    <x v="0"/>
    <n v="1.3879999999999999"/>
    <n v="0"/>
    <n v="1"/>
  </r>
  <r>
    <s v="AJEET KUMAR"/>
    <d v="2026-06-20T00:00:00"/>
    <s v="SR-RTN/26-27/40988"/>
    <s v="B-302515"/>
    <s v="B-GOLD-FILING"/>
    <s v="GOLD-FILLING-WK"/>
    <x v="1"/>
    <s v="G-NA-75.00-YG"/>
    <n v="6.02"/>
    <n v="4.5149999999999997"/>
    <n v="0.75"/>
    <n v="5.57"/>
    <n v="4.1775000000000002"/>
    <n v="4.1779999999999999"/>
    <n v="0.75"/>
    <n v="0"/>
    <n v="0"/>
    <n v="0"/>
    <n v="0"/>
    <n v="0"/>
    <n v="0"/>
    <n v="0"/>
    <n v="0"/>
    <n v="0"/>
    <n v="0.45"/>
    <n v="0.33750000000000002"/>
    <n v="0.75"/>
    <n v="-0.44999999999999929"/>
    <n v="0.44999999999999929"/>
    <x v="0"/>
    <n v="4.1779999999999999"/>
    <n v="0"/>
    <n v="1"/>
  </r>
  <r>
    <s v="AJEET KUMAR"/>
    <d v="2026-06-20T00:00:00"/>
    <s v="SR-RTN/26-27/40990"/>
    <s v="B-300980"/>
    <s v="B-GOLD-FILING"/>
    <s v="GOLD-FILLING-WK"/>
    <x v="0"/>
    <s v="G-NA-91.70-YG"/>
    <n v="19.97"/>
    <n v="18.31249"/>
    <n v="0.91700000000000004"/>
    <n v="18.11"/>
    <n v="16.606870000000001"/>
    <n v="16.607000000000003"/>
    <n v="0.91700000000000004"/>
    <n v="0"/>
    <n v="0"/>
    <n v="0"/>
    <n v="0"/>
    <n v="0"/>
    <n v="0"/>
    <n v="0"/>
    <n v="0"/>
    <n v="0"/>
    <n v="1.86"/>
    <n v="1.7056199999999999"/>
    <n v="0.91699999999999993"/>
    <n v="-1.8599999999999994"/>
    <n v="1.8599999999999994"/>
    <x v="1"/>
    <n v="14.737"/>
    <n v="1.8700000000000028"/>
    <n v="2"/>
  </r>
  <r>
    <s v="AJEET KUMAR"/>
    <d v="2026-06-20T00:00:00"/>
    <s v="SR-RTN/26-27/40993"/>
    <s v="B-300739"/>
    <s v="B-GOLD-FILING"/>
    <s v="GOLD-FILLING-WK"/>
    <x v="0"/>
    <s v="G-NA-91.70-YG"/>
    <n v="95.94"/>
    <n v="87.976979999999998"/>
    <n v="0.91700000000000004"/>
    <n v="95.94"/>
    <n v="87.976979999999998"/>
    <n v="87.977000000000004"/>
    <n v="0.91700000000000004"/>
    <n v="0"/>
    <n v="0"/>
    <n v="0"/>
    <n v="0"/>
    <n v="0"/>
    <n v="0"/>
    <n v="0"/>
    <n v="0"/>
    <n v="0"/>
    <n v="0"/>
    <n v="0"/>
    <n v="0"/>
    <n v="0"/>
    <n v="0"/>
    <x v="1"/>
    <n v="80.100000000000009"/>
    <n v="7.8769999999999953"/>
    <n v="2"/>
  </r>
  <r>
    <s v="AJEET KUMAR"/>
    <d v="2026-06-20T00:00:00"/>
    <s v="SR-RTN/26-27/40993"/>
    <s v="B-301931"/>
    <s v="B-GOLD-FILING"/>
    <s v="GOLD-FILLING-WK"/>
    <x v="0"/>
    <s v="G-NA-91.70-YG"/>
    <n v="21.26"/>
    <n v="19.495419999999999"/>
    <n v="0.91699999999999993"/>
    <n v="21.26"/>
    <n v="19.495419999999999"/>
    <n v="19.496000000000002"/>
    <n v="0.91699999999999993"/>
    <n v="0"/>
    <n v="0"/>
    <n v="0"/>
    <n v="0"/>
    <n v="0"/>
    <n v="0"/>
    <n v="0"/>
    <n v="0"/>
    <n v="0"/>
    <n v="0"/>
    <n v="0"/>
    <n v="0"/>
    <n v="0"/>
    <n v="0"/>
    <x v="1"/>
    <n v="18.716000000000001"/>
    <n v="0.78000000000000114"/>
    <n v="2"/>
  </r>
  <r>
    <s v="AJEET KUMAR"/>
    <d v="2026-06-20T00:00:00"/>
    <s v="SR-RTN/26-27/40996"/>
    <s v="B-301004"/>
    <s v="B-GOLD-FILING"/>
    <s v="GOLD-FILLING-WK"/>
    <x v="1"/>
    <s v="G-NA-75.00-RG"/>
    <n v="30.33"/>
    <n v="22.747499999999999"/>
    <n v="0.75"/>
    <n v="28.37"/>
    <n v="21.2775"/>
    <n v="21.278000000000002"/>
    <n v="0.75"/>
    <n v="0"/>
    <n v="0"/>
    <n v="0"/>
    <n v="0"/>
    <n v="0"/>
    <n v="0"/>
    <n v="0"/>
    <n v="0"/>
    <n v="0"/>
    <n v="1.96"/>
    <n v="1.47"/>
    <n v="0.75"/>
    <n v="-1.9599999999999973"/>
    <n v="1.9599999999999973"/>
    <x v="0"/>
    <n v="21.278000000000002"/>
    <n v="0"/>
    <n v="2"/>
  </r>
  <r>
    <s v="AJEET KUMAR"/>
    <d v="2026-06-20T00:00:00"/>
    <s v="SR-RTN/26-27/40996"/>
    <s v="B-303117"/>
    <s v="B-GOLD-FILING"/>
    <s v="GOLD-FILLING-WK"/>
    <x v="0"/>
    <s v="G-NA-91.70-YG"/>
    <n v="57.73"/>
    <n v="52.938409999999998"/>
    <n v="0.91700000000000004"/>
    <n v="57.73"/>
    <n v="52.938409999999998"/>
    <n v="52.939"/>
    <n v="0.91700000000000004"/>
    <n v="0"/>
    <n v="0"/>
    <n v="0"/>
    <n v="0"/>
    <n v="0"/>
    <n v="0"/>
    <n v="0"/>
    <n v="0"/>
    <n v="0"/>
    <n v="0"/>
    <n v="0"/>
    <n v="0"/>
    <n v="0"/>
    <n v="0"/>
    <x v="0"/>
    <n v="52.939"/>
    <n v="0"/>
    <n v="1"/>
  </r>
  <r>
    <s v="AJEET KUMAR"/>
    <d v="2026-06-20T00:00:00"/>
    <s v="SR-RTN/26-27/40996"/>
    <s v="B-303152"/>
    <s v="B-GOLD-FILING"/>
    <s v="GOLD-FILLING-WK"/>
    <x v="0"/>
    <s v="G-NA-91.70-YG"/>
    <n v="15.05"/>
    <n v="13.800850000000001"/>
    <n v="0.91700000000000004"/>
    <n v="15.05"/>
    <n v="13.800850000000001"/>
    <n v="13.801"/>
    <n v="0.91700000000000004"/>
    <n v="0"/>
    <n v="0"/>
    <n v="0"/>
    <n v="0"/>
    <n v="0"/>
    <n v="0"/>
    <n v="0"/>
    <n v="0"/>
    <n v="0"/>
    <n v="0"/>
    <n v="0"/>
    <n v="0"/>
    <n v="0"/>
    <n v="0"/>
    <x v="0"/>
    <n v="13.801"/>
    <n v="0"/>
    <n v="1"/>
  </r>
  <r>
    <s v="AJEET KUMAR"/>
    <d v="2026-06-20T00:00:00"/>
    <s v="SR-RTN/26-27/40997"/>
    <s v="B-301932"/>
    <s v="B-GOLD-FILING"/>
    <s v="REP-GOLD-FILLING-WK"/>
    <x v="0"/>
    <s v="G-NA-91.70-YG"/>
    <n v="31.86"/>
    <n v="29.215620000000001"/>
    <n v="0.91700000000000004"/>
    <n v="30.12"/>
    <n v="27.620039999999999"/>
    <n v="27.621000000000002"/>
    <n v="0.91699999999999993"/>
    <n v="0"/>
    <n v="0"/>
    <n v="0"/>
    <n v="0"/>
    <n v="0"/>
    <n v="0"/>
    <n v="0"/>
    <n v="0"/>
    <n v="0"/>
    <n v="1.74"/>
    <n v="1.59558"/>
    <n v="0.91700000000000004"/>
    <n v="-1.7399999999999984"/>
    <n v="1.7399999999999984"/>
    <x v="2"/>
    <n v="27.107000000000003"/>
    <n v="0.51399999999999935"/>
    <n v="3"/>
  </r>
  <r>
    <s v="AJEET KUMAR"/>
    <d v="2026-06-20T00:00:00"/>
    <s v="SR-RTN/26-27/41008"/>
    <s v="B-302577"/>
    <s v="B-GOLD-FILING"/>
    <s v="GOLD-FILLING-WK"/>
    <x v="0"/>
    <s v="G-NA-91.70-YG"/>
    <n v="6.94"/>
    <n v="6.3639799999999997"/>
    <n v="0.91699999999999993"/>
    <n v="6.26"/>
    <n v="5.7404200000000003"/>
    <n v="5.7410000000000005"/>
    <n v="0.91700000000000004"/>
    <n v="0"/>
    <n v="0"/>
    <n v="0"/>
    <n v="0"/>
    <n v="0"/>
    <n v="0"/>
    <n v="0"/>
    <n v="0"/>
    <n v="0"/>
    <n v="0.68"/>
    <n v="0.62356"/>
    <n v="0.91699999999999993"/>
    <n v="-0.6800000000000006"/>
    <n v="0.6800000000000006"/>
    <x v="0"/>
    <n v="5.7410000000000005"/>
    <n v="0"/>
    <n v="1"/>
  </r>
  <r>
    <s v="AJEET KUMAR"/>
    <d v="2026-06-20T00:00:00"/>
    <s v="SR-RTN/26-27/41008"/>
    <s v="B-302578"/>
    <s v="B-GOLD-FILING"/>
    <s v="GOLD-FILLING-WK"/>
    <x v="0"/>
    <s v="G-NA-91.70-YG"/>
    <n v="8.4700000000000006"/>
    <n v="7.7669899999999998"/>
    <n v="0.91699999999999993"/>
    <n v="7.72"/>
    <n v="7.0792400000000004"/>
    <n v="7.08"/>
    <n v="0.91700000000000004"/>
    <n v="0"/>
    <n v="0"/>
    <n v="0"/>
    <n v="0"/>
    <n v="0"/>
    <n v="0"/>
    <n v="0"/>
    <n v="0"/>
    <n v="0"/>
    <n v="0.75"/>
    <n v="0.68774999999999997"/>
    <n v="0.91699999999999993"/>
    <n v="-0.75000000000000089"/>
    <n v="0.75000000000000089"/>
    <x v="0"/>
    <n v="7.08"/>
    <n v="0"/>
    <n v="1"/>
  </r>
  <r>
    <s v="AJEET KUMAR"/>
    <d v="2026-06-20T00:00:00"/>
    <s v="SR-RTN/26-27/41011"/>
    <s v="B-301838"/>
    <s v="B-GOLD-FILING"/>
    <s v="GOLD-FILLING-WK"/>
    <x v="0"/>
    <s v="G-NA-91.70-YG"/>
    <n v="18.170000000000002"/>
    <n v="16.66189"/>
    <n v="0.91699999999999993"/>
    <n v="17.649999999999999"/>
    <n v="16.18505"/>
    <n v="16.186"/>
    <n v="0.91700000000000015"/>
    <n v="0"/>
    <n v="0"/>
    <n v="0"/>
    <n v="0"/>
    <n v="0"/>
    <n v="0"/>
    <n v="0"/>
    <n v="0"/>
    <n v="0"/>
    <n v="0.52"/>
    <n v="0.47683999999999999"/>
    <n v="0.91699999999999993"/>
    <n v="-0.52000000000000313"/>
    <n v="0.52000000000000313"/>
    <x v="0"/>
    <n v="16.186"/>
    <n v="0"/>
    <n v="1"/>
  </r>
  <r>
    <s v="AJEET KUMAR"/>
    <d v="2026-06-20T00:00:00"/>
    <s v="SR-RTN/26-27/41030"/>
    <s v="B-302510"/>
    <s v="B-GOLD-FILING"/>
    <s v="GOLD-FILLING-WK"/>
    <x v="1"/>
    <s v="G-NA-75.00-YG"/>
    <n v="5.21"/>
    <n v="3.9075000000000002"/>
    <n v="0.75"/>
    <n v="4.78"/>
    <n v="3.585"/>
    <n v="3.585"/>
    <n v="0.75"/>
    <n v="0"/>
    <n v="0"/>
    <n v="0"/>
    <n v="0"/>
    <n v="0"/>
    <n v="0"/>
    <n v="0"/>
    <n v="0"/>
    <n v="0"/>
    <n v="0.43"/>
    <n v="0.32250000000000001"/>
    <n v="0.75"/>
    <n v="-0.42999999999999972"/>
    <n v="0.42999999999999972"/>
    <x v="0"/>
    <n v="3.585"/>
    <n v="0"/>
    <n v="1"/>
  </r>
  <r>
    <s v="AJEET KUMAR"/>
    <d v="2026-06-20T00:00:00"/>
    <s v="SR-RTN/26-27/41033"/>
    <s v="B-302508"/>
    <s v="B-GOLD-FILING"/>
    <s v="GOLD-FILLING-WK"/>
    <x v="1"/>
    <s v="G-NA-75.00-YG"/>
    <n v="5.57"/>
    <n v="4.1775000000000002"/>
    <n v="0.75"/>
    <n v="5.12"/>
    <n v="3.84"/>
    <n v="3.84"/>
    <n v="0.75"/>
    <n v="0"/>
    <n v="0"/>
    <n v="0"/>
    <n v="0"/>
    <n v="0"/>
    <n v="0"/>
    <n v="0"/>
    <n v="0"/>
    <n v="0"/>
    <n v="0.45"/>
    <n v="0.33750000000000002"/>
    <n v="0.75"/>
    <n v="-0.45000000000000018"/>
    <n v="0.45000000000000018"/>
    <x v="0"/>
    <n v="3.84"/>
    <n v="0"/>
    <n v="1"/>
  </r>
  <r>
    <s v="AJEET KUMAR"/>
    <d v="2026-06-20T00:00:00"/>
    <s v="SR-RTN/26-27/41087"/>
    <s v="B-300317"/>
    <s v="B-GOLD-FILING"/>
    <s v="GOLD-FILLING-WK"/>
    <x v="0"/>
    <s v="G-NA-91.70-YG"/>
    <n v="15.09"/>
    <n v="13.837529999999999"/>
    <n v="0.91699999999999993"/>
    <n v="14.19"/>
    <n v="13.012230000000001"/>
    <n v="13.013"/>
    <n v="0.91700000000000004"/>
    <n v="0"/>
    <n v="0"/>
    <n v="0"/>
    <n v="0"/>
    <n v="0"/>
    <n v="0"/>
    <n v="0"/>
    <n v="0"/>
    <n v="0"/>
    <n v="0.9"/>
    <n v="0.82530000000000003"/>
    <n v="0.91700000000000004"/>
    <n v="-0.90000000000000036"/>
    <n v="0.90000000000000036"/>
    <x v="0"/>
    <n v="13.013"/>
    <n v="0"/>
    <n v="1"/>
  </r>
  <r>
    <s v="AJEET KUMAR"/>
    <d v="2026-06-20T00:00:00"/>
    <s v="SR-RTN/26-27/41087"/>
    <s v="B-301786"/>
    <s v="B-GOLD-FILING"/>
    <s v="GOLD-FILLING-WK"/>
    <x v="1"/>
    <s v="G-NA-75.00-RG"/>
    <n v="7.84"/>
    <n v="5.88"/>
    <n v="0.75"/>
    <n v="7.8"/>
    <n v="5.85"/>
    <n v="5.85"/>
    <n v="0.75"/>
    <n v="0"/>
    <n v="0"/>
    <n v="0"/>
    <n v="0"/>
    <n v="0"/>
    <n v="0"/>
    <n v="0"/>
    <n v="0"/>
    <n v="0"/>
    <n v="0.04"/>
    <n v="0.03"/>
    <n v="0.75"/>
    <n v="-4.0000000000000036E-2"/>
    <n v="4.0000000000000036E-2"/>
    <x v="1"/>
    <n v="5.79"/>
    <n v="5.9999999999999609E-2"/>
    <n v="2"/>
  </r>
  <r>
    <s v="AJEET KUMAR"/>
    <d v="2026-06-20T00:00:00"/>
    <s v="SR-RTN/26-27/41137"/>
    <s v="B-300897"/>
    <s v="B-GOLD-FILING"/>
    <s v="GOLD-FILLING-WK"/>
    <x v="0"/>
    <s v="G-NA-91.70-YG"/>
    <n v="75.45"/>
    <n v="69.187650000000005"/>
    <n v="0.91700000000000004"/>
    <n v="71.22"/>
    <n v="65.30874"/>
    <n v="65.309000000000012"/>
    <n v="0.91700000000000004"/>
    <n v="0"/>
    <n v="0"/>
    <n v="0"/>
    <n v="0"/>
    <n v="0"/>
    <n v="0"/>
    <n v="0"/>
    <n v="0"/>
    <n v="0"/>
    <n v="4.2300000000000004"/>
    <n v="3.8789099999999999"/>
    <n v="0.91699999999999993"/>
    <n v="-4.230000000000004"/>
    <n v="4.230000000000004"/>
    <x v="0"/>
    <n v="65.309000000000012"/>
    <n v="0"/>
    <n v="1"/>
  </r>
  <r>
    <s v="AJEET KUMAR"/>
    <d v="2026-06-20T00:00:00"/>
    <s v="SR-RTN/26-27/41137"/>
    <s v="B-300906"/>
    <s v="B-GOLD-FILING"/>
    <s v="GOLD-FILLING-WK"/>
    <x v="0"/>
    <s v="G-NA-91.70-YG"/>
    <n v="120.53"/>
    <n v="110.52601"/>
    <n v="0.91700000000000004"/>
    <n v="115.22"/>
    <n v="105.65674"/>
    <n v="105.65700000000001"/>
    <n v="0.91700000000000004"/>
    <n v="0"/>
    <n v="0"/>
    <n v="0"/>
    <n v="0"/>
    <n v="0"/>
    <n v="0"/>
    <n v="0"/>
    <n v="0"/>
    <n v="0"/>
    <n v="5.31"/>
    <n v="4.8692700000000002"/>
    <n v="0.91700000000000015"/>
    <n v="-5.3100000000000023"/>
    <n v="5.3100000000000023"/>
    <x v="0"/>
    <n v="105.65700000000001"/>
    <n v="0"/>
    <n v="1"/>
  </r>
  <r>
    <s v="AJEET KUMAR"/>
    <d v="2026-06-20T00:00:00"/>
    <s v="SR-RTN/26-27/41145"/>
    <s v="B-300902"/>
    <s v="B-GOLD-FILING"/>
    <s v="GOLD-FILLING-WK"/>
    <x v="0"/>
    <s v="G-NA-91.70-YG"/>
    <n v="87.25"/>
    <n v="80.008250000000004"/>
    <n v="0.91700000000000004"/>
    <n v="80.680000000000007"/>
    <n v="73.983559999999997"/>
    <n v="73.984000000000009"/>
    <n v="0.91699999999999993"/>
    <n v="0"/>
    <n v="0"/>
    <n v="0"/>
    <n v="0"/>
    <n v="0"/>
    <n v="0"/>
    <n v="0"/>
    <n v="0"/>
    <n v="0"/>
    <n v="6.57"/>
    <n v="6.0246899999999997"/>
    <n v="0.91699999999999993"/>
    <n v="-6.5699999999999932"/>
    <n v="6.5699999999999932"/>
    <x v="0"/>
    <n v="73.984000000000009"/>
    <n v="0"/>
    <n v="1"/>
  </r>
  <r>
    <s v="AJEET KUMAR"/>
    <d v="2026-06-20T00:00:00"/>
    <s v="SR-RTN/26-27/41184"/>
    <s v="B-300988"/>
    <s v="B-GOLD-FILING"/>
    <s v="GOLD-FILLING-WK"/>
    <x v="1"/>
    <s v="G-NA-75.00-YG"/>
    <n v="33.07"/>
    <n v="24.802499999999998"/>
    <n v="0.75"/>
    <n v="31.48"/>
    <n v="23.61"/>
    <n v="23.61"/>
    <n v="0.75"/>
    <n v="0"/>
    <n v="0"/>
    <n v="0"/>
    <n v="0"/>
    <n v="0"/>
    <n v="0"/>
    <n v="0"/>
    <n v="0"/>
    <n v="0"/>
    <n v="1.59"/>
    <n v="1.1924999999999999"/>
    <n v="0.74999999999999989"/>
    <n v="-1.59"/>
    <n v="1.59"/>
    <x v="0"/>
    <n v="23.61"/>
    <n v="0"/>
    <n v="1"/>
  </r>
  <r>
    <s v="AJEET KUMAR"/>
    <d v="2026-06-20T00:00:00"/>
    <s v="SR-RTN/26-27/41187"/>
    <s v="B-300989"/>
    <s v="B-GOLD-FILING"/>
    <s v="GOLD-FILLING-WK"/>
    <x v="1"/>
    <s v="G-NA-75.00-YG"/>
    <n v="32.68"/>
    <n v="24.51"/>
    <n v="0.75"/>
    <n v="30.38"/>
    <n v="22.785"/>
    <n v="22.785"/>
    <n v="0.75"/>
    <n v="0"/>
    <n v="0"/>
    <n v="0"/>
    <n v="0"/>
    <n v="0"/>
    <n v="0"/>
    <n v="0"/>
    <n v="0"/>
    <n v="0"/>
    <n v="2.2999999999999998"/>
    <n v="1.7250000000000001"/>
    <n v="0.75000000000000011"/>
    <n v="-2.3000000000000007"/>
    <n v="2.3000000000000007"/>
    <x v="0"/>
    <n v="22.785"/>
    <n v="0"/>
    <n v="1"/>
  </r>
  <r>
    <s v="AJEET KUMAR"/>
    <d v="2026-06-20T00:00:00"/>
    <s v="SR-RTN/26-27/41194"/>
    <s v="B-300912"/>
    <s v="B-GOLD-FILING"/>
    <s v="GOLD-FILLING-WK"/>
    <x v="0"/>
    <s v="G-NA-91.70-YG"/>
    <n v="62.11"/>
    <n v="56.95487"/>
    <n v="0.91700000000000004"/>
    <n v="59.05"/>
    <n v="54.148850000000003"/>
    <n v="54.149000000000001"/>
    <n v="0.91700000000000015"/>
    <n v="0"/>
    <n v="0"/>
    <n v="0"/>
    <n v="0"/>
    <n v="0"/>
    <n v="0"/>
    <n v="0"/>
    <n v="0"/>
    <n v="0"/>
    <n v="3.06"/>
    <n v="2.8060200000000002"/>
    <n v="0.91700000000000004"/>
    <n v="-3.0600000000000023"/>
    <n v="3.0600000000000023"/>
    <x v="0"/>
    <n v="54.149000000000001"/>
    <n v="0"/>
    <n v="1"/>
  </r>
  <r>
    <s v="AJEET KUMAR"/>
    <d v="2026-06-20T00:00:00"/>
    <s v="SR-RTN/26-27/41196"/>
    <s v="B-301932"/>
    <s v="B-GOLD-FILING"/>
    <s v="GOLD-FILLING-WK"/>
    <x v="0"/>
    <s v="G-NA-91.70-YG"/>
    <n v="29.58"/>
    <n v="27.124860000000002"/>
    <n v="0.91700000000000015"/>
    <n v="29.56"/>
    <n v="27.10652"/>
    <n v="27.107000000000003"/>
    <n v="0.91700000000000004"/>
    <n v="0"/>
    <n v="0"/>
    <n v="0"/>
    <n v="0"/>
    <n v="0"/>
    <n v="0"/>
    <n v="0"/>
    <n v="0"/>
    <n v="0"/>
    <n v="0.02"/>
    <n v="1.8339999999999999E-2"/>
    <n v="0.91699999999999993"/>
    <n v="-1.9999999999999574E-2"/>
    <n v="1.9999999999999574E-2"/>
    <x v="0"/>
    <n v="27.107000000000003"/>
    <n v="0"/>
    <n v="3"/>
  </r>
  <r>
    <s v="AJEET KUMAR"/>
    <d v="2026-06-20T00:00:00"/>
    <s v="SR-W/O-RTN/26-27/2905"/>
    <s v="NONE"/>
    <s v="B-GOLD-FILING"/>
    <s v="GOLD-FILLING-WK"/>
    <x v="1"/>
    <s v="G-NA-75.00-RG"/>
    <n v="10.8"/>
    <n v="8.1"/>
    <n v="0.74999999999999989"/>
    <n v="9.83"/>
    <n v="7.3724999999999996"/>
    <n v="7.3730000000000002"/>
    <n v="0.75"/>
    <n v="0"/>
    <n v="0"/>
    <n v="0"/>
    <n v="0"/>
    <n v="0"/>
    <n v="0"/>
    <n v="0"/>
    <n v="0"/>
    <n v="0"/>
    <n v="0.97"/>
    <n v="0.72750000000000004"/>
    <n v="0.75000000000000011"/>
    <n v="-0.97000000000000064"/>
    <n v="0.97000000000000064"/>
    <x v="1"/>
    <n v="0"/>
    <n v="7.3730000000000002"/>
    <n v="67"/>
  </r>
  <r>
    <s v="AJEET KUMAR"/>
    <d v="2026-06-20T00:00:00"/>
    <s v="SR-W/O-RTN/26-27/2905"/>
    <s v="NONE"/>
    <s v="B-GOLD-FILING"/>
    <s v="GOLD-FILLING-WK"/>
    <x v="1"/>
    <s v="G-NA-75.00-YG"/>
    <n v="4.82"/>
    <n v="3.6150000000000002"/>
    <n v="0.75"/>
    <n v="4.4800000000000004"/>
    <n v="3.36"/>
    <n v="3.36"/>
    <n v="0.74999999999999989"/>
    <n v="0"/>
    <n v="0"/>
    <n v="0"/>
    <n v="0"/>
    <n v="0"/>
    <n v="0"/>
    <n v="0"/>
    <n v="0"/>
    <n v="0"/>
    <n v="0.34"/>
    <n v="0.255"/>
    <n v="0.75"/>
    <n v="-0.33999999999999986"/>
    <n v="0.33999999999999986"/>
    <x v="1"/>
    <n v="0"/>
    <n v="3.36"/>
    <n v="67"/>
  </r>
  <r>
    <s v="AJEET KUMAR"/>
    <d v="2026-06-20T00:00:00"/>
    <s v="SR-W/O-RTN/26-27/2905"/>
    <s v="NONE"/>
    <s v="B-GOLD-FILING"/>
    <s v="GOLD-FILLING-WK"/>
    <x v="0"/>
    <s v="G-NA-91.70-YG"/>
    <n v="19.190000000000001"/>
    <n v="17.59723"/>
    <n v="0.91699999999999993"/>
    <n v="18.41"/>
    <n v="16.881969999999999"/>
    <n v="16.882000000000001"/>
    <n v="0.91699999999999993"/>
    <n v="0"/>
    <n v="0"/>
    <n v="0"/>
    <n v="0"/>
    <n v="0"/>
    <n v="0"/>
    <n v="0"/>
    <n v="0"/>
    <n v="0"/>
    <n v="0.78"/>
    <n v="0.71526000000000001"/>
    <n v="0.91699999999999993"/>
    <n v="-0.78000000000000114"/>
    <n v="0.78000000000000114"/>
    <x v="1"/>
    <n v="0"/>
    <n v="16.882000000000001"/>
    <n v="67"/>
  </r>
  <r>
    <s v="AJEET KUMAR"/>
    <d v="2026-06-20T00:00:00"/>
    <s v="SR-W/O-RTN/26-27/2907"/>
    <s v="NONE"/>
    <s v="B-GOLD-FILING"/>
    <s v="GOLD-FILLING-WK"/>
    <x v="0"/>
    <s v="G-NA-91.70-YG"/>
    <n v="2.5099999999999998"/>
    <n v="2.3016700000000001"/>
    <n v="0.91700000000000015"/>
    <n v="2.2999999999999998"/>
    <n v="2.1091000000000002"/>
    <n v="2.11"/>
    <n v="0.91700000000000015"/>
    <n v="0.21"/>
    <n v="0.19256999999999999"/>
    <n v="0.91700000000000004"/>
    <n v="0"/>
    <n v="0"/>
    <n v="0"/>
    <n v="0"/>
    <n v="0"/>
    <n v="0"/>
    <n v="0"/>
    <n v="0"/>
    <n v="0"/>
    <n v="-0.41999999999999993"/>
    <n v="-2.7755575615628914E-17"/>
    <x v="1"/>
    <n v="0"/>
    <n v="2.11"/>
    <n v="67"/>
  </r>
  <r>
    <s v="AJEET KUMAR"/>
    <d v="2026-06-22T00:00:00"/>
    <s v="RTN-8891980"/>
    <s v="SR-42547"/>
    <s v="CAST-FILLING"/>
    <s v="GOLD-FILLING-WK"/>
    <x v="0"/>
    <s v="G-NA-91.70-YG"/>
    <n v="123.04"/>
    <n v="112.82768"/>
    <n v="0.91699999999999993"/>
    <n v="116.16"/>
    <n v="106.51872"/>
    <n v="106.51900000000001"/>
    <n v="0.91700000000000004"/>
    <n v="0"/>
    <n v="0"/>
    <n v="0"/>
    <n v="0"/>
    <n v="0"/>
    <n v="0"/>
    <n v="0"/>
    <n v="0"/>
    <n v="0"/>
    <n v="6.88"/>
    <n v="6.3089599999999999"/>
    <n v="0.91700000000000004"/>
    <n v="-6.8800000000000097"/>
    <n v="6.8800000000000097"/>
    <x v="1"/>
    <n v="106.28100000000001"/>
    <n v="0.23799999999999955"/>
    <n v="3"/>
  </r>
  <r>
    <s v="AJEET KUMAR"/>
    <d v="2026-06-22T00:00:00"/>
    <s v="RTN-8893863"/>
    <s v="SR-42593"/>
    <s v="CAST-FILLING"/>
    <s v="GOLD-FILLING-WK"/>
    <x v="0"/>
    <s v="G-NA-91.70-YG"/>
    <n v="171.43"/>
    <n v="157.20131000000001"/>
    <n v="0.91700000000000004"/>
    <n v="162.4"/>
    <n v="148.92080000000001"/>
    <n v="148.92099999999999"/>
    <n v="0.91700000000000004"/>
    <n v="0"/>
    <n v="0"/>
    <n v="0"/>
    <n v="0"/>
    <n v="0"/>
    <n v="0"/>
    <n v="0"/>
    <n v="0"/>
    <n v="0"/>
    <n v="9.0299999999999994"/>
    <n v="8.2805099999999996"/>
    <n v="0.91700000000000004"/>
    <n v="-9.0300000000000011"/>
    <n v="9.0300000000000011"/>
    <x v="0"/>
    <n v="148.92099999999999"/>
    <n v="0"/>
    <n v="1"/>
  </r>
  <r>
    <s v="AJEET KUMAR"/>
    <d v="2026-06-22T00:00:00"/>
    <s v="RTN-8896269"/>
    <s v="SR-42547"/>
    <s v="CAST-FILLING"/>
    <s v="REP-GOLD-FILLING-WK"/>
    <x v="0"/>
    <s v="G-NA-91.70-YG"/>
    <n v="115.9"/>
    <n v="106.2803"/>
    <n v="0.91699999999999993"/>
    <n v="115.9"/>
    <n v="106.2803"/>
    <n v="106.28100000000001"/>
    <n v="0.91699999999999993"/>
    <n v="0"/>
    <n v="0"/>
    <n v="0"/>
    <n v="0"/>
    <n v="0"/>
    <n v="0"/>
    <n v="0"/>
    <n v="0"/>
    <n v="0"/>
    <n v="0"/>
    <n v="0"/>
    <n v="0"/>
    <n v="0"/>
    <n v="0"/>
    <x v="2"/>
    <n v="106.28100000000001"/>
    <n v="0"/>
    <n v="3"/>
  </r>
  <r>
    <s v="AJEET KUMAR"/>
    <d v="2026-06-22T00:00:00"/>
    <s v="RTN-8898181"/>
    <s v="SR-42547"/>
    <s v="CAST-FILLING"/>
    <s v="GOLD-FILLING-WK"/>
    <x v="0"/>
    <s v="G-NA-91.70-YG"/>
    <n v="115.92"/>
    <n v="106.29864000000001"/>
    <n v="0.91700000000000004"/>
    <n v="115.92"/>
    <n v="106.29864000000001"/>
    <n v="106.29900000000001"/>
    <n v="0.91700000000000004"/>
    <n v="0"/>
    <n v="0"/>
    <n v="0"/>
    <n v="0"/>
    <n v="0"/>
    <n v="0"/>
    <n v="0"/>
    <n v="0"/>
    <n v="0"/>
    <n v="0"/>
    <n v="0"/>
    <n v="0"/>
    <n v="0"/>
    <n v="0"/>
    <x v="1"/>
    <n v="106.28100000000001"/>
    <n v="1.8000000000000682E-2"/>
    <n v="3"/>
  </r>
  <r>
    <s v="AJEET KUMAR"/>
    <d v="2026-06-22T00:00:00"/>
    <s v="RTN-8898717"/>
    <s v="SR-42617"/>
    <s v="CAST-FILLING"/>
    <s v="GOLD-FILLING-WK"/>
    <x v="0"/>
    <s v="G-NA-91.70-YG"/>
    <n v="141.35"/>
    <n v="129.61795000000001"/>
    <n v="0.91700000000000004"/>
    <n v="128.93"/>
    <n v="118.22881"/>
    <n v="118.229"/>
    <n v="0.91699999999999993"/>
    <n v="0"/>
    <n v="0"/>
    <n v="0"/>
    <n v="0"/>
    <n v="0"/>
    <n v="0"/>
    <n v="0"/>
    <n v="0"/>
    <n v="0"/>
    <n v="12.42"/>
    <n v="11.389139999999999"/>
    <n v="0.91699999999999993"/>
    <n v="-12.419999999999987"/>
    <n v="12.419999999999987"/>
    <x v="0"/>
    <n v="118.229"/>
    <n v="0"/>
    <n v="1"/>
  </r>
  <r>
    <s v="AJEET KUMAR"/>
    <d v="2026-06-22T00:00:00"/>
    <s v="RTN-8899593"/>
    <s v="SR-42682"/>
    <s v="CAST-FILLING"/>
    <s v="GOLD-FILLING-WK"/>
    <x v="0"/>
    <s v="G-NA-91.70-YG"/>
    <n v="236.96"/>
    <n v="217.29231999999999"/>
    <n v="0.91699999999999993"/>
    <n v="226.71"/>
    <n v="207.89306999999999"/>
    <n v="207.89400000000001"/>
    <n v="0.91699999999999993"/>
    <n v="0"/>
    <n v="0"/>
    <n v="0"/>
    <n v="0"/>
    <n v="0"/>
    <n v="0"/>
    <n v="0"/>
    <n v="0"/>
    <n v="0"/>
    <n v="10.25"/>
    <n v="9.3992500000000003"/>
    <n v="0.91700000000000004"/>
    <n v="-10.25"/>
    <n v="10.25"/>
    <x v="0"/>
    <n v="207.89400000000001"/>
    <n v="0"/>
    <n v="1"/>
  </r>
  <r>
    <s v="AJEET KUMAR"/>
    <d v="2026-06-22T00:00:00"/>
    <s v="RTN-8902144"/>
    <s v="SR-42622"/>
    <s v="CAST-FILLING"/>
    <s v="GOLD-FILLING-WK"/>
    <x v="1"/>
    <s v="G-NA-75.00-RG"/>
    <n v="52.95"/>
    <n v="39.712499999999999"/>
    <n v="0.74999999999999989"/>
    <n v="47.45"/>
    <n v="35.587499999999999"/>
    <n v="35.588000000000001"/>
    <n v="0.74999999999999989"/>
    <n v="0"/>
    <n v="0"/>
    <n v="0"/>
    <n v="0"/>
    <n v="0"/>
    <n v="0"/>
    <n v="0"/>
    <n v="0"/>
    <n v="0"/>
    <n v="5.5"/>
    <n v="4.125"/>
    <n v="0.75"/>
    <n v="-5.5"/>
    <n v="5.5"/>
    <x v="0"/>
    <n v="35.588000000000001"/>
    <n v="0"/>
    <n v="1"/>
  </r>
  <r>
    <s v="AJEET KUMAR"/>
    <d v="2026-06-22T00:00:00"/>
    <s v="RTN-8903400"/>
    <s v="SR-42629"/>
    <s v="CAST-FILLING"/>
    <s v="GOLD-FILLING-WK"/>
    <x v="0"/>
    <s v="G-NA-91.70-YG"/>
    <n v="44.18"/>
    <n v="40.513060000000003"/>
    <n v="0.91700000000000004"/>
    <n v="40.22"/>
    <n v="36.881740000000001"/>
    <n v="36.881999999999998"/>
    <n v="0.91700000000000004"/>
    <n v="0"/>
    <n v="0"/>
    <n v="0"/>
    <n v="0"/>
    <n v="0"/>
    <n v="0"/>
    <n v="0"/>
    <n v="0"/>
    <n v="0"/>
    <n v="3.96"/>
    <n v="3.6313200000000001"/>
    <n v="0.91700000000000004"/>
    <n v="-3.9600000000000009"/>
    <n v="3.9600000000000009"/>
    <x v="0"/>
    <n v="36.881999999999998"/>
    <n v="0"/>
    <n v="1"/>
  </r>
  <r>
    <s v="AJEET KUMAR"/>
    <d v="2026-06-22T00:00:00"/>
    <s v="RTN-8903408"/>
    <s v="SR-42633"/>
    <s v="CAST-FILLING"/>
    <s v="GOLD-FILLING-WK"/>
    <x v="0"/>
    <s v="G-NA-91.70-YG"/>
    <n v="51.4"/>
    <n v="47.133800000000001"/>
    <n v="0.91700000000000004"/>
    <n v="46.75"/>
    <n v="42.869750000000003"/>
    <n v="42.87"/>
    <n v="0.91700000000000004"/>
    <n v="0"/>
    <n v="0"/>
    <n v="0"/>
    <n v="0"/>
    <n v="0"/>
    <n v="0"/>
    <n v="0"/>
    <n v="0"/>
    <n v="0"/>
    <n v="4.6500000000000004"/>
    <n v="4.2640500000000001"/>
    <n v="0.91699999999999993"/>
    <n v="-4.6499999999999986"/>
    <n v="4.6499999999999986"/>
    <x v="0"/>
    <n v="42.87"/>
    <n v="0"/>
    <n v="1"/>
  </r>
  <r>
    <s v="AJEET KUMAR"/>
    <d v="2026-06-22T00:00:00"/>
    <s v="RTN-8903947"/>
    <s v="SR-42516"/>
    <s v="B-GOLD-FILING"/>
    <s v="GOLD-FILLING-WK"/>
    <x v="0"/>
    <s v="G-NA-91.70-YG"/>
    <n v="89.76"/>
    <n v="82.309920000000005"/>
    <n v="0.91700000000000004"/>
    <n v="82.77"/>
    <n v="75.900090000000006"/>
    <n v="75.90100000000001"/>
    <n v="0.91700000000000015"/>
    <n v="0"/>
    <n v="0"/>
    <n v="0"/>
    <n v="0"/>
    <n v="0"/>
    <n v="0"/>
    <n v="0"/>
    <n v="0"/>
    <n v="0"/>
    <n v="6.99"/>
    <n v="6.4098300000000004"/>
    <n v="0.91700000000000004"/>
    <n v="-6.9900000000000091"/>
    <n v="6.9900000000000091"/>
    <x v="0"/>
    <n v="75.90100000000001"/>
    <n v="0"/>
    <n v="1"/>
  </r>
  <r>
    <s v="AJEET KUMAR"/>
    <d v="2026-06-22T00:00:00"/>
    <s v="RTN-8903958"/>
    <s v="SR-42620"/>
    <s v="CAST-FILLING"/>
    <s v="GOLD-FILLING-WK"/>
    <x v="1"/>
    <s v="G-NA-75.00-RG"/>
    <n v="72.069999999999993"/>
    <n v="54.052500000000002"/>
    <n v="0.75000000000000011"/>
    <n v="67.900000000000006"/>
    <n v="50.924999999999997"/>
    <n v="50.924999999999997"/>
    <n v="0.74999999999999989"/>
    <n v="0"/>
    <n v="0"/>
    <n v="0"/>
    <n v="0"/>
    <n v="0"/>
    <n v="0"/>
    <n v="0"/>
    <n v="0"/>
    <n v="0"/>
    <n v="4.17"/>
    <n v="3.1274999999999999"/>
    <n v="0.75"/>
    <n v="-4.1699999999999875"/>
    <n v="4.1699999999999875"/>
    <x v="0"/>
    <n v="50.924999999999997"/>
    <n v="0"/>
    <n v="1"/>
  </r>
  <r>
    <s v="AJEET KUMAR"/>
    <d v="2026-06-22T00:00:00"/>
    <s v="RTN-8903970"/>
    <s v="SR-42623"/>
    <s v="CAST-FILLING"/>
    <s v="GOLD-FILLING-WK"/>
    <x v="0"/>
    <s v="G-NA-91.70-YG"/>
    <n v="241.99"/>
    <n v="221.90483"/>
    <n v="0.91700000000000004"/>
    <n v="228.75"/>
    <n v="209.76374999999999"/>
    <n v="209.76400000000001"/>
    <n v="0.91699999999999993"/>
    <n v="0"/>
    <n v="0"/>
    <n v="0"/>
    <n v="0"/>
    <n v="0"/>
    <n v="0"/>
    <n v="0"/>
    <n v="0"/>
    <n v="0"/>
    <n v="13.24"/>
    <n v="12.141080000000001"/>
    <n v="0.91700000000000004"/>
    <n v="-13.240000000000009"/>
    <n v="13.240000000000009"/>
    <x v="0"/>
    <n v="209.76400000000001"/>
    <n v="0"/>
    <n v="1"/>
  </r>
  <r>
    <s v="AJEET KUMAR"/>
    <d v="2026-06-22T00:00:00"/>
    <s v="SR-RTN/26-27/41233"/>
    <s v="B-301857"/>
    <s v="B-GOLD-FILING"/>
    <s v="GOLD-FILLING-WK"/>
    <x v="1"/>
    <s v="G-NA-75.00-RG"/>
    <n v="27.39"/>
    <n v="20.5425"/>
    <n v="0.75"/>
    <n v="25.41"/>
    <n v="19.057500000000001"/>
    <n v="19.058"/>
    <n v="0.75"/>
    <n v="0"/>
    <n v="0"/>
    <n v="0"/>
    <n v="0"/>
    <n v="0"/>
    <n v="0"/>
    <n v="0"/>
    <n v="0"/>
    <n v="0"/>
    <n v="1.98"/>
    <n v="1.4850000000000001"/>
    <n v="0.75000000000000011"/>
    <n v="-1.9800000000000004"/>
    <n v="1.9800000000000004"/>
    <x v="0"/>
    <n v="19.058"/>
    <n v="0"/>
    <n v="1"/>
  </r>
  <r>
    <s v="AJEET KUMAR"/>
    <d v="2026-06-22T00:00:00"/>
    <s v="SR-RTN/26-27/41234"/>
    <s v="B-300885"/>
    <s v="B-GOLD-FILING"/>
    <s v="GOLD-FILLING-WK"/>
    <x v="0"/>
    <s v="G-NA-91.70-YG"/>
    <n v="56.68"/>
    <n v="51.975560000000002"/>
    <n v="0.91700000000000004"/>
    <n v="53.09"/>
    <n v="48.683529999999998"/>
    <n v="48.683999999999997"/>
    <n v="0.91699999999999993"/>
    <n v="0"/>
    <n v="0"/>
    <n v="0"/>
    <n v="0"/>
    <n v="0"/>
    <n v="0"/>
    <n v="0"/>
    <n v="0"/>
    <n v="0"/>
    <n v="3.59"/>
    <n v="3.29203"/>
    <n v="0.91700000000000004"/>
    <n v="-3.5899999999999963"/>
    <n v="3.5899999999999963"/>
    <x v="0"/>
    <n v="48.683999999999997"/>
    <n v="0"/>
    <n v="1"/>
  </r>
  <r>
    <s v="AJEET KUMAR"/>
    <d v="2026-06-22T00:00:00"/>
    <s v="SR-RTN/26-27/41235"/>
    <s v="B-299657"/>
    <s v="B-GOLD-FILING"/>
    <s v="GOLD-FILLING-WK"/>
    <x v="1"/>
    <s v="G-NA-75.00-YG"/>
    <n v="21.99"/>
    <n v="16.4925"/>
    <n v="0.75"/>
    <n v="20.76"/>
    <n v="15.57"/>
    <n v="15.57"/>
    <n v="0.75"/>
    <n v="0"/>
    <n v="0"/>
    <n v="0"/>
    <n v="0"/>
    <n v="0"/>
    <n v="0"/>
    <n v="0"/>
    <n v="0"/>
    <n v="0"/>
    <n v="1.23"/>
    <n v="0.92249999999999999"/>
    <n v="0.75"/>
    <n v="-1.2299999999999969"/>
    <n v="1.2299999999999969"/>
    <x v="0"/>
    <n v="15.57"/>
    <n v="0"/>
    <n v="1"/>
  </r>
  <r>
    <s v="AJEET KUMAR"/>
    <d v="2026-06-22T00:00:00"/>
    <s v="SR-RTN/26-27/41236"/>
    <s v="B-299646"/>
    <s v="B-GOLD-FILING"/>
    <s v="GOLD-FILLING-WK"/>
    <x v="1"/>
    <s v="G-NA-75.00-YG"/>
    <n v="31.38"/>
    <n v="23.535"/>
    <n v="0.75"/>
    <n v="29.9"/>
    <n v="22.425000000000001"/>
    <n v="22.425000000000001"/>
    <n v="0.75000000000000011"/>
    <n v="0"/>
    <n v="0"/>
    <n v="0"/>
    <n v="0"/>
    <n v="0"/>
    <n v="0"/>
    <n v="0"/>
    <n v="0"/>
    <n v="0"/>
    <n v="1.48"/>
    <n v="1.1100000000000001"/>
    <n v="0.75000000000000011"/>
    <n v="-1.4800000000000004"/>
    <n v="1.4800000000000004"/>
    <x v="0"/>
    <n v="22.425000000000001"/>
    <n v="0"/>
    <n v="2"/>
  </r>
  <r>
    <s v="AJEET KUMAR"/>
    <d v="2026-06-22T00:00:00"/>
    <s v="SR-RTN/26-27/41275"/>
    <s v="B-300302"/>
    <s v="B-GOLD-FILING"/>
    <s v="GOLD-FILLING-WK"/>
    <x v="1"/>
    <s v="G-NA-75.00-RG"/>
    <n v="201.99"/>
    <n v="151.49250000000001"/>
    <n v="0.75"/>
    <n v="187.36"/>
    <n v="140.52000000000001"/>
    <n v="140.52000000000001"/>
    <n v="0.75"/>
    <n v="0"/>
    <n v="0"/>
    <n v="0"/>
    <n v="0"/>
    <n v="0"/>
    <n v="0"/>
    <n v="0"/>
    <n v="0"/>
    <n v="0"/>
    <n v="14.63"/>
    <n v="10.9725"/>
    <n v="0.75"/>
    <n v="-14.629999999999995"/>
    <n v="14.629999999999995"/>
    <x v="0"/>
    <n v="140.52000000000001"/>
    <n v="0"/>
    <n v="1"/>
  </r>
  <r>
    <s v="AJEET KUMAR"/>
    <d v="2026-06-22T00:00:00"/>
    <s v="SR-RTN/26-27/41306"/>
    <s v="B-300883"/>
    <s v="B-GOLD-FILING"/>
    <s v="GOLD-FILLING-WK"/>
    <x v="0"/>
    <s v="G-NA-91.70-YG"/>
    <n v="135.79"/>
    <n v="124.51943"/>
    <n v="0.91700000000000004"/>
    <n v="128.62"/>
    <n v="117.94454"/>
    <n v="117.94500000000001"/>
    <n v="0.91700000000000004"/>
    <n v="0"/>
    <n v="0"/>
    <n v="0"/>
    <n v="0"/>
    <n v="0"/>
    <n v="0"/>
    <n v="0"/>
    <n v="0"/>
    <n v="0"/>
    <n v="7.17"/>
    <n v="6.5748899999999999"/>
    <n v="0.91700000000000004"/>
    <n v="-7.1699999999999875"/>
    <n v="7.1699999999999875"/>
    <x v="0"/>
    <n v="117.94500000000001"/>
    <n v="0"/>
    <n v="1"/>
  </r>
  <r>
    <s v="AJEET KUMAR"/>
    <d v="2026-06-22T00:00:00"/>
    <s v="SR-RTN/26-27/41308"/>
    <s v="B-301931"/>
    <s v="B-GOLD-FILING"/>
    <s v="GOLD-FILLING-WK"/>
    <x v="0"/>
    <s v="G-NA-91.70-YG"/>
    <n v="21.26"/>
    <n v="19.495419999999999"/>
    <n v="0.91699999999999993"/>
    <n v="20.41"/>
    <n v="18.715969999999999"/>
    <n v="18.716000000000001"/>
    <n v="0.91699999999999993"/>
    <n v="0"/>
    <n v="0"/>
    <n v="0"/>
    <n v="0"/>
    <n v="0"/>
    <n v="0"/>
    <n v="0"/>
    <n v="0"/>
    <n v="0"/>
    <n v="0.85"/>
    <n v="0.77944999999999998"/>
    <n v="0.91700000000000004"/>
    <n v="-0.85000000000000142"/>
    <n v="0.85000000000000142"/>
    <x v="0"/>
    <n v="18.716000000000001"/>
    <n v="0"/>
    <n v="2"/>
  </r>
  <r>
    <s v="AJEET KUMAR"/>
    <d v="2026-06-22T00:00:00"/>
    <s v="SR-RTN/26-27/41309"/>
    <s v="B-301933"/>
    <s v="B-GOLD-FILING"/>
    <s v="GOLD-FILLING-WK"/>
    <x v="0"/>
    <s v="G-NA-91.70-YG"/>
    <n v="21.65"/>
    <n v="19.85305"/>
    <n v="0.91700000000000004"/>
    <n v="20.74"/>
    <n v="19.01858"/>
    <n v="19.019000000000002"/>
    <n v="0.91700000000000004"/>
    <n v="0"/>
    <n v="0"/>
    <n v="0"/>
    <n v="0"/>
    <n v="0"/>
    <n v="0"/>
    <n v="0"/>
    <n v="0"/>
    <n v="0"/>
    <n v="0.91"/>
    <n v="0.83447000000000005"/>
    <n v="0.91700000000000004"/>
    <n v="-0.91000000000000014"/>
    <n v="0.91000000000000014"/>
    <x v="0"/>
    <n v="19.019000000000002"/>
    <n v="0"/>
    <n v="2"/>
  </r>
  <r>
    <s v="AJEET KUMAR"/>
    <d v="2026-06-22T00:00:00"/>
    <s v="SR-RTN/26-27/41311"/>
    <s v="B-302845"/>
    <s v="B-GOLD-FILING"/>
    <s v="GOLD-FILLING-WK"/>
    <x v="0"/>
    <s v="G-NA-91.70-YG"/>
    <n v="18.52"/>
    <n v="16.982839999999999"/>
    <n v="0.91700000000000004"/>
    <n v="17.54"/>
    <n v="16.08418"/>
    <n v="16.085000000000001"/>
    <n v="0.91700000000000004"/>
    <n v="0"/>
    <n v="0"/>
    <n v="0"/>
    <n v="0"/>
    <n v="0"/>
    <n v="0"/>
    <n v="0"/>
    <n v="0"/>
    <n v="0"/>
    <n v="0.98"/>
    <n v="0.89866000000000001"/>
    <n v="0.91700000000000004"/>
    <n v="-0.98000000000000043"/>
    <n v="0.98000000000000043"/>
    <x v="0"/>
    <n v="16.085000000000001"/>
    <n v="0"/>
    <n v="1"/>
  </r>
  <r>
    <s v="AJEET KUMAR"/>
    <d v="2026-06-22T00:00:00"/>
    <s v="SR-RTN/26-27/41328"/>
    <s v="B-300739"/>
    <s v="B-GOLD-FILING"/>
    <s v="GOLD-FILLING-WK"/>
    <x v="0"/>
    <s v="G-NA-91.70-YG"/>
    <n v="95.91"/>
    <n v="87.949470000000005"/>
    <n v="0.91700000000000004"/>
    <n v="87.35"/>
    <n v="80.099950000000007"/>
    <n v="80.100000000000009"/>
    <n v="0.91700000000000015"/>
    <n v="0"/>
    <n v="0"/>
    <n v="0"/>
    <n v="0"/>
    <n v="0"/>
    <n v="0"/>
    <n v="0"/>
    <n v="0"/>
    <n v="0"/>
    <n v="8.56"/>
    <n v="7.8495200000000001"/>
    <n v="0.91699999999999993"/>
    <n v="-8.5600000000000023"/>
    <n v="8.5600000000000023"/>
    <x v="0"/>
    <n v="80.100000000000009"/>
    <n v="0"/>
    <n v="2"/>
  </r>
  <r>
    <s v="AJEET KUMAR"/>
    <d v="2026-06-22T00:00:00"/>
    <s v="SR-RTN/26-27/41331"/>
    <s v="B-302810"/>
    <s v="B-GOLD-FILING"/>
    <s v="GOLD-FILLING-WK"/>
    <x v="1"/>
    <s v="G-NA-75.00-YG"/>
    <n v="7.26"/>
    <n v="5.4450000000000003"/>
    <n v="0.75000000000000011"/>
    <n v="6.81"/>
    <n v="5.1074999999999999"/>
    <n v="5.1080000000000005"/>
    <n v="0.75"/>
    <n v="0"/>
    <n v="0"/>
    <n v="0"/>
    <n v="0"/>
    <n v="0"/>
    <n v="0"/>
    <n v="0"/>
    <n v="0"/>
    <n v="0"/>
    <n v="0.45"/>
    <n v="0.33750000000000002"/>
    <n v="0.75"/>
    <n v="-0.45000000000000018"/>
    <n v="0.45000000000000018"/>
    <x v="0"/>
    <n v="5.1080000000000005"/>
    <n v="0"/>
    <n v="1"/>
  </r>
  <r>
    <s v="AJEET KUMAR"/>
    <d v="2026-06-22T00:00:00"/>
    <s v="SR-RTN/26-27/41331"/>
    <s v="B-302842"/>
    <s v="B-GOLD-FILING"/>
    <s v="GOLD-FILLING-WK"/>
    <x v="0"/>
    <s v="G-NA-91.70-YG"/>
    <n v="23.19"/>
    <n v="21.265229999999999"/>
    <n v="0.91699999999999993"/>
    <n v="22.04"/>
    <n v="20.21068"/>
    <n v="20.211000000000002"/>
    <n v="0.91700000000000004"/>
    <n v="0"/>
    <n v="0"/>
    <n v="0"/>
    <n v="0"/>
    <n v="0"/>
    <n v="0"/>
    <n v="0"/>
    <n v="0"/>
    <n v="0"/>
    <n v="1.1499999999999999"/>
    <n v="1.0545500000000001"/>
    <n v="0.91700000000000015"/>
    <n v="-1.1500000000000021"/>
    <n v="1.1500000000000021"/>
    <x v="0"/>
    <n v="20.211000000000002"/>
    <n v="0"/>
    <n v="1"/>
  </r>
  <r>
    <s v="AJEET KUMAR"/>
    <d v="2026-06-22T00:00:00"/>
    <s v="SR-RTN/26-27/41353"/>
    <s v="B-300752"/>
    <s v="B-GOLD-FILING"/>
    <s v="GOLD-FILLING-WK"/>
    <x v="0"/>
    <s v="G-NA-91.70-YG"/>
    <n v="108.12"/>
    <n v="99.146039999999999"/>
    <n v="0.91699999999999993"/>
    <n v="102.08"/>
    <n v="93.60736"/>
    <n v="93.608000000000004"/>
    <n v="0.91700000000000004"/>
    <n v="0"/>
    <n v="0"/>
    <n v="0"/>
    <n v="0"/>
    <n v="0"/>
    <n v="0"/>
    <n v="0"/>
    <n v="0"/>
    <n v="0"/>
    <n v="6.04"/>
    <n v="5.5386800000000003"/>
    <n v="0.91700000000000004"/>
    <n v="-6.0400000000000063"/>
    <n v="6.0400000000000063"/>
    <x v="0"/>
    <n v="93.608000000000004"/>
    <n v="0"/>
    <n v="1"/>
  </r>
  <r>
    <s v="AJEET KUMAR"/>
    <d v="2026-06-22T00:00:00"/>
    <s v="SR-RTN/26-27/41353"/>
    <s v="B-302337"/>
    <s v="B-GOLD-FILING"/>
    <s v="GOLD-FILLING-WK"/>
    <x v="0"/>
    <s v="G-NA-91.70-YG"/>
    <n v="383.18"/>
    <n v="351.37606"/>
    <n v="0.91699999999999993"/>
    <n v="372.16"/>
    <n v="341.27071999999998"/>
    <n v="341.27099999999996"/>
    <n v="0.91699999999999993"/>
    <n v="0"/>
    <n v="0"/>
    <n v="0"/>
    <n v="0"/>
    <n v="0"/>
    <n v="0"/>
    <n v="0"/>
    <n v="0"/>
    <n v="0"/>
    <n v="11.02"/>
    <n v="10.10534"/>
    <n v="0.91700000000000004"/>
    <n v="-11.019999999999982"/>
    <n v="11.019999999999982"/>
    <x v="0"/>
    <n v="341.27099999999996"/>
    <n v="0"/>
    <n v="1"/>
  </r>
  <r>
    <s v="AJEET KUMAR"/>
    <d v="2026-06-22T00:00:00"/>
    <s v="SR-RTN/26-27/41358"/>
    <s v="B-302527"/>
    <s v="B-GOLD-FILING"/>
    <s v="GOLD-FILLING-WK"/>
    <x v="0"/>
    <s v="G-NA-91.70-YG"/>
    <n v="24.01"/>
    <n v="22.01717"/>
    <n v="0.91699999999999993"/>
    <n v="21.2"/>
    <n v="19.4404"/>
    <n v="19.441000000000003"/>
    <n v="0.91700000000000004"/>
    <n v="0"/>
    <n v="0"/>
    <n v="0"/>
    <n v="0"/>
    <n v="0"/>
    <n v="0"/>
    <n v="0"/>
    <n v="0"/>
    <n v="0"/>
    <n v="2.81"/>
    <n v="2.5767699999999998"/>
    <n v="0.91699999999999993"/>
    <n v="-2.8100000000000023"/>
    <n v="2.8100000000000023"/>
    <x v="0"/>
    <n v="19.441000000000003"/>
    <n v="0"/>
    <n v="1"/>
  </r>
  <r>
    <s v="AJEET KUMAR"/>
    <d v="2026-06-22T00:00:00"/>
    <s v="SR-RTN/26-27/41362"/>
    <s v="B-300784"/>
    <s v="B-GOLD-FILING"/>
    <s v="GOLD-FILLING-WK"/>
    <x v="0"/>
    <s v="G-NA-91.70-YG"/>
    <n v="64.037999999999997"/>
    <n v="58.722845999999997"/>
    <n v="0.91700000000000004"/>
    <n v="63.798000000000002"/>
    <n v="58.502766000000001"/>
    <n v="58.503"/>
    <n v="0.91700000000000004"/>
    <n v="0"/>
    <n v="0"/>
    <n v="0"/>
    <n v="0"/>
    <n v="0"/>
    <n v="0"/>
    <n v="0"/>
    <n v="0"/>
    <n v="0"/>
    <n v="0.24"/>
    <n v="0.22008"/>
    <n v="0.91700000000000004"/>
    <n v="-0.23999999999999488"/>
    <n v="0.23999999999999488"/>
    <x v="0"/>
    <n v="58.503"/>
    <n v="0"/>
    <n v="2"/>
  </r>
  <r>
    <s v="AJEET KUMAR"/>
    <d v="2026-06-22T00:00:00"/>
    <s v="SR-RTN/26-27/41364"/>
    <s v="B-300999"/>
    <s v="B-GOLD-FILING"/>
    <s v="GOLD-FILLING-WK"/>
    <x v="1"/>
    <s v="G-NA-75.00-YG"/>
    <n v="18.27"/>
    <n v="13.702500000000001"/>
    <n v="0.75"/>
    <n v="17.34"/>
    <n v="13.005000000000001"/>
    <n v="13.005000000000001"/>
    <n v="0.75"/>
    <n v="0"/>
    <n v="0"/>
    <n v="0"/>
    <n v="0"/>
    <n v="0"/>
    <n v="0"/>
    <n v="0"/>
    <n v="0"/>
    <n v="0"/>
    <n v="0.93"/>
    <n v="0.69750000000000001"/>
    <n v="0.75"/>
    <n v="-0.92999999999999972"/>
    <n v="0.92999999999999972"/>
    <x v="0"/>
    <n v="13.005000000000001"/>
    <n v="0"/>
    <n v="1"/>
  </r>
  <r>
    <s v="AJEET KUMAR"/>
    <d v="2026-06-22T00:00:00"/>
    <s v="SR-RTN/26-27/41364"/>
    <s v="B-302505"/>
    <s v="B-GOLD-FILING"/>
    <s v="GOLD-FILLING-WK"/>
    <x v="1"/>
    <s v="G-NA-75.00-YG"/>
    <n v="180.51"/>
    <n v="135.38249999999999"/>
    <n v="0.75"/>
    <n v="159.97"/>
    <n v="119.97750000000001"/>
    <n v="119.97800000000001"/>
    <n v="0.75"/>
    <n v="0"/>
    <n v="0"/>
    <n v="0"/>
    <n v="0"/>
    <n v="0"/>
    <n v="0"/>
    <n v="0"/>
    <n v="0"/>
    <n v="0"/>
    <n v="20.54"/>
    <n v="15.404999999999999"/>
    <n v="0.75"/>
    <n v="-20.539999999999992"/>
    <n v="20.539999999999992"/>
    <x v="0"/>
    <n v="119.97800000000001"/>
    <n v="0"/>
    <n v="1"/>
  </r>
  <r>
    <s v="AJEET KUMAR"/>
    <d v="2026-06-22T00:00:00"/>
    <s v="SR-RTN/26-27/41373"/>
    <s v="B-300890"/>
    <s v="B-GOLD-FILING"/>
    <s v="GOLD-FILLING-WK"/>
    <x v="0"/>
    <s v="G-NA-91.70-YG"/>
    <n v="57.23"/>
    <n v="52.479909999999997"/>
    <n v="0.91700000000000004"/>
    <n v="53.23"/>
    <n v="48.811909999999997"/>
    <n v="48.811999999999998"/>
    <n v="0.91700000000000004"/>
    <n v="0"/>
    <n v="0"/>
    <n v="0"/>
    <n v="0"/>
    <n v="0"/>
    <n v="0"/>
    <n v="0"/>
    <n v="0"/>
    <n v="0"/>
    <n v="4"/>
    <n v="3.6680000000000001"/>
    <n v="0.91700000000000004"/>
    <n v="-4"/>
    <n v="4"/>
    <x v="0"/>
    <n v="48.811999999999998"/>
    <n v="0"/>
    <n v="1"/>
  </r>
  <r>
    <s v="AJEET KUMAR"/>
    <d v="2026-06-22T00:00:00"/>
    <s v="SR-RTN/26-27/41407"/>
    <s v="B-301970"/>
    <s v="B-GOLD-FILING"/>
    <s v="GOLD-FILLING-WK"/>
    <x v="0"/>
    <s v="G-NA-91.70-YG"/>
    <n v="315.77999999999997"/>
    <n v="289.57026000000002"/>
    <n v="0.91700000000000015"/>
    <n v="313.2"/>
    <n v="287.20440000000002"/>
    <n v="287.20499999999998"/>
    <n v="0.91700000000000015"/>
    <n v="0"/>
    <n v="0"/>
    <n v="0"/>
    <n v="0"/>
    <n v="0"/>
    <n v="0"/>
    <n v="0"/>
    <n v="0"/>
    <n v="0"/>
    <n v="2.58"/>
    <n v="2.3658600000000001"/>
    <n v="0.91700000000000004"/>
    <n v="-2.5799999999999841"/>
    <n v="2.5799999999999841"/>
    <x v="0"/>
    <n v="287.20499999999998"/>
    <n v="0"/>
    <n v="3"/>
  </r>
  <r>
    <s v="AJEET KUMAR"/>
    <d v="2026-06-22T00:00:00"/>
    <s v="SR-RTN/26-27/41411"/>
    <s v="B-301971"/>
    <s v="B-GOLD-FILING"/>
    <s v="GOLD-FILLING-WK"/>
    <x v="0"/>
    <s v="G-NA-91.70-YG"/>
    <n v="212.17"/>
    <n v="194.55989"/>
    <n v="0.91700000000000004"/>
    <n v="207.58"/>
    <n v="190.35086000000001"/>
    <n v="190.351"/>
    <n v="0.91700000000000004"/>
    <n v="0"/>
    <n v="0"/>
    <n v="0"/>
    <n v="0"/>
    <n v="0"/>
    <n v="0"/>
    <n v="0"/>
    <n v="0"/>
    <n v="0"/>
    <n v="4.59"/>
    <n v="4.2090300000000003"/>
    <n v="0.91700000000000004"/>
    <n v="-4.589999999999975"/>
    <n v="4.589999999999975"/>
    <x v="1"/>
    <n v="190.07599999999999"/>
    <n v="0.27500000000000568"/>
    <n v="2"/>
  </r>
  <r>
    <s v="AJEET KUMAR"/>
    <d v="2026-06-22T00:00:00"/>
    <s v="SR-RTN/26-27/41479"/>
    <s v="B-300750"/>
    <s v="B-GOLD-FILING"/>
    <s v="GOLD-FILLING-WK"/>
    <x v="0"/>
    <s v="G-NA-91.70-YG"/>
    <n v="39.04"/>
    <n v="35.799680000000002"/>
    <n v="0.91700000000000004"/>
    <n v="35.31"/>
    <n v="32.379269999999998"/>
    <n v="32.379999999999995"/>
    <n v="0.91699999999999993"/>
    <n v="0"/>
    <n v="0"/>
    <n v="0"/>
    <n v="0"/>
    <n v="0"/>
    <n v="0"/>
    <n v="0"/>
    <n v="0"/>
    <n v="0"/>
    <n v="3.73"/>
    <n v="3.42041"/>
    <n v="0.91700000000000004"/>
    <n v="-3.7299999999999969"/>
    <n v="3.7299999999999969"/>
    <x v="0"/>
    <n v="32.379999999999995"/>
    <n v="0"/>
    <n v="1"/>
  </r>
  <r>
    <s v="AJEET KUMAR"/>
    <d v="2026-06-22T00:00:00"/>
    <s v="SR-RTN/26-27/41479"/>
    <s v="B-300892"/>
    <s v="B-GOLD-FILING"/>
    <s v="GOLD-FILLING-WK"/>
    <x v="0"/>
    <s v="G-NA-91.70-YG"/>
    <n v="59.7"/>
    <n v="54.744900000000001"/>
    <n v="0.91699999999999993"/>
    <n v="55.76"/>
    <n v="51.131920000000001"/>
    <n v="51.131999999999998"/>
    <n v="0.91700000000000004"/>
    <n v="0"/>
    <n v="0"/>
    <n v="0"/>
    <n v="0"/>
    <n v="0"/>
    <n v="0"/>
    <n v="0"/>
    <n v="0"/>
    <n v="0"/>
    <n v="3.94"/>
    <n v="3.6129799999999999"/>
    <n v="0.91699999999999993"/>
    <n v="-3.9400000000000048"/>
    <n v="3.9400000000000048"/>
    <x v="0"/>
    <n v="51.131999999999998"/>
    <n v="0"/>
    <n v="1"/>
  </r>
  <r>
    <s v="AJEET KUMAR"/>
    <d v="2026-06-22T00:00:00"/>
    <s v="SR-RTN/26-27/41479"/>
    <s v="B-301866"/>
    <s v="B-GOLD-FILING"/>
    <s v="GOLD-FILLING-WK"/>
    <x v="1"/>
    <s v="G-NA-75.00-YG"/>
    <n v="11.15"/>
    <n v="8.3625000000000007"/>
    <n v="0.75"/>
    <n v="10.51"/>
    <n v="7.8825000000000003"/>
    <n v="7.883"/>
    <n v="0.75"/>
    <n v="0"/>
    <n v="0"/>
    <n v="0"/>
    <n v="0"/>
    <n v="0"/>
    <n v="0"/>
    <n v="0"/>
    <n v="0"/>
    <n v="0"/>
    <n v="0.64"/>
    <n v="0.48"/>
    <n v="0.75"/>
    <n v="-0.64000000000000057"/>
    <n v="0.64000000000000057"/>
    <x v="0"/>
    <n v="7.883"/>
    <n v="0"/>
    <n v="1"/>
  </r>
  <r>
    <s v="AJEET KUMAR"/>
    <d v="2026-06-22T00:00:00"/>
    <s v="SR-RTN/26-27/41479"/>
    <s v="B-302849"/>
    <s v="B-GOLD-FILING"/>
    <s v="GOLD-FILLING-WK"/>
    <x v="0"/>
    <s v="G-NA-91.70-YG"/>
    <n v="14.38"/>
    <n v="13.18646"/>
    <n v="0.91699999999999993"/>
    <n v="13.77"/>
    <n v="12.627090000000001"/>
    <n v="12.628"/>
    <n v="0.91700000000000004"/>
    <n v="0"/>
    <n v="0"/>
    <n v="0"/>
    <n v="0"/>
    <n v="0"/>
    <n v="0"/>
    <n v="0"/>
    <n v="0"/>
    <n v="0"/>
    <n v="0.61"/>
    <n v="0.55937000000000003"/>
    <n v="0.91700000000000004"/>
    <n v="-0.61000000000000121"/>
    <n v="0.61000000000000121"/>
    <x v="0"/>
    <n v="12.628"/>
    <n v="0"/>
    <n v="1"/>
  </r>
  <r>
    <s v="AJEET KUMAR"/>
    <d v="2026-06-22T00:00:00"/>
    <s v="SR-RTN/26-27/41479"/>
    <s v="B-302865"/>
    <s v="B-GOLD-FILING"/>
    <s v="GOLD-FILLING-WK"/>
    <x v="0"/>
    <s v="G-NA-91.70-YG"/>
    <n v="3.02"/>
    <n v="2.7693400000000001"/>
    <n v="0.91700000000000004"/>
    <n v="2.94"/>
    <n v="2.69598"/>
    <n v="2.6959999999999997"/>
    <n v="0.91700000000000004"/>
    <n v="0"/>
    <n v="0"/>
    <n v="0"/>
    <n v="0"/>
    <n v="0"/>
    <n v="0"/>
    <n v="0"/>
    <n v="0"/>
    <n v="0"/>
    <n v="0.08"/>
    <n v="7.3359999999999995E-2"/>
    <n v="0.91699999999999993"/>
    <n v="-8.0000000000000071E-2"/>
    <n v="8.0000000000000071E-2"/>
    <x v="1"/>
    <n v="1.8439999999999999"/>
    <n v="0.85199999999999987"/>
    <n v="2"/>
  </r>
  <r>
    <s v="AJEET KUMAR"/>
    <d v="2026-06-22T00:00:00"/>
    <s v="SR-RTN/26-27/41480"/>
    <s v="B-302525"/>
    <s v="B-GOLD-FILING"/>
    <s v="GOLD-FILLING-WK"/>
    <x v="0"/>
    <s v="G-NA-91.70-YG"/>
    <n v="21"/>
    <n v="19.257000000000001"/>
    <n v="0.91700000000000004"/>
    <n v="18.23"/>
    <n v="16.716909999999999"/>
    <n v="16.717000000000002"/>
    <n v="0.91699999999999993"/>
    <n v="0"/>
    <n v="0"/>
    <n v="0"/>
    <n v="0"/>
    <n v="0"/>
    <n v="0"/>
    <n v="0"/>
    <n v="0"/>
    <n v="0"/>
    <n v="2.77"/>
    <n v="2.5400900000000002"/>
    <n v="0.91700000000000004"/>
    <n v="-2.7699999999999996"/>
    <n v="2.7699999999999996"/>
    <x v="0"/>
    <n v="16.717000000000002"/>
    <n v="0"/>
    <n v="1"/>
  </r>
  <r>
    <s v="AJEET KUMAR"/>
    <d v="2026-06-22T00:00:00"/>
    <s v="SR-RTN/26-27/41513"/>
    <s v="B-301849"/>
    <s v="B-GOLD-FILING"/>
    <s v="GOLD-FILLING-WK"/>
    <x v="1"/>
    <s v="G-NA-75.00-YG"/>
    <n v="21.07"/>
    <n v="15.8025"/>
    <n v="0.75"/>
    <n v="18.52"/>
    <n v="13.89"/>
    <n v="13.89"/>
    <n v="0.75"/>
    <n v="0"/>
    <n v="0"/>
    <n v="0"/>
    <n v="0"/>
    <n v="0"/>
    <n v="0"/>
    <n v="0"/>
    <n v="0"/>
    <n v="0"/>
    <n v="2.5499999999999998"/>
    <n v="1.9125000000000001"/>
    <n v="0.75000000000000011"/>
    <n v="-2.5500000000000007"/>
    <n v="2.5500000000000007"/>
    <x v="0"/>
    <n v="13.89"/>
    <n v="0"/>
    <n v="1"/>
  </r>
  <r>
    <s v="AJEET KUMAR"/>
    <d v="2026-06-22T00:00:00"/>
    <s v="SR-RTN/26-27/41514"/>
    <s v="B-301837"/>
    <s v="B-GOLD-FILING"/>
    <s v="GOLD-FILLING-WK"/>
    <x v="0"/>
    <s v="G-NA-91.70-YG"/>
    <n v="18.61"/>
    <n v="17.065370000000001"/>
    <n v="0.91700000000000015"/>
    <n v="18.04"/>
    <n v="16.542680000000001"/>
    <n v="16.543000000000003"/>
    <n v="0.91700000000000004"/>
    <n v="0"/>
    <n v="0"/>
    <n v="0"/>
    <n v="0"/>
    <n v="0"/>
    <n v="0"/>
    <n v="0"/>
    <n v="0"/>
    <n v="0"/>
    <n v="0.56999999999999995"/>
    <n v="0.52268999999999999"/>
    <n v="0.91700000000000004"/>
    <n v="-0.57000000000000028"/>
    <n v="0.57000000000000028"/>
    <x v="0"/>
    <n v="16.543000000000003"/>
    <n v="0"/>
    <n v="1"/>
  </r>
  <r>
    <s v="AJEET KUMAR"/>
    <d v="2026-06-22T00:00:00"/>
    <s v="SR-RTN/26-27/41515"/>
    <s v="B-302843"/>
    <s v="B-GOLD-FILING"/>
    <s v="GOLD-FILLING-WK"/>
    <x v="0"/>
    <s v="G-NA-91.70-YG"/>
    <n v="23.17"/>
    <n v="21.24689"/>
    <n v="0.91699999999999993"/>
    <n v="22.21"/>
    <n v="20.366569999999999"/>
    <n v="20.367000000000001"/>
    <n v="0.91699999999999993"/>
    <n v="0"/>
    <n v="0"/>
    <n v="0"/>
    <n v="0"/>
    <n v="0"/>
    <n v="0"/>
    <n v="0"/>
    <n v="0"/>
    <n v="0"/>
    <n v="0.96"/>
    <n v="0.88031999999999999"/>
    <n v="0.91700000000000004"/>
    <n v="-0.96000000000000085"/>
    <n v="0.96000000000000085"/>
    <x v="0"/>
    <n v="20.367000000000001"/>
    <n v="0"/>
    <n v="1"/>
  </r>
  <r>
    <s v="AJEET KUMAR"/>
    <d v="2026-06-22T00:00:00"/>
    <s v="SR-RTN/26-27/41531"/>
    <s v="B-298677/2"/>
    <s v="B-GOLD-FILING"/>
    <s v="GOLD-FILLING-WK"/>
    <x v="0"/>
    <s v="G-NA-91.70-YG"/>
    <n v="75.38"/>
    <n v="69.123459999999994"/>
    <n v="0.91699999999999993"/>
    <n v="75.28"/>
    <n v="69.031760000000006"/>
    <n v="69.032000000000011"/>
    <n v="0.91700000000000004"/>
    <n v="0"/>
    <n v="0"/>
    <n v="0"/>
    <n v="0"/>
    <n v="0"/>
    <n v="0"/>
    <n v="0"/>
    <n v="0"/>
    <n v="0"/>
    <n v="0.1"/>
    <n v="9.1700000000000004E-2"/>
    <n v="0.91700000000000004"/>
    <n v="-9.9999999999994316E-2"/>
    <n v="9.9999999999994316E-2"/>
    <x v="0"/>
    <n v="69.032000000000011"/>
    <n v="0"/>
    <n v="1"/>
  </r>
  <r>
    <s v="AJEET KUMAR"/>
    <d v="2026-06-22T00:00:00"/>
    <s v="SR-RTN/26-27/41531"/>
    <s v="B-300316"/>
    <s v="B-GOLD-FILING"/>
    <s v="GOLD-FILLING-WK"/>
    <x v="0"/>
    <s v="G-NA-91.70-YG"/>
    <n v="14.07"/>
    <n v="12.902189999999999"/>
    <n v="0.91699999999999993"/>
    <n v="13.22"/>
    <n v="12.12274"/>
    <n v="12.122999999999999"/>
    <n v="0.91699999999999993"/>
    <n v="0"/>
    <n v="0"/>
    <n v="0"/>
    <n v="0"/>
    <n v="0"/>
    <n v="0"/>
    <n v="0"/>
    <n v="0"/>
    <n v="0"/>
    <n v="0.85"/>
    <n v="0.77944999999999998"/>
    <n v="0.91700000000000004"/>
    <n v="-0.84999999999999964"/>
    <n v="0.84999999999999964"/>
    <x v="0"/>
    <n v="12.122999999999999"/>
    <n v="0"/>
    <n v="1"/>
  </r>
  <r>
    <s v="AJEET KUMAR"/>
    <d v="2026-06-22T00:00:00"/>
    <s v="SR-RTN/26-27/41535"/>
    <s v="B-300311"/>
    <s v="B-GOLD-FILING"/>
    <s v="GOLD-FILLING-WK"/>
    <x v="0"/>
    <s v="G-NA-91.70-YG"/>
    <n v="13.48"/>
    <n v="12.36116"/>
    <n v="0.91699999999999993"/>
    <n v="12.91"/>
    <n v="11.838469999999999"/>
    <n v="11.838999999999999"/>
    <n v="0.91699999999999993"/>
    <n v="0"/>
    <n v="0"/>
    <n v="0"/>
    <n v="0"/>
    <n v="0"/>
    <n v="0"/>
    <n v="0"/>
    <n v="0"/>
    <n v="0"/>
    <n v="0.56999999999999995"/>
    <n v="0.52268999999999999"/>
    <n v="0.91700000000000004"/>
    <n v="-0.57000000000000028"/>
    <n v="0.57000000000000028"/>
    <x v="0"/>
    <n v="11.838999999999999"/>
    <n v="0"/>
    <n v="1"/>
  </r>
  <r>
    <s v="AJEET KUMAR"/>
    <d v="2026-06-22T00:00:00"/>
    <s v="SR-RTN/26-27/41535"/>
    <s v="B-302545"/>
    <s v="B-GOLD-FILING"/>
    <s v="GOLD-FILLING-WK"/>
    <x v="1"/>
    <s v="G-NA-75.00-RG"/>
    <n v="28.32"/>
    <n v="21.24"/>
    <n v="0.74999999999999989"/>
    <n v="26.86"/>
    <n v="20.145"/>
    <n v="20.145"/>
    <n v="0.75"/>
    <n v="0"/>
    <n v="0"/>
    <n v="0"/>
    <n v="0"/>
    <n v="0"/>
    <n v="0"/>
    <n v="0"/>
    <n v="0"/>
    <n v="0"/>
    <n v="1.46"/>
    <n v="1.095"/>
    <n v="0.75"/>
    <n v="-1.4600000000000009"/>
    <n v="1.4600000000000009"/>
    <x v="0"/>
    <n v="20.145"/>
    <n v="0"/>
    <n v="1"/>
  </r>
  <r>
    <s v="AJEET KUMAR"/>
    <d v="2026-06-22T00:00:00"/>
    <s v="SR-RTN/26-27/41552"/>
    <s v="B-301971"/>
    <s v="B-GOLD-FILING"/>
    <s v="GOLD-FILLING-WK"/>
    <x v="0"/>
    <s v="G-NA-91.70-YG"/>
    <n v="207.61"/>
    <n v="190.37836999999999"/>
    <n v="0.91699999999999993"/>
    <n v="207.28"/>
    <n v="190.07576"/>
    <n v="190.07599999999999"/>
    <n v="0.91700000000000004"/>
    <n v="0"/>
    <n v="0"/>
    <n v="0"/>
    <n v="0"/>
    <n v="0"/>
    <n v="0"/>
    <n v="0"/>
    <n v="0"/>
    <n v="0"/>
    <n v="0.33"/>
    <n v="0.30260999999999999"/>
    <n v="0.91699999999999993"/>
    <n v="-0.33000000000001251"/>
    <n v="0.33000000000001251"/>
    <x v="0"/>
    <n v="190.07599999999999"/>
    <n v="0"/>
    <n v="2"/>
  </r>
  <r>
    <s v="AJEET KUMAR"/>
    <d v="2026-06-22T00:00:00"/>
    <s v="SR-RTN/26-27/41552"/>
    <s v="B-302544"/>
    <s v="B-GOLD-FILING"/>
    <s v="GOLD-FILLING-WK"/>
    <x v="1"/>
    <s v="G-NA-75.00-RG"/>
    <n v="17.510000000000002"/>
    <n v="13.1325"/>
    <n v="0.75"/>
    <n v="15.43"/>
    <n v="11.5725"/>
    <n v="11.572999999999999"/>
    <n v="0.75"/>
    <n v="0"/>
    <n v="0"/>
    <n v="0"/>
    <n v="0"/>
    <n v="0"/>
    <n v="0"/>
    <n v="0"/>
    <n v="0"/>
    <n v="0"/>
    <n v="2.08"/>
    <n v="1.56"/>
    <n v="0.75"/>
    <n v="-2.0800000000000018"/>
    <n v="2.0800000000000018"/>
    <x v="0"/>
    <n v="11.572999999999999"/>
    <n v="0"/>
    <n v="1"/>
  </r>
  <r>
    <s v="AJEET KUMAR"/>
    <d v="2026-06-22T00:00:00"/>
    <s v="SR-RTN/26-27/41552"/>
    <s v="B-302863"/>
    <s v="B-GOLD-FILING"/>
    <s v="GOLD-FILLING-WK"/>
    <x v="0"/>
    <s v="G-NA-91.70-YG"/>
    <n v="4.6100000000000003"/>
    <n v="4.2273699999999996"/>
    <n v="0.91699999999999982"/>
    <n v="4.2699999999999996"/>
    <n v="3.9155899999999999"/>
    <n v="3.9159999999999999"/>
    <n v="0.91700000000000004"/>
    <n v="0"/>
    <n v="0"/>
    <n v="0"/>
    <n v="0"/>
    <n v="0"/>
    <n v="0"/>
    <n v="0"/>
    <n v="0"/>
    <n v="0"/>
    <n v="0.34"/>
    <n v="0.31178"/>
    <n v="0.91699999999999993"/>
    <n v="-0.34000000000000075"/>
    <n v="0.34000000000000075"/>
    <x v="1"/>
    <n v="3.4299999999999997"/>
    <n v="0.48600000000000021"/>
    <n v="2"/>
  </r>
  <r>
    <s v="AJEET KUMAR"/>
    <d v="2026-06-22T00:00:00"/>
    <s v="SR-RTN/26-27/41552"/>
    <s v="B-302864"/>
    <s v="B-GOLD-FILING"/>
    <s v="GOLD-FILLING-WK"/>
    <x v="0"/>
    <s v="G-NA-91.70-YG"/>
    <n v="4.42"/>
    <n v="4.05314"/>
    <n v="0.91700000000000004"/>
    <n v="4.22"/>
    <n v="3.8697400000000002"/>
    <n v="3.87"/>
    <n v="0.91700000000000015"/>
    <n v="0"/>
    <n v="0"/>
    <n v="0"/>
    <n v="0"/>
    <n v="0"/>
    <n v="0"/>
    <n v="0"/>
    <n v="0"/>
    <n v="0"/>
    <n v="0.2"/>
    <n v="0.18340000000000001"/>
    <n v="0.91700000000000004"/>
    <n v="-0.20000000000000018"/>
    <n v="0.20000000000000018"/>
    <x v="1"/>
    <n v="2.9990000000000001"/>
    <n v="0.871"/>
    <n v="2"/>
  </r>
  <r>
    <s v="AJEET KUMAR"/>
    <d v="2026-06-22T00:00:00"/>
    <s v="SR-RTN/26-27/41553"/>
    <s v="B-302862"/>
    <s v="B-GOLD-FILING"/>
    <s v="GOLD-FILLING-WK"/>
    <x v="0"/>
    <s v="G-NA-91.70-YG"/>
    <n v="4.18"/>
    <n v="3.8330600000000001"/>
    <n v="0.91700000000000015"/>
    <n v="3.95"/>
    <n v="3.62215"/>
    <n v="3.6229999999999998"/>
    <n v="0.91699999999999993"/>
    <n v="0"/>
    <n v="0"/>
    <n v="0"/>
    <n v="0"/>
    <n v="0"/>
    <n v="0"/>
    <n v="0"/>
    <n v="0"/>
    <n v="0"/>
    <n v="0.23"/>
    <n v="0.21090999999999999"/>
    <n v="0.91699999999999993"/>
    <n v="-0.22999999999999954"/>
    <n v="0.22999999999999954"/>
    <x v="1"/>
    <n v="3.0269999999999997"/>
    <n v="0.59600000000000009"/>
    <n v="3"/>
  </r>
  <r>
    <s v="AJEET KUMAR"/>
    <d v="2026-06-22T00:00:00"/>
    <s v="SR-RTN/26-27/41604"/>
    <s v="B-300979"/>
    <s v="B-GOLD-FILING"/>
    <s v="GOLD-FILLING-WK"/>
    <x v="0"/>
    <s v="G-NA-91.70-YG"/>
    <n v="44.1"/>
    <n v="40.439700000000002"/>
    <n v="0.91700000000000004"/>
    <n v="40.58"/>
    <n v="37.211860000000001"/>
    <n v="37.211999999999996"/>
    <n v="0.91700000000000004"/>
    <n v="0"/>
    <n v="0"/>
    <n v="0"/>
    <n v="0"/>
    <n v="0"/>
    <n v="0"/>
    <n v="0"/>
    <n v="0"/>
    <n v="0"/>
    <n v="3.52"/>
    <n v="3.22784"/>
    <n v="0.91700000000000004"/>
    <n v="-3.5200000000000031"/>
    <n v="3.5200000000000031"/>
    <x v="0"/>
    <n v="37.211999999999996"/>
    <n v="0"/>
    <n v="1"/>
  </r>
  <r>
    <s v="AJEET KUMAR"/>
    <d v="2026-06-22T00:00:00"/>
    <s v="SR-RTN/26-27/41604"/>
    <s v="B-302846"/>
    <s v="B-GOLD-FILING"/>
    <s v="GOLD-FILLING-WK"/>
    <x v="0"/>
    <s v="G-NA-91.70-YG"/>
    <n v="24.77"/>
    <n v="22.714089999999999"/>
    <n v="0.91699999999999993"/>
    <n v="23.7"/>
    <n v="21.732900000000001"/>
    <n v="21.733000000000001"/>
    <n v="0.91700000000000004"/>
    <n v="0"/>
    <n v="0"/>
    <n v="0"/>
    <n v="0"/>
    <n v="0"/>
    <n v="0"/>
    <n v="0"/>
    <n v="0"/>
    <n v="0"/>
    <n v="1.07"/>
    <n v="0.98119000000000001"/>
    <n v="0.91699999999999993"/>
    <n v="-1.0700000000000003"/>
    <n v="1.0700000000000003"/>
    <x v="0"/>
    <n v="21.733000000000001"/>
    <n v="0"/>
    <n v="1"/>
  </r>
  <r>
    <s v="AJEET KUMAR"/>
    <d v="2026-06-22T00:00:00"/>
    <s v="SR-RTN/26-27/41614"/>
    <s v="B-300761"/>
    <s v="B-GOLD-FILING"/>
    <s v="GOLD-FILLING-WK"/>
    <x v="0"/>
    <s v="G-NA-91.70-YG"/>
    <n v="142.51"/>
    <n v="130.68167"/>
    <n v="0.91700000000000004"/>
    <n v="135.01"/>
    <n v="123.80417"/>
    <n v="123.80500000000001"/>
    <n v="0.91700000000000004"/>
    <n v="0"/>
    <n v="0"/>
    <n v="0"/>
    <n v="0"/>
    <n v="0"/>
    <n v="0"/>
    <n v="0"/>
    <n v="0"/>
    <n v="0"/>
    <n v="7.5"/>
    <n v="6.8775000000000004"/>
    <n v="0.91700000000000004"/>
    <n v="-7.5"/>
    <n v="7.5"/>
    <x v="0"/>
    <n v="123.80500000000001"/>
    <n v="0"/>
    <n v="1"/>
  </r>
  <r>
    <s v="AJEET KUMAR"/>
    <d v="2026-06-22T00:00:00"/>
    <s v="SR-RTN/26-27/41615"/>
    <s v="B-301972"/>
    <s v="B-GOLD-FILING"/>
    <s v="GOLD-FILLING-WK"/>
    <x v="0"/>
    <s v="G-NA-91.70-YG"/>
    <n v="363.69"/>
    <n v="333.50373000000002"/>
    <n v="0.91700000000000004"/>
    <n v="363.69"/>
    <n v="333.50373000000002"/>
    <n v="333.50399999999996"/>
    <n v="0.91700000000000004"/>
    <n v="0"/>
    <n v="0"/>
    <n v="0"/>
    <n v="0"/>
    <n v="0"/>
    <n v="0"/>
    <n v="0"/>
    <n v="0"/>
    <n v="0"/>
    <n v="0"/>
    <n v="0"/>
    <n v="0"/>
    <n v="0"/>
    <n v="0"/>
    <x v="0"/>
    <n v="333.50399999999996"/>
    <n v="0"/>
    <n v="3"/>
  </r>
  <r>
    <s v="AJEET KUMAR"/>
    <d v="2026-06-22T00:00:00"/>
    <s v="SR-RTN/26-27/41653"/>
    <s v="B-300741"/>
    <s v="B-GOLD-FILING"/>
    <s v="GOLD-FILLING-WK"/>
    <x v="0"/>
    <s v="G-NA-91.70-YG"/>
    <n v="58.22"/>
    <n v="53.387740000000001"/>
    <n v="0.91700000000000004"/>
    <n v="51.55"/>
    <n v="47.271349999999998"/>
    <n v="47.271999999999998"/>
    <n v="0.91700000000000004"/>
    <n v="0"/>
    <n v="0"/>
    <n v="0"/>
    <n v="0"/>
    <n v="0"/>
    <n v="0"/>
    <n v="0"/>
    <n v="0"/>
    <n v="0"/>
    <n v="6.67"/>
    <n v="6.11639"/>
    <n v="0.91700000000000004"/>
    <n v="-6.6700000000000017"/>
    <n v="6.6700000000000017"/>
    <x v="0"/>
    <n v="47.271999999999998"/>
    <n v="0"/>
    <n v="1"/>
  </r>
  <r>
    <s v="AJEET KUMAR"/>
    <d v="2026-06-22T00:00:00"/>
    <s v="SR-RTN/26-27/41653"/>
    <s v="B-300976"/>
    <s v="B-GOLD-FILING"/>
    <s v="GOLD-FILLING-WK"/>
    <x v="0"/>
    <s v="G-NA-91.70-YG"/>
    <n v="33.979999999999997"/>
    <n v="31.159659999999999"/>
    <n v="0.91700000000000004"/>
    <n v="33.25"/>
    <n v="30.49025"/>
    <n v="30.491"/>
    <n v="0.91700000000000004"/>
    <n v="0"/>
    <n v="0"/>
    <n v="0"/>
    <n v="0"/>
    <n v="0"/>
    <n v="0"/>
    <n v="0"/>
    <n v="0"/>
    <n v="0"/>
    <n v="0.73"/>
    <n v="0.66940999999999995"/>
    <n v="0.91699999999999993"/>
    <n v="-0.72999999999999687"/>
    <n v="0.72999999999999687"/>
    <x v="0"/>
    <n v="30.491"/>
    <n v="0"/>
    <n v="1"/>
  </r>
  <r>
    <s v="AJEET KUMAR"/>
    <d v="2026-06-22T00:00:00"/>
    <s v="SR-RTN/26-27/41653"/>
    <s v="B-301783"/>
    <s v="B-GOLD-FILING"/>
    <s v="GOLD-FILLING-WK"/>
    <x v="0"/>
    <s v="G-NA-91.70-YG"/>
    <n v="7.53"/>
    <n v="6.9050099999999999"/>
    <n v="0.91699999999999993"/>
    <n v="6.85"/>
    <n v="6.2814500000000004"/>
    <n v="6.282"/>
    <n v="0.91700000000000015"/>
    <n v="0"/>
    <n v="0"/>
    <n v="0"/>
    <n v="0"/>
    <n v="0"/>
    <n v="0"/>
    <n v="0"/>
    <n v="0"/>
    <n v="0"/>
    <n v="0.68"/>
    <n v="0.62356"/>
    <n v="0.91699999999999993"/>
    <n v="-0.6800000000000006"/>
    <n v="0.6800000000000006"/>
    <x v="0"/>
    <n v="6.282"/>
    <n v="0"/>
    <n v="1"/>
  </r>
  <r>
    <s v="AJEET KUMAR"/>
    <d v="2026-06-22T00:00:00"/>
    <s v="SR-RTN/26-27/41653"/>
    <s v="B-301860"/>
    <s v="B-GOLD-FILING"/>
    <s v="GOLD-FILLING-WK"/>
    <x v="1"/>
    <s v="G-NA-75.00-YG"/>
    <n v="25.42"/>
    <n v="19.065000000000001"/>
    <n v="0.75"/>
    <n v="23.16"/>
    <n v="17.37"/>
    <n v="17.37"/>
    <n v="0.75"/>
    <n v="0"/>
    <n v="0"/>
    <n v="0"/>
    <n v="0"/>
    <n v="0"/>
    <n v="0"/>
    <n v="0"/>
    <n v="0"/>
    <n v="0"/>
    <n v="2.2599999999999998"/>
    <n v="1.6950000000000001"/>
    <n v="0.75000000000000011"/>
    <n v="-2.2600000000000016"/>
    <n v="2.2600000000000016"/>
    <x v="0"/>
    <n v="17.37"/>
    <n v="0"/>
    <n v="1"/>
  </r>
  <r>
    <s v="AJEET KUMAR"/>
    <d v="2026-06-22T00:00:00"/>
    <s v="SR-RTN/26-27/41653"/>
    <s v="B-302850"/>
    <s v="B-GOLD-FILING"/>
    <s v="GOLD-FILLING-WK"/>
    <x v="0"/>
    <s v="G-NA-91.70-YG"/>
    <n v="20.23"/>
    <n v="18.550909999999998"/>
    <n v="0.91699999999999993"/>
    <n v="19.350000000000001"/>
    <n v="17.743950000000002"/>
    <n v="17.744"/>
    <n v="0.91700000000000004"/>
    <n v="0"/>
    <n v="0"/>
    <n v="0"/>
    <n v="0"/>
    <n v="0"/>
    <n v="0"/>
    <n v="0"/>
    <n v="0"/>
    <n v="0"/>
    <n v="0.88"/>
    <n v="0.80696000000000001"/>
    <n v="0.91700000000000004"/>
    <n v="-0.87999999999999901"/>
    <n v="0.87999999999999901"/>
    <x v="0"/>
    <n v="17.744"/>
    <n v="0"/>
    <n v="1"/>
  </r>
  <r>
    <s v="AJEET KUMAR"/>
    <d v="2026-06-22T00:00:00"/>
    <s v="SR-RTN/26-27/41662"/>
    <s v="B-302507"/>
    <s v="B-GOLD-FILING"/>
    <s v="GOLD-FILLING-WK"/>
    <x v="1"/>
    <s v="G-NA-75.00-RG"/>
    <n v="4.0999999999999996"/>
    <n v="3.0750000000000002"/>
    <n v="0.75000000000000011"/>
    <n v="3.62"/>
    <n v="2.7149999999999999"/>
    <n v="2.7149999999999999"/>
    <n v="0.74999999999999989"/>
    <n v="0"/>
    <n v="0"/>
    <n v="0"/>
    <n v="0"/>
    <n v="0"/>
    <n v="0"/>
    <n v="0"/>
    <n v="0"/>
    <n v="0"/>
    <n v="0.48"/>
    <n v="0.36"/>
    <n v="0.75"/>
    <n v="-0.47999999999999954"/>
    <n v="0.47999999999999954"/>
    <x v="0"/>
    <n v="2.7149999999999999"/>
    <n v="0"/>
    <n v="1"/>
  </r>
  <r>
    <s v="AJEET KUMAR"/>
    <d v="2026-06-22T00:00:00"/>
    <s v="SR-RTN/26-27/41662"/>
    <s v="B-302509"/>
    <s v="B-GOLD-FILING"/>
    <s v="GOLD-FILLING-WK"/>
    <x v="1"/>
    <s v="G-NA-75.00-RG"/>
    <n v="4.07"/>
    <n v="3.0525000000000002"/>
    <n v="0.75"/>
    <n v="3.68"/>
    <n v="2.76"/>
    <n v="2.76"/>
    <n v="0.74999999999999989"/>
    <n v="0"/>
    <n v="0"/>
    <n v="0"/>
    <n v="0"/>
    <n v="0"/>
    <n v="0"/>
    <n v="0"/>
    <n v="0"/>
    <n v="0"/>
    <n v="0.39"/>
    <n v="0.29249999999999998"/>
    <n v="0.74999999999999989"/>
    <n v="-0.39000000000000012"/>
    <n v="0.39000000000000012"/>
    <x v="0"/>
    <n v="2.76"/>
    <n v="0"/>
    <n v="1"/>
  </r>
  <r>
    <s v="AJEET KUMAR"/>
    <d v="2026-06-22T00:00:00"/>
    <s v="SR-RTN/26-27/41662"/>
    <s v="B-302935"/>
    <s v="B-GOLD-FILING"/>
    <s v="GOLD-FILLING-WK"/>
    <x v="0"/>
    <s v="G-NA-91.70-YG"/>
    <n v="41.89"/>
    <n v="38.413130000000002"/>
    <n v="0.91700000000000004"/>
    <n v="39.21"/>
    <n v="35.955570000000002"/>
    <n v="35.955999999999996"/>
    <n v="0.91700000000000004"/>
    <n v="0"/>
    <n v="0"/>
    <n v="0"/>
    <n v="0"/>
    <n v="0"/>
    <n v="0"/>
    <n v="0"/>
    <n v="0"/>
    <n v="0"/>
    <n v="2.68"/>
    <n v="2.45756"/>
    <n v="0.91699999999999993"/>
    <n v="-2.68"/>
    <n v="2.68"/>
    <x v="0"/>
    <n v="35.955999999999996"/>
    <n v="0"/>
    <n v="1"/>
  </r>
  <r>
    <s v="AJEET KUMAR"/>
    <d v="2026-06-22T00:00:00"/>
    <s v="SR-RTN/26-27/41666"/>
    <s v="B-300980"/>
    <s v="B-GOLD-FILING"/>
    <s v="GOLD-FILLING-WK"/>
    <x v="0"/>
    <s v="G-NA-91.70-YG"/>
    <n v="16.07"/>
    <n v="14.736190000000001"/>
    <n v="0.91700000000000004"/>
    <n v="16.07"/>
    <n v="14.736190000000001"/>
    <n v="14.737"/>
    <n v="0.91700000000000004"/>
    <n v="0"/>
    <n v="0"/>
    <n v="0"/>
    <n v="0"/>
    <n v="0"/>
    <n v="0"/>
    <n v="0"/>
    <n v="0"/>
    <n v="0"/>
    <n v="0"/>
    <n v="0"/>
    <n v="0"/>
    <n v="0"/>
    <n v="0"/>
    <x v="0"/>
    <n v="14.737"/>
    <n v="0"/>
    <n v="2"/>
  </r>
  <r>
    <s v="AJEET KUMAR"/>
    <d v="2026-06-22T00:00:00"/>
    <s v="SR-RTN/26-27/41736"/>
    <s v="B-299704"/>
    <s v="B-GOLD-FILING"/>
    <s v="GOLD-FILLING-WK"/>
    <x v="0"/>
    <s v="G-NA-91.70-YG"/>
    <n v="54.03"/>
    <n v="49.54551"/>
    <n v="0.91700000000000004"/>
    <n v="51.03"/>
    <n v="46.794510000000002"/>
    <n v="46.794999999999995"/>
    <n v="0.91700000000000004"/>
    <n v="0"/>
    <n v="0"/>
    <n v="0"/>
    <n v="0"/>
    <n v="0"/>
    <n v="0"/>
    <n v="0"/>
    <n v="0"/>
    <n v="0"/>
    <n v="3"/>
    <n v="2.7509999999999999"/>
    <n v="0.91699999999999993"/>
    <n v="-3"/>
    <n v="3"/>
    <x v="0"/>
    <n v="46.794999999999995"/>
    <n v="0"/>
    <n v="1"/>
  </r>
  <r>
    <s v="AJEET KUMAR"/>
    <d v="2026-06-22T00:00:00"/>
    <s v="SR-RTN/26-27/41736"/>
    <s v="B-300756"/>
    <s v="B-GOLD-FILING"/>
    <s v="GOLD-FILLING-WK"/>
    <x v="0"/>
    <s v="G-NA-91.70-YG"/>
    <n v="64.41"/>
    <n v="59.063969999999998"/>
    <n v="0.91700000000000004"/>
    <n v="57.52"/>
    <n v="52.745840000000001"/>
    <n v="52.745999999999995"/>
    <n v="0.91699999999999993"/>
    <n v="0"/>
    <n v="0"/>
    <n v="0"/>
    <n v="0"/>
    <n v="0"/>
    <n v="0"/>
    <n v="0"/>
    <n v="0"/>
    <n v="0"/>
    <n v="6.89"/>
    <n v="6.31813"/>
    <n v="0.91700000000000004"/>
    <n v="-6.8899999999999935"/>
    <n v="6.8899999999999935"/>
    <x v="0"/>
    <n v="52.745999999999995"/>
    <n v="0"/>
    <n v="1"/>
  </r>
  <r>
    <s v="AJEET KUMAR"/>
    <d v="2026-06-22T00:00:00"/>
    <s v="SR-RTN/26-27/41770"/>
    <s v="B-299736/1"/>
    <s v="B-GOLD-FILING"/>
    <s v="GOLD-FILLING-WK"/>
    <x v="0"/>
    <s v="G-NA-91.70-YG"/>
    <n v="31.5"/>
    <n v="28.8855"/>
    <n v="0.91700000000000004"/>
    <n v="31.5"/>
    <n v="28.8855"/>
    <n v="28.886000000000003"/>
    <n v="0.91700000000000004"/>
    <n v="0"/>
    <n v="0"/>
    <n v="0"/>
    <n v="0"/>
    <n v="0"/>
    <n v="0"/>
    <n v="0"/>
    <n v="0"/>
    <n v="0"/>
    <n v="0"/>
    <n v="0"/>
    <n v="0"/>
    <n v="0"/>
    <n v="0"/>
    <x v="1"/>
    <n v="27.024000000000001"/>
    <n v="1.8620000000000019"/>
    <n v="2"/>
  </r>
  <r>
    <s v="AJEET KUMAR"/>
    <d v="2026-06-22T00:00:00"/>
    <s v="SR-W/O-RTN/26-27/2963"/>
    <s v="NONE"/>
    <s v="B-GOLD-FILING"/>
    <s v="GOLD-FILLING-WK"/>
    <x v="1"/>
    <s v="G-NA-75.00-RG"/>
    <n v="9.83"/>
    <n v="7.3724999999999996"/>
    <n v="0.75"/>
    <n v="9.39"/>
    <n v="7.0425000000000004"/>
    <n v="7.0430000000000001"/>
    <n v="0.75"/>
    <n v="0"/>
    <n v="0"/>
    <n v="0"/>
    <n v="0"/>
    <n v="0"/>
    <n v="0"/>
    <n v="0"/>
    <n v="0"/>
    <n v="0"/>
    <n v="0.44"/>
    <n v="0.33"/>
    <n v="0.75"/>
    <n v="-0.4399999999999995"/>
    <n v="0.4399999999999995"/>
    <x v="1"/>
    <n v="0"/>
    <n v="7.0430000000000001"/>
    <n v="67"/>
  </r>
  <r>
    <s v="AJEET KUMAR"/>
    <d v="2026-06-22T00:00:00"/>
    <s v="SR-W/O-RTN/26-27/2963"/>
    <s v="NONE"/>
    <s v="B-GOLD-FILING"/>
    <s v="GOLD-FILLING-WK"/>
    <x v="1"/>
    <s v="G-NA-75.00-YG"/>
    <n v="4.4800000000000004"/>
    <n v="3.36"/>
    <n v="0.74999999999999989"/>
    <n v="4.1900000000000004"/>
    <n v="3.1425000000000001"/>
    <n v="3.1429999999999998"/>
    <n v="0.75"/>
    <n v="0"/>
    <n v="0"/>
    <n v="0"/>
    <n v="0"/>
    <n v="0"/>
    <n v="0"/>
    <n v="0"/>
    <n v="0"/>
    <n v="0"/>
    <n v="0.28999999999999998"/>
    <n v="0.2175"/>
    <n v="0.75"/>
    <n v="-0.29000000000000004"/>
    <n v="0.29000000000000004"/>
    <x v="1"/>
    <n v="0"/>
    <n v="3.1429999999999998"/>
    <n v="67"/>
  </r>
  <r>
    <s v="AJEET KUMAR"/>
    <d v="2026-06-22T00:00:00"/>
    <s v="SR-W/O-RTN/26-27/2963"/>
    <s v="NONE"/>
    <s v="B-GOLD-FILING"/>
    <s v="GOLD-FILLING-WK"/>
    <x v="0"/>
    <s v="G-NA-91.70-YG"/>
    <n v="18.41"/>
    <n v="16.881969999999999"/>
    <n v="0.91699999999999993"/>
    <n v="14.8"/>
    <n v="13.5716"/>
    <n v="13.571999999999999"/>
    <n v="0.91699999999999993"/>
    <n v="0"/>
    <n v="0"/>
    <n v="0"/>
    <n v="0"/>
    <n v="0"/>
    <n v="0"/>
    <n v="0"/>
    <n v="0"/>
    <n v="0"/>
    <n v="3.61"/>
    <n v="3.3103699999999998"/>
    <n v="0.91699999999999993"/>
    <n v="-3.6099999999999994"/>
    <n v="3.6099999999999994"/>
    <x v="1"/>
    <n v="0"/>
    <n v="13.571999999999999"/>
    <n v="67"/>
  </r>
  <r>
    <s v="AJEET KUMAR"/>
    <d v="2026-06-22T00:00:00"/>
    <s v="SR-W/O-RTN/26-27/2983"/>
    <s v="NONE"/>
    <s v="B-GOLD-FILING"/>
    <s v="GOLD-FILLING-WK"/>
    <x v="0"/>
    <s v="G-NA-91.70-YG"/>
    <n v="2.2999999999999998"/>
    <n v="2.1091000000000002"/>
    <n v="0.91700000000000015"/>
    <n v="2.2799999999999998"/>
    <n v="2.09076"/>
    <n v="2.0909999999999997"/>
    <n v="0.91700000000000004"/>
    <n v="0.02"/>
    <n v="1.8339999999999999E-2"/>
    <n v="0.91699999999999993"/>
    <n v="0"/>
    <n v="0"/>
    <n v="0"/>
    <n v="0"/>
    <n v="0"/>
    <n v="0"/>
    <n v="0"/>
    <n v="0"/>
    <n v="0"/>
    <n v="-4.0000000000000022E-2"/>
    <n v="1.7347234759768071E-17"/>
    <x v="1"/>
    <n v="0"/>
    <n v="2.0909999999999997"/>
    <n v="67"/>
  </r>
  <r>
    <s v="AJEET KUMAR"/>
    <d v="2026-06-23T00:00:00"/>
    <s v="RTN-8905751"/>
    <s v="SR-42663"/>
    <s v="CAST-FILLING"/>
    <s v="GOLD-FILLING-WK"/>
    <x v="0"/>
    <s v="G-NA-91.70-YG"/>
    <n v="29.91"/>
    <n v="27.42747"/>
    <n v="0.91699999999999993"/>
    <n v="27.85"/>
    <n v="25.538450000000001"/>
    <n v="25.539000000000001"/>
    <n v="0.91700000000000004"/>
    <n v="0"/>
    <n v="0"/>
    <n v="0"/>
    <n v="0"/>
    <n v="0"/>
    <n v="0"/>
    <n v="0"/>
    <n v="0"/>
    <n v="0"/>
    <n v="2.06"/>
    <n v="1.8890199999999999"/>
    <n v="0.91699999999999993"/>
    <n v="-2.0599999999999987"/>
    <n v="2.0599999999999987"/>
    <x v="0"/>
    <n v="25.539000000000001"/>
    <n v="0"/>
    <n v="1"/>
  </r>
  <r>
    <s v="AJEET KUMAR"/>
    <d v="2026-06-23T00:00:00"/>
    <s v="RTN-8905753"/>
    <s v="SR-42621"/>
    <s v="CAST-FILLING"/>
    <s v="GOLD-FILLING-WK"/>
    <x v="1"/>
    <s v="G-NA-75.00-RG"/>
    <n v="91.41"/>
    <n v="68.557500000000005"/>
    <n v="0.75000000000000011"/>
    <n v="84.16"/>
    <n v="63.12"/>
    <n v="63.12"/>
    <n v="0.75"/>
    <n v="0"/>
    <n v="0"/>
    <n v="0"/>
    <n v="0"/>
    <n v="0"/>
    <n v="0"/>
    <n v="0"/>
    <n v="0"/>
    <n v="0"/>
    <n v="7.25"/>
    <n v="5.4375"/>
    <n v="0.75"/>
    <n v="-7.25"/>
    <n v="7.25"/>
    <x v="0"/>
    <n v="63.12"/>
    <n v="0"/>
    <n v="1"/>
  </r>
  <r>
    <s v="AJEET KUMAR"/>
    <d v="2026-06-23T00:00:00"/>
    <s v="RTN-8905788"/>
    <s v="SR-42618"/>
    <s v="CAST-FILLING"/>
    <s v="GOLD-FILLING-WK"/>
    <x v="0"/>
    <s v="G-NA-91.70-YG"/>
    <n v="98.33"/>
    <n v="90.168610000000001"/>
    <n v="0.91700000000000004"/>
    <n v="93.59"/>
    <n v="85.822029999999998"/>
    <n v="85.823000000000008"/>
    <n v="0.91699999999999993"/>
    <n v="0"/>
    <n v="0"/>
    <n v="0"/>
    <n v="0"/>
    <n v="0"/>
    <n v="0"/>
    <n v="0"/>
    <n v="0"/>
    <n v="0"/>
    <n v="4.74"/>
    <n v="4.3465800000000003"/>
    <n v="0.91700000000000004"/>
    <n v="-4.7399999999999949"/>
    <n v="4.7399999999999949"/>
    <x v="0"/>
    <n v="85.823000000000008"/>
    <n v="0"/>
    <n v="1"/>
  </r>
  <r>
    <s v="AJEET KUMAR"/>
    <d v="2026-06-23T00:00:00"/>
    <s v="RTN-8912037"/>
    <s v="SR-42662"/>
    <s v="CAST-FILLING"/>
    <s v="GOLD-FILLING-WK"/>
    <x v="0"/>
    <s v="G-NA-91.70-YG"/>
    <n v="94.68"/>
    <n v="86.821560000000005"/>
    <n v="0.91700000000000004"/>
    <n v="90.21"/>
    <n v="82.722570000000005"/>
    <n v="82.722999999999999"/>
    <n v="0.91700000000000015"/>
    <n v="0"/>
    <n v="0"/>
    <n v="0"/>
    <n v="0"/>
    <n v="0"/>
    <n v="0"/>
    <n v="0"/>
    <n v="0"/>
    <n v="0"/>
    <n v="4.47"/>
    <n v="4.0989899999999997"/>
    <n v="0.91699999999999993"/>
    <n v="-4.4700000000000131"/>
    <n v="4.4700000000000131"/>
    <x v="0"/>
    <n v="82.722999999999999"/>
    <n v="0"/>
    <n v="1"/>
  </r>
  <r>
    <s v="AJEET KUMAR"/>
    <d v="2026-06-23T00:00:00"/>
    <s v="RTN-8912040"/>
    <s v="SR-42661"/>
    <s v="CAST-FILLING"/>
    <s v="GOLD-FILLING-WK"/>
    <x v="0"/>
    <s v="G-NA-91.70-YG"/>
    <n v="52.15"/>
    <n v="47.821550000000002"/>
    <n v="0.91700000000000004"/>
    <n v="48.9"/>
    <n v="44.841299999999997"/>
    <n v="44.841999999999999"/>
    <n v="0.91699999999999993"/>
    <n v="0"/>
    <n v="0"/>
    <n v="0"/>
    <n v="0"/>
    <n v="0"/>
    <n v="0"/>
    <n v="0"/>
    <n v="0"/>
    <n v="0"/>
    <n v="3.25"/>
    <n v="2.9802499999999998"/>
    <n v="0.91699999999999993"/>
    <n v="-3.25"/>
    <n v="3.25"/>
    <x v="0"/>
    <n v="44.841999999999999"/>
    <n v="0"/>
    <n v="1"/>
  </r>
  <r>
    <s v="AJEET KUMAR"/>
    <d v="2026-06-23T00:00:00"/>
    <s v="RTN-8912044"/>
    <s v="SR-42387/1"/>
    <s v="CAST-FILLING"/>
    <s v="GOLD-FILLING-WK"/>
    <x v="0"/>
    <s v="G-NA-91.70-YG"/>
    <n v="205.19"/>
    <n v="188.15923000000001"/>
    <n v="0.91700000000000004"/>
    <n v="191.42"/>
    <n v="175.53214"/>
    <n v="175.53300000000002"/>
    <n v="0.91700000000000004"/>
    <n v="0"/>
    <n v="0"/>
    <n v="0"/>
    <n v="0"/>
    <n v="0"/>
    <n v="0"/>
    <n v="0"/>
    <n v="0"/>
    <n v="0"/>
    <n v="13.77"/>
    <n v="12.627090000000001"/>
    <n v="0.91700000000000004"/>
    <n v="-13.77000000000001"/>
    <n v="13.77000000000001"/>
    <x v="0"/>
    <n v="175.53300000000002"/>
    <n v="0"/>
    <n v="1"/>
  </r>
  <r>
    <s v="AJEET KUMAR"/>
    <d v="2026-06-23T00:00:00"/>
    <s v="RTN-8912046"/>
    <s v="SR-42626"/>
    <s v="CAST-FILLING"/>
    <s v="GOLD-FILLING-WK"/>
    <x v="0"/>
    <s v="G-NA-91.70-YG"/>
    <n v="225.96"/>
    <n v="207.20532"/>
    <n v="0.91699999999999993"/>
    <n v="204.64"/>
    <n v="187.65487999999999"/>
    <n v="187.655"/>
    <n v="0.91700000000000004"/>
    <n v="0"/>
    <n v="0"/>
    <n v="0"/>
    <n v="0"/>
    <n v="0"/>
    <n v="0"/>
    <n v="0"/>
    <n v="0"/>
    <n v="0"/>
    <n v="21.32"/>
    <n v="19.550439999999998"/>
    <n v="0.91699999999999993"/>
    <n v="-21.320000000000022"/>
    <n v="21.320000000000022"/>
    <x v="1"/>
    <n v="185.345"/>
    <n v="2.3100000000000023"/>
    <n v="3"/>
  </r>
  <r>
    <s v="AJEET KUMAR"/>
    <d v="2026-06-23T00:00:00"/>
    <s v="RTN-8913284"/>
    <s v="SR-42688"/>
    <s v="CAST-FILLING"/>
    <s v="GOLD-FILLING-WK"/>
    <x v="1"/>
    <s v="G-NA-75.00-RG"/>
    <n v="123.12"/>
    <n v="92.34"/>
    <n v="0.75"/>
    <n v="114.36"/>
    <n v="85.77"/>
    <n v="85.77"/>
    <n v="0.75"/>
    <n v="0"/>
    <n v="0"/>
    <n v="0"/>
    <n v="0"/>
    <n v="0"/>
    <n v="0"/>
    <n v="0"/>
    <n v="0"/>
    <n v="0"/>
    <n v="8.76"/>
    <n v="6.57"/>
    <n v="0.75"/>
    <n v="-8.7600000000000051"/>
    <n v="8.7600000000000051"/>
    <x v="0"/>
    <n v="85.77"/>
    <n v="0"/>
    <n v="1"/>
  </r>
  <r>
    <s v="AJEET KUMAR"/>
    <d v="2026-06-23T00:00:00"/>
    <s v="RTN-8913302"/>
    <s v="SR-42654"/>
    <s v="CAST-FILLING"/>
    <s v="GOLD-FILLING-WK"/>
    <x v="1"/>
    <s v="G-NA-75.00-RG"/>
    <n v="125.7"/>
    <n v="94.275000000000006"/>
    <n v="0.75"/>
    <n v="105.94"/>
    <n v="79.454999999999998"/>
    <n v="79.454999999999998"/>
    <n v="0.75"/>
    <n v="0"/>
    <n v="0"/>
    <n v="0"/>
    <n v="0"/>
    <n v="0"/>
    <n v="0"/>
    <n v="0"/>
    <n v="0"/>
    <n v="0"/>
    <n v="19.760000000000002"/>
    <n v="14.82"/>
    <n v="0.75"/>
    <n v="-19.760000000000005"/>
    <n v="19.760000000000005"/>
    <x v="1"/>
    <n v="79.260000000000005"/>
    <n v="0.19499999999999318"/>
    <n v="2"/>
  </r>
  <r>
    <s v="AJEET KUMAR"/>
    <d v="2026-06-23T00:00:00"/>
    <s v="RTN-8915872"/>
    <s v="SR-42818"/>
    <s v="CAST-FILLING"/>
    <s v="GOLD-FILLING-WK"/>
    <x v="0"/>
    <s v="G-NA-91.70-YG"/>
    <n v="232.97"/>
    <n v="213.63348999999999"/>
    <n v="0.91700000000000004"/>
    <n v="232.97"/>
    <n v="213.63348999999999"/>
    <n v="213.63400000000001"/>
    <n v="0.91700000000000004"/>
    <n v="0"/>
    <n v="0"/>
    <n v="0"/>
    <n v="0"/>
    <n v="0"/>
    <n v="0"/>
    <n v="0"/>
    <n v="0"/>
    <n v="0"/>
    <n v="0"/>
    <n v="0"/>
    <n v="0"/>
    <n v="0"/>
    <n v="0"/>
    <x v="1"/>
    <n v="178.916"/>
    <n v="34.718000000000018"/>
    <n v="2"/>
  </r>
  <r>
    <s v="AJEET KUMAR"/>
    <d v="2026-06-23T00:00:00"/>
    <s v="SR-RTN/26-27/41824"/>
    <s v="B-301929"/>
    <s v="B-GOLD-FILING"/>
    <s v="GOLD-FILLING-WK"/>
    <x v="0"/>
    <s v="G-NA-91.70-YG"/>
    <n v="24.22"/>
    <n v="22.20974"/>
    <n v="0.91700000000000004"/>
    <n v="22.82"/>
    <n v="20.925940000000001"/>
    <n v="20.926000000000002"/>
    <n v="0.91700000000000004"/>
    <n v="0"/>
    <n v="0"/>
    <n v="0"/>
    <n v="0"/>
    <n v="0"/>
    <n v="0"/>
    <n v="0"/>
    <n v="0"/>
    <n v="0"/>
    <n v="1.4"/>
    <n v="1.2838000000000001"/>
    <n v="0.91700000000000015"/>
    <n v="-1.3999999999999986"/>
    <n v="1.3999999999999986"/>
    <x v="0"/>
    <n v="20.926000000000002"/>
    <n v="0"/>
    <n v="1"/>
  </r>
  <r>
    <s v="AJEET KUMAR"/>
    <d v="2026-06-23T00:00:00"/>
    <s v="SR-RTN/26-27/41825"/>
    <s v="B-302844"/>
    <s v="B-GOLD-FILING"/>
    <s v="GOLD-FILLING-WK"/>
    <x v="0"/>
    <s v="G-NA-91.70-YG"/>
    <n v="20.09"/>
    <n v="18.422529999999998"/>
    <n v="0.91699999999999993"/>
    <n v="18.79"/>
    <n v="17.230429999999998"/>
    <n v="17.231000000000002"/>
    <n v="0.91699999999999993"/>
    <n v="0"/>
    <n v="0"/>
    <n v="0"/>
    <n v="0"/>
    <n v="0"/>
    <n v="0"/>
    <n v="0"/>
    <n v="0"/>
    <n v="0"/>
    <n v="1.3"/>
    <n v="1.1920999999999999"/>
    <n v="0.91699999999999993"/>
    <n v="-1.3000000000000007"/>
    <n v="1.3000000000000007"/>
    <x v="0"/>
    <n v="17.231000000000002"/>
    <n v="0"/>
    <n v="1"/>
  </r>
  <r>
    <s v="AJEET KUMAR"/>
    <d v="2026-06-23T00:00:00"/>
    <s v="SR-RTN/26-27/41827"/>
    <s v="B-300308"/>
    <s v="B-GOLD-FILING"/>
    <s v="GOLD-FILLING-WK"/>
    <x v="0"/>
    <s v="G-NA-91.70-YG"/>
    <n v="14.2"/>
    <n v="13.0214"/>
    <n v="0.91700000000000004"/>
    <n v="13.29"/>
    <n v="12.18693"/>
    <n v="12.186999999999999"/>
    <n v="0.91700000000000004"/>
    <n v="0"/>
    <n v="0"/>
    <n v="0"/>
    <n v="0"/>
    <n v="0"/>
    <n v="0"/>
    <n v="0"/>
    <n v="0"/>
    <n v="0"/>
    <n v="0.91"/>
    <n v="0.83447000000000005"/>
    <n v="0.91700000000000004"/>
    <n v="-0.91000000000000014"/>
    <n v="0.91000000000000014"/>
    <x v="0"/>
    <n v="12.186999999999999"/>
    <n v="0"/>
    <n v="1"/>
  </r>
  <r>
    <s v="AJEET KUMAR"/>
    <d v="2026-06-23T00:00:00"/>
    <s v="SR-RTN/26-27/41828"/>
    <s v="B-300769"/>
    <s v="B-GOLD-FILING"/>
    <s v="GOLD-FILLING-WK"/>
    <x v="0"/>
    <s v="G-NA-91.70-YG"/>
    <n v="48.15"/>
    <n v="44.153550000000003"/>
    <n v="0.91700000000000004"/>
    <n v="44.22"/>
    <n v="40.54974"/>
    <n v="40.549999999999997"/>
    <n v="0.91700000000000004"/>
    <n v="0"/>
    <n v="0"/>
    <n v="0"/>
    <n v="0"/>
    <n v="0"/>
    <n v="0"/>
    <n v="0"/>
    <n v="0"/>
    <n v="0"/>
    <n v="3.93"/>
    <n v="3.6038100000000002"/>
    <n v="0.91700000000000004"/>
    <n v="-3.93"/>
    <n v="3.93"/>
    <x v="0"/>
    <n v="40.549999999999997"/>
    <n v="0"/>
    <n v="1"/>
  </r>
  <r>
    <s v="AJEET KUMAR"/>
    <d v="2026-06-23T00:00:00"/>
    <s v="SR-RTN/26-27/41830"/>
    <s v="B-302862"/>
    <s v="B-GOLD-FILING"/>
    <s v="GOLD-FILLING-WK"/>
    <x v="0"/>
    <s v="G-NA-91.70-YG"/>
    <n v="3.99"/>
    <n v="3.65883"/>
    <n v="0.91699999999999993"/>
    <n v="3.97"/>
    <n v="3.6404899999999998"/>
    <n v="3.641"/>
    <n v="0.91699999999999993"/>
    <n v="0"/>
    <n v="0"/>
    <n v="0"/>
    <n v="0"/>
    <n v="0"/>
    <n v="0"/>
    <n v="0"/>
    <n v="0"/>
    <n v="0"/>
    <n v="0.02"/>
    <n v="1.8339999999999999E-2"/>
    <n v="0.91699999999999993"/>
    <n v="-2.0000000000000018E-2"/>
    <n v="2.0000000000000018E-2"/>
    <x v="1"/>
    <n v="3.0269999999999997"/>
    <n v="0.61400000000000032"/>
    <n v="3"/>
  </r>
  <r>
    <s v="AJEET KUMAR"/>
    <d v="2026-06-23T00:00:00"/>
    <s v="SR-RTN/26-27/41887"/>
    <s v="B-302557"/>
    <s v="B-GOLD-FILING"/>
    <s v="GOLD-FILLING-WK"/>
    <x v="0"/>
    <s v="G-NA-91.70-YG"/>
    <n v="53.63"/>
    <n v="49.178710000000002"/>
    <n v="0.91700000000000004"/>
    <n v="50.36"/>
    <n v="46.180120000000002"/>
    <n v="46.180999999999997"/>
    <n v="0.91700000000000004"/>
    <n v="0"/>
    <n v="0"/>
    <n v="0"/>
    <n v="0"/>
    <n v="0"/>
    <n v="0"/>
    <n v="0"/>
    <n v="0"/>
    <n v="0"/>
    <n v="3.27"/>
    <n v="2.9985900000000001"/>
    <n v="0.91700000000000004"/>
    <n v="-3.2700000000000031"/>
    <n v="3.2700000000000031"/>
    <x v="0"/>
    <n v="46.180999999999997"/>
    <n v="0"/>
    <n v="1"/>
  </r>
  <r>
    <s v="AJEET KUMAR"/>
    <d v="2026-06-23T00:00:00"/>
    <s v="SR-RTN/26-27/41892"/>
    <s v="B-303066"/>
    <s v="B-GOLD-FILING"/>
    <s v="GOLD-FILLING-WK"/>
    <x v="0"/>
    <s v="G-NA-91.70-YG"/>
    <n v="22.39"/>
    <n v="20.53163"/>
    <n v="0.91699999999999993"/>
    <n v="18.89"/>
    <n v="17.322130000000001"/>
    <n v="17.323"/>
    <n v="0.91700000000000004"/>
    <n v="0"/>
    <n v="0"/>
    <n v="0"/>
    <n v="0"/>
    <n v="0"/>
    <n v="0"/>
    <n v="0"/>
    <n v="0"/>
    <n v="0"/>
    <n v="3.5"/>
    <n v="3.2094999999999998"/>
    <n v="0.91699999999999993"/>
    <n v="-3.5"/>
    <n v="3.5"/>
    <x v="0"/>
    <n v="17.323"/>
    <n v="0"/>
    <n v="1"/>
  </r>
  <r>
    <s v="AJEET KUMAR"/>
    <d v="2026-06-23T00:00:00"/>
    <s v="SR-RTN/26-27/41915"/>
    <s v="B-295816"/>
    <s v="B-GOLD-FILING"/>
    <s v="GOLD-FILLING-WK"/>
    <x v="0"/>
    <s v="G-NA-91.70-YG"/>
    <n v="3.58"/>
    <n v="3.2828599999999999"/>
    <n v="0.91699999999999993"/>
    <n v="3.34"/>
    <n v="3.0627800000000001"/>
    <n v="3.0629999999999997"/>
    <n v="0.91700000000000004"/>
    <n v="0"/>
    <n v="0"/>
    <n v="0"/>
    <n v="0"/>
    <n v="0"/>
    <n v="0"/>
    <n v="0"/>
    <n v="0"/>
    <n v="0"/>
    <n v="0.24"/>
    <n v="0.22008"/>
    <n v="0.91700000000000004"/>
    <n v="-0.24000000000000021"/>
    <n v="0.24000000000000021"/>
    <x v="0"/>
    <n v="3.0629999999999997"/>
    <n v="0"/>
    <n v="2"/>
  </r>
  <r>
    <s v="AJEET KUMAR"/>
    <d v="2026-06-23T00:00:00"/>
    <s v="SR-RTN/26-27/41915"/>
    <s v="B-295818"/>
    <s v="B-GOLD-FILING"/>
    <s v="GOLD-FILLING-WK"/>
    <x v="0"/>
    <s v="G-NA-91.70-YG"/>
    <n v="8.5399999999999991"/>
    <n v="7.8311799999999998"/>
    <n v="0.91700000000000004"/>
    <n v="7.34"/>
    <n v="6.7307800000000002"/>
    <n v="6.7310000000000008"/>
    <n v="0.91700000000000004"/>
    <n v="0"/>
    <n v="0"/>
    <n v="0"/>
    <n v="0"/>
    <n v="0"/>
    <n v="0"/>
    <n v="0"/>
    <n v="0"/>
    <n v="0"/>
    <n v="1.2"/>
    <n v="1.1004"/>
    <n v="0.91700000000000004"/>
    <n v="-1.1999999999999993"/>
    <n v="1.1999999999999993"/>
    <x v="0"/>
    <n v="6.7310000000000008"/>
    <n v="0"/>
    <n v="2"/>
  </r>
  <r>
    <s v="AJEET KUMAR"/>
    <d v="2026-06-23T00:00:00"/>
    <s v="SR-RTN/26-27/41915"/>
    <s v="B-301973"/>
    <s v="B-GOLD-FILING"/>
    <s v="GOLD-FILLING-WK"/>
    <x v="0"/>
    <s v="G-NA-91.70-YG"/>
    <n v="44.1"/>
    <n v="40.439700000000002"/>
    <n v="0.91700000000000004"/>
    <n v="43.05"/>
    <n v="39.476849999999999"/>
    <n v="39.476999999999997"/>
    <n v="0.91700000000000004"/>
    <n v="0"/>
    <n v="0"/>
    <n v="0"/>
    <n v="0"/>
    <n v="0"/>
    <n v="0"/>
    <n v="0"/>
    <n v="0"/>
    <n v="0"/>
    <n v="1.05"/>
    <n v="0.96284999999999998"/>
    <n v="0.91699999999999993"/>
    <n v="-1.0500000000000043"/>
    <n v="1.0500000000000043"/>
    <x v="0"/>
    <n v="39.476999999999997"/>
    <n v="0"/>
    <n v="1"/>
  </r>
  <r>
    <s v="AJEET KUMAR"/>
    <d v="2026-06-23T00:00:00"/>
    <s v="SR-RTN/26-27/41915"/>
    <s v="B-302841"/>
    <s v="B-GOLD-FILING"/>
    <s v="GOLD-FILLING-WK"/>
    <x v="0"/>
    <s v="G-NA-91.70-YG"/>
    <n v="24.06"/>
    <n v="22.063020000000002"/>
    <n v="0.91700000000000015"/>
    <n v="22.56"/>
    <n v="20.687519999999999"/>
    <n v="20.688000000000002"/>
    <n v="0.91700000000000004"/>
    <n v="0"/>
    <n v="0"/>
    <n v="0"/>
    <n v="0"/>
    <n v="0"/>
    <n v="0"/>
    <n v="0"/>
    <n v="0"/>
    <n v="0"/>
    <n v="1.5"/>
    <n v="1.3754999999999999"/>
    <n v="0.91699999999999993"/>
    <n v="-1.5"/>
    <n v="1.5"/>
    <x v="0"/>
    <n v="20.688000000000002"/>
    <n v="0"/>
    <n v="1"/>
  </r>
  <r>
    <s v="AJEET KUMAR"/>
    <d v="2026-06-23T00:00:00"/>
    <s v="SR-RTN/26-27/41915"/>
    <s v="B-302847"/>
    <s v="B-GOLD-FILING"/>
    <s v="GOLD-FILLING-WK"/>
    <x v="0"/>
    <s v="G-NA-91.70-YG"/>
    <n v="22.06"/>
    <n v="20.229019999999998"/>
    <n v="0.91700000000000004"/>
    <n v="21.22"/>
    <n v="19.458739999999999"/>
    <n v="19.459"/>
    <n v="0.91700000000000004"/>
    <n v="0"/>
    <n v="0"/>
    <n v="0"/>
    <n v="0"/>
    <n v="0"/>
    <n v="0"/>
    <n v="0"/>
    <n v="0"/>
    <n v="0"/>
    <n v="0.84"/>
    <n v="0.77027999999999996"/>
    <n v="0.91700000000000004"/>
    <n v="-0.83999999999999986"/>
    <n v="0.83999999999999986"/>
    <x v="0"/>
    <n v="19.459"/>
    <n v="0"/>
    <n v="1"/>
  </r>
  <r>
    <s v="AJEET KUMAR"/>
    <d v="2026-06-23T00:00:00"/>
    <s v="SR-RTN/26-27/41956"/>
    <s v="B-300749"/>
    <s v="B-GOLD-FILING"/>
    <s v="GOLD-FILLING-WK"/>
    <x v="0"/>
    <s v="G-NA-91.70-YG"/>
    <n v="96.78"/>
    <n v="88.747259999999997"/>
    <n v="0.91699999999999993"/>
    <n v="92.55"/>
    <n v="84.868350000000007"/>
    <n v="84.869"/>
    <n v="0.91700000000000015"/>
    <n v="0"/>
    <n v="0"/>
    <n v="0"/>
    <n v="0"/>
    <n v="0"/>
    <n v="0"/>
    <n v="0"/>
    <n v="0"/>
    <n v="0"/>
    <n v="4.2300000000000004"/>
    <n v="3.8789099999999999"/>
    <n v="0.91699999999999993"/>
    <n v="-4.230000000000004"/>
    <n v="4.230000000000004"/>
    <x v="0"/>
    <n v="84.869"/>
    <n v="0"/>
    <n v="1"/>
  </r>
  <r>
    <s v="AJEET KUMAR"/>
    <d v="2026-06-23T00:00:00"/>
    <s v="SR-RTN/26-27/41958"/>
    <s v="B-302526"/>
    <s v="B-GOLD-FILING"/>
    <s v="GOLD-FILLING-WK"/>
    <x v="0"/>
    <s v="G-NA-91.70-YG"/>
    <n v="50.15"/>
    <n v="45.987549999999999"/>
    <n v="0.91700000000000004"/>
    <n v="48.49"/>
    <n v="44.465330000000002"/>
    <n v="44.466000000000001"/>
    <n v="0.91700000000000004"/>
    <n v="0"/>
    <n v="0"/>
    <n v="0"/>
    <n v="0"/>
    <n v="0"/>
    <n v="0"/>
    <n v="0"/>
    <n v="0"/>
    <n v="0"/>
    <n v="1.66"/>
    <n v="1.5222199999999999"/>
    <n v="0.91700000000000004"/>
    <n v="-1.6599999999999966"/>
    <n v="1.6599999999999966"/>
    <x v="0"/>
    <n v="44.466000000000001"/>
    <n v="0"/>
    <n v="1"/>
  </r>
  <r>
    <s v="AJEET KUMAR"/>
    <d v="2026-06-23T00:00:00"/>
    <s v="SR-RTN/26-27/41990"/>
    <s v="B-295814"/>
    <s v="B-GOLD-FILING"/>
    <s v="GOLD-FILLING-WK"/>
    <x v="0"/>
    <s v="G-NA-91.70-YG"/>
    <n v="3.04"/>
    <n v="2.7876799999999999"/>
    <n v="0.91699999999999993"/>
    <n v="2.6"/>
    <n v="2.3841999999999999"/>
    <n v="2.3849999999999998"/>
    <n v="0.91699999999999993"/>
    <n v="0"/>
    <n v="0"/>
    <n v="0"/>
    <n v="0"/>
    <n v="0"/>
    <n v="0"/>
    <n v="0"/>
    <n v="0"/>
    <n v="0"/>
    <n v="0.44"/>
    <n v="0.40348000000000001"/>
    <n v="0.91700000000000004"/>
    <n v="-0.43999999999999995"/>
    <n v="0.43999999999999995"/>
    <x v="0"/>
    <n v="2.3849999999999998"/>
    <n v="0"/>
    <n v="2"/>
  </r>
  <r>
    <s v="AJEET KUMAR"/>
    <d v="2026-06-23T00:00:00"/>
    <s v="SR-RTN/26-27/41990"/>
    <s v="B-295817"/>
    <s v="B-GOLD-FILING"/>
    <s v="GOLD-FILLING-WK"/>
    <x v="0"/>
    <s v="G-NA-91.70-YG"/>
    <n v="5.17"/>
    <n v="4.7408900000000003"/>
    <n v="0.91700000000000004"/>
    <n v="4.46"/>
    <n v="4.0898199999999996"/>
    <n v="4.0900000000000007"/>
    <n v="0.91699999999999993"/>
    <n v="0"/>
    <n v="0"/>
    <n v="0"/>
    <n v="0"/>
    <n v="0"/>
    <n v="0"/>
    <n v="0"/>
    <n v="0"/>
    <n v="0"/>
    <n v="0.71"/>
    <n v="0.65107000000000004"/>
    <n v="0.91700000000000015"/>
    <n v="-0.71"/>
    <n v="0.71"/>
    <x v="0"/>
    <n v="4.0900000000000007"/>
    <n v="0"/>
    <n v="2"/>
  </r>
  <r>
    <s v="AJEET KUMAR"/>
    <d v="2026-06-23T00:00:00"/>
    <s v="SR-RTN/26-27/41990"/>
    <s v="B-299726/1"/>
    <s v="B-GOLD-FILING"/>
    <s v="GOLD-FILLING-WK"/>
    <x v="0"/>
    <s v="G-NA-91.70-YG"/>
    <n v="63.01"/>
    <n v="57.780169999999998"/>
    <n v="0.91700000000000004"/>
    <n v="58.89"/>
    <n v="54.002130000000001"/>
    <n v="54.003"/>
    <n v="0.91700000000000004"/>
    <n v="0"/>
    <n v="0"/>
    <n v="0"/>
    <n v="0"/>
    <n v="0"/>
    <n v="0"/>
    <n v="0"/>
    <n v="0"/>
    <n v="0"/>
    <n v="4.12"/>
    <n v="3.7780399999999998"/>
    <n v="0.91699999999999993"/>
    <n v="-4.1199999999999974"/>
    <n v="4.1199999999999974"/>
    <x v="0"/>
    <n v="54.003"/>
    <n v="0"/>
    <n v="1"/>
  </r>
  <r>
    <s v="AJEET KUMAR"/>
    <d v="2026-06-23T00:00:00"/>
    <s v="SR-RTN/26-27/41990"/>
    <s v="B-300764"/>
    <s v="B-GOLD-FILING"/>
    <s v="GOLD-FILLING-WK"/>
    <x v="0"/>
    <s v="G-NA-91.70-YG"/>
    <n v="108.86"/>
    <n v="99.824619999999996"/>
    <n v="0.91699999999999993"/>
    <n v="98.66"/>
    <n v="90.471220000000002"/>
    <n v="90.472000000000008"/>
    <n v="0.91700000000000004"/>
    <n v="0"/>
    <n v="0"/>
    <n v="0"/>
    <n v="0"/>
    <n v="0"/>
    <n v="0"/>
    <n v="0"/>
    <n v="0"/>
    <n v="0"/>
    <n v="10.199999999999999"/>
    <n v="9.3534000000000006"/>
    <n v="0.91700000000000015"/>
    <n v="-10.200000000000003"/>
    <n v="10.200000000000003"/>
    <x v="0"/>
    <n v="90.472000000000008"/>
    <n v="0"/>
    <n v="1"/>
  </r>
  <r>
    <s v="AJEET KUMAR"/>
    <d v="2026-06-23T00:00:00"/>
    <s v="SR-RTN/26-27/41999"/>
    <s v="B-295821"/>
    <s v="B-GOLD-FILING"/>
    <s v="GOLD-FILLING-WK"/>
    <x v="0"/>
    <s v="G-NA-91.70-YG"/>
    <n v="3.52"/>
    <n v="3.22784"/>
    <n v="0.91700000000000004"/>
    <n v="2.83"/>
    <n v="2.59511"/>
    <n v="2.5960000000000001"/>
    <n v="0.91700000000000004"/>
    <n v="0"/>
    <n v="0"/>
    <n v="0"/>
    <n v="0"/>
    <n v="0"/>
    <n v="0"/>
    <n v="0"/>
    <n v="0"/>
    <n v="0"/>
    <n v="0.69"/>
    <n v="0.63273000000000001"/>
    <n v="0.91700000000000004"/>
    <n v="-0.69"/>
    <n v="0.69"/>
    <x v="0"/>
    <n v="2.5960000000000001"/>
    <n v="0"/>
    <n v="2"/>
  </r>
  <r>
    <s v="AJEET KUMAR"/>
    <d v="2026-06-23T00:00:00"/>
    <s v="SR-RTN/26-27/41999"/>
    <s v="B-302853"/>
    <s v="B-GOLD-FILING"/>
    <s v="GOLD-FILLING-WK"/>
    <x v="1"/>
    <s v="G-NA-75.00-RG"/>
    <n v="50.08"/>
    <n v="37.56"/>
    <n v="0.75000000000000011"/>
    <n v="46.8"/>
    <n v="35.1"/>
    <n v="35.1"/>
    <n v="0.75000000000000011"/>
    <n v="0"/>
    <n v="0"/>
    <n v="0"/>
    <n v="0"/>
    <n v="0"/>
    <n v="0"/>
    <n v="0"/>
    <n v="0"/>
    <n v="0"/>
    <n v="3.28"/>
    <n v="2.46"/>
    <n v="0.75"/>
    <n v="-3.2800000000000011"/>
    <n v="3.2800000000000011"/>
    <x v="0"/>
    <n v="35.1"/>
    <n v="0"/>
    <n v="1"/>
  </r>
  <r>
    <s v="AJEET KUMAR"/>
    <d v="2026-06-23T00:00:00"/>
    <s v="SR-RTN/26-27/42005"/>
    <s v="B-303424"/>
    <s v="B-GOLD-FILING"/>
    <s v="GOLD-FILLING-WK"/>
    <x v="1"/>
    <s v="G-NA-75.00-YG"/>
    <n v="1.1399999999999999"/>
    <n v="0.85499999999999998"/>
    <n v="0.75"/>
    <n v="1.02"/>
    <n v="0.76500000000000001"/>
    <n v="0.76500000000000001"/>
    <n v="0.75"/>
    <n v="0"/>
    <n v="0"/>
    <n v="0"/>
    <n v="0"/>
    <n v="0"/>
    <n v="0"/>
    <n v="0"/>
    <n v="0"/>
    <n v="0"/>
    <n v="0.12"/>
    <n v="0.09"/>
    <n v="0.75"/>
    <n v="-0.11999999999999988"/>
    <n v="0.11999999999999988"/>
    <x v="0"/>
    <n v="0.76500000000000001"/>
    <n v="0"/>
    <n v="1"/>
  </r>
  <r>
    <s v="AJEET KUMAR"/>
    <d v="2026-06-23T00:00:00"/>
    <s v="SR-RTN/26-27/42005"/>
    <s v="B-303453"/>
    <s v="B-GOLD-FILING"/>
    <s v="GOLD-FILLING-WK"/>
    <x v="0"/>
    <s v="G-NA-91.70-YG"/>
    <n v="9.4730000000000008"/>
    <n v="8.6867409999999996"/>
    <n v="0.91699999999999993"/>
    <n v="8.7430000000000003"/>
    <n v="8.0173310000000004"/>
    <n v="8.0179999999999989"/>
    <n v="0.91700000000000004"/>
    <n v="0"/>
    <n v="0"/>
    <n v="0"/>
    <n v="0"/>
    <n v="0"/>
    <n v="0"/>
    <n v="0"/>
    <n v="0"/>
    <n v="0"/>
    <n v="0.73"/>
    <n v="0.66940999999999995"/>
    <n v="0.91699999999999993"/>
    <n v="-0.73000000000000043"/>
    <n v="0.73000000000000043"/>
    <x v="0"/>
    <n v="8.0179999999999989"/>
    <n v="0"/>
    <n v="1"/>
  </r>
  <r>
    <s v="AJEET KUMAR"/>
    <d v="2026-06-23T00:00:00"/>
    <s v="SR-RTN/26-27/42039"/>
    <s v="B-301934"/>
    <s v="B-GOLD-FILING"/>
    <s v="GOLD-FILLING-WK"/>
    <x v="0"/>
    <s v="G-NA-91.70-YG"/>
    <n v="24.46"/>
    <n v="22.429819999999999"/>
    <n v="0.91699999999999993"/>
    <n v="21.85"/>
    <n v="20.036449999999999"/>
    <n v="20.037000000000003"/>
    <n v="0.91699999999999993"/>
    <n v="0"/>
    <n v="0"/>
    <n v="0"/>
    <n v="0"/>
    <n v="0"/>
    <n v="0"/>
    <n v="0"/>
    <n v="0"/>
    <n v="0"/>
    <n v="2.61"/>
    <n v="2.39337"/>
    <n v="0.91700000000000004"/>
    <n v="-2.6099999999999994"/>
    <n v="2.6099999999999994"/>
    <x v="0"/>
    <n v="20.037000000000003"/>
    <n v="0"/>
    <n v="1"/>
  </r>
  <r>
    <s v="AJEET KUMAR"/>
    <d v="2026-06-23T00:00:00"/>
    <s v="SR-RTN/26-27/42039"/>
    <s v="B-302534"/>
    <s v="B-GOLD-FILING"/>
    <s v="GOLD-FILLING-WK"/>
    <x v="1"/>
    <s v="G-NA-75.00-RG"/>
    <n v="51.98"/>
    <n v="38.984999999999999"/>
    <n v="0.75"/>
    <n v="48.06"/>
    <n v="36.045000000000002"/>
    <n v="36.045000000000002"/>
    <n v="0.75"/>
    <n v="0"/>
    <n v="0"/>
    <n v="0"/>
    <n v="0"/>
    <n v="0"/>
    <n v="0"/>
    <n v="0"/>
    <n v="0"/>
    <n v="0"/>
    <n v="3.92"/>
    <n v="2.94"/>
    <n v="0.75"/>
    <n v="-3.9199999999999946"/>
    <n v="3.9199999999999946"/>
    <x v="0"/>
    <n v="36.045000000000002"/>
    <n v="0"/>
    <n v="1"/>
  </r>
  <r>
    <s v="AJEET KUMAR"/>
    <d v="2026-06-23T00:00:00"/>
    <s v="SR-RTN/26-27/42044"/>
    <s v="B-300762"/>
    <s v="B-GOLD-FILING"/>
    <s v="GOLD-FILLING-WK"/>
    <x v="0"/>
    <s v="G-NA-91.70-YG"/>
    <n v="59.72"/>
    <n v="54.763240000000003"/>
    <n v="0.91700000000000004"/>
    <n v="55.85"/>
    <n v="51.214449999999999"/>
    <n v="51.214999999999996"/>
    <n v="0.91699999999999993"/>
    <n v="0"/>
    <n v="0"/>
    <n v="0"/>
    <n v="0"/>
    <n v="0"/>
    <n v="0"/>
    <n v="0"/>
    <n v="0"/>
    <n v="0"/>
    <n v="3.87"/>
    <n v="3.5487899999999999"/>
    <n v="0.91699999999999993"/>
    <n v="-3.8699999999999974"/>
    <n v="3.8699999999999974"/>
    <x v="0"/>
    <n v="51.214999999999996"/>
    <n v="0"/>
    <n v="1"/>
  </r>
  <r>
    <s v="AJEET KUMAR"/>
    <d v="2026-06-23T00:00:00"/>
    <s v="SR-RTN/26-27/42044"/>
    <s v="B-301941"/>
    <s v="B-GOLD-FILING"/>
    <s v="GOLD-FILLING-WK"/>
    <x v="1"/>
    <s v="G-NA-75.00-YG"/>
    <n v="27.03"/>
    <n v="20.272500000000001"/>
    <n v="0.75"/>
    <n v="25.02"/>
    <n v="18.765000000000001"/>
    <n v="18.765000000000001"/>
    <n v="0.75"/>
    <n v="0"/>
    <n v="0"/>
    <n v="0"/>
    <n v="0"/>
    <n v="0"/>
    <n v="0"/>
    <n v="0"/>
    <n v="0"/>
    <n v="0"/>
    <n v="2.0099999999999998"/>
    <n v="1.5075000000000001"/>
    <n v="0.75000000000000011"/>
    <n v="-2.0100000000000016"/>
    <n v="2.0100000000000016"/>
    <x v="0"/>
    <n v="18.765000000000001"/>
    <n v="0"/>
    <n v="1"/>
  </r>
  <r>
    <s v="AJEET KUMAR"/>
    <d v="2026-06-23T00:00:00"/>
    <s v="SR-RTN/26-27/42101"/>
    <s v="B-302543"/>
    <s v="B-GOLD-FILING"/>
    <s v="GOLD-FILLING-WK"/>
    <x v="1"/>
    <s v="G-NA-75.00-RG"/>
    <n v="48.27"/>
    <n v="36.202500000000001"/>
    <n v="0.75"/>
    <n v="46.31"/>
    <n v="34.732500000000002"/>
    <n v="34.732999999999997"/>
    <n v="0.75"/>
    <n v="0"/>
    <n v="0"/>
    <n v="0"/>
    <n v="0"/>
    <n v="0"/>
    <n v="0"/>
    <n v="0"/>
    <n v="0"/>
    <n v="0"/>
    <n v="1.96"/>
    <n v="1.47"/>
    <n v="0.75"/>
    <n v="-1.9600000000000009"/>
    <n v="1.9600000000000009"/>
    <x v="0"/>
    <n v="34.732999999999997"/>
    <n v="0"/>
    <n v="1"/>
  </r>
  <r>
    <s v="AJEET KUMAR"/>
    <d v="2026-06-23T00:00:00"/>
    <s v="SR-RTN/26-27/42102"/>
    <s v="B-301867"/>
    <s v="B-GOLD-FILING"/>
    <s v="GOLD-FILLING-WK"/>
    <x v="1"/>
    <s v="G-NA-75.00-YG"/>
    <n v="10.4"/>
    <n v="7.8"/>
    <n v="0.75"/>
    <n v="9.6199999999999992"/>
    <n v="7.2149999999999999"/>
    <n v="7.2149999999999999"/>
    <n v="0.75"/>
    <n v="0"/>
    <n v="0"/>
    <n v="0"/>
    <n v="0"/>
    <n v="0"/>
    <n v="0"/>
    <n v="0"/>
    <n v="0"/>
    <n v="0"/>
    <n v="0.78"/>
    <n v="0.58499999999999996"/>
    <n v="0.74999999999999989"/>
    <n v="-0.78000000000000114"/>
    <n v="0.78000000000000114"/>
    <x v="0"/>
    <n v="7.2149999999999999"/>
    <n v="0"/>
    <n v="1"/>
  </r>
  <r>
    <s v="AJEET KUMAR"/>
    <d v="2026-06-23T00:00:00"/>
    <s v="SR-RTN/26-27/42103"/>
    <s v="B-299702"/>
    <s v="B-GOLD-FILING"/>
    <s v="GOLD-FILLING-WK"/>
    <x v="0"/>
    <s v="G-NA-91.70-YG"/>
    <n v="84.16"/>
    <n v="77.174719999999994"/>
    <n v="0.91699999999999993"/>
    <n v="77.41"/>
    <n v="70.984970000000004"/>
    <n v="70.984999999999999"/>
    <n v="0.91700000000000015"/>
    <n v="0"/>
    <n v="0"/>
    <n v="0"/>
    <n v="0"/>
    <n v="0"/>
    <n v="0"/>
    <n v="0"/>
    <n v="0"/>
    <n v="0"/>
    <n v="6.75"/>
    <n v="6.1897500000000001"/>
    <n v="0.91700000000000004"/>
    <n v="-6.75"/>
    <n v="6.75"/>
    <x v="0"/>
    <n v="70.984999999999999"/>
    <n v="0"/>
    <n v="1"/>
  </r>
  <r>
    <s v="AJEET KUMAR"/>
    <d v="2026-06-23T00:00:00"/>
    <s v="SR-RTN/26-27/42104"/>
    <s v="B-300911"/>
    <s v="B-GOLD-FILING"/>
    <s v="GOLD-FILLING-WK"/>
    <x v="0"/>
    <s v="G-NA-91.70-YG"/>
    <n v="74.67"/>
    <n v="68.472390000000004"/>
    <n v="0.91700000000000004"/>
    <n v="71.45"/>
    <n v="65.519649999999999"/>
    <n v="65.52000000000001"/>
    <n v="0.91699999999999993"/>
    <n v="0"/>
    <n v="0"/>
    <n v="0"/>
    <n v="0"/>
    <n v="0"/>
    <n v="0"/>
    <n v="0"/>
    <n v="0"/>
    <n v="0"/>
    <n v="3.22"/>
    <n v="2.9527399999999999"/>
    <n v="0.91699999999999993"/>
    <n v="-3.2199999999999989"/>
    <n v="3.2199999999999989"/>
    <x v="0"/>
    <n v="65.52000000000001"/>
    <n v="0"/>
    <n v="1"/>
  </r>
  <r>
    <s v="AJEET KUMAR"/>
    <d v="2026-06-23T00:00:00"/>
    <s v="SR-RTN/26-27/42107"/>
    <s v="B-302524"/>
    <s v="B-GOLD-FILING"/>
    <s v="GOLD-FILLING-WK"/>
    <x v="0"/>
    <s v="G-NA-91.70-YG"/>
    <n v="26.57"/>
    <n v="24.36469"/>
    <n v="0.91699999999999993"/>
    <n v="25.3"/>
    <n v="23.200099999999999"/>
    <n v="23.201000000000001"/>
    <n v="0.91699999999999993"/>
    <n v="0"/>
    <n v="0"/>
    <n v="0"/>
    <n v="0"/>
    <n v="0"/>
    <n v="0"/>
    <n v="0"/>
    <n v="0"/>
    <n v="0"/>
    <n v="1.27"/>
    <n v="1.16459"/>
    <n v="0.91700000000000004"/>
    <n v="-1.2699999999999996"/>
    <n v="1.2699999999999996"/>
    <x v="0"/>
    <n v="23.201000000000001"/>
    <n v="0"/>
    <n v="1"/>
  </r>
  <r>
    <s v="AJEET KUMAR"/>
    <d v="2026-06-23T00:00:00"/>
    <s v="SR-RTN/26-27/42159"/>
    <s v="B-302567"/>
    <s v="B-GOLD-FILING"/>
    <s v="GOLD-FILLING-WK"/>
    <x v="1"/>
    <s v="G-NA-75.00-YG"/>
    <n v="21.61"/>
    <n v="16.2075"/>
    <n v="0.75"/>
    <n v="20.22"/>
    <n v="15.164999999999999"/>
    <n v="15.164999999999999"/>
    <n v="0.75"/>
    <n v="0"/>
    <n v="0"/>
    <n v="0"/>
    <n v="0"/>
    <n v="0"/>
    <n v="0"/>
    <n v="0"/>
    <n v="0"/>
    <n v="0"/>
    <n v="1.39"/>
    <n v="1.0425"/>
    <n v="0.75"/>
    <n v="-1.3900000000000006"/>
    <n v="1.3900000000000006"/>
    <x v="0"/>
    <n v="15.164999999999999"/>
    <n v="0"/>
    <n v="1"/>
  </r>
  <r>
    <s v="AJEET KUMAR"/>
    <d v="2026-06-23T00:00:00"/>
    <s v="SR-RTN/26-27/42162"/>
    <s v="B-301772"/>
    <s v="B-GOLD-FILING"/>
    <s v="GOLD-FILLING-WK"/>
    <x v="0"/>
    <s v="G-NA-91.70-YG"/>
    <n v="30.04"/>
    <n v="27.546679999999999"/>
    <n v="0.91699999999999993"/>
    <n v="27.95"/>
    <n v="25.63015"/>
    <n v="25.631"/>
    <n v="0.91700000000000004"/>
    <n v="0"/>
    <n v="0"/>
    <n v="0"/>
    <n v="0"/>
    <n v="0"/>
    <n v="0"/>
    <n v="0"/>
    <n v="0"/>
    <n v="0"/>
    <n v="2.09"/>
    <n v="1.9165300000000001"/>
    <n v="0.91700000000000015"/>
    <n v="-2.09"/>
    <n v="2.09"/>
    <x v="0"/>
    <n v="25.631"/>
    <n v="0"/>
    <n v="1"/>
  </r>
  <r>
    <s v="AJEET KUMAR"/>
    <d v="2026-06-23T00:00:00"/>
    <s v="SR-RTN/26-27/42164"/>
    <s v="B-303101"/>
    <s v="B-GOLD-FILING"/>
    <s v="GOLD-FILLING-WK"/>
    <x v="0"/>
    <s v="G-NA-91.70-YG"/>
    <n v="8.74"/>
    <n v="8.0145800000000005"/>
    <n v="0.91700000000000004"/>
    <n v="8.43"/>
    <n v="7.7303100000000002"/>
    <n v="7.7310000000000008"/>
    <n v="0.91700000000000004"/>
    <n v="0"/>
    <n v="0"/>
    <n v="0"/>
    <n v="0"/>
    <n v="0"/>
    <n v="0"/>
    <n v="0"/>
    <n v="0"/>
    <n v="0"/>
    <n v="0.31"/>
    <n v="0.28427000000000002"/>
    <n v="0.91700000000000004"/>
    <n v="-0.3100000000000005"/>
    <n v="0.3100000000000005"/>
    <x v="0"/>
    <n v="7.7310000000000008"/>
    <n v="0"/>
    <n v="2"/>
  </r>
  <r>
    <s v="AJEET KUMAR"/>
    <d v="2026-06-23T00:00:00"/>
    <s v="SR-RTN/26-27/42167"/>
    <s v="B-301843"/>
    <s v="B-GOLD-FILING"/>
    <s v="GOLD-FILLING-WK"/>
    <x v="1"/>
    <s v="G-NA-75.00-YG"/>
    <n v="11.07"/>
    <n v="8.3025000000000002"/>
    <n v="0.75"/>
    <n v="10.31"/>
    <n v="7.7324999999999999"/>
    <n v="7.7330000000000005"/>
    <n v="0.75"/>
    <n v="0"/>
    <n v="0"/>
    <n v="0"/>
    <n v="0"/>
    <n v="0"/>
    <n v="0"/>
    <n v="0"/>
    <n v="0"/>
    <n v="0"/>
    <n v="0.76"/>
    <n v="0.56999999999999995"/>
    <n v="0.74999999999999989"/>
    <n v="-0.75999999999999979"/>
    <n v="0.75999999999999979"/>
    <x v="0"/>
    <n v="7.7330000000000005"/>
    <n v="0"/>
    <n v="1"/>
  </r>
  <r>
    <s v="AJEET KUMAR"/>
    <d v="2026-06-23T00:00:00"/>
    <s v="SR-RTN/26-27/42168"/>
    <s v="B-302554"/>
    <s v="B-GOLD-FILING"/>
    <s v="GOLD-FILLING-WK"/>
    <x v="1"/>
    <s v="G-NA-75.00-RG"/>
    <n v="19.38"/>
    <n v="14.535"/>
    <n v="0.75"/>
    <n v="16.21"/>
    <n v="12.157500000000001"/>
    <n v="12.157999999999999"/>
    <n v="0.75"/>
    <n v="0"/>
    <n v="0"/>
    <n v="0"/>
    <n v="0"/>
    <n v="0"/>
    <n v="0"/>
    <n v="0"/>
    <n v="0"/>
    <n v="0"/>
    <n v="3.17"/>
    <n v="2.3774999999999999"/>
    <n v="0.75"/>
    <n v="-3.1699999999999982"/>
    <n v="3.1699999999999982"/>
    <x v="0"/>
    <n v="12.157999999999999"/>
    <n v="0"/>
    <n v="1"/>
  </r>
  <r>
    <s v="AJEET KUMAR"/>
    <d v="2026-06-23T00:00:00"/>
    <s v="SR-RTN/26-27/42169"/>
    <s v="B-300978"/>
    <s v="B-GOLD-FILING"/>
    <s v="GOLD-FILLING-WK"/>
    <x v="0"/>
    <s v="G-NA-91.70-YG"/>
    <n v="23.87"/>
    <n v="21.88879"/>
    <n v="0.91699999999999993"/>
    <n v="22.07"/>
    <n v="20.238189999999999"/>
    <n v="20.239000000000001"/>
    <n v="0.91699999999999993"/>
    <n v="0"/>
    <n v="0"/>
    <n v="0"/>
    <n v="0"/>
    <n v="0"/>
    <n v="0"/>
    <n v="0"/>
    <n v="0"/>
    <n v="0"/>
    <n v="1.8"/>
    <n v="1.6506000000000001"/>
    <n v="0.91700000000000004"/>
    <n v="-1.8000000000000007"/>
    <n v="1.8000000000000007"/>
    <x v="0"/>
    <n v="20.239000000000001"/>
    <n v="0"/>
    <n v="1"/>
  </r>
  <r>
    <s v="AJEET KUMAR"/>
    <d v="2026-06-23T00:00:00"/>
    <s v="SR-RTN/26-27/42179"/>
    <s v="B-302517"/>
    <s v="B-GOLD-FILING"/>
    <s v="GOLD-FILLING-WK"/>
    <x v="1"/>
    <s v="G-NA-75.00-YG"/>
    <n v="15.07"/>
    <n v="11.3025"/>
    <n v="0.75"/>
    <n v="13.44"/>
    <n v="10.08"/>
    <n v="10.08"/>
    <n v="0.75"/>
    <n v="0"/>
    <n v="0"/>
    <n v="0"/>
    <n v="0"/>
    <n v="0"/>
    <n v="0"/>
    <n v="0"/>
    <n v="0"/>
    <n v="0"/>
    <n v="1.63"/>
    <n v="1.2224999999999999"/>
    <n v="0.75"/>
    <n v="-1.6300000000000008"/>
    <n v="1.6300000000000008"/>
    <x v="0"/>
    <n v="10.08"/>
    <n v="0"/>
    <n v="1"/>
  </r>
  <r>
    <s v="AJEET KUMAR"/>
    <d v="2026-06-23T00:00:00"/>
    <s v="SR-RTN/26-27/42180"/>
    <s v="B-299780"/>
    <s v="B-GOLD-FILING"/>
    <s v="GOLD-FILLING-WK"/>
    <x v="0"/>
    <s v="G-NA-91.70-YG"/>
    <n v="3.37"/>
    <n v="3.09029"/>
    <n v="0.91699999999999993"/>
    <n v="3.34"/>
    <n v="3.0627800000000001"/>
    <n v="3.0629999999999997"/>
    <n v="0.91700000000000004"/>
    <n v="0"/>
    <n v="0"/>
    <n v="0"/>
    <n v="0"/>
    <n v="0"/>
    <n v="0"/>
    <n v="0"/>
    <n v="0"/>
    <n v="0"/>
    <n v="0.03"/>
    <n v="2.751E-2"/>
    <n v="0.91700000000000004"/>
    <n v="-3.0000000000000249E-2"/>
    <n v="3.0000000000000249E-2"/>
    <x v="1"/>
    <n v="3.0169999999999999"/>
    <n v="4.5999999999999819E-2"/>
    <n v="2"/>
  </r>
  <r>
    <s v="AJEET KUMAR"/>
    <d v="2026-06-23T00:00:00"/>
    <s v="SR-RTN/26-27/42182"/>
    <s v="B-299782"/>
    <s v="B-GOLD-FILING"/>
    <s v="GOLD-FILLING-WK"/>
    <x v="0"/>
    <s v="G-NA-91.70-YG"/>
    <n v="2.63"/>
    <n v="2.4117099999999998"/>
    <n v="0.91699999999999993"/>
    <n v="2.59"/>
    <n v="2.3750300000000002"/>
    <n v="2.3759999999999999"/>
    <n v="0.91700000000000015"/>
    <n v="0"/>
    <n v="0"/>
    <n v="0"/>
    <n v="0"/>
    <n v="0"/>
    <n v="0"/>
    <n v="0"/>
    <n v="0"/>
    <n v="0"/>
    <n v="0.04"/>
    <n v="3.6679999999999997E-2"/>
    <n v="0.91699999999999993"/>
    <n v="-4.0000000000000036E-2"/>
    <n v="4.0000000000000036E-2"/>
    <x v="1"/>
    <n v="2.2649999999999997"/>
    <n v="0.11100000000000021"/>
    <n v="2"/>
  </r>
  <r>
    <s v="AJEET KUMAR"/>
    <d v="2026-06-23T00:00:00"/>
    <s v="SR-RTN/26-27/42183"/>
    <s v="B-299783"/>
    <s v="B-GOLD-FILING"/>
    <s v="GOLD-FILLING-WK"/>
    <x v="0"/>
    <s v="G-NA-91.70-YG"/>
    <n v="9"/>
    <n v="8.2530000000000001"/>
    <n v="0.91700000000000004"/>
    <n v="8.68"/>
    <n v="7.9595599999999997"/>
    <n v="7.96"/>
    <n v="0.91700000000000004"/>
    <n v="0"/>
    <n v="0"/>
    <n v="0"/>
    <n v="0"/>
    <n v="0"/>
    <n v="0"/>
    <n v="0"/>
    <n v="0"/>
    <n v="0"/>
    <n v="0.32"/>
    <n v="0.29343999999999998"/>
    <n v="0.91699999999999993"/>
    <n v="-0.32000000000000028"/>
    <n v="0.32000000000000028"/>
    <x v="1"/>
    <n v="7.8870000000000005"/>
    <n v="7.299999999999951E-2"/>
    <n v="2"/>
  </r>
  <r>
    <s v="AJEET KUMAR"/>
    <d v="2026-06-23T00:00:00"/>
    <s v="SR-RTN/26-27/42184"/>
    <s v="B-299785"/>
    <s v="B-GOLD-FILING"/>
    <s v="GOLD-FILLING-WK"/>
    <x v="0"/>
    <s v="G-NA-91.70-YG"/>
    <n v="11.62"/>
    <n v="10.65554"/>
    <n v="0.91700000000000004"/>
    <n v="11.18"/>
    <n v="10.25206"/>
    <n v="10.253"/>
    <n v="0.91700000000000004"/>
    <n v="0"/>
    <n v="0"/>
    <n v="0"/>
    <n v="0"/>
    <n v="0"/>
    <n v="0"/>
    <n v="0"/>
    <n v="0"/>
    <n v="0"/>
    <n v="0.44"/>
    <n v="0.40348000000000001"/>
    <n v="0.91700000000000004"/>
    <n v="-0.4399999999999995"/>
    <n v="0.4399999999999995"/>
    <x v="1"/>
    <n v="9.9499999999999993"/>
    <n v="0.30300000000000082"/>
    <n v="2"/>
  </r>
  <r>
    <s v="AJEET KUMAR"/>
    <d v="2026-06-23T00:00:00"/>
    <s v="SR-RTN/26-27/42185"/>
    <s v="B-303072"/>
    <s v="B-GOLD-FILING"/>
    <s v="GOLD-FILLING-WK"/>
    <x v="0"/>
    <s v="G-NA-91.70-YG"/>
    <n v="30.02"/>
    <n v="27.52834"/>
    <n v="0.91700000000000004"/>
    <n v="30.02"/>
    <n v="27.52834"/>
    <n v="27.529"/>
    <n v="0.91700000000000004"/>
    <n v="0"/>
    <n v="0"/>
    <n v="0"/>
    <n v="0"/>
    <n v="0"/>
    <n v="0"/>
    <n v="0"/>
    <n v="0"/>
    <n v="0"/>
    <n v="0"/>
    <n v="0"/>
    <n v="0"/>
    <n v="0"/>
    <n v="0"/>
    <x v="1"/>
    <n v="25.631"/>
    <n v="1.8979999999999997"/>
    <n v="2"/>
  </r>
  <r>
    <s v="AJEET KUMAR"/>
    <d v="2026-06-23T00:00:00"/>
    <s v="SR-RTN/26-27/42186"/>
    <s v="B-303070"/>
    <s v="B-GOLD-FILING"/>
    <s v="GOLD-FILLING-WK"/>
    <x v="0"/>
    <s v="G-NA-91.70-YG"/>
    <n v="22.21"/>
    <n v="20.366569999999999"/>
    <n v="0.91699999999999993"/>
    <n v="22.21"/>
    <n v="20.366569999999999"/>
    <n v="20.367000000000001"/>
    <n v="0.91699999999999993"/>
    <n v="0"/>
    <n v="0"/>
    <n v="0"/>
    <n v="0"/>
    <n v="0"/>
    <n v="0"/>
    <n v="0"/>
    <n v="0"/>
    <n v="0"/>
    <n v="0"/>
    <n v="0"/>
    <n v="0"/>
    <n v="0"/>
    <n v="0"/>
    <x v="1"/>
    <n v="19.349"/>
    <n v="1.0180000000000007"/>
    <n v="2"/>
  </r>
  <r>
    <s v="AJEET KUMAR"/>
    <d v="2026-06-23T00:00:00"/>
    <s v="SR-RTN/26-27/42187"/>
    <s v="B-303073"/>
    <s v="B-GOLD-FILING"/>
    <s v="GOLD-FILLING-WK"/>
    <x v="0"/>
    <s v="G-NA-91.70-YG"/>
    <n v="22.71"/>
    <n v="20.82507"/>
    <n v="0.91699999999999993"/>
    <n v="22.71"/>
    <n v="20.82507"/>
    <n v="20.826000000000001"/>
    <n v="0.91699999999999993"/>
    <n v="0"/>
    <n v="0"/>
    <n v="0"/>
    <n v="0"/>
    <n v="0"/>
    <n v="0"/>
    <n v="0"/>
    <n v="0"/>
    <n v="0"/>
    <n v="0"/>
    <n v="0"/>
    <n v="0"/>
    <n v="0"/>
    <n v="0"/>
    <x v="1"/>
    <n v="19.854000000000003"/>
    <n v="0.97199999999999775"/>
    <n v="2"/>
  </r>
  <r>
    <s v="AJEET KUMAR"/>
    <d v="2026-06-23T00:00:00"/>
    <s v="SR-RTN/26-27/42189"/>
    <s v="B-302851"/>
    <s v="B-GOLD-FILING"/>
    <s v="GOLD-FILLING-WK"/>
    <x v="1"/>
    <s v="G-NA-75.00-YG"/>
    <n v="33.26"/>
    <n v="24.945"/>
    <n v="0.75"/>
    <n v="30.43"/>
    <n v="22.822500000000002"/>
    <n v="22.823"/>
    <n v="0.75000000000000011"/>
    <n v="0"/>
    <n v="0"/>
    <n v="0"/>
    <n v="0"/>
    <n v="0"/>
    <n v="0"/>
    <n v="0"/>
    <n v="0"/>
    <n v="0"/>
    <n v="2.83"/>
    <n v="2.1225000000000001"/>
    <n v="0.75"/>
    <n v="-2.8299999999999983"/>
    <n v="2.8299999999999983"/>
    <x v="0"/>
    <n v="22.823"/>
    <n v="0"/>
    <n v="1"/>
  </r>
  <r>
    <s v="AJEET KUMAR"/>
    <d v="2026-06-23T00:00:00"/>
    <s v="SR-RTN/26-27/42190"/>
    <s v="B-300775"/>
    <s v="B-GOLD-FILING"/>
    <s v="GOLD-FILLING-WK"/>
    <x v="0"/>
    <s v="G-NA-91.70-YG"/>
    <n v="42.9"/>
    <n v="39.339300000000001"/>
    <n v="0.91700000000000004"/>
    <n v="38.119999999999997"/>
    <n v="34.956040000000002"/>
    <n v="34.957000000000001"/>
    <n v="0.91700000000000015"/>
    <n v="0"/>
    <n v="0"/>
    <n v="0"/>
    <n v="0"/>
    <n v="0"/>
    <n v="0"/>
    <n v="0"/>
    <n v="0"/>
    <n v="0"/>
    <n v="4.78"/>
    <n v="4.3832599999999999"/>
    <n v="0.91699999999999993"/>
    <n v="-4.7800000000000011"/>
    <n v="4.7800000000000011"/>
    <x v="0"/>
    <n v="34.957000000000001"/>
    <n v="0"/>
    <n v="1"/>
  </r>
  <r>
    <s v="AJEET KUMAR"/>
    <d v="2026-06-23T00:00:00"/>
    <s v="SR-RTN/26-27/42197"/>
    <s v="B-303039"/>
    <s v="B-GOLD-FILING"/>
    <s v="GOLD-FILLING-WK"/>
    <x v="0"/>
    <s v="G-NA-91.70-YG"/>
    <n v="5.8"/>
    <n v="5.3186"/>
    <n v="0.91700000000000004"/>
    <n v="5.8"/>
    <n v="5.3186"/>
    <n v="5.319"/>
    <n v="0.91700000000000004"/>
    <n v="0"/>
    <n v="0"/>
    <n v="0"/>
    <n v="0"/>
    <n v="0"/>
    <n v="0"/>
    <n v="0"/>
    <n v="0"/>
    <n v="0"/>
    <n v="0"/>
    <n v="0"/>
    <n v="0"/>
    <n v="0"/>
    <n v="0"/>
    <x v="1"/>
    <n v="2.3209999999999997"/>
    <n v="2.9980000000000002"/>
    <n v="3"/>
  </r>
  <r>
    <s v="AJEET KUMAR"/>
    <d v="2026-06-23T00:00:00"/>
    <s v="SR-RTN/26-27/42200"/>
    <s v="B-299736/1"/>
    <s v="B-GOLD-FILING"/>
    <s v="GOLD-FILLING-WK"/>
    <x v="0"/>
    <s v="G-NA-91.70-YG"/>
    <n v="31.48"/>
    <n v="28.867159999999998"/>
    <n v="0.91699999999999993"/>
    <n v="29.47"/>
    <n v="27.023990000000001"/>
    <n v="27.024000000000001"/>
    <n v="0.91700000000000004"/>
    <n v="0"/>
    <n v="0"/>
    <n v="0"/>
    <n v="0"/>
    <n v="0"/>
    <n v="0"/>
    <n v="0"/>
    <n v="0"/>
    <n v="0"/>
    <n v="2.0099999999999998"/>
    <n v="1.84317"/>
    <n v="0.91700000000000004"/>
    <n v="-2.0100000000000016"/>
    <n v="2.0100000000000016"/>
    <x v="0"/>
    <n v="27.024000000000001"/>
    <n v="0"/>
    <n v="2"/>
  </r>
  <r>
    <s v="AJEET KUMAR"/>
    <d v="2026-06-23T00:00:00"/>
    <s v="SR-RTN/26-27/42218"/>
    <s v="B-303074"/>
    <s v="B-GOLD-FILING"/>
    <s v="GOLD-FILLING-WK"/>
    <x v="0"/>
    <s v="G-NA-91.70-YG"/>
    <n v="15.02"/>
    <n v="13.773339999999999"/>
    <n v="0.91699999999999993"/>
    <n v="12.96"/>
    <n v="11.884320000000001"/>
    <n v="11.885"/>
    <n v="0.91700000000000004"/>
    <n v="0"/>
    <n v="0"/>
    <n v="0"/>
    <n v="0"/>
    <n v="0"/>
    <n v="0"/>
    <n v="0"/>
    <n v="0"/>
    <n v="0"/>
    <n v="2.06"/>
    <n v="1.8890199999999999"/>
    <n v="0.91699999999999993"/>
    <n v="-2.0599999999999987"/>
    <n v="2.0599999999999987"/>
    <x v="1"/>
    <n v="11.766"/>
    <n v="0.11899999999999977"/>
    <n v="2"/>
  </r>
  <r>
    <s v="AJEET KUMAR"/>
    <d v="2026-06-23T00:00:00"/>
    <s v="SR-RTN/26-27/42234"/>
    <s v="B-300326"/>
    <s v="B-GOLD-FILING"/>
    <s v="GOLD-FILLING-WK"/>
    <x v="1"/>
    <s v="G-NA-75.00-RG"/>
    <n v="12.19"/>
    <n v="9.1425000000000001"/>
    <n v="0.75"/>
    <n v="11.5"/>
    <n v="8.625"/>
    <n v="8.625"/>
    <n v="0.75"/>
    <n v="0"/>
    <n v="0"/>
    <n v="0"/>
    <n v="0"/>
    <n v="0"/>
    <n v="0"/>
    <n v="0"/>
    <n v="0"/>
    <n v="0"/>
    <n v="0.69"/>
    <n v="0.51749999999999996"/>
    <n v="0.75"/>
    <n v="-0.6899999999999995"/>
    <n v="0.6899999999999995"/>
    <x v="0"/>
    <n v="8.625"/>
    <n v="0"/>
    <n v="1"/>
  </r>
  <r>
    <s v="AJEET KUMAR"/>
    <d v="2026-06-23T00:00:00"/>
    <s v="SR-RTN/26-27/42239"/>
    <s v="B-300744"/>
    <s v="B-GOLD-FILING"/>
    <s v="GOLD-FILLING-WK"/>
    <x v="0"/>
    <s v="G-NA-91.70-YG"/>
    <n v="48.75"/>
    <n v="44.703749999999999"/>
    <n v="0.91700000000000004"/>
    <n v="46.64"/>
    <n v="42.768880000000003"/>
    <n v="42.768999999999998"/>
    <n v="0.91700000000000004"/>
    <n v="0"/>
    <n v="0"/>
    <n v="0"/>
    <n v="0"/>
    <n v="0"/>
    <n v="0"/>
    <n v="0"/>
    <n v="0"/>
    <n v="0"/>
    <n v="2.11"/>
    <n v="1.9348700000000001"/>
    <n v="0.91700000000000015"/>
    <n v="-2.1099999999999994"/>
    <n v="2.1099999999999994"/>
    <x v="0"/>
    <n v="42.768999999999998"/>
    <n v="0"/>
    <n v="1"/>
  </r>
  <r>
    <s v="AJEET KUMAR"/>
    <d v="2026-06-23T00:00:00"/>
    <s v="SR-RTN/26-27/42239"/>
    <s v="B-302529"/>
    <s v="B-GOLD-FILING"/>
    <s v="GOLD-FILLING-WK"/>
    <x v="1"/>
    <s v="G-NA-75.00-RG"/>
    <n v="24.08"/>
    <n v="18.059999999999999"/>
    <n v="0.75"/>
    <n v="21.95"/>
    <n v="16.462499999999999"/>
    <n v="16.463000000000001"/>
    <n v="0.75"/>
    <n v="0"/>
    <n v="0"/>
    <n v="0"/>
    <n v="0"/>
    <n v="0"/>
    <n v="0"/>
    <n v="0"/>
    <n v="0"/>
    <n v="0"/>
    <n v="2.13"/>
    <n v="1.5974999999999999"/>
    <n v="0.75"/>
    <n v="-2.129999999999999"/>
    <n v="2.129999999999999"/>
    <x v="0"/>
    <n v="16.463000000000001"/>
    <n v="0"/>
    <n v="1"/>
  </r>
  <r>
    <s v="AJEET KUMAR"/>
    <d v="2026-06-23T00:00:00"/>
    <s v="SR-RTN/26-27/42239"/>
    <s v="B-302565"/>
    <s v="B-GOLD-FILING"/>
    <s v="GOLD-FILLING-WK"/>
    <x v="1"/>
    <s v="G-NA-75.00-RG"/>
    <n v="7.68"/>
    <n v="5.76"/>
    <n v="0.75"/>
    <n v="7.27"/>
    <n v="5.4524999999999997"/>
    <n v="5.4530000000000003"/>
    <n v="0.75"/>
    <n v="0"/>
    <n v="0"/>
    <n v="0"/>
    <n v="0"/>
    <n v="0"/>
    <n v="0"/>
    <n v="0"/>
    <n v="0"/>
    <n v="0"/>
    <n v="0.41"/>
    <n v="0.3075"/>
    <n v="0.75"/>
    <n v="-0.41000000000000014"/>
    <n v="0.41000000000000014"/>
    <x v="0"/>
    <n v="5.4530000000000003"/>
    <n v="0"/>
    <n v="1"/>
  </r>
  <r>
    <s v="AJEET KUMAR"/>
    <d v="2026-06-23T00:00:00"/>
    <s v="SR-RTN/26-27/42276"/>
    <s v="B-303039"/>
    <s v="B-GOLD-FILING"/>
    <s v="GOLD-FILLING-WK"/>
    <x v="0"/>
    <s v="G-NA-91.70-YG"/>
    <n v="5.8"/>
    <n v="5.3186"/>
    <n v="0.91700000000000004"/>
    <n v="5.22"/>
    <n v="4.78674"/>
    <n v="4.7869999999999999"/>
    <n v="0.91700000000000004"/>
    <n v="0"/>
    <n v="0"/>
    <n v="0"/>
    <n v="0"/>
    <n v="0"/>
    <n v="0"/>
    <n v="0"/>
    <n v="0"/>
    <n v="0"/>
    <n v="0.57999999999999996"/>
    <n v="0.53186"/>
    <n v="0.91700000000000004"/>
    <n v="-0.58000000000000007"/>
    <n v="0.58000000000000007"/>
    <x v="1"/>
    <n v="2.3209999999999997"/>
    <n v="2.4660000000000002"/>
    <n v="3"/>
  </r>
  <r>
    <s v="AJEET KUMAR"/>
    <d v="2026-06-23T00:00:00"/>
    <s v="SR-RTN/26-27/42285"/>
    <s v="B-303039"/>
    <s v="B-GOLD-FILING"/>
    <s v="REP-GOLD-FILLING-WK"/>
    <x v="0"/>
    <s v="G-NA-91.70-YG"/>
    <n v="2.5499999999999998"/>
    <n v="2.3383500000000002"/>
    <n v="0.91700000000000015"/>
    <n v="2.5299999999999998"/>
    <n v="2.3200099999999999"/>
    <n v="2.3209999999999997"/>
    <n v="0.91700000000000004"/>
    <n v="0"/>
    <n v="0"/>
    <n v="0"/>
    <n v="0"/>
    <n v="0"/>
    <n v="0"/>
    <n v="0"/>
    <n v="0"/>
    <n v="0"/>
    <n v="0.02"/>
    <n v="1.8339999999999999E-2"/>
    <n v="0.91699999999999993"/>
    <n v="-2.0000000000000018E-2"/>
    <n v="2.0000000000000018E-2"/>
    <x v="2"/>
    <n v="2.3209999999999997"/>
    <n v="0"/>
    <n v="3"/>
  </r>
  <r>
    <s v="AJEET KUMAR"/>
    <d v="2026-06-23T00:00:00"/>
    <s v="SR-RTN/26-27/42289"/>
    <s v="B-303071"/>
    <s v="B-GOLD-FILING"/>
    <s v="GOLD-FILLING-WK"/>
    <x v="0"/>
    <s v="G-NA-91.70-YG"/>
    <n v="22.41"/>
    <n v="20.549969999999998"/>
    <n v="0.91699999999999993"/>
    <n v="20.21"/>
    <n v="18.53257"/>
    <n v="18.533000000000001"/>
    <n v="0.91699999999999993"/>
    <n v="0"/>
    <n v="0"/>
    <n v="0"/>
    <n v="0"/>
    <n v="0"/>
    <n v="0"/>
    <n v="0"/>
    <n v="0"/>
    <n v="0"/>
    <n v="2.2000000000000002"/>
    <n v="2.0173999999999999"/>
    <n v="0.91699999999999982"/>
    <n v="-2.1999999999999993"/>
    <n v="2.1999999999999993"/>
    <x v="0"/>
    <n v="18.533000000000001"/>
    <n v="0"/>
    <n v="1"/>
  </r>
  <r>
    <s v="AJEET KUMAR"/>
    <d v="2026-06-23T00:00:00"/>
    <s v="SR-RTN/26-27/42290"/>
    <s v="B-300992"/>
    <s v="B-GOLD-FILING"/>
    <s v="GOLD-FILLING-WK"/>
    <x v="1"/>
    <s v="G-NA-75.00-RG"/>
    <n v="65.78"/>
    <n v="49.335000000000001"/>
    <n v="0.75"/>
    <n v="62.11"/>
    <n v="46.582500000000003"/>
    <n v="46.582999999999998"/>
    <n v="0.75000000000000011"/>
    <n v="0"/>
    <n v="0"/>
    <n v="0"/>
    <n v="0"/>
    <n v="0"/>
    <n v="0"/>
    <n v="0"/>
    <n v="0"/>
    <n v="0"/>
    <n v="3.67"/>
    <n v="2.7524999999999999"/>
    <n v="0.75"/>
    <n v="-3.6700000000000017"/>
    <n v="3.6700000000000017"/>
    <x v="0"/>
    <n v="46.582999999999998"/>
    <n v="0"/>
    <n v="1"/>
  </r>
  <r>
    <s v="AJEET KUMAR"/>
    <d v="2026-06-23T00:00:00"/>
    <s v="SR-RTN/26-27/42291"/>
    <s v="B-301865"/>
    <s v="B-GOLD-FILING"/>
    <s v="GOLD-FILLING-WK"/>
    <x v="1"/>
    <s v="G-NA-75.00-YG"/>
    <n v="12.25"/>
    <n v="9.1875"/>
    <n v="0.75"/>
    <n v="11.08"/>
    <n v="8.31"/>
    <n v="8.31"/>
    <n v="0.75"/>
    <n v="0"/>
    <n v="0"/>
    <n v="0"/>
    <n v="0"/>
    <n v="0"/>
    <n v="0"/>
    <n v="0"/>
    <n v="0"/>
    <n v="0"/>
    <n v="1.17"/>
    <n v="0.87749999999999995"/>
    <n v="0.75"/>
    <n v="-1.17"/>
    <n v="1.17"/>
    <x v="0"/>
    <n v="8.31"/>
    <n v="0"/>
    <n v="1"/>
  </r>
  <r>
    <s v="AJEET KUMAR"/>
    <d v="2026-06-23T00:00:00"/>
    <s v="SR-RTN/26-27/42292"/>
    <s v="B-302552"/>
    <s v="B-GOLD-FILING"/>
    <s v="GOLD-FILLING-WK"/>
    <x v="1"/>
    <s v="G-NA-75.00-RG"/>
    <n v="34.520000000000003"/>
    <n v="25.89"/>
    <n v="0.75"/>
    <n v="29.95"/>
    <n v="22.462499999999999"/>
    <n v="22.463000000000001"/>
    <n v="0.75"/>
    <n v="0"/>
    <n v="0"/>
    <n v="0"/>
    <n v="0"/>
    <n v="0"/>
    <n v="0"/>
    <n v="0"/>
    <n v="0"/>
    <n v="0"/>
    <n v="4.57"/>
    <n v="3.4275000000000002"/>
    <n v="0.75"/>
    <n v="-4.5700000000000038"/>
    <n v="4.5700000000000038"/>
    <x v="0"/>
    <n v="22.463000000000001"/>
    <n v="0"/>
    <n v="1"/>
  </r>
  <r>
    <s v="AJEET KUMAR"/>
    <d v="2026-06-23T00:00:00"/>
    <s v="SR-RTN/26-27/42294"/>
    <s v="B-299690"/>
    <s v="B-GOLD-FILING"/>
    <s v="GOLD-FILLING-WK"/>
    <x v="1"/>
    <s v="G-NA-75.00-RG"/>
    <n v="28.53"/>
    <n v="21.397500000000001"/>
    <n v="0.75"/>
    <n v="24.97"/>
    <n v="18.727499999999999"/>
    <n v="18.728000000000002"/>
    <n v="0.75"/>
    <n v="0"/>
    <n v="0"/>
    <n v="0"/>
    <n v="0"/>
    <n v="0"/>
    <n v="0"/>
    <n v="0"/>
    <n v="0"/>
    <n v="0"/>
    <n v="3.56"/>
    <n v="2.67"/>
    <n v="0.75"/>
    <n v="-3.5600000000000023"/>
    <n v="3.5600000000000023"/>
    <x v="0"/>
    <n v="18.728000000000002"/>
    <n v="0"/>
    <n v="1"/>
  </r>
  <r>
    <s v="AJEET KUMAR"/>
    <d v="2026-06-23T00:00:00"/>
    <s v="SR-RTN/26-27/42296"/>
    <s v="B-302513"/>
    <s v="B-GOLD-FILING"/>
    <s v="GOLD-FILLING-WK"/>
    <x v="1"/>
    <s v="G-NA-75.00-RG"/>
    <n v="41.82"/>
    <n v="31.364999999999998"/>
    <n v="0.75"/>
    <n v="36.14"/>
    <n v="27.105"/>
    <n v="27.105"/>
    <n v="0.75"/>
    <n v="0"/>
    <n v="0"/>
    <n v="0"/>
    <n v="0"/>
    <n v="0"/>
    <n v="0"/>
    <n v="0"/>
    <n v="0"/>
    <n v="0"/>
    <n v="5.68"/>
    <n v="4.26"/>
    <n v="0.75"/>
    <n v="-5.68"/>
    <n v="5.68"/>
    <x v="0"/>
    <n v="27.105"/>
    <n v="0"/>
    <n v="1"/>
  </r>
  <r>
    <s v="AJEET KUMAR"/>
    <d v="2026-06-23T00:00:00"/>
    <s v="SR-RTN/26-27/42299"/>
    <s v="B-302528"/>
    <s v="B-GOLD-FILING"/>
    <s v="GOLD-FILLING-WK"/>
    <x v="1"/>
    <s v="G-NA-75.00-RG"/>
    <n v="45.02"/>
    <n v="33.765000000000001"/>
    <n v="0.75"/>
    <n v="38.85"/>
    <n v="29.137499999999999"/>
    <n v="29.138000000000002"/>
    <n v="0.75"/>
    <n v="0"/>
    <n v="0"/>
    <n v="0"/>
    <n v="0"/>
    <n v="0"/>
    <n v="0"/>
    <n v="0"/>
    <n v="0"/>
    <n v="0"/>
    <n v="6.17"/>
    <n v="4.6275000000000004"/>
    <n v="0.75000000000000011"/>
    <n v="-6.1700000000000017"/>
    <n v="6.1700000000000017"/>
    <x v="0"/>
    <n v="29.138000000000002"/>
    <n v="0"/>
    <n v="1"/>
  </r>
  <r>
    <s v="AJEET KUMAR"/>
    <d v="2026-06-23T00:00:00"/>
    <s v="SR-RTN/26-27/42316"/>
    <s v="B-302875"/>
    <s v="B-GOLD-FILING"/>
    <s v="GOLD-FILLING-WK"/>
    <x v="0"/>
    <s v="G-NA-91.70-YG"/>
    <n v="14.609"/>
    <n v="13.396452999999999"/>
    <n v="0.91699999999999993"/>
    <n v="13.109"/>
    <n v="12.020953"/>
    <n v="12.020999999999999"/>
    <n v="0.91700000000000004"/>
    <n v="0"/>
    <n v="0"/>
    <n v="0"/>
    <n v="0"/>
    <n v="0"/>
    <n v="0"/>
    <n v="0"/>
    <n v="0"/>
    <n v="0"/>
    <n v="1.5"/>
    <n v="1.3754999999999999"/>
    <n v="0.91699999999999993"/>
    <n v="-1.5"/>
    <n v="1.5"/>
    <x v="0"/>
    <n v="12.020999999999999"/>
    <n v="0"/>
    <n v="1"/>
  </r>
  <r>
    <s v="AJEET KUMAR"/>
    <d v="2026-06-23T00:00:00"/>
    <s v="SR-RTN/26-27/42317"/>
    <s v="B-302910"/>
    <s v="B-GOLD-FILING"/>
    <s v="GOLD-FILLING-WK"/>
    <x v="1"/>
    <s v="G-NA-75.00-YG"/>
    <n v="16.98"/>
    <n v="12.734999999999999"/>
    <n v="0.75"/>
    <n v="16"/>
    <n v="12"/>
    <n v="12"/>
    <n v="0.75"/>
    <n v="0"/>
    <n v="0"/>
    <n v="0"/>
    <n v="0"/>
    <n v="0"/>
    <n v="0"/>
    <n v="0"/>
    <n v="0"/>
    <n v="0"/>
    <n v="0.98"/>
    <n v="0.73499999999999999"/>
    <n v="0.75"/>
    <n v="-0.98000000000000043"/>
    <n v="0.98000000000000043"/>
    <x v="0"/>
    <n v="12"/>
    <n v="0"/>
    <n v="2"/>
  </r>
  <r>
    <s v="AJEET KUMAR"/>
    <d v="2026-06-23T00:00:00"/>
    <s v="SR-RTN/26-27/42318"/>
    <s v="B-302551"/>
    <s v="B-GOLD-FILING"/>
    <s v="GOLD-FILLING-WK"/>
    <x v="1"/>
    <s v="G-NA-75.00-RG"/>
    <n v="17.899999999999999"/>
    <n v="13.425000000000001"/>
    <n v="0.75000000000000011"/>
    <n v="16.739999999999998"/>
    <n v="12.555"/>
    <n v="12.555"/>
    <n v="0.75"/>
    <n v="0"/>
    <n v="0"/>
    <n v="0"/>
    <n v="0"/>
    <n v="0"/>
    <n v="0"/>
    <n v="0"/>
    <n v="0"/>
    <n v="0"/>
    <n v="1.1599999999999999"/>
    <n v="0.87"/>
    <n v="0.75"/>
    <n v="-1.1600000000000001"/>
    <n v="1.1600000000000001"/>
    <x v="0"/>
    <n v="12.555"/>
    <n v="0"/>
    <n v="1"/>
  </r>
  <r>
    <s v="AJEET KUMAR"/>
    <d v="2026-06-23T00:00:00"/>
    <s v="SR-RTN/26-27/42319"/>
    <s v="B-302852"/>
    <s v="B-GOLD-FILING"/>
    <s v="GOLD-FILLING-WK"/>
    <x v="1"/>
    <s v="G-NA-75.00-RG"/>
    <n v="87.62"/>
    <n v="65.715000000000003"/>
    <n v="0.75"/>
    <n v="82.81"/>
    <n v="62.107500000000002"/>
    <n v="62.107999999999997"/>
    <n v="0.75"/>
    <n v="0"/>
    <n v="0"/>
    <n v="0"/>
    <n v="0"/>
    <n v="0"/>
    <n v="0"/>
    <n v="0"/>
    <n v="0"/>
    <n v="0"/>
    <n v="4.8099999999999996"/>
    <n v="3.6074999999999999"/>
    <n v="0.75"/>
    <n v="-4.8100000000000023"/>
    <n v="4.8100000000000023"/>
    <x v="0"/>
    <n v="62.107999999999997"/>
    <n v="0"/>
    <n v="1"/>
  </r>
  <r>
    <s v="AJEET KUMAR"/>
    <d v="2026-06-23T00:00:00"/>
    <s v="SR-RTN/26-27/42351"/>
    <s v="B-303068"/>
    <s v="B-GOLD-FILING"/>
    <s v="GOLD-FILLING-WK"/>
    <x v="0"/>
    <s v="G-NA-91.70-YG"/>
    <n v="21.96"/>
    <n v="20.137319999999999"/>
    <n v="0.91699999999999993"/>
    <n v="20.87"/>
    <n v="19.137789999999999"/>
    <n v="19.138000000000002"/>
    <n v="0.91699999999999993"/>
    <n v="0"/>
    <n v="0"/>
    <n v="0"/>
    <n v="0"/>
    <n v="0"/>
    <n v="0"/>
    <n v="0"/>
    <n v="0"/>
    <n v="0"/>
    <n v="1.0900000000000001"/>
    <n v="0.99953000000000003"/>
    <n v="0.91699999999999993"/>
    <n v="-1.0899999999999999"/>
    <n v="1.0899999999999999"/>
    <x v="0"/>
    <n v="19.138000000000002"/>
    <n v="0"/>
    <n v="1"/>
  </r>
  <r>
    <s v="AJEET KUMAR"/>
    <d v="2026-06-23T00:00:00"/>
    <s v="SR-RTN/26-27/42352"/>
    <s v="B-302553"/>
    <s v="B-GOLD-FILING"/>
    <s v="GOLD-FILLING-WK"/>
    <x v="1"/>
    <s v="G-NA-75.00-RG"/>
    <n v="26.84"/>
    <n v="20.13"/>
    <n v="0.75"/>
    <n v="24.98"/>
    <n v="18.734999999999999"/>
    <n v="18.734999999999999"/>
    <n v="0.75"/>
    <n v="0"/>
    <n v="0"/>
    <n v="0"/>
    <n v="0"/>
    <n v="0"/>
    <n v="0"/>
    <n v="0"/>
    <n v="0"/>
    <n v="0"/>
    <n v="1.86"/>
    <n v="1.395"/>
    <n v="0.75"/>
    <n v="-1.8599999999999994"/>
    <n v="1.8599999999999994"/>
    <x v="0"/>
    <n v="18.734999999999999"/>
    <n v="0"/>
    <n v="1"/>
  </r>
  <r>
    <s v="AJEET KUMAR"/>
    <d v="2026-06-23T00:00:00"/>
    <s v="SR-RTN/26-27/42353"/>
    <s v="B-302566"/>
    <s v="B-GOLD-FILING"/>
    <s v="GOLD-FILLING-WK"/>
    <x v="1"/>
    <s v="G-NA-75.00-RG"/>
    <n v="7.97"/>
    <n v="5.9775"/>
    <n v="0.75"/>
    <n v="7.6"/>
    <n v="5.7"/>
    <n v="5.7"/>
    <n v="0.75000000000000011"/>
    <n v="0"/>
    <n v="0"/>
    <n v="0"/>
    <n v="0"/>
    <n v="0"/>
    <n v="0"/>
    <n v="0"/>
    <n v="0"/>
    <n v="0"/>
    <n v="0.37"/>
    <n v="0.27750000000000002"/>
    <n v="0.75000000000000011"/>
    <n v="-0.37000000000000011"/>
    <n v="0.37000000000000011"/>
    <x v="0"/>
    <n v="5.7"/>
    <n v="0"/>
    <n v="1"/>
  </r>
  <r>
    <s v="AJEET KUMAR"/>
    <d v="2026-06-23T00:00:00"/>
    <s v="SR-RTN/26-27/42354"/>
    <s v="B-302570"/>
    <s v="B-GOLD-FILING"/>
    <s v="GOLD-FILLING-WK"/>
    <x v="1"/>
    <s v="G-NA-75.00-RG"/>
    <n v="8.5399999999999991"/>
    <n v="6.4050000000000002"/>
    <n v="0.75000000000000011"/>
    <n v="8.1199999999999992"/>
    <n v="6.09"/>
    <n v="6.09"/>
    <n v="0.75"/>
    <n v="0"/>
    <n v="0"/>
    <n v="0"/>
    <n v="0"/>
    <n v="0"/>
    <n v="0"/>
    <n v="0"/>
    <n v="0"/>
    <n v="0"/>
    <n v="0.42"/>
    <n v="0.315"/>
    <n v="0.75"/>
    <n v="-0.41999999999999993"/>
    <n v="0.41999999999999993"/>
    <x v="0"/>
    <n v="6.09"/>
    <n v="0"/>
    <n v="1"/>
  </r>
  <r>
    <s v="AJEET KUMAR"/>
    <d v="2026-06-23T00:00:00"/>
    <s v="SR-RTN/26-27/42355"/>
    <s v="B-302906"/>
    <s v="B-GOLD-FILING"/>
    <s v="GOLD-FILLING-WK"/>
    <x v="1"/>
    <s v="G-NA-75.00-RG"/>
    <n v="38.57"/>
    <n v="28.927499999999998"/>
    <n v="0.75"/>
    <n v="37.119999999999997"/>
    <n v="27.84"/>
    <n v="27.84"/>
    <n v="0.75"/>
    <n v="0"/>
    <n v="0"/>
    <n v="0"/>
    <n v="0"/>
    <n v="0"/>
    <n v="0"/>
    <n v="0"/>
    <n v="0"/>
    <n v="0"/>
    <n v="1.45"/>
    <n v="1.0874999999999999"/>
    <n v="0.75"/>
    <n v="-1.4500000000000028"/>
    <n v="1.4500000000000028"/>
    <x v="0"/>
    <n v="27.84"/>
    <n v="0"/>
    <n v="1"/>
  </r>
  <r>
    <s v="AJEET KUMAR"/>
    <d v="2026-06-23T00:00:00"/>
    <s v="SR-RTN/26-27/42357"/>
    <s v="B-302905"/>
    <s v="B-GOLD-FILING"/>
    <s v="GOLD-FILLING-WK"/>
    <x v="1"/>
    <s v="G-NA-75.00-RG"/>
    <n v="19.5"/>
    <n v="14.625"/>
    <n v="0.75"/>
    <n v="18.649999999999999"/>
    <n v="13.987500000000001"/>
    <n v="13.988"/>
    <n v="0.75000000000000011"/>
    <n v="0"/>
    <n v="0"/>
    <n v="0"/>
    <n v="0"/>
    <n v="0"/>
    <n v="0"/>
    <n v="0"/>
    <n v="0"/>
    <n v="0"/>
    <n v="0.85"/>
    <n v="0.63749999999999996"/>
    <n v="0.75"/>
    <n v="-0.85000000000000142"/>
    <n v="0.85000000000000142"/>
    <x v="0"/>
    <n v="13.988"/>
    <n v="0"/>
    <n v="1"/>
  </r>
  <r>
    <s v="AJEET KUMAR"/>
    <d v="2026-06-23T00:00:00"/>
    <s v="SR-RTN/26-27/42363"/>
    <s v="B-301972"/>
    <s v="B-GOLD-FILING"/>
    <s v="GOLD-FILLING-WK"/>
    <x v="0"/>
    <s v="G-NA-91.70-YG"/>
    <n v="373.24"/>
    <n v="342.26107999999999"/>
    <n v="0.91699999999999993"/>
    <n v="365.04"/>
    <n v="334.74167999999997"/>
    <n v="334.74199999999996"/>
    <n v="0.91699999999999993"/>
    <n v="0"/>
    <n v="0"/>
    <n v="0"/>
    <n v="0"/>
    <n v="0"/>
    <n v="0"/>
    <n v="0"/>
    <n v="0"/>
    <n v="0"/>
    <n v="8.1999999999999993"/>
    <n v="7.5194000000000001"/>
    <n v="0.91700000000000004"/>
    <n v="-8.1999999999999886"/>
    <n v="8.1999999999999886"/>
    <x v="1"/>
    <n v="333.50399999999996"/>
    <n v="1.2379999999999995"/>
    <n v="3"/>
  </r>
  <r>
    <s v="AJEET KUMAR"/>
    <d v="2026-06-23T00:00:00"/>
    <s v="SR-RTN/26-27/42387"/>
    <s v="B-301970"/>
    <s v="B-GOLD-FILING"/>
    <s v="GOLD-FILLING-WK"/>
    <x v="0"/>
    <s v="G-NA-91.70-YG"/>
    <n v="333.51"/>
    <n v="305.82866999999999"/>
    <n v="0.91700000000000004"/>
    <n v="316.05"/>
    <n v="289.81785000000002"/>
    <n v="289.81799999999998"/>
    <n v="0.91700000000000004"/>
    <n v="0"/>
    <n v="0"/>
    <n v="0"/>
    <n v="0"/>
    <n v="0"/>
    <n v="0"/>
    <n v="0"/>
    <n v="0"/>
    <n v="0"/>
    <n v="17.46"/>
    <n v="16.010819999999999"/>
    <n v="0.91699999999999993"/>
    <n v="-17.45999999999998"/>
    <n v="17.45999999999998"/>
    <x v="1"/>
    <n v="287.20499999999998"/>
    <n v="2.6129999999999995"/>
    <n v="3"/>
  </r>
  <r>
    <s v="AJEET KUMAR"/>
    <d v="2026-06-23T00:00:00"/>
    <s v="SR-W/O-RTN/26-27/3008"/>
    <s v="NONE"/>
    <s v="B-GOLD-FILING"/>
    <s v="GOLD-FILLING-WK"/>
    <x v="1"/>
    <s v="G-NA-75.00-RG"/>
    <n v="9.39"/>
    <n v="7.0425000000000004"/>
    <n v="0.75"/>
    <n v="8.7100000000000009"/>
    <n v="6.5324999999999998"/>
    <n v="6.5330000000000004"/>
    <n v="0.74999999999999989"/>
    <n v="0"/>
    <n v="0"/>
    <n v="0"/>
    <n v="0"/>
    <n v="0"/>
    <n v="0"/>
    <n v="0"/>
    <n v="0"/>
    <n v="0"/>
    <n v="0.68"/>
    <n v="0.51"/>
    <n v="0.75"/>
    <n v="-0.67999999999999972"/>
    <n v="0.67999999999999972"/>
    <x v="1"/>
    <n v="0"/>
    <n v="6.5330000000000004"/>
    <n v="67"/>
  </r>
  <r>
    <s v="AJEET KUMAR"/>
    <d v="2026-06-23T00:00:00"/>
    <s v="SR-W/O-RTN/26-27/3008"/>
    <s v="NONE"/>
    <s v="B-GOLD-FILING"/>
    <s v="GOLD-FILLING-WK"/>
    <x v="1"/>
    <s v="G-NA-75.00-YG"/>
    <n v="4.1900000000000004"/>
    <n v="3.1425000000000001"/>
    <n v="0.75"/>
    <n v="3.82"/>
    <n v="2.8650000000000002"/>
    <n v="2.8650000000000002"/>
    <n v="0.75000000000000011"/>
    <n v="0"/>
    <n v="0"/>
    <n v="0"/>
    <n v="0"/>
    <n v="0"/>
    <n v="0"/>
    <n v="0"/>
    <n v="0"/>
    <n v="0"/>
    <n v="0.37"/>
    <n v="0.27750000000000002"/>
    <n v="0.75000000000000011"/>
    <n v="-0.37000000000000055"/>
    <n v="0.37000000000000055"/>
    <x v="1"/>
    <n v="0"/>
    <n v="2.8650000000000002"/>
    <n v="67"/>
  </r>
  <r>
    <s v="AJEET KUMAR"/>
    <d v="2026-06-23T00:00:00"/>
    <s v="SR-W/O-RTN/26-27/3008"/>
    <s v="NONE"/>
    <s v="B-GOLD-FILING"/>
    <s v="GOLD-FILLING-WK"/>
    <x v="0"/>
    <s v="G-NA-91.70-YG"/>
    <n v="14.8"/>
    <n v="13.5716"/>
    <n v="0.91699999999999993"/>
    <n v="10.61"/>
    <n v="9.7293699999999994"/>
    <n v="9.7299999999999986"/>
    <n v="0.91700000000000004"/>
    <n v="0"/>
    <n v="0"/>
    <n v="0"/>
    <n v="0"/>
    <n v="0"/>
    <n v="0"/>
    <n v="0"/>
    <n v="0"/>
    <n v="0"/>
    <n v="4.1900000000000004"/>
    <n v="3.8422299999999998"/>
    <n v="0.91699999999999982"/>
    <n v="-4.1900000000000013"/>
    <n v="4.1900000000000013"/>
    <x v="1"/>
    <n v="0"/>
    <n v="9.7299999999999986"/>
    <n v="67"/>
  </r>
  <r>
    <s v="AJEET KUMAR"/>
    <d v="2026-06-24T00:00:00"/>
    <s v="RTN-8922156"/>
    <s v="SR-42626"/>
    <s v="CAST-FILLING"/>
    <s v="GOLD-FILLING-WK"/>
    <x v="0"/>
    <s v="G-NA-91.70-YG"/>
    <n v="204.41"/>
    <n v="187.44397000000001"/>
    <n v="0.91700000000000004"/>
    <n v="204.38"/>
    <n v="187.41646"/>
    <n v="187.417"/>
    <n v="0.91700000000000004"/>
    <n v="0"/>
    <n v="0"/>
    <n v="0"/>
    <n v="0"/>
    <n v="0"/>
    <n v="0"/>
    <n v="0"/>
    <n v="0"/>
    <n v="0"/>
    <n v="0.03"/>
    <n v="2.751E-2"/>
    <n v="0.91700000000000004"/>
    <n v="-3.0000000000001137E-2"/>
    <n v="3.0000000000001137E-2"/>
    <x v="1"/>
    <n v="185.345"/>
    <n v="2.0720000000000027"/>
    <n v="3"/>
  </r>
  <r>
    <s v="AJEET KUMAR"/>
    <d v="2026-06-24T00:00:00"/>
    <s v="RTN-8922599"/>
    <s v="SR-42644"/>
    <s v="CAST-FILLING"/>
    <s v="GOLD-FILLING-WK"/>
    <x v="1"/>
    <s v="G-NA-75.00-RG"/>
    <n v="79.63"/>
    <n v="59.722499999999997"/>
    <n v="0.75"/>
    <n v="67.23"/>
    <n v="50.422499999999999"/>
    <n v="50.422999999999995"/>
    <n v="0.75"/>
    <n v="0"/>
    <n v="0"/>
    <n v="0"/>
    <n v="0"/>
    <n v="0"/>
    <n v="0"/>
    <n v="0"/>
    <n v="0"/>
    <n v="0"/>
    <n v="12.4"/>
    <n v="9.3000000000000007"/>
    <n v="0.75"/>
    <n v="-12.399999999999991"/>
    <n v="12.399999999999991"/>
    <x v="0"/>
    <n v="50.422999999999995"/>
    <n v="0"/>
    <n v="1"/>
  </r>
  <r>
    <s v="AJEET KUMAR"/>
    <d v="2026-06-24T00:00:00"/>
    <s v="RTN-8924977"/>
    <s v="SR-42652"/>
    <s v="CAST-FILLING"/>
    <s v="GOLD-FILLING-WK"/>
    <x v="1"/>
    <s v="G-NA-75.00-RG"/>
    <n v="79.78"/>
    <n v="59.835000000000001"/>
    <n v="0.75"/>
    <n v="74.62"/>
    <n v="55.965000000000003"/>
    <n v="55.965000000000003"/>
    <n v="0.75"/>
    <n v="0"/>
    <n v="0"/>
    <n v="0"/>
    <n v="0"/>
    <n v="0"/>
    <n v="0"/>
    <n v="0"/>
    <n v="0"/>
    <n v="0"/>
    <n v="5.16"/>
    <n v="3.87"/>
    <n v="0.75"/>
    <n v="-5.1599999999999966"/>
    <n v="5.1599999999999966"/>
    <x v="0"/>
    <n v="55.965000000000003"/>
    <n v="0"/>
    <n v="1"/>
  </r>
  <r>
    <s v="AJEET KUMAR"/>
    <d v="2026-06-24T00:00:00"/>
    <s v="SR-RTN/26-27/42431"/>
    <s v="B-301972"/>
    <s v="B-GOLD-FILING"/>
    <s v="GOLD-FILLING-WK"/>
    <x v="0"/>
    <s v="G-NA-91.70-YG"/>
    <n v="365.04"/>
    <n v="334.74167999999997"/>
    <n v="0.91699999999999993"/>
    <n v="364.86"/>
    <n v="334.57661999999999"/>
    <n v="334.577"/>
    <n v="0.91699999999999993"/>
    <n v="0"/>
    <n v="0"/>
    <n v="0"/>
    <n v="0"/>
    <n v="0"/>
    <n v="0"/>
    <n v="0"/>
    <n v="0"/>
    <n v="0"/>
    <n v="0.18"/>
    <n v="0.16506000000000001"/>
    <n v="0.91700000000000015"/>
    <n v="-0.18000000000000682"/>
    <n v="0.18000000000000682"/>
    <x v="1"/>
    <n v="333.50399999999996"/>
    <n v="1.0730000000000359"/>
    <n v="3"/>
  </r>
  <r>
    <s v="AJEET KUMAR"/>
    <d v="2026-06-24T00:00:00"/>
    <s v="SR-RTN/26-27/42442"/>
    <s v="B-300899"/>
    <s v="B-GOLD-FILING"/>
    <s v="GOLD-FILLING-WK"/>
    <x v="0"/>
    <s v="G-NA-91.70-YG"/>
    <n v="51.02"/>
    <n v="46.785339999999998"/>
    <n v="0.91699999999999993"/>
    <n v="46.47"/>
    <n v="42.612990000000003"/>
    <n v="42.613"/>
    <n v="0.91700000000000015"/>
    <n v="0"/>
    <n v="0"/>
    <n v="0"/>
    <n v="0"/>
    <n v="0"/>
    <n v="0"/>
    <n v="0"/>
    <n v="0"/>
    <n v="0"/>
    <n v="4.55"/>
    <n v="4.1723499999999998"/>
    <n v="0.91700000000000004"/>
    <n v="-4.5500000000000043"/>
    <n v="4.5500000000000043"/>
    <x v="0"/>
    <n v="42.613"/>
    <n v="0"/>
    <n v="1"/>
  </r>
  <r>
    <s v="AJEET KUMAR"/>
    <d v="2026-06-24T00:00:00"/>
    <s v="SR-RTN/26-27/42443"/>
    <s v="B-302899"/>
    <s v="B-GOLD-FILING"/>
    <s v="GOLD-FILLING-WK"/>
    <x v="1"/>
    <s v="G-NA-75.00-RG"/>
    <n v="36.380000000000003"/>
    <n v="27.285"/>
    <n v="0.75"/>
    <n v="33.340000000000003"/>
    <n v="25.004999999999999"/>
    <n v="25.004999999999999"/>
    <n v="0.74999999999999989"/>
    <n v="0"/>
    <n v="0"/>
    <n v="0"/>
    <n v="0"/>
    <n v="0"/>
    <n v="0"/>
    <n v="0"/>
    <n v="0"/>
    <n v="0"/>
    <n v="3.04"/>
    <n v="2.2799999999999998"/>
    <n v="0.74999999999999989"/>
    <n v="-3.0399999999999991"/>
    <n v="3.0399999999999991"/>
    <x v="0"/>
    <n v="25.004999999999999"/>
    <n v="0"/>
    <n v="1"/>
  </r>
  <r>
    <s v="AJEET KUMAR"/>
    <d v="2026-06-24T00:00:00"/>
    <s v="SR-RTN/26-27/42444"/>
    <s v="B-302536"/>
    <s v="B-GOLD-FILING"/>
    <s v="GOLD-FILLING-WK"/>
    <x v="1"/>
    <s v="G-NA-75.00-RG"/>
    <n v="18.829999999999998"/>
    <n v="14.1225"/>
    <n v="0.75000000000000011"/>
    <n v="16.73"/>
    <n v="12.547499999999999"/>
    <n v="12.548"/>
    <n v="0.75"/>
    <n v="0"/>
    <n v="0"/>
    <n v="0"/>
    <n v="0"/>
    <n v="0"/>
    <n v="0"/>
    <n v="0"/>
    <n v="0"/>
    <n v="0"/>
    <n v="2.1"/>
    <n v="1.575"/>
    <n v="0.75"/>
    <n v="-2.0999999999999979"/>
    <n v="2.0999999999999979"/>
    <x v="0"/>
    <n v="12.548"/>
    <n v="0"/>
    <n v="1"/>
  </r>
  <r>
    <s v="AJEET KUMAR"/>
    <d v="2026-06-24T00:00:00"/>
    <s v="SR-RTN/26-27/42445"/>
    <s v="B-299730"/>
    <s v="B-GOLD-FILING"/>
    <s v="GOLD-FILLING-WK"/>
    <x v="0"/>
    <s v="G-NA-91.70-YG"/>
    <n v="113.14"/>
    <n v="103.74938"/>
    <n v="0.91700000000000004"/>
    <n v="105.81"/>
    <n v="97.027770000000004"/>
    <n v="97.028000000000006"/>
    <n v="0.91700000000000004"/>
    <n v="0"/>
    <n v="0"/>
    <n v="0"/>
    <n v="0"/>
    <n v="0"/>
    <n v="0"/>
    <n v="0"/>
    <n v="0"/>
    <n v="0"/>
    <n v="7.33"/>
    <n v="6.7216100000000001"/>
    <n v="0.91700000000000004"/>
    <n v="-7.3299999999999983"/>
    <n v="7.3299999999999983"/>
    <x v="0"/>
    <n v="97.028000000000006"/>
    <n v="0"/>
    <n v="1"/>
  </r>
  <r>
    <s v="AJEET KUMAR"/>
    <d v="2026-06-24T00:00:00"/>
    <s v="SR-RTN/26-27/42446"/>
    <s v="B-299786"/>
    <s v="B-GOLD-FILING"/>
    <s v="GOLD-FILLING-WK"/>
    <x v="0"/>
    <s v="G-NA-91.70-YG"/>
    <n v="1.93"/>
    <n v="1.7698100000000001"/>
    <n v="0.91700000000000004"/>
    <n v="1.88"/>
    <n v="1.7239599999999999"/>
    <n v="1.724"/>
    <n v="0.91700000000000004"/>
    <n v="0"/>
    <n v="0"/>
    <n v="0"/>
    <n v="0"/>
    <n v="0"/>
    <n v="0"/>
    <n v="0"/>
    <n v="0"/>
    <n v="0"/>
    <n v="0.05"/>
    <n v="4.5850000000000002E-2"/>
    <n v="0.91700000000000004"/>
    <n v="-5.0000000000000044E-2"/>
    <n v="5.0000000000000044E-2"/>
    <x v="0"/>
    <n v="1.724"/>
    <n v="0"/>
    <n v="1"/>
  </r>
  <r>
    <s v="AJEET KUMAR"/>
    <d v="2026-06-24T00:00:00"/>
    <s v="SR-RTN/26-27/42447"/>
    <s v="B-299777"/>
    <s v="B-GOLD-FILING"/>
    <s v="GOLD-FILLING-WK"/>
    <x v="0"/>
    <s v="G-NA-91.70-YG"/>
    <n v="2.37"/>
    <n v="2.1732900000000002"/>
    <n v="0.91700000000000004"/>
    <n v="2.29"/>
    <n v="2.0999300000000001"/>
    <n v="2.1"/>
    <n v="0.91700000000000004"/>
    <n v="0"/>
    <n v="0"/>
    <n v="0"/>
    <n v="0"/>
    <n v="0"/>
    <n v="0"/>
    <n v="0"/>
    <n v="0"/>
    <n v="0"/>
    <n v="0.08"/>
    <n v="7.3359999999999995E-2"/>
    <n v="0.91699999999999993"/>
    <n v="-8.0000000000000071E-2"/>
    <n v="8.0000000000000071E-2"/>
    <x v="0"/>
    <n v="2.1"/>
    <n v="0"/>
    <n v="1"/>
  </r>
  <r>
    <s v="AJEET KUMAR"/>
    <d v="2026-06-24T00:00:00"/>
    <s v="SR-RTN/26-27/42448"/>
    <s v="B-301854"/>
    <s v="B-GOLD-FILING"/>
    <s v="GOLD-FILLING-WK"/>
    <x v="1"/>
    <s v="G-NA-75.00-YG"/>
    <n v="24.72"/>
    <n v="18.54"/>
    <n v="0.75"/>
    <n v="22.52"/>
    <n v="16.89"/>
    <n v="16.89"/>
    <n v="0.75"/>
    <n v="0"/>
    <n v="0"/>
    <n v="0"/>
    <n v="0"/>
    <n v="0"/>
    <n v="0"/>
    <n v="0"/>
    <n v="0"/>
    <n v="0"/>
    <n v="2.2000000000000002"/>
    <n v="1.65"/>
    <n v="0.74999999999999989"/>
    <n v="-2.1999999999999993"/>
    <n v="2.1999999999999993"/>
    <x v="0"/>
    <n v="16.89"/>
    <n v="0"/>
    <n v="1"/>
  </r>
  <r>
    <s v="AJEET KUMAR"/>
    <d v="2026-06-24T00:00:00"/>
    <s v="SR-RTN/26-27/42449"/>
    <s v="B-300977"/>
    <s v="B-GOLD-FILING"/>
    <s v="GOLD-FILLING-WK"/>
    <x v="0"/>
    <s v="G-NA-91.70-YG"/>
    <n v="45.47"/>
    <n v="41.695990000000002"/>
    <n v="0.91700000000000004"/>
    <n v="43.11"/>
    <n v="39.531869999999998"/>
    <n v="39.531999999999996"/>
    <n v="0.91699999999999993"/>
    <n v="0"/>
    <n v="0"/>
    <n v="0"/>
    <n v="0"/>
    <n v="0"/>
    <n v="0"/>
    <n v="0"/>
    <n v="0"/>
    <n v="0"/>
    <n v="2.36"/>
    <n v="2.16412"/>
    <n v="0.91700000000000004"/>
    <n v="-2.3599999999999994"/>
    <n v="2.3599999999999994"/>
    <x v="0"/>
    <n v="39.531999999999996"/>
    <n v="0"/>
    <n v="1"/>
  </r>
  <r>
    <s v="AJEET KUMAR"/>
    <d v="2026-06-24T00:00:00"/>
    <s v="SR-RTN/26-27/42450"/>
    <s v="B-300748/1"/>
    <s v="B-GOLD-FILING"/>
    <s v="GOLD-FILLING-WK"/>
    <x v="0"/>
    <s v="G-NA-91.70-YG"/>
    <n v="57.5"/>
    <n v="52.727499999999999"/>
    <n v="0.91700000000000004"/>
    <n v="54.76"/>
    <n v="50.214919999999999"/>
    <n v="50.214999999999996"/>
    <n v="0.91700000000000004"/>
    <n v="0"/>
    <n v="0"/>
    <n v="0"/>
    <n v="0"/>
    <n v="0"/>
    <n v="0"/>
    <n v="0"/>
    <n v="0"/>
    <n v="0"/>
    <n v="2.74"/>
    <n v="2.5125799999999998"/>
    <n v="0.91699999999999982"/>
    <n v="-2.740000000000002"/>
    <n v="2.740000000000002"/>
    <x v="0"/>
    <n v="50.214999999999996"/>
    <n v="0"/>
    <n v="1"/>
  </r>
  <r>
    <s v="AJEET KUMAR"/>
    <d v="2026-06-24T00:00:00"/>
    <s v="SR-RTN/26-27/42451"/>
    <s v="B-302523"/>
    <s v="B-GOLD-FILING"/>
    <s v="GOLD-FILLING-WK"/>
    <x v="0"/>
    <s v="G-NA-91.70-YG"/>
    <n v="22.45"/>
    <n v="20.586649999999999"/>
    <n v="0.91699999999999993"/>
    <n v="21.55"/>
    <n v="19.76135"/>
    <n v="19.762"/>
    <n v="0.91699999999999993"/>
    <n v="0"/>
    <n v="0"/>
    <n v="0"/>
    <n v="0"/>
    <n v="0"/>
    <n v="0"/>
    <n v="0"/>
    <n v="0"/>
    <n v="0"/>
    <n v="0.9"/>
    <n v="0.82530000000000003"/>
    <n v="0.91700000000000004"/>
    <n v="-0.89999999999999858"/>
    <n v="0.89999999999999858"/>
    <x v="0"/>
    <n v="19.762"/>
    <n v="0"/>
    <n v="1"/>
  </r>
  <r>
    <s v="AJEET KUMAR"/>
    <d v="2026-06-24T00:00:00"/>
    <s v="SR-RTN/26-27/42453"/>
    <s v="B-299781"/>
    <s v="B-GOLD-FILING"/>
    <s v="GOLD-FILLING-WK"/>
    <x v="0"/>
    <s v="G-NA-91.70-YG"/>
    <n v="2.08"/>
    <n v="1.9073599999999999"/>
    <n v="0.91699999999999993"/>
    <n v="2.06"/>
    <n v="1.8890199999999999"/>
    <n v="1.89"/>
    <n v="0.91699999999999993"/>
    <n v="0"/>
    <n v="0"/>
    <n v="0"/>
    <n v="0"/>
    <n v="0"/>
    <n v="0"/>
    <n v="0"/>
    <n v="0"/>
    <n v="0"/>
    <n v="0.02"/>
    <n v="1.8339999999999999E-2"/>
    <n v="0.91699999999999993"/>
    <n v="-2.0000000000000018E-2"/>
    <n v="2.0000000000000018E-2"/>
    <x v="0"/>
    <n v="1.89"/>
    <n v="0"/>
    <n v="1"/>
  </r>
  <r>
    <s v="AJEET KUMAR"/>
    <d v="2026-06-24T00:00:00"/>
    <s v="SR-RTN/26-27/42455"/>
    <s v="B-302568"/>
    <s v="B-GOLD-FILING"/>
    <s v="GOLD-FILLING-WK"/>
    <x v="1"/>
    <s v="G-NA-75.00-YG"/>
    <n v="26.44"/>
    <n v="19.829999999999998"/>
    <n v="0.74999999999999989"/>
    <n v="24.94"/>
    <n v="18.704999999999998"/>
    <n v="18.704999999999998"/>
    <n v="0.74999999999999989"/>
    <n v="0"/>
    <n v="0"/>
    <n v="0"/>
    <n v="0"/>
    <n v="0"/>
    <n v="0"/>
    <n v="0"/>
    <n v="0"/>
    <n v="0"/>
    <n v="1.5"/>
    <n v="1.125"/>
    <n v="0.75"/>
    <n v="-1.5"/>
    <n v="1.5"/>
    <x v="0"/>
    <n v="18.704999999999998"/>
    <n v="0"/>
    <n v="1"/>
  </r>
  <r>
    <s v="AJEET KUMAR"/>
    <d v="2026-06-24T00:00:00"/>
    <s v="SR-RTN/26-27/42456"/>
    <s v="B-301974"/>
    <s v="B-GOLD-FILING"/>
    <s v="GOLD-FILLING-WK"/>
    <x v="0"/>
    <s v="G-NA-91.70-YG"/>
    <n v="37.840000000000003"/>
    <n v="34.699280000000002"/>
    <n v="0.91699999999999993"/>
    <n v="36.53"/>
    <n v="33.498010000000001"/>
    <n v="33.498999999999995"/>
    <n v="0.91700000000000004"/>
    <n v="0"/>
    <n v="0"/>
    <n v="0"/>
    <n v="0"/>
    <n v="0"/>
    <n v="0"/>
    <n v="0"/>
    <n v="0"/>
    <n v="0"/>
    <n v="1.31"/>
    <n v="1.2012700000000001"/>
    <n v="0.91700000000000004"/>
    <n v="-1.3100000000000023"/>
    <n v="1.3100000000000023"/>
    <x v="0"/>
    <n v="33.498999999999995"/>
    <n v="0"/>
    <n v="1"/>
  </r>
  <r>
    <s v="AJEET KUMAR"/>
    <d v="2026-06-24T00:00:00"/>
    <s v="SR-RTN/26-27/42457"/>
    <s v="B-299776"/>
    <s v="B-GOLD-FILING"/>
    <s v="GOLD-FILLING-WK"/>
    <x v="0"/>
    <s v="G-NA-91.70-YG"/>
    <n v="1.97"/>
    <n v="1.8064899999999999"/>
    <n v="0.91699999999999993"/>
    <n v="1.91"/>
    <n v="1.7514700000000001"/>
    <n v="1.7519999999999998"/>
    <n v="0.91700000000000004"/>
    <n v="0"/>
    <n v="0"/>
    <n v="0"/>
    <n v="0"/>
    <n v="0"/>
    <n v="0"/>
    <n v="0"/>
    <n v="0"/>
    <n v="0"/>
    <n v="0.06"/>
    <n v="5.5019999999999999E-2"/>
    <n v="0.91700000000000004"/>
    <n v="-6.0000000000000053E-2"/>
    <n v="6.0000000000000053E-2"/>
    <x v="0"/>
    <n v="1.7519999999999998"/>
    <n v="0"/>
    <n v="1"/>
  </r>
  <r>
    <s v="AJEET KUMAR"/>
    <d v="2026-06-24T00:00:00"/>
    <s v="SR-RTN/26-27/42458"/>
    <s v="B-303074"/>
    <s v="B-GOLD-FILING"/>
    <s v="GOLD-FILLING-WK"/>
    <x v="0"/>
    <s v="G-NA-91.70-YG"/>
    <n v="12.96"/>
    <n v="11.884320000000001"/>
    <n v="0.91700000000000004"/>
    <n v="12.83"/>
    <n v="11.76511"/>
    <n v="11.766"/>
    <n v="0.91700000000000004"/>
    <n v="0"/>
    <n v="0"/>
    <n v="0"/>
    <n v="0"/>
    <n v="0"/>
    <n v="0"/>
    <n v="0"/>
    <n v="0"/>
    <n v="0"/>
    <n v="0.13"/>
    <n v="0.11921"/>
    <n v="0.91699999999999993"/>
    <n v="-0.13000000000000078"/>
    <n v="0.13000000000000078"/>
    <x v="0"/>
    <n v="11.766"/>
    <n v="0"/>
    <n v="2"/>
  </r>
  <r>
    <s v="AJEET KUMAR"/>
    <d v="2026-06-24T00:00:00"/>
    <s v="SR-RTN/26-27/42460"/>
    <s v="B-303069"/>
    <s v="B-GOLD-FILING"/>
    <s v="GOLD-FILLING-WK"/>
    <x v="0"/>
    <s v="G-NA-91.70-YG"/>
    <n v="32.43"/>
    <n v="29.738309999999998"/>
    <n v="0.91699999999999993"/>
    <n v="29.91"/>
    <n v="27.42747"/>
    <n v="27.428000000000001"/>
    <n v="0.91699999999999993"/>
    <n v="0"/>
    <n v="0"/>
    <n v="0"/>
    <n v="0"/>
    <n v="0"/>
    <n v="0"/>
    <n v="0"/>
    <n v="0"/>
    <n v="0"/>
    <n v="2.52"/>
    <n v="2.3108399999999998"/>
    <n v="0.91699999999999993"/>
    <n v="-2.5199999999999996"/>
    <n v="2.5199999999999996"/>
    <x v="0"/>
    <n v="27.428000000000001"/>
    <n v="0"/>
    <n v="1"/>
  </r>
  <r>
    <s v="AJEET KUMAR"/>
    <d v="2026-06-24T00:00:00"/>
    <s v="SR-RTN/26-27/42461"/>
    <s v="B-302569"/>
    <s v="B-GOLD-FILING"/>
    <s v="GOLD-FILLING-WK"/>
    <x v="1"/>
    <s v="G-NA-75.00-YG"/>
    <n v="27.93"/>
    <n v="20.947500000000002"/>
    <n v="0.75000000000000011"/>
    <n v="26.41"/>
    <n v="19.807500000000001"/>
    <n v="19.808"/>
    <n v="0.75"/>
    <n v="0"/>
    <n v="0"/>
    <n v="0"/>
    <n v="0"/>
    <n v="0"/>
    <n v="0"/>
    <n v="0"/>
    <n v="0"/>
    <n v="0"/>
    <n v="1.52"/>
    <n v="1.1399999999999999"/>
    <n v="0.74999999999999989"/>
    <n v="-1.5199999999999996"/>
    <n v="1.5199999999999996"/>
    <x v="0"/>
    <n v="19.808"/>
    <n v="0"/>
    <n v="1"/>
  </r>
  <r>
    <s v="AJEET KUMAR"/>
    <d v="2026-06-24T00:00:00"/>
    <s v="SR-RTN/26-27/42462"/>
    <s v="B-301845"/>
    <s v="B-GOLD-FILING"/>
    <s v="GOLD-FILLING-WK"/>
    <x v="1"/>
    <s v="G-NA-75.00-YG"/>
    <n v="22.82"/>
    <n v="17.114999999999998"/>
    <n v="0.74999999999999989"/>
    <n v="21.42"/>
    <n v="16.065000000000001"/>
    <n v="16.065000000000001"/>
    <n v="0.75"/>
    <n v="0"/>
    <n v="0"/>
    <n v="0"/>
    <n v="0"/>
    <n v="0"/>
    <n v="0"/>
    <n v="0"/>
    <n v="0"/>
    <n v="0"/>
    <n v="1.4"/>
    <n v="1.05"/>
    <n v="0.75000000000000011"/>
    <n v="-1.3999999999999986"/>
    <n v="1.3999999999999986"/>
    <x v="0"/>
    <n v="16.065000000000001"/>
    <n v="0"/>
    <n v="1"/>
  </r>
  <r>
    <s v="AJEET KUMAR"/>
    <d v="2026-06-24T00:00:00"/>
    <s v="SR-RTN/26-27/42463"/>
    <s v="B-303075"/>
    <s v="B-GOLD-FILING"/>
    <s v="GOLD-FILLING-WK"/>
    <x v="0"/>
    <s v="G-NA-91.70-YG"/>
    <n v="55.37"/>
    <n v="50.774290000000001"/>
    <n v="0.91700000000000004"/>
    <n v="51.37"/>
    <n v="47.106290000000001"/>
    <n v="47.106999999999999"/>
    <n v="0.91700000000000004"/>
    <n v="0"/>
    <n v="0"/>
    <n v="0"/>
    <n v="0"/>
    <n v="0"/>
    <n v="0"/>
    <n v="0"/>
    <n v="0"/>
    <n v="0"/>
    <n v="4"/>
    <n v="3.6680000000000001"/>
    <n v="0.91700000000000004"/>
    <n v="-4"/>
    <n v="4"/>
    <x v="0"/>
    <n v="47.106999999999999"/>
    <n v="0"/>
    <n v="2"/>
  </r>
  <r>
    <s v="AJEET KUMAR"/>
    <d v="2026-06-24T00:00:00"/>
    <s v="SR-RTN/26-27/42467"/>
    <s v="B-299779"/>
    <s v="B-GOLD-FILING"/>
    <s v="GOLD-FILLING-WK"/>
    <x v="0"/>
    <s v="G-NA-91.70-YG"/>
    <n v="3.04"/>
    <n v="2.7876799999999999"/>
    <n v="0.91699999999999993"/>
    <n v="2.92"/>
    <n v="2.6776399999999998"/>
    <n v="2.6779999999999999"/>
    <n v="0.91699999999999993"/>
    <n v="0"/>
    <n v="0"/>
    <n v="0"/>
    <n v="0"/>
    <n v="0"/>
    <n v="0"/>
    <n v="0"/>
    <n v="0"/>
    <n v="0"/>
    <n v="0.12"/>
    <n v="0.11004"/>
    <n v="0.91700000000000004"/>
    <n v="-0.12000000000000011"/>
    <n v="0.12000000000000011"/>
    <x v="0"/>
    <n v="2.6779999999999999"/>
    <n v="0"/>
    <n v="1"/>
  </r>
  <r>
    <s v="AJEET KUMAR"/>
    <d v="2026-06-24T00:00:00"/>
    <s v="SR-RTN/26-27/42468"/>
    <s v="B-299787"/>
    <s v="B-GOLD-FILING"/>
    <s v="GOLD-FILLING-WK"/>
    <x v="0"/>
    <s v="G-NA-91.70-YG"/>
    <n v="2.1800000000000002"/>
    <n v="1.9990600000000001"/>
    <n v="0.91699999999999993"/>
    <n v="2.06"/>
    <n v="1.8890199999999999"/>
    <n v="1.89"/>
    <n v="0.91699999999999993"/>
    <n v="0"/>
    <n v="0"/>
    <n v="0"/>
    <n v="0"/>
    <n v="0"/>
    <n v="0"/>
    <n v="0"/>
    <n v="0"/>
    <n v="0"/>
    <n v="0.12"/>
    <n v="0.11004"/>
    <n v="0.91700000000000004"/>
    <n v="-0.12000000000000011"/>
    <n v="0.12000000000000011"/>
    <x v="0"/>
    <n v="1.89"/>
    <n v="0"/>
    <n v="1"/>
  </r>
  <r>
    <s v="AJEET KUMAR"/>
    <d v="2026-06-24T00:00:00"/>
    <s v="SR-RTN/26-27/42471"/>
    <s v="B-301970"/>
    <s v="B-GOLD-FILING"/>
    <s v="GOLD-FILLING-WK"/>
    <x v="0"/>
    <s v="G-NA-91.70-YG"/>
    <n v="314.85000000000002"/>
    <n v="288.71744999999999"/>
    <n v="0.91699999999999993"/>
    <n v="314.10000000000002"/>
    <n v="288.02969999999999"/>
    <n v="288.02999999999997"/>
    <n v="0.91699999999999993"/>
    <n v="0"/>
    <n v="0"/>
    <n v="0"/>
    <n v="0"/>
    <n v="0"/>
    <n v="0"/>
    <n v="0"/>
    <n v="0"/>
    <n v="0"/>
    <n v="0.75"/>
    <n v="0.68774999999999997"/>
    <n v="0.91699999999999993"/>
    <n v="-0.75"/>
    <n v="0.75"/>
    <x v="1"/>
    <n v="287.20499999999998"/>
    <n v="0.82499999999998863"/>
    <n v="3"/>
  </r>
  <r>
    <s v="AJEET KUMAR"/>
    <d v="2026-06-24T00:00:00"/>
    <s v="SR-RTN/26-27/42479"/>
    <s v="B-299784"/>
    <s v="B-GOLD-FILING"/>
    <s v="GOLD-FILLING-WK"/>
    <x v="0"/>
    <s v="G-NA-91.70-YG"/>
    <n v="2.27"/>
    <n v="2.0815899999999998"/>
    <n v="0.91699999999999993"/>
    <n v="2.17"/>
    <n v="1.9898899999999999"/>
    <n v="1.99"/>
    <n v="0.91700000000000004"/>
    <n v="0"/>
    <n v="0"/>
    <n v="0"/>
    <n v="0"/>
    <n v="0"/>
    <n v="0"/>
    <n v="0"/>
    <n v="0"/>
    <n v="0"/>
    <n v="0.1"/>
    <n v="9.1700000000000004E-2"/>
    <n v="0.91700000000000004"/>
    <n v="-0.10000000000000009"/>
    <n v="0.10000000000000009"/>
    <x v="0"/>
    <n v="1.99"/>
    <n v="0"/>
    <n v="1"/>
  </r>
  <r>
    <s v="AJEET KUMAR"/>
    <d v="2026-06-24T00:00:00"/>
    <s v="SR-RTN/26-27/42479"/>
    <s v="B-300777"/>
    <s v="B-GOLD-FILING"/>
    <s v="GOLD-FILLING-WK"/>
    <x v="0"/>
    <s v="G-NA-91.70-YG"/>
    <n v="132.33000000000001"/>
    <n v="121.34661"/>
    <n v="0.91699999999999993"/>
    <n v="120.87"/>
    <n v="110.83779"/>
    <n v="110.83800000000001"/>
    <n v="0.91699999999999993"/>
    <n v="0"/>
    <n v="0"/>
    <n v="0"/>
    <n v="0"/>
    <n v="0"/>
    <n v="0"/>
    <n v="0"/>
    <n v="0"/>
    <n v="0"/>
    <n v="11.46"/>
    <n v="10.50882"/>
    <n v="0.91699999999999993"/>
    <n v="-11.460000000000008"/>
    <n v="11.460000000000008"/>
    <x v="1"/>
    <n v="104.15300000000001"/>
    <n v="6.6850000000000023"/>
    <n v="2"/>
  </r>
  <r>
    <s v="AJEET KUMAR"/>
    <d v="2026-06-24T00:00:00"/>
    <s v="SR-RTN/26-27/42487"/>
    <s v="B-295820"/>
    <s v="B-GOLD-FILING"/>
    <s v="GOLD-FILLING-WK"/>
    <x v="0"/>
    <s v="G-NA-91.70-YG"/>
    <n v="3.72"/>
    <n v="3.4112399999999998"/>
    <n v="0.91699999999999993"/>
    <n v="3.14"/>
    <n v="2.8793799999999998"/>
    <n v="2.88"/>
    <n v="0.91699999999999993"/>
    <n v="0"/>
    <n v="0"/>
    <n v="0"/>
    <n v="0"/>
    <n v="0"/>
    <n v="0"/>
    <n v="0"/>
    <n v="0"/>
    <n v="0"/>
    <n v="0.57999999999999996"/>
    <n v="0.53186"/>
    <n v="0.91700000000000004"/>
    <n v="-0.58000000000000007"/>
    <n v="0.58000000000000007"/>
    <x v="0"/>
    <n v="2.88"/>
    <n v="0"/>
    <n v="2"/>
  </r>
  <r>
    <s v="AJEET KUMAR"/>
    <d v="2026-06-24T00:00:00"/>
    <s v="SR-RTN/26-27/42489"/>
    <s v="B-300910"/>
    <s v="B-GOLD-FILING"/>
    <s v="GOLD-FILLING-WK"/>
    <x v="0"/>
    <s v="G-NA-91.70-YG"/>
    <n v="44.18"/>
    <n v="40.513060000000003"/>
    <n v="0.91700000000000004"/>
    <n v="41.98"/>
    <n v="38.495660000000001"/>
    <n v="38.495999999999995"/>
    <n v="0.91700000000000004"/>
    <n v="0"/>
    <n v="0"/>
    <n v="0"/>
    <n v="0"/>
    <n v="0"/>
    <n v="0"/>
    <n v="0"/>
    <n v="0"/>
    <n v="0"/>
    <n v="2.2000000000000002"/>
    <n v="2.0173999999999999"/>
    <n v="0.91699999999999982"/>
    <n v="-2.2000000000000028"/>
    <n v="2.2000000000000028"/>
    <x v="0"/>
    <n v="38.495999999999995"/>
    <n v="0"/>
    <n v="1"/>
  </r>
  <r>
    <s v="AJEET KUMAR"/>
    <d v="2026-06-24T00:00:00"/>
    <s v="SR-RTN/26-27/42493"/>
    <s v="B-300904"/>
    <s v="B-GOLD-FILING"/>
    <s v="GOLD-FILLING-WK"/>
    <x v="0"/>
    <s v="G-NA-91.70-YG"/>
    <n v="62.18"/>
    <n v="57.019060000000003"/>
    <n v="0.91700000000000004"/>
    <n v="58.6"/>
    <n v="53.736199999999997"/>
    <n v="53.736999999999995"/>
    <n v="0.91699999999999993"/>
    <n v="0"/>
    <n v="0"/>
    <n v="0"/>
    <n v="0"/>
    <n v="0"/>
    <n v="0"/>
    <n v="0"/>
    <n v="0"/>
    <n v="0"/>
    <n v="3.58"/>
    <n v="3.2828599999999999"/>
    <n v="0.91699999999999993"/>
    <n v="-3.5799999999999983"/>
    <n v="3.5799999999999983"/>
    <x v="0"/>
    <n v="53.736999999999995"/>
    <n v="0"/>
    <n v="1"/>
  </r>
  <r>
    <s v="AJEET KUMAR"/>
    <d v="2026-06-24T00:00:00"/>
    <s v="SR-RTN/26-27/42506"/>
    <s v="B-299778"/>
    <s v="B-GOLD-FILING"/>
    <s v="GOLD-FILLING-WK"/>
    <x v="0"/>
    <s v="G-NA-91.70-YG"/>
    <n v="12.34"/>
    <n v="11.31578"/>
    <n v="0.91700000000000004"/>
    <n v="11.83"/>
    <n v="10.84811"/>
    <n v="10.849"/>
    <n v="0.91700000000000004"/>
    <n v="0"/>
    <n v="0"/>
    <n v="0"/>
    <n v="0"/>
    <n v="0"/>
    <n v="0"/>
    <n v="0"/>
    <n v="0"/>
    <n v="0"/>
    <n v="0.51"/>
    <n v="0.46766999999999997"/>
    <n v="0.91699999999999993"/>
    <n v="-0.50999999999999979"/>
    <n v="0.50999999999999979"/>
    <x v="1"/>
    <n v="10.619"/>
    <n v="0.23000000000000043"/>
    <n v="2"/>
  </r>
  <r>
    <s v="AJEET KUMAR"/>
    <d v="2026-06-24T00:00:00"/>
    <s v="SR-RTN/26-27/42507"/>
    <s v="B-299775"/>
    <s v="B-GOLD-FILING"/>
    <s v="GOLD-FILLING-WK"/>
    <x v="0"/>
    <s v="G-NA-91.70-YG"/>
    <n v="15.3"/>
    <n v="14.030099999999999"/>
    <n v="0.91699999999999993"/>
    <n v="14.75"/>
    <n v="13.52575"/>
    <n v="13.526"/>
    <n v="0.91700000000000004"/>
    <n v="0"/>
    <n v="0"/>
    <n v="0"/>
    <n v="0"/>
    <n v="0"/>
    <n v="0"/>
    <n v="0"/>
    <n v="0"/>
    <n v="0"/>
    <n v="0.55000000000000004"/>
    <n v="0.50434999999999997"/>
    <n v="0.91699999999999982"/>
    <n v="-0.55000000000000071"/>
    <n v="0.55000000000000071"/>
    <x v="1"/>
    <n v="13.141"/>
    <n v="0.38499999999999979"/>
    <n v="2"/>
  </r>
  <r>
    <s v="AJEET KUMAR"/>
    <d v="2026-06-24T00:00:00"/>
    <s v="SR-RTN/26-27/42510"/>
    <s v="B-300751"/>
    <s v="B-GOLD-FILING"/>
    <s v="GOLD-FILLING-WK"/>
    <x v="0"/>
    <s v="G-NA-91.70-YG"/>
    <n v="35.74"/>
    <n v="32.773580000000003"/>
    <n v="0.91700000000000004"/>
    <n v="32.74"/>
    <n v="30.022580000000001"/>
    <n v="30.023"/>
    <n v="0.91700000000000004"/>
    <n v="0"/>
    <n v="0"/>
    <n v="0"/>
    <n v="0"/>
    <n v="0"/>
    <n v="0"/>
    <n v="0"/>
    <n v="0"/>
    <n v="0"/>
    <n v="3"/>
    <n v="2.7509999999999999"/>
    <n v="0.91699999999999993"/>
    <n v="-3"/>
    <n v="3"/>
    <x v="0"/>
    <n v="30.023"/>
    <n v="0"/>
    <n v="1"/>
  </r>
  <r>
    <s v="AJEET KUMAR"/>
    <d v="2026-06-24T00:00:00"/>
    <s v="SR-RTN/26-27/42514"/>
    <s v="B-299735"/>
    <s v="B-GOLD-FILING"/>
    <s v="GOLD-FILLING-WK"/>
    <x v="0"/>
    <s v="G-NA-91.70-YG"/>
    <n v="200.08"/>
    <n v="183.47336000000001"/>
    <n v="0.91700000000000004"/>
    <n v="191.19"/>
    <n v="175.32123000000001"/>
    <n v="175.322"/>
    <n v="0.91700000000000004"/>
    <n v="0"/>
    <n v="0"/>
    <n v="0"/>
    <n v="0"/>
    <n v="0"/>
    <n v="0"/>
    <n v="0"/>
    <n v="0"/>
    <n v="0"/>
    <n v="8.89"/>
    <n v="8.1521299999999997"/>
    <n v="0.91699999999999993"/>
    <n v="-8.8900000000000148"/>
    <n v="8.8900000000000148"/>
    <x v="0"/>
    <n v="175.322"/>
    <n v="0"/>
    <n v="1"/>
  </r>
  <r>
    <s v="AJEET KUMAR"/>
    <d v="2026-06-24T00:00:00"/>
    <s v="SR-RTN/26-27/42516"/>
    <s v="B-303134"/>
    <s v="B-GOLD-FILING"/>
    <s v="GOLD-FILLING-WK"/>
    <x v="1"/>
    <s v="G-NA-75.00-RG"/>
    <n v="43.2"/>
    <n v="32.4"/>
    <n v="0.74999999999999989"/>
    <n v="41.32"/>
    <n v="30.99"/>
    <n v="30.99"/>
    <n v="0.75"/>
    <n v="0"/>
    <n v="0"/>
    <n v="0"/>
    <n v="0"/>
    <n v="0"/>
    <n v="0"/>
    <n v="0"/>
    <n v="0"/>
    <n v="0"/>
    <n v="1.88"/>
    <n v="1.41"/>
    <n v="0.75"/>
    <n v="-1.8800000000000026"/>
    <n v="1.8800000000000026"/>
    <x v="0"/>
    <n v="30.99"/>
    <n v="0"/>
    <n v="1"/>
  </r>
  <r>
    <s v="AJEET KUMAR"/>
    <d v="2026-06-24T00:00:00"/>
    <s v="SR-RTN/26-27/42518"/>
    <s v="B-303038"/>
    <s v="B-GOLD-FILING"/>
    <s v="GOLD-FILLING-WK"/>
    <x v="0"/>
    <s v="G-NA-91.70-YG"/>
    <n v="9.6560000000000006"/>
    <n v="8.854552"/>
    <n v="0.91699999999999993"/>
    <n v="8.9659999999999993"/>
    <n v="8.2218219999999995"/>
    <n v="8.2219999999999995"/>
    <n v="0.91700000000000004"/>
    <n v="0"/>
    <n v="0"/>
    <n v="0"/>
    <n v="0"/>
    <n v="0"/>
    <n v="0"/>
    <n v="0"/>
    <n v="0"/>
    <n v="0"/>
    <n v="0.69"/>
    <n v="0.63273000000000001"/>
    <n v="0.91700000000000004"/>
    <n v="-0.69000000000000128"/>
    <n v="0.69000000000000128"/>
    <x v="0"/>
    <n v="8.2219999999999995"/>
    <n v="0"/>
    <n v="1"/>
  </r>
  <r>
    <s v="AJEET KUMAR"/>
    <d v="2026-06-24T00:00:00"/>
    <s v="SR-RTN/26-27/42519"/>
    <s v="B-303456"/>
    <s v="B-GOLD-FILING"/>
    <s v="GOLD-FILLING-WK"/>
    <x v="0"/>
    <s v="G-NA-91.70-YG"/>
    <n v="9.02"/>
    <n v="8.2713400000000004"/>
    <n v="0.91700000000000004"/>
    <n v="8.8000000000000007"/>
    <n v="8.0695999999999994"/>
    <n v="8.07"/>
    <n v="0.91699999999999982"/>
    <n v="0"/>
    <n v="0"/>
    <n v="0"/>
    <n v="0"/>
    <n v="0"/>
    <n v="0"/>
    <n v="0"/>
    <n v="0"/>
    <n v="0"/>
    <n v="0.22"/>
    <n v="0.20174"/>
    <n v="0.91700000000000004"/>
    <n v="-0.21999999999999886"/>
    <n v="0.21999999999999886"/>
    <x v="0"/>
    <n v="8.07"/>
    <n v="0"/>
    <n v="1"/>
  </r>
  <r>
    <s v="AJEET KUMAR"/>
    <d v="2026-06-24T00:00:00"/>
    <s v="SR-RTN/26-27/42529"/>
    <s v="B-303073"/>
    <s v="B-GOLD-FILING"/>
    <s v="GOLD-FILLING-WK"/>
    <x v="0"/>
    <s v="G-NA-91.70-YG"/>
    <n v="22.71"/>
    <n v="20.82507"/>
    <n v="0.91699999999999993"/>
    <n v="21.65"/>
    <n v="19.85305"/>
    <n v="19.854000000000003"/>
    <n v="0.91700000000000004"/>
    <n v="0"/>
    <n v="0"/>
    <n v="0"/>
    <n v="0"/>
    <n v="0"/>
    <n v="0"/>
    <n v="0"/>
    <n v="0"/>
    <n v="0"/>
    <n v="1.06"/>
    <n v="0.97202"/>
    <n v="0.91699999999999993"/>
    <n v="-1.0600000000000023"/>
    <n v="1.0600000000000023"/>
    <x v="0"/>
    <n v="19.854000000000003"/>
    <n v="0"/>
    <n v="2"/>
  </r>
  <r>
    <s v="AJEET KUMAR"/>
    <d v="2026-06-24T00:00:00"/>
    <s v="SR-RTN/26-27/42531"/>
    <s v="B-302872"/>
    <s v="B-GOLD-FILING"/>
    <s v="GOLD-FILLING-WK"/>
    <x v="0"/>
    <s v="G-NA-91.70-YG"/>
    <n v="49.08"/>
    <n v="45.006360000000001"/>
    <n v="0.91700000000000004"/>
    <n v="45.05"/>
    <n v="41.310850000000002"/>
    <n v="41.311"/>
    <n v="0.91700000000000015"/>
    <n v="0"/>
    <n v="0"/>
    <n v="0"/>
    <n v="0"/>
    <n v="0"/>
    <n v="0"/>
    <n v="0"/>
    <n v="0"/>
    <n v="0"/>
    <n v="4.03"/>
    <n v="3.6955100000000001"/>
    <n v="0.91699999999999993"/>
    <n v="-4.0300000000000011"/>
    <n v="4.0300000000000011"/>
    <x v="0"/>
    <n v="41.311"/>
    <n v="0"/>
    <n v="1"/>
  </r>
  <r>
    <s v="AJEET KUMAR"/>
    <d v="2026-06-24T00:00:00"/>
    <s v="SR-RTN/26-27/42531"/>
    <s v="B-303157"/>
    <s v="B-GOLD-FILING"/>
    <s v="GOLD-FILLING-WK"/>
    <x v="0"/>
    <s v="G-NA-91.70-YG"/>
    <n v="21.8"/>
    <n v="19.990600000000001"/>
    <n v="0.91700000000000004"/>
    <n v="20.67"/>
    <n v="18.95439"/>
    <n v="18.955000000000002"/>
    <n v="0.91699999999999993"/>
    <n v="0"/>
    <n v="0"/>
    <n v="0"/>
    <n v="0"/>
    <n v="0"/>
    <n v="0"/>
    <n v="0"/>
    <n v="0"/>
    <n v="0"/>
    <n v="1.1299999999999999"/>
    <n v="1.0362100000000001"/>
    <n v="0.91700000000000015"/>
    <n v="-1.129999999999999"/>
    <n v="1.129999999999999"/>
    <x v="0"/>
    <n v="18.955000000000002"/>
    <n v="0"/>
    <n v="1"/>
  </r>
  <r>
    <s v="AJEET KUMAR"/>
    <d v="2026-06-24T00:00:00"/>
    <s v="SR-RTN/26-27/42533"/>
    <s v="B-302901"/>
    <s v="B-GOLD-FILING"/>
    <s v="GOLD-FILLING-WK"/>
    <x v="1"/>
    <s v="G-NA-75.00-RG"/>
    <n v="27.83"/>
    <n v="20.872499999999999"/>
    <n v="0.75"/>
    <n v="25.21"/>
    <n v="18.907499999999999"/>
    <n v="18.908000000000001"/>
    <n v="0.74999999999999989"/>
    <n v="0"/>
    <n v="0"/>
    <n v="0"/>
    <n v="0"/>
    <n v="0"/>
    <n v="0"/>
    <n v="0"/>
    <n v="0"/>
    <n v="0"/>
    <n v="2.62"/>
    <n v="1.9650000000000001"/>
    <n v="0.75"/>
    <n v="-2.6199999999999974"/>
    <n v="2.6199999999999974"/>
    <x v="0"/>
    <n v="18.908000000000001"/>
    <n v="0"/>
    <n v="1"/>
  </r>
  <r>
    <s v="AJEET KUMAR"/>
    <d v="2026-06-24T00:00:00"/>
    <s v="SR-RTN/26-27/42533"/>
    <s v="B-302908"/>
    <s v="B-GOLD-FILING"/>
    <s v="GOLD-FILLING-WK"/>
    <x v="0"/>
    <s v="G-NA-91.70-YG"/>
    <n v="26.07"/>
    <n v="23.906189999999999"/>
    <n v="0.91699999999999993"/>
    <n v="25.13"/>
    <n v="23.04421"/>
    <n v="23.045000000000002"/>
    <n v="0.91700000000000004"/>
    <n v="0"/>
    <n v="0"/>
    <n v="0"/>
    <n v="0"/>
    <n v="0"/>
    <n v="0"/>
    <n v="0"/>
    <n v="0"/>
    <n v="0"/>
    <n v="0.94"/>
    <n v="0.86197999999999997"/>
    <n v="0.91700000000000004"/>
    <n v="-0.94000000000000128"/>
    <n v="0.94000000000000128"/>
    <x v="0"/>
    <n v="23.045000000000002"/>
    <n v="0"/>
    <n v="1"/>
  </r>
  <r>
    <s v="AJEET KUMAR"/>
    <d v="2026-06-24T00:00:00"/>
    <s v="SR-RTN/26-27/42534"/>
    <s v="B-303070"/>
    <s v="B-GOLD-FILING"/>
    <s v="GOLD-FILLING-WK"/>
    <x v="0"/>
    <s v="G-NA-91.70-YG"/>
    <n v="22.21"/>
    <n v="20.366569999999999"/>
    <n v="0.91699999999999993"/>
    <n v="21.1"/>
    <n v="19.348700000000001"/>
    <n v="19.349"/>
    <n v="0.91699999999999993"/>
    <n v="0"/>
    <n v="0"/>
    <n v="0"/>
    <n v="0"/>
    <n v="0"/>
    <n v="0"/>
    <n v="0"/>
    <n v="0"/>
    <n v="0"/>
    <n v="1.1100000000000001"/>
    <n v="1.0178700000000001"/>
    <n v="0.91699999999999993"/>
    <n v="-1.1099999999999994"/>
    <n v="1.1099999999999994"/>
    <x v="0"/>
    <n v="19.349"/>
    <n v="0"/>
    <n v="2"/>
  </r>
  <r>
    <s v="AJEET KUMAR"/>
    <d v="2026-06-24T00:00:00"/>
    <s v="SR-RTN/26-27/42541"/>
    <s v="B-302940"/>
    <s v="B-GOLD-FILING"/>
    <s v="GOLD-FILLING-WK"/>
    <x v="1"/>
    <s v="G-NA-75.00-YG"/>
    <n v="36.11"/>
    <n v="27.0825"/>
    <n v="0.75"/>
    <n v="31.54"/>
    <n v="23.655000000000001"/>
    <n v="23.655000000000001"/>
    <n v="0.75000000000000011"/>
    <n v="0"/>
    <n v="0"/>
    <n v="0"/>
    <n v="0"/>
    <n v="0"/>
    <n v="0"/>
    <n v="0"/>
    <n v="0"/>
    <n v="0"/>
    <n v="4.57"/>
    <n v="3.4275000000000002"/>
    <n v="0.75"/>
    <n v="-4.57"/>
    <n v="4.57"/>
    <x v="0"/>
    <n v="23.655000000000001"/>
    <n v="0"/>
    <n v="2"/>
  </r>
  <r>
    <s v="AJEET KUMAR"/>
    <d v="2026-06-24T00:00:00"/>
    <s v="SR-RTN/26-27/42544"/>
    <s v="B-302934"/>
    <s v="B-GOLD-FILING"/>
    <s v="GOLD-FILLING-WK"/>
    <x v="0"/>
    <s v="G-NA-91.70-YG"/>
    <n v="21.57"/>
    <n v="19.779689999999999"/>
    <n v="0.91699999999999993"/>
    <n v="19.809999999999999"/>
    <n v="18.165769999999998"/>
    <n v="18.166"/>
    <n v="0.91699999999999993"/>
    <n v="0"/>
    <n v="0"/>
    <n v="0"/>
    <n v="0"/>
    <n v="0"/>
    <n v="0"/>
    <n v="0"/>
    <n v="0"/>
    <n v="0"/>
    <n v="1.76"/>
    <n v="1.61392"/>
    <n v="0.91700000000000004"/>
    <n v="-1.7600000000000016"/>
    <n v="1.7600000000000016"/>
    <x v="1"/>
    <n v="18.084"/>
    <n v="8.2000000000000739E-2"/>
    <n v="2"/>
  </r>
  <r>
    <s v="AJEET KUMAR"/>
    <d v="2026-06-24T00:00:00"/>
    <s v="SR-RTN/26-27/42550"/>
    <s v="B-303135"/>
    <s v="B-GOLD-FILING"/>
    <s v="GOLD-FILLING-WK"/>
    <x v="1"/>
    <s v="G-NA-75.00-RG"/>
    <n v="17.14"/>
    <n v="12.855"/>
    <n v="0.75"/>
    <n v="15.2"/>
    <n v="11.4"/>
    <n v="11.4"/>
    <n v="0.75000000000000011"/>
    <n v="0"/>
    <n v="0"/>
    <n v="0"/>
    <n v="0"/>
    <n v="0"/>
    <n v="0"/>
    <n v="0"/>
    <n v="0"/>
    <n v="0"/>
    <n v="1.94"/>
    <n v="1.4550000000000001"/>
    <n v="0.75000000000000011"/>
    <n v="-1.9400000000000013"/>
    <n v="1.9400000000000013"/>
    <x v="0"/>
    <n v="11.4"/>
    <n v="0"/>
    <n v="1"/>
  </r>
  <r>
    <s v="AJEET KUMAR"/>
    <d v="2026-06-24T00:00:00"/>
    <s v="SR-RTN/26-27/42550"/>
    <s v="B-303141"/>
    <s v="B-GOLD-FILING"/>
    <s v="GOLD-FILLING-WK"/>
    <x v="0"/>
    <s v="G-NA-91.70-YG"/>
    <n v="71.97"/>
    <n v="65.996489999999994"/>
    <n v="0.91699999999999993"/>
    <n v="68.650000000000006"/>
    <n v="62.95205"/>
    <n v="62.952999999999996"/>
    <n v="0.91699999999999993"/>
    <n v="0"/>
    <n v="0"/>
    <n v="0"/>
    <n v="0"/>
    <n v="0"/>
    <n v="0"/>
    <n v="0"/>
    <n v="0"/>
    <n v="0"/>
    <n v="3.32"/>
    <n v="3.0444399999999998"/>
    <n v="0.91700000000000004"/>
    <n v="-3.3199999999999932"/>
    <n v="3.3199999999999932"/>
    <x v="0"/>
    <n v="62.952999999999996"/>
    <n v="0"/>
    <n v="1"/>
  </r>
  <r>
    <s v="AJEET KUMAR"/>
    <d v="2026-06-24T00:00:00"/>
    <s v="SR-RTN/26-27/42559"/>
    <s v="B-303213"/>
    <s v="B-GOLD-FILING"/>
    <s v="GOLD-FILLING-WK"/>
    <x v="1"/>
    <s v="G-NA-75.00-RG"/>
    <n v="57.24"/>
    <n v="42.93"/>
    <n v="0.75"/>
    <n v="52.94"/>
    <n v="39.704999999999998"/>
    <n v="39.704999999999998"/>
    <n v="0.75"/>
    <n v="0"/>
    <n v="0"/>
    <n v="0"/>
    <n v="0"/>
    <n v="0"/>
    <n v="0"/>
    <n v="0"/>
    <n v="0"/>
    <n v="0"/>
    <n v="4.3"/>
    <n v="3.2250000000000001"/>
    <n v="0.75"/>
    <n v="-4.3000000000000043"/>
    <n v="4.3000000000000043"/>
    <x v="0"/>
    <n v="39.704999999999998"/>
    <n v="0"/>
    <n v="1"/>
  </r>
  <r>
    <s v="AJEET KUMAR"/>
    <d v="2026-06-24T00:00:00"/>
    <s v="SR-RTN/26-27/42561"/>
    <s v="B-299913"/>
    <s v="B-GOLD-FILING"/>
    <s v="GOLD-FILLING-WK"/>
    <x v="0"/>
    <s v="G-NA-91.70-YG"/>
    <n v="29.2"/>
    <n v="26.776399999999999"/>
    <n v="0.91700000000000004"/>
    <n v="28.18"/>
    <n v="25.841059999999999"/>
    <n v="25.842000000000002"/>
    <n v="0.91699999999999993"/>
    <n v="0"/>
    <n v="0"/>
    <n v="0"/>
    <n v="0"/>
    <n v="0"/>
    <n v="0"/>
    <n v="0"/>
    <n v="0"/>
    <n v="0"/>
    <n v="1.02"/>
    <n v="0.93533999999999995"/>
    <n v="0.91699999999999993"/>
    <n v="-1.0199999999999996"/>
    <n v="1.0199999999999996"/>
    <x v="1"/>
    <n v="25.383000000000003"/>
    <n v="0.45899999999999963"/>
    <n v="3"/>
  </r>
  <r>
    <s v="AJEET KUMAR"/>
    <d v="2026-06-24T00:00:00"/>
    <s v="SR-RTN/26-27/42569"/>
    <s v="B-301003"/>
    <s v="B-GOLD-FILING"/>
    <s v="GOLD-FILLING-WK"/>
    <x v="1"/>
    <s v="G-NA-75.00-YG"/>
    <n v="34.54"/>
    <n v="25.905000000000001"/>
    <n v="0.75"/>
    <n v="34.43"/>
    <n v="25.822500000000002"/>
    <n v="25.823"/>
    <n v="0.75"/>
    <n v="0"/>
    <n v="0"/>
    <n v="0"/>
    <n v="0"/>
    <n v="0"/>
    <n v="0"/>
    <n v="0"/>
    <n v="0"/>
    <n v="0"/>
    <n v="0.11"/>
    <n v="8.2500000000000004E-2"/>
    <n v="0.75"/>
    <n v="-0.10999999999999943"/>
    <n v="0.10999999999999943"/>
    <x v="1"/>
    <n v="23.655000000000001"/>
    <n v="2.1679999999999993"/>
    <n v="3"/>
  </r>
  <r>
    <s v="AJEET KUMAR"/>
    <d v="2026-06-24T00:00:00"/>
    <s v="SR-RTN/26-27/42588"/>
    <s v="B-302907"/>
    <s v="B-GOLD-FILING"/>
    <s v="GOLD-FILLING-WK"/>
    <x v="1"/>
    <s v="G-NA-75.00-RG"/>
    <n v="24.12"/>
    <n v="18.09"/>
    <n v="0.75"/>
    <n v="22.79"/>
    <n v="17.092500000000001"/>
    <n v="17.093"/>
    <n v="0.75000000000000011"/>
    <n v="0"/>
    <n v="0"/>
    <n v="0"/>
    <n v="0"/>
    <n v="0"/>
    <n v="0"/>
    <n v="0"/>
    <n v="0"/>
    <n v="0"/>
    <n v="1.33"/>
    <n v="0.99750000000000005"/>
    <n v="0.75"/>
    <n v="-1.3300000000000018"/>
    <n v="1.3300000000000018"/>
    <x v="0"/>
    <n v="17.093"/>
    <n v="0"/>
    <n v="1"/>
  </r>
  <r>
    <s v="AJEET KUMAR"/>
    <d v="2026-06-24T00:00:00"/>
    <s v="SR-RTN/26-27/42588"/>
    <s v="B-303104"/>
    <s v="B-GOLD-FILING"/>
    <s v="GOLD-FILLING-WK"/>
    <x v="1"/>
    <s v="G-NA-75.00-RG"/>
    <n v="63.39"/>
    <n v="47.542499999999997"/>
    <n v="0.74999999999999989"/>
    <n v="59.08"/>
    <n v="44.31"/>
    <n v="44.31"/>
    <n v="0.75000000000000011"/>
    <n v="0"/>
    <n v="0"/>
    <n v="0"/>
    <n v="0"/>
    <n v="0"/>
    <n v="0"/>
    <n v="0"/>
    <n v="0"/>
    <n v="0"/>
    <n v="4.3099999999999996"/>
    <n v="3.2324999999999999"/>
    <n v="0.75"/>
    <n v="-4.3100000000000023"/>
    <n v="4.3100000000000023"/>
    <x v="0"/>
    <n v="44.31"/>
    <n v="0"/>
    <n v="1"/>
  </r>
  <r>
    <s v="AJEET KUMAR"/>
    <d v="2026-06-24T00:00:00"/>
    <s v="SR-RTN/26-27/42588"/>
    <s v="B-303534"/>
    <s v="B-GOLD-FILING"/>
    <s v="GOLD-FILLING-WK"/>
    <x v="0"/>
    <s v="G-NA-91.70-YG"/>
    <n v="68.91"/>
    <n v="63.190469999999998"/>
    <n v="0.91700000000000004"/>
    <n v="64.680000000000007"/>
    <n v="59.31156"/>
    <n v="59.311999999999998"/>
    <n v="0.91699999999999993"/>
    <n v="0"/>
    <n v="0"/>
    <n v="0"/>
    <n v="0"/>
    <n v="0"/>
    <n v="0"/>
    <n v="0"/>
    <n v="0"/>
    <n v="0"/>
    <n v="4.2300000000000004"/>
    <n v="3.8789099999999999"/>
    <n v="0.91699999999999993"/>
    <n v="-4.2299999999999898"/>
    <n v="4.2299999999999898"/>
    <x v="0"/>
    <n v="59.311999999999998"/>
    <n v="0"/>
    <n v="1"/>
  </r>
  <r>
    <s v="AJEET KUMAR"/>
    <d v="2026-06-24T00:00:00"/>
    <s v="SR-RTN/26-27/42593"/>
    <s v="B-303072"/>
    <s v="B-GOLD-FILING"/>
    <s v="GOLD-FILLING-WK"/>
    <x v="0"/>
    <s v="G-NA-91.70-YG"/>
    <n v="30.02"/>
    <n v="27.52834"/>
    <n v="0.91700000000000004"/>
    <n v="27.95"/>
    <n v="25.63015"/>
    <n v="25.631"/>
    <n v="0.91700000000000004"/>
    <n v="0"/>
    <n v="0"/>
    <n v="0"/>
    <n v="0"/>
    <n v="0"/>
    <n v="0"/>
    <n v="0"/>
    <n v="0"/>
    <n v="0"/>
    <n v="2.0699999999999998"/>
    <n v="1.89819"/>
    <n v="0.91700000000000004"/>
    <n v="-2.0700000000000003"/>
    <n v="2.0700000000000003"/>
    <x v="0"/>
    <n v="25.631"/>
    <n v="0"/>
    <n v="2"/>
  </r>
  <r>
    <s v="AJEET KUMAR"/>
    <d v="2026-06-24T00:00:00"/>
    <s v="SR-RTN/26-27/42594"/>
    <s v="B-303333"/>
    <s v="B-GOLD-FILING"/>
    <s v="GOLD-FILLING-WK"/>
    <x v="0"/>
    <s v="G-NA-91.70-YG"/>
    <n v="3.31"/>
    <n v="3.0352700000000001"/>
    <n v="0.91700000000000004"/>
    <n v="3.25"/>
    <n v="2.9802499999999998"/>
    <n v="2.9809999999999999"/>
    <n v="0.91699999999999993"/>
    <n v="0"/>
    <n v="0"/>
    <n v="0"/>
    <n v="0"/>
    <n v="0"/>
    <n v="0"/>
    <n v="0"/>
    <n v="0"/>
    <n v="0"/>
    <n v="0.06"/>
    <n v="5.5019999999999999E-2"/>
    <n v="0.91700000000000004"/>
    <n v="-6.0000000000000053E-2"/>
    <n v="6.0000000000000053E-2"/>
    <x v="0"/>
    <n v="2.9809999999999999"/>
    <n v="0"/>
    <n v="1"/>
  </r>
  <r>
    <s v="AJEET KUMAR"/>
    <d v="2026-06-24T00:00:00"/>
    <s v="SR-RTN/26-27/42602"/>
    <s v="B-300765"/>
    <s v="B-GOLD-FILING"/>
    <s v="GOLD-FILLING-WK"/>
    <x v="0"/>
    <s v="G-NA-91.70-YG"/>
    <n v="117.93"/>
    <n v="108.14181000000001"/>
    <n v="0.91700000000000004"/>
    <n v="110.21"/>
    <n v="101.06256999999999"/>
    <n v="101.063"/>
    <n v="0.91700000000000004"/>
    <n v="0"/>
    <n v="0"/>
    <n v="0"/>
    <n v="0"/>
    <n v="0"/>
    <n v="0"/>
    <n v="0"/>
    <n v="0"/>
    <n v="0"/>
    <n v="7.72"/>
    <n v="7.0792400000000004"/>
    <n v="0.91700000000000004"/>
    <n v="-7.7200000000000131"/>
    <n v="7.7200000000000131"/>
    <x v="0"/>
    <n v="101.063"/>
    <n v="0"/>
    <n v="1"/>
  </r>
  <r>
    <s v="AJEET KUMAR"/>
    <d v="2026-06-24T00:00:00"/>
    <s v="SR-RTN/26-27/42602"/>
    <s v="B-303540"/>
    <s v="B-GOLD-FILING"/>
    <s v="GOLD-FILLING-WK"/>
    <x v="1"/>
    <s v="G-NA-75.00-RG"/>
    <n v="26.51"/>
    <n v="19.8825"/>
    <n v="0.75"/>
    <n v="24.32"/>
    <n v="18.239999999999998"/>
    <n v="18.239999999999998"/>
    <n v="0.74999999999999989"/>
    <n v="0"/>
    <n v="0"/>
    <n v="0"/>
    <n v="0"/>
    <n v="0"/>
    <n v="0"/>
    <n v="0"/>
    <n v="0"/>
    <n v="0"/>
    <n v="2.19"/>
    <n v="1.6425000000000001"/>
    <n v="0.75"/>
    <n v="-2.1900000000000013"/>
    <n v="2.1900000000000013"/>
    <x v="0"/>
    <n v="18.239999999999998"/>
    <n v="0"/>
    <n v="1"/>
  </r>
  <r>
    <s v="AJEET KUMAR"/>
    <d v="2026-06-24T00:00:00"/>
    <s v="SR-RTN/26-27/42670"/>
    <s v="B-302894"/>
    <s v="B-GOLD-FILING"/>
    <s v="GOLD-FILLING-WK"/>
    <x v="1"/>
    <s v="G-NA-75.00-RG"/>
    <n v="23.28"/>
    <n v="17.46"/>
    <n v="0.75"/>
    <n v="23.28"/>
    <n v="17.46"/>
    <n v="17.46"/>
    <n v="0.75"/>
    <n v="0"/>
    <n v="0"/>
    <n v="0"/>
    <n v="0"/>
    <n v="0"/>
    <n v="0"/>
    <n v="0"/>
    <n v="0"/>
    <n v="0"/>
    <n v="0"/>
    <n v="0"/>
    <n v="0"/>
    <n v="0"/>
    <n v="0"/>
    <x v="1"/>
    <n v="10.635"/>
    <n v="6.8250000000000011"/>
    <n v="2"/>
  </r>
  <r>
    <s v="AJEET KUMAR"/>
    <d v="2026-06-24T00:00:00"/>
    <s v="SR-RTN/26-27/42670"/>
    <s v="B-302896"/>
    <s v="B-GOLD-FILING"/>
    <s v="GOLD-FILLING-WK"/>
    <x v="1"/>
    <s v="G-NA-75.00-RG"/>
    <n v="16.09"/>
    <n v="12.067500000000001"/>
    <n v="0.75"/>
    <n v="14.18"/>
    <n v="10.635"/>
    <n v="10.635"/>
    <n v="0.75"/>
    <n v="0"/>
    <n v="0"/>
    <n v="0"/>
    <n v="0"/>
    <n v="0"/>
    <n v="0"/>
    <n v="0"/>
    <n v="0"/>
    <n v="0"/>
    <n v="1.91"/>
    <n v="1.4325000000000001"/>
    <n v="0.75000000000000011"/>
    <n v="-1.91"/>
    <n v="1.91"/>
    <x v="0"/>
    <n v="10.635"/>
    <n v="0"/>
    <n v="2"/>
  </r>
  <r>
    <s v="AJEET KUMAR"/>
    <d v="2026-06-24T00:00:00"/>
    <s v="SR-RTN/26-27/42673"/>
    <s v="B-303067"/>
    <s v="B-GOLD-FILING"/>
    <s v="GOLD-FILLING-WK"/>
    <x v="0"/>
    <s v="G-NA-91.70-YG"/>
    <n v="28.97"/>
    <n v="26.56549"/>
    <n v="0.91700000000000004"/>
    <n v="26.56"/>
    <n v="24.355519999999999"/>
    <n v="24.356000000000002"/>
    <n v="0.91700000000000004"/>
    <n v="0"/>
    <n v="0"/>
    <n v="0"/>
    <n v="0"/>
    <n v="0"/>
    <n v="0"/>
    <n v="0"/>
    <n v="0"/>
    <n v="0"/>
    <n v="2.41"/>
    <n v="2.2099700000000002"/>
    <n v="0.91700000000000004"/>
    <n v="-2.41"/>
    <n v="2.41"/>
    <x v="0"/>
    <n v="24.356000000000002"/>
    <n v="0"/>
    <n v="1"/>
  </r>
  <r>
    <s v="AJEET KUMAR"/>
    <d v="2026-06-24T00:00:00"/>
    <s v="SR-RTN/26-27/42673"/>
    <s v="B-303108"/>
    <s v="B-GOLD-FILING"/>
    <s v="GOLD-FILLING-WK"/>
    <x v="1"/>
    <s v="G-NA-75.00-RG"/>
    <n v="55.12"/>
    <n v="41.34"/>
    <n v="0.75000000000000011"/>
    <n v="52.29"/>
    <n v="39.217500000000001"/>
    <n v="39.217999999999996"/>
    <n v="0.75"/>
    <n v="0"/>
    <n v="0"/>
    <n v="0"/>
    <n v="0"/>
    <n v="0"/>
    <n v="0"/>
    <n v="0"/>
    <n v="0"/>
    <n v="0"/>
    <n v="2.83"/>
    <n v="2.1225000000000001"/>
    <n v="0.75"/>
    <n v="-2.8299999999999983"/>
    <n v="2.8299999999999983"/>
    <x v="0"/>
    <n v="39.217999999999996"/>
    <n v="0"/>
    <n v="1"/>
  </r>
  <r>
    <s v="AJEET KUMAR"/>
    <d v="2026-06-24T00:00:00"/>
    <s v="SR-RTN/26-27/42673"/>
    <s v="B-303140"/>
    <s v="B-GOLD-FILING"/>
    <s v="GOLD-FILLING-WK"/>
    <x v="1"/>
    <s v="G-NA-75.00-YG"/>
    <n v="19.440000000000001"/>
    <n v="14.58"/>
    <n v="0.75"/>
    <n v="18.22"/>
    <n v="13.664999999999999"/>
    <n v="13.664999999999999"/>
    <n v="0.75"/>
    <n v="0"/>
    <n v="0"/>
    <n v="0"/>
    <n v="0"/>
    <n v="0"/>
    <n v="0"/>
    <n v="0"/>
    <n v="0"/>
    <n v="0"/>
    <n v="1.22"/>
    <n v="0.91500000000000004"/>
    <n v="0.75"/>
    <n v="-1.2200000000000024"/>
    <n v="1.2200000000000024"/>
    <x v="0"/>
    <n v="13.664999999999999"/>
    <n v="0"/>
    <n v="2"/>
  </r>
  <r>
    <s v="AJEET KUMAR"/>
    <d v="2026-06-24T00:00:00"/>
    <s v="SR-RTN/26-27/42701"/>
    <s v="B-301003"/>
    <s v="B-GOLD-FILING"/>
    <s v="GOLD-FILLING-WK"/>
    <x v="1"/>
    <s v="G-NA-75.00-YG"/>
    <n v="34.43"/>
    <n v="25.822500000000002"/>
    <n v="0.75"/>
    <n v="34.15"/>
    <n v="25.612500000000001"/>
    <n v="25.613"/>
    <n v="0.75"/>
    <n v="0"/>
    <n v="0"/>
    <n v="0"/>
    <n v="0"/>
    <n v="0"/>
    <n v="0"/>
    <n v="0"/>
    <n v="0"/>
    <n v="0"/>
    <n v="0.28000000000000003"/>
    <n v="0.21"/>
    <n v="0.74999999999999989"/>
    <n v="-0.28000000000000114"/>
    <n v="0.28000000000000114"/>
    <x v="1"/>
    <n v="23.655000000000001"/>
    <n v="1.9579999999999984"/>
    <n v="3"/>
  </r>
  <r>
    <s v="AJEET KUMAR"/>
    <d v="2026-06-24T00:00:00"/>
    <s v="SR-RTN/26-27/42703"/>
    <s v="B-302902"/>
    <s v="B-GOLD-FILING"/>
    <s v="GOLD-FILLING-WK"/>
    <x v="1"/>
    <s v="G-NA-75.00-RG"/>
    <n v="17.75"/>
    <n v="13.3125"/>
    <n v="0.75"/>
    <n v="17.739999999999998"/>
    <n v="13.305"/>
    <n v="13.305"/>
    <n v="0.75"/>
    <n v="0"/>
    <n v="0"/>
    <n v="0"/>
    <n v="0"/>
    <n v="0"/>
    <n v="0"/>
    <n v="0"/>
    <n v="0"/>
    <n v="0"/>
    <n v="0.01"/>
    <n v="7.4999999999999997E-3"/>
    <n v="0.75"/>
    <n v="-1.0000000000001563E-2"/>
    <n v="1.0000000000001563E-2"/>
    <x v="0"/>
    <n v="13.305"/>
    <n v="0"/>
    <n v="2"/>
  </r>
  <r>
    <s v="AJEET KUMAR"/>
    <d v="2026-06-24T00:00:00"/>
    <s v="SR-RTN/26-27/42705"/>
    <s v="B-301001"/>
    <s v="B-GOLD-FILING"/>
    <s v="GOLD-FILLING-WK"/>
    <x v="0"/>
    <s v="G-NA-91.70-YG"/>
    <n v="48.71"/>
    <n v="44.667070000000002"/>
    <n v="0.91700000000000004"/>
    <n v="44.92"/>
    <n v="41.19164"/>
    <n v="41.192"/>
    <n v="0.91699999999999993"/>
    <n v="0"/>
    <n v="0"/>
    <n v="0"/>
    <n v="0"/>
    <n v="0"/>
    <n v="0"/>
    <n v="0"/>
    <n v="0"/>
    <n v="0"/>
    <n v="3.79"/>
    <n v="3.4754299999999998"/>
    <n v="0.91699999999999993"/>
    <n v="-3.7899999999999991"/>
    <n v="3.7899999999999991"/>
    <x v="0"/>
    <n v="41.192"/>
    <n v="0"/>
    <n v="1"/>
  </r>
  <r>
    <s v="AJEET KUMAR"/>
    <d v="2026-06-24T00:00:00"/>
    <s v="SR-RTN/26-27/42705"/>
    <s v="B-302912"/>
    <s v="B-GOLD-FILING"/>
    <s v="GOLD-FILLING-WK"/>
    <x v="1"/>
    <s v="G-NA-75.00-YG"/>
    <n v="25.68"/>
    <n v="19.260000000000002"/>
    <n v="0.75000000000000011"/>
    <n v="23.4"/>
    <n v="17.55"/>
    <n v="17.55"/>
    <n v="0.75000000000000011"/>
    <n v="0"/>
    <n v="0"/>
    <n v="0"/>
    <n v="0"/>
    <n v="0"/>
    <n v="0"/>
    <n v="0"/>
    <n v="0"/>
    <n v="0"/>
    <n v="2.2799999999999998"/>
    <n v="1.71"/>
    <n v="0.75"/>
    <n v="-2.2800000000000011"/>
    <n v="2.2800000000000011"/>
    <x v="0"/>
    <n v="17.55"/>
    <n v="0"/>
    <n v="1"/>
  </r>
  <r>
    <s v="AJEET KUMAR"/>
    <d v="2026-06-24T00:00:00"/>
    <s v="SR-RTN/26-27/42727"/>
    <s v="B-295814"/>
    <s v="B-GOLD-FILING"/>
    <s v="GOLD-FILLING-WK"/>
    <x v="0"/>
    <s v="G-NA-91.70-YG"/>
    <n v="3.43"/>
    <n v="3.1453099999999998"/>
    <n v="0.91699999999999993"/>
    <n v="3.37"/>
    <n v="3.09029"/>
    <n v="3.0909999999999997"/>
    <n v="0.91699999999999993"/>
    <n v="0"/>
    <n v="0"/>
    <n v="0"/>
    <n v="0"/>
    <n v="0"/>
    <n v="0"/>
    <n v="0"/>
    <n v="0"/>
    <n v="0"/>
    <n v="0.06"/>
    <n v="5.5019999999999999E-2"/>
    <n v="0.91700000000000004"/>
    <n v="-6.0000000000000053E-2"/>
    <n v="6.0000000000000053E-2"/>
    <x v="1"/>
    <n v="2.3849999999999998"/>
    <n v="0.70599999999999996"/>
    <n v="2"/>
  </r>
  <r>
    <s v="AJEET KUMAR"/>
    <d v="2026-06-24T00:00:00"/>
    <s v="SR-RTN/26-27/42727"/>
    <s v="B-295821"/>
    <s v="B-GOLD-FILING"/>
    <s v="GOLD-FILLING-WK"/>
    <x v="0"/>
    <s v="G-NA-91.70-YG"/>
    <n v="3.64"/>
    <n v="3.3378800000000002"/>
    <n v="0.91700000000000004"/>
    <n v="3.6"/>
    <n v="3.3012000000000001"/>
    <n v="3.302"/>
    <n v="0.91700000000000004"/>
    <n v="0"/>
    <n v="0"/>
    <n v="0"/>
    <n v="0"/>
    <n v="0"/>
    <n v="0"/>
    <n v="0"/>
    <n v="0"/>
    <n v="0"/>
    <n v="0.04"/>
    <n v="3.6679999999999997E-2"/>
    <n v="0.91699999999999993"/>
    <n v="-4.0000000000000036E-2"/>
    <n v="4.0000000000000036E-2"/>
    <x v="1"/>
    <n v="2.5960000000000001"/>
    <n v="0.70599999999999996"/>
    <n v="2"/>
  </r>
  <r>
    <s v="AJEET KUMAR"/>
    <d v="2026-06-24T00:00:00"/>
    <s v="SR-RTN/26-27/42730"/>
    <s v="B-302535"/>
    <s v="B-GOLD-FILING"/>
    <s v="GOLD-FILLING-WK"/>
    <x v="1"/>
    <s v="G-NA-75.00-RG"/>
    <n v="27.25"/>
    <n v="20.4375"/>
    <n v="0.75"/>
    <n v="25.98"/>
    <n v="19.484999999999999"/>
    <n v="19.484999999999999"/>
    <n v="0.75"/>
    <n v="0"/>
    <n v="0"/>
    <n v="0"/>
    <n v="0"/>
    <n v="0"/>
    <n v="0"/>
    <n v="0"/>
    <n v="0"/>
    <n v="0"/>
    <n v="1.27"/>
    <n v="0.95250000000000001"/>
    <n v="0.75"/>
    <n v="-1.2699999999999996"/>
    <n v="1.2699999999999996"/>
    <x v="0"/>
    <n v="19.484999999999999"/>
    <n v="0"/>
    <n v="1"/>
  </r>
  <r>
    <s v="AJEET KUMAR"/>
    <d v="2026-06-24T00:00:00"/>
    <s v="SR-RTN/26-27/42730"/>
    <s v="B-303150"/>
    <s v="B-GOLD-FILING"/>
    <s v="GOLD-FILLING-WK"/>
    <x v="1"/>
    <s v="G-NA-75.00-YG"/>
    <n v="20.6"/>
    <n v="15.45"/>
    <n v="0.74999999999999989"/>
    <n v="19.68"/>
    <n v="14.76"/>
    <n v="14.76"/>
    <n v="0.75"/>
    <n v="0"/>
    <n v="0"/>
    <n v="0"/>
    <n v="0"/>
    <n v="0"/>
    <n v="0"/>
    <n v="0"/>
    <n v="0"/>
    <n v="0"/>
    <n v="0.92"/>
    <n v="0.69"/>
    <n v="0.74999999999999989"/>
    <n v="-0.92000000000000171"/>
    <n v="0.92000000000000171"/>
    <x v="0"/>
    <n v="14.76"/>
    <n v="0"/>
    <n v="1"/>
  </r>
  <r>
    <s v="AJEET KUMAR"/>
    <d v="2026-06-24T00:00:00"/>
    <s v="SR-RTN/26-27/42736"/>
    <s v="B-303149"/>
    <s v="B-GOLD-FILING"/>
    <s v="GOLD-FILLING-WK"/>
    <x v="1"/>
    <s v="G-NA-75.00-YG"/>
    <n v="21.09"/>
    <n v="15.817500000000001"/>
    <n v="0.75"/>
    <n v="19.59"/>
    <n v="14.692500000000001"/>
    <n v="14.693"/>
    <n v="0.75"/>
    <n v="0"/>
    <n v="0"/>
    <n v="0"/>
    <n v="0"/>
    <n v="0"/>
    <n v="0"/>
    <n v="0"/>
    <n v="0"/>
    <n v="0"/>
    <n v="1.5"/>
    <n v="1.125"/>
    <n v="0.75"/>
    <n v="-1.5"/>
    <n v="1.5"/>
    <x v="0"/>
    <n v="14.693"/>
    <n v="0"/>
    <n v="1"/>
  </r>
  <r>
    <s v="AJEET KUMAR"/>
    <d v="2026-06-24T00:00:00"/>
    <s v="SR-RTN/26-27/42739"/>
    <s v="B-303503"/>
    <s v="B-GOLD-FILING"/>
    <s v="GOLD-FILLING-WK"/>
    <x v="0"/>
    <s v="G-NA-91.70-YG"/>
    <n v="3.52"/>
    <n v="3.22784"/>
    <n v="0.91700000000000004"/>
    <n v="3.05"/>
    <n v="2.7968500000000001"/>
    <n v="2.7969999999999997"/>
    <n v="0.91700000000000004"/>
    <n v="0"/>
    <n v="0"/>
    <n v="0"/>
    <n v="0"/>
    <n v="0"/>
    <n v="0"/>
    <n v="0"/>
    <n v="0"/>
    <n v="0"/>
    <n v="0.47"/>
    <n v="0.43098999999999998"/>
    <n v="0.91700000000000004"/>
    <n v="-0.4700000000000002"/>
    <n v="0.4700000000000002"/>
    <x v="0"/>
    <n v="2.7969999999999997"/>
    <n v="0"/>
    <n v="1"/>
  </r>
  <r>
    <s v="AJEET KUMAR"/>
    <d v="2026-06-24T00:00:00"/>
    <s v="SR-RTN/26-27/42740"/>
    <s v="B-295818"/>
    <s v="B-GOLD-FILING"/>
    <s v="GOLD-FILLING-WK"/>
    <x v="0"/>
    <s v="G-NA-91.70-YG"/>
    <n v="8.23"/>
    <n v="7.5469099999999996"/>
    <n v="0.91699999999999993"/>
    <n v="8.16"/>
    <n v="7.4827199999999996"/>
    <n v="7.4830000000000005"/>
    <n v="0.91699999999999993"/>
    <n v="0"/>
    <n v="0"/>
    <n v="0"/>
    <n v="0"/>
    <n v="0"/>
    <n v="0"/>
    <n v="0"/>
    <n v="0"/>
    <n v="0"/>
    <n v="7.0000000000000007E-2"/>
    <n v="6.4189999999999997E-2"/>
    <n v="0.91699999999999982"/>
    <n v="-7.0000000000000284E-2"/>
    <n v="7.0000000000000284E-2"/>
    <x v="1"/>
    <n v="6.7310000000000008"/>
    <n v="0.75199999999999978"/>
    <n v="2"/>
  </r>
  <r>
    <s v="AJEET KUMAR"/>
    <d v="2026-06-24T00:00:00"/>
    <s v="SR-RTN/26-27/42743"/>
    <s v="B-303142"/>
    <s v="B-GOLD-FILING"/>
    <s v="GOLD-FILLING-WK"/>
    <x v="0"/>
    <s v="G-NA-91.70-YG"/>
    <n v="60.7"/>
    <n v="55.661900000000003"/>
    <n v="0.91700000000000004"/>
    <n v="58.39"/>
    <n v="53.54363"/>
    <n v="53.543999999999997"/>
    <n v="0.91700000000000004"/>
    <n v="0"/>
    <n v="0"/>
    <n v="0"/>
    <n v="0"/>
    <n v="0"/>
    <n v="0"/>
    <n v="0"/>
    <n v="0"/>
    <n v="0"/>
    <n v="2.31"/>
    <n v="2.1182699999999999"/>
    <n v="0.91699999999999993"/>
    <n v="-2.3100000000000023"/>
    <n v="2.3100000000000023"/>
    <x v="0"/>
    <n v="53.543999999999997"/>
    <n v="0"/>
    <n v="1"/>
  </r>
  <r>
    <s v="AJEET KUMAR"/>
    <d v="2026-06-24T00:00:00"/>
    <s v="SR-RTN/26-27/42743"/>
    <s v="B-303146"/>
    <s v="B-GOLD-FILING"/>
    <s v="GOLD-FILLING-WK"/>
    <x v="0"/>
    <s v="G-NA-91.70-YG"/>
    <n v="21"/>
    <n v="19.257000000000001"/>
    <n v="0.91700000000000004"/>
    <n v="19.829999999999998"/>
    <n v="18.18411"/>
    <n v="18.185000000000002"/>
    <n v="0.91700000000000015"/>
    <n v="0"/>
    <n v="0"/>
    <n v="0"/>
    <n v="0"/>
    <n v="0"/>
    <n v="0"/>
    <n v="0"/>
    <n v="0"/>
    <n v="0"/>
    <n v="1.17"/>
    <n v="1.0728899999999999"/>
    <n v="0.91699999999999993"/>
    <n v="-1.1700000000000017"/>
    <n v="1.1700000000000017"/>
    <x v="0"/>
    <n v="18.185000000000002"/>
    <n v="0"/>
    <n v="1"/>
  </r>
  <r>
    <s v="AJEET KUMAR"/>
    <d v="2026-06-24T00:00:00"/>
    <s v="SR-RTN/26-27/42743"/>
    <s v="B-303539"/>
    <s v="B-GOLD-FILING"/>
    <s v="GOLD-FILLING-WK"/>
    <x v="1"/>
    <s v="G-NA-75.00-RG"/>
    <n v="19.87"/>
    <n v="14.9025"/>
    <n v="0.75"/>
    <n v="17.899999999999999"/>
    <n v="13.425000000000001"/>
    <n v="13.425000000000001"/>
    <n v="0.75000000000000011"/>
    <n v="0"/>
    <n v="0"/>
    <n v="0"/>
    <n v="0"/>
    <n v="0"/>
    <n v="0"/>
    <n v="0"/>
    <n v="0"/>
    <n v="0"/>
    <n v="1.97"/>
    <n v="1.4775"/>
    <n v="0.75"/>
    <n v="-1.9700000000000024"/>
    <n v="1.9700000000000024"/>
    <x v="0"/>
    <n v="13.425000000000001"/>
    <n v="0"/>
    <n v="2"/>
  </r>
  <r>
    <s v="AJEET KUMAR"/>
    <d v="2026-06-24T00:00:00"/>
    <s v="SR-RTN/26-27/42752"/>
    <s v="B-302860"/>
    <s v="B-GOLD-FILING"/>
    <s v="GOLD-FILLING-WK"/>
    <x v="0"/>
    <s v="G-NA-91.70-YG"/>
    <n v="12.12"/>
    <n v="11.114039999999999"/>
    <n v="0.91700000000000004"/>
    <n v="10.35"/>
    <n v="9.4909499999999998"/>
    <n v="9.4909999999999997"/>
    <n v="0.91700000000000004"/>
    <n v="0"/>
    <n v="0"/>
    <n v="0"/>
    <n v="0"/>
    <n v="0"/>
    <n v="0"/>
    <n v="0"/>
    <n v="0"/>
    <n v="0"/>
    <n v="1.77"/>
    <n v="1.6230899999999999"/>
    <n v="0.91699999999999993"/>
    <n v="-1.7699999999999996"/>
    <n v="1.7699999999999996"/>
    <x v="0"/>
    <n v="9.4909999999999997"/>
    <n v="0"/>
    <n v="1"/>
  </r>
  <r>
    <s v="AJEET KUMAR"/>
    <d v="2026-06-24T00:00:00"/>
    <s v="SR-RTN/26-27/42753"/>
    <s v="B-302940"/>
    <s v="B-GOLD-FILING"/>
    <s v="GOLD-FILLING-WK"/>
    <x v="1"/>
    <s v="G-NA-75.00-YG"/>
    <n v="34.159999999999997"/>
    <n v="25.62"/>
    <n v="0.75000000000000011"/>
    <n v="34.159999999999997"/>
    <n v="25.62"/>
    <n v="25.62"/>
    <n v="0.75000000000000011"/>
    <n v="0"/>
    <n v="0"/>
    <n v="0"/>
    <n v="0"/>
    <n v="0"/>
    <n v="0"/>
    <n v="0"/>
    <n v="0"/>
    <n v="0"/>
    <n v="0"/>
    <n v="0"/>
    <n v="0"/>
    <n v="0"/>
    <n v="0"/>
    <x v="1"/>
    <n v="23.655000000000001"/>
    <n v="1.9649999999999999"/>
    <n v="2"/>
  </r>
  <r>
    <s v="AJEET KUMAR"/>
    <d v="2026-06-24T00:00:00"/>
    <s v="SR-RTN/26-27/42754"/>
    <s v="B-302894"/>
    <s v="B-GOLD-FILING"/>
    <s v="GOLD-FILLING-WK"/>
    <x v="1"/>
    <s v="G-NA-75.00-RG"/>
    <n v="14.18"/>
    <n v="10.635"/>
    <n v="0.75"/>
    <n v="14.18"/>
    <n v="10.635"/>
    <n v="10.635"/>
    <n v="0.75"/>
    <n v="0"/>
    <n v="0"/>
    <n v="0"/>
    <n v="0"/>
    <n v="0"/>
    <n v="0"/>
    <n v="0"/>
    <n v="0"/>
    <n v="0"/>
    <n v="0"/>
    <n v="0"/>
    <n v="0"/>
    <n v="0"/>
    <n v="0"/>
    <x v="0"/>
    <n v="10.635"/>
    <n v="0"/>
    <n v="2"/>
  </r>
  <r>
    <s v="AJEET KUMAR"/>
    <d v="2026-06-24T00:00:00"/>
    <s v="SR-RTN/26-27/42756"/>
    <s v="B-301003"/>
    <s v="B-GOLD-FILING"/>
    <s v="GOLD-FILLING-WK"/>
    <x v="1"/>
    <s v="G-NA-75.00-YG"/>
    <n v="31.54"/>
    <n v="23.655000000000001"/>
    <n v="0.75000000000000011"/>
    <n v="31.54"/>
    <n v="23.655000000000001"/>
    <n v="23.655000000000001"/>
    <n v="0.75000000000000011"/>
    <n v="0"/>
    <n v="0"/>
    <n v="0"/>
    <n v="0"/>
    <n v="0"/>
    <n v="0"/>
    <n v="0"/>
    <n v="0"/>
    <n v="0"/>
    <n v="0"/>
    <n v="0"/>
    <n v="0"/>
    <n v="0"/>
    <n v="0"/>
    <x v="0"/>
    <n v="23.655000000000001"/>
    <n v="0"/>
    <n v="3"/>
  </r>
  <r>
    <s v="AJEET KUMAR"/>
    <d v="2026-06-24T00:00:00"/>
    <s v="SR-RTN/26-27/42766"/>
    <s v="B-303102"/>
    <s v="B-GOLD-FILING"/>
    <s v="GOLD-FILLING-WK"/>
    <x v="0"/>
    <s v="G-NA-91.70-YG"/>
    <n v="81.709999999999994"/>
    <n v="74.928070000000005"/>
    <n v="0.91700000000000015"/>
    <n v="78.41"/>
    <n v="71.901970000000006"/>
    <n v="71.902000000000001"/>
    <n v="0.91700000000000015"/>
    <n v="0"/>
    <n v="0"/>
    <n v="0"/>
    <n v="0"/>
    <n v="0"/>
    <n v="0"/>
    <n v="0"/>
    <n v="0"/>
    <n v="0"/>
    <n v="3.3"/>
    <n v="3.0261"/>
    <n v="0.91700000000000004"/>
    <n v="-3.2999999999999972"/>
    <n v="3.2999999999999972"/>
    <x v="0"/>
    <n v="71.902000000000001"/>
    <n v="0"/>
    <n v="1"/>
  </r>
  <r>
    <s v="AJEET KUMAR"/>
    <d v="2026-06-24T00:00:00"/>
    <s v="SR-RTN/26-27/42766"/>
    <s v="B-303109"/>
    <s v="B-GOLD-FILING"/>
    <s v="GOLD-FILLING-WK"/>
    <x v="1"/>
    <s v="G-NA-75.00-RG"/>
    <n v="72.48"/>
    <n v="54.36"/>
    <n v="0.75"/>
    <n v="67.5"/>
    <n v="50.625"/>
    <n v="50.625"/>
    <n v="0.75"/>
    <n v="0"/>
    <n v="0"/>
    <n v="0"/>
    <n v="0"/>
    <n v="0"/>
    <n v="0"/>
    <n v="0"/>
    <n v="0"/>
    <n v="0"/>
    <n v="4.9800000000000004"/>
    <n v="3.7349999999999999"/>
    <n v="0.74999999999999989"/>
    <n v="-4.980000000000004"/>
    <n v="4.980000000000004"/>
    <x v="0"/>
    <n v="50.625"/>
    <n v="0"/>
    <n v="1"/>
  </r>
  <r>
    <s v="AJEET KUMAR"/>
    <d v="2026-06-24T00:00:00"/>
    <s v="SR-RTN/26-27/42773"/>
    <s v="B-301940"/>
    <s v="B-GOLD-FILING"/>
    <s v="GOLD-FILLING-WK"/>
    <x v="1"/>
    <s v="G-NA-75.00-RG"/>
    <n v="27.61"/>
    <n v="20.7075"/>
    <n v="0.75"/>
    <n v="26.12"/>
    <n v="19.59"/>
    <n v="19.59"/>
    <n v="0.75"/>
    <n v="0"/>
    <n v="0"/>
    <n v="0"/>
    <n v="0"/>
    <n v="0"/>
    <n v="0"/>
    <n v="0"/>
    <n v="0"/>
    <n v="0"/>
    <n v="1.49"/>
    <n v="1.1174999999999999"/>
    <n v="0.75"/>
    <n v="-1.4899999999999984"/>
    <n v="1.4899999999999984"/>
    <x v="0"/>
    <n v="19.59"/>
    <n v="0"/>
    <n v="1"/>
  </r>
  <r>
    <s v="AJEET KUMAR"/>
    <d v="2026-06-24T00:00:00"/>
    <s v="SR-RTN/26-27/42773"/>
    <s v="B-303075"/>
    <s v="B-GOLD-FILING"/>
    <s v="GOLD-FILLING-WK"/>
    <x v="0"/>
    <s v="G-NA-91.70-YG"/>
    <n v="54.45"/>
    <n v="49.93065"/>
    <n v="0.91699999999999993"/>
    <n v="54.34"/>
    <n v="49.82978"/>
    <n v="49.83"/>
    <n v="0.91699999999999993"/>
    <n v="0"/>
    <n v="0"/>
    <n v="0"/>
    <n v="0"/>
    <n v="0"/>
    <n v="0"/>
    <n v="0"/>
    <n v="0"/>
    <n v="0"/>
    <n v="0.11"/>
    <n v="0.10087"/>
    <n v="0.91700000000000004"/>
    <n v="-0.10999999999999943"/>
    <n v="0.10999999999999943"/>
    <x v="1"/>
    <n v="47.106999999999999"/>
    <n v="2.722999999999999"/>
    <n v="2"/>
  </r>
  <r>
    <s v="AJEET KUMAR"/>
    <d v="2026-06-24T00:00:00"/>
    <s v="SR-RTN/26-27/42774"/>
    <s v="B-303457"/>
    <s v="B-GOLD-FILING"/>
    <s v="GOLD-FILLING-WK"/>
    <x v="1"/>
    <s v="G-NA-75.00-YG"/>
    <n v="8.58"/>
    <n v="6.4349999999999996"/>
    <n v="0.75"/>
    <n v="7.31"/>
    <n v="5.4824999999999999"/>
    <n v="5.4830000000000005"/>
    <n v="0.75"/>
    <n v="0"/>
    <n v="0"/>
    <n v="0"/>
    <n v="0"/>
    <n v="0"/>
    <n v="0"/>
    <n v="0"/>
    <n v="0"/>
    <n v="0"/>
    <n v="1.27"/>
    <n v="0.95250000000000001"/>
    <n v="0.75"/>
    <n v="-1.2700000000000005"/>
    <n v="1.2700000000000005"/>
    <x v="0"/>
    <n v="5.4830000000000005"/>
    <n v="0"/>
    <n v="1"/>
  </r>
  <r>
    <s v="AJEET KUMAR"/>
    <d v="2026-06-24T00:00:00"/>
    <s v="SR-RTN/26-27/42778"/>
    <s v="B-302934"/>
    <s v="B-GOLD-FILING"/>
    <s v="GOLD-FILLING-WK"/>
    <x v="0"/>
    <s v="G-NA-91.70-YG"/>
    <n v="19.84"/>
    <n v="18.193280000000001"/>
    <n v="0.91700000000000004"/>
    <n v="19.72"/>
    <n v="18.08324"/>
    <n v="18.084"/>
    <n v="0.91700000000000004"/>
    <n v="0"/>
    <n v="0"/>
    <n v="0"/>
    <n v="0"/>
    <n v="0"/>
    <n v="0"/>
    <n v="0"/>
    <n v="0"/>
    <n v="0"/>
    <n v="0.12"/>
    <n v="0.11004"/>
    <n v="0.91700000000000004"/>
    <n v="-0.12000000000000099"/>
    <n v="0.12000000000000099"/>
    <x v="0"/>
    <n v="18.084"/>
    <n v="0"/>
    <n v="2"/>
  </r>
  <r>
    <s v="AJEET KUMAR"/>
    <d v="2026-06-24T00:00:00"/>
    <s v="SR-RTN/26-27/42785"/>
    <s v="B-299785"/>
    <s v="B-GOLD-FILING"/>
    <s v="GOLD-FILLING-WK"/>
    <x v="0"/>
    <s v="G-NA-91.70-YG"/>
    <n v="11.62"/>
    <n v="10.65554"/>
    <n v="0.91700000000000004"/>
    <n v="10.85"/>
    <n v="9.9494500000000006"/>
    <n v="9.9499999999999993"/>
    <n v="0.91700000000000004"/>
    <n v="0"/>
    <n v="0"/>
    <n v="0"/>
    <n v="0"/>
    <n v="0"/>
    <n v="0"/>
    <n v="0"/>
    <n v="0"/>
    <n v="0"/>
    <n v="0.77"/>
    <n v="0.70609"/>
    <n v="0.91699999999999993"/>
    <n v="-0.76999999999999957"/>
    <n v="0.76999999999999957"/>
    <x v="0"/>
    <n v="9.9499999999999993"/>
    <n v="0"/>
    <n v="2"/>
  </r>
  <r>
    <s v="AJEET KUMAR"/>
    <d v="2026-06-24T00:00:00"/>
    <s v="SR-RTN/26-27/42791"/>
    <s v="B-303106"/>
    <s v="B-GOLD-FILING"/>
    <s v="GOLD-FILLING-WK"/>
    <x v="1"/>
    <s v="G-NA-75.00-YG"/>
    <n v="15.21"/>
    <n v="11.407500000000001"/>
    <n v="0.75"/>
    <n v="14.28"/>
    <n v="10.71"/>
    <n v="10.71"/>
    <n v="0.75000000000000011"/>
    <n v="0"/>
    <n v="0"/>
    <n v="0"/>
    <n v="0"/>
    <n v="0"/>
    <n v="0"/>
    <n v="0"/>
    <n v="0"/>
    <n v="0"/>
    <n v="0.93"/>
    <n v="0.69750000000000001"/>
    <n v="0.75"/>
    <n v="-0.93000000000000149"/>
    <n v="0.93000000000000149"/>
    <x v="0"/>
    <n v="10.71"/>
    <n v="0"/>
    <n v="1"/>
  </r>
  <r>
    <s v="AJEET KUMAR"/>
    <d v="2026-06-24T00:00:00"/>
    <s v="SR-RTN/26-27/42791"/>
    <s v="B-303107"/>
    <s v="B-GOLD-FILING"/>
    <s v="GOLD-FILLING-WK"/>
    <x v="1"/>
    <s v="G-NA-75.00-YG"/>
    <n v="16.73"/>
    <n v="12.547499999999999"/>
    <n v="0.75"/>
    <n v="15.49"/>
    <n v="11.6175"/>
    <n v="11.618"/>
    <n v="0.75"/>
    <n v="0"/>
    <n v="0"/>
    <n v="0"/>
    <n v="0"/>
    <n v="0"/>
    <n v="0"/>
    <n v="0"/>
    <n v="0"/>
    <n v="0"/>
    <n v="1.24"/>
    <n v="0.93"/>
    <n v="0.75"/>
    <n v="-1.2400000000000002"/>
    <n v="1.2400000000000002"/>
    <x v="0"/>
    <n v="11.618"/>
    <n v="0"/>
    <n v="1"/>
  </r>
  <r>
    <s v="AJEET KUMAR"/>
    <d v="2026-06-24T00:00:00"/>
    <s v="SR-RTN/26-27/42795"/>
    <s v="B-303122"/>
    <s v="B-GOLD-FILING"/>
    <s v="GOLD-FILLING-WK"/>
    <x v="1"/>
    <s v="G-NA-75.00-YG"/>
    <n v="27.9"/>
    <n v="20.925000000000001"/>
    <n v="0.75000000000000011"/>
    <n v="25.58"/>
    <n v="19.184999999999999"/>
    <n v="19.184999999999999"/>
    <n v="0.75"/>
    <n v="0"/>
    <n v="0"/>
    <n v="0"/>
    <n v="0"/>
    <n v="0"/>
    <n v="0"/>
    <n v="0"/>
    <n v="0"/>
    <n v="0"/>
    <n v="2.3199999999999998"/>
    <n v="1.74"/>
    <n v="0.75"/>
    <n v="-2.3200000000000003"/>
    <n v="2.3200000000000003"/>
    <x v="0"/>
    <n v="19.184999999999999"/>
    <n v="0"/>
    <n v="1"/>
  </r>
  <r>
    <s v="AJEET KUMAR"/>
    <d v="2026-06-24T00:00:00"/>
    <s v="SR-RTN/26-27/42800"/>
    <s v="B-299782"/>
    <s v="B-GOLD-FILING"/>
    <s v="GOLD-FILLING-WK"/>
    <x v="0"/>
    <s v="G-NA-91.70-YG"/>
    <n v="2.63"/>
    <n v="2.4117099999999998"/>
    <n v="0.91699999999999993"/>
    <n v="2.4700000000000002"/>
    <n v="2.2649900000000001"/>
    <n v="2.2649999999999997"/>
    <n v="0.91699999999999993"/>
    <n v="0"/>
    <n v="0"/>
    <n v="0"/>
    <n v="0"/>
    <n v="0"/>
    <n v="0"/>
    <n v="0"/>
    <n v="0"/>
    <n v="0"/>
    <n v="0.16"/>
    <n v="0.14671999999999999"/>
    <n v="0.91699999999999993"/>
    <n v="-0.1599999999999997"/>
    <n v="0.1599999999999997"/>
    <x v="0"/>
    <n v="2.2649999999999997"/>
    <n v="0"/>
    <n v="2"/>
  </r>
  <r>
    <s v="AJEET KUMAR"/>
    <d v="2026-06-24T00:00:00"/>
    <s v="SR-RTN/26-27/42804"/>
    <s v="B-303757"/>
    <s v="B-GOLD-FILING"/>
    <s v="GOLD-FILLING-WK"/>
    <x v="0"/>
    <s v="G-NA-91.70-YG"/>
    <n v="19.48"/>
    <n v="17.863160000000001"/>
    <n v="0.91700000000000004"/>
    <n v="18.989999999999998"/>
    <n v="17.413830000000001"/>
    <n v="17.414000000000001"/>
    <n v="0.91700000000000015"/>
    <n v="0"/>
    <n v="0"/>
    <n v="0"/>
    <n v="0"/>
    <n v="0"/>
    <n v="0"/>
    <n v="0"/>
    <n v="0"/>
    <n v="0"/>
    <n v="0.49"/>
    <n v="0.44933000000000001"/>
    <n v="0.91700000000000004"/>
    <n v="-0.49000000000000199"/>
    <n v="0.49000000000000199"/>
    <x v="0"/>
    <n v="17.414000000000001"/>
    <n v="0"/>
    <n v="1"/>
  </r>
  <r>
    <s v="AJEET KUMAR"/>
    <d v="2026-06-24T00:00:00"/>
    <s v="SR-RTN/26-27/42806"/>
    <s v="B-303121"/>
    <s v="B-GOLD-FILING"/>
    <s v="GOLD-FILLING-WK"/>
    <x v="1"/>
    <s v="G-NA-75.00-YG"/>
    <n v="21.02"/>
    <n v="15.765000000000001"/>
    <n v="0.75"/>
    <n v="19.48"/>
    <n v="14.61"/>
    <n v="14.61"/>
    <n v="0.75"/>
    <n v="0"/>
    <n v="0"/>
    <n v="0"/>
    <n v="0"/>
    <n v="0"/>
    <n v="0"/>
    <n v="0"/>
    <n v="0"/>
    <n v="0"/>
    <n v="1.54"/>
    <n v="1.155"/>
    <n v="0.75"/>
    <n v="-1.5399999999999991"/>
    <n v="1.5399999999999991"/>
    <x v="0"/>
    <n v="14.61"/>
    <n v="0"/>
    <n v="1"/>
  </r>
  <r>
    <s v="AJEET KUMAR"/>
    <d v="2026-06-24T00:00:00"/>
    <s v="SR-RTN/26-27/42822"/>
    <s v="B-299780"/>
    <s v="B-GOLD-FILING"/>
    <s v="GOLD-FILLING-WK"/>
    <x v="0"/>
    <s v="G-NA-91.70-YG"/>
    <n v="3.47"/>
    <n v="3.1819899999999999"/>
    <n v="0.91699999999999993"/>
    <n v="3.29"/>
    <n v="3.0169299999999999"/>
    <n v="3.0169999999999999"/>
    <n v="0.91699999999999993"/>
    <n v="0"/>
    <n v="0"/>
    <n v="0"/>
    <n v="0"/>
    <n v="0"/>
    <n v="0"/>
    <n v="0"/>
    <n v="0"/>
    <n v="0"/>
    <n v="0.18"/>
    <n v="0.16506000000000001"/>
    <n v="0.91700000000000015"/>
    <n v="-0.18000000000000016"/>
    <n v="0.18000000000000016"/>
    <x v="0"/>
    <n v="3.0169999999999999"/>
    <n v="0"/>
    <n v="2"/>
  </r>
  <r>
    <s v="AJEET KUMAR"/>
    <d v="2026-06-24T00:00:00"/>
    <s v="SR-RTN/26-27/42824"/>
    <s v="B-295816"/>
    <s v="B-GOLD-FILING"/>
    <s v="GOLD-FILLING-WK"/>
    <x v="0"/>
    <s v="G-NA-91.70-YG"/>
    <n v="4.18"/>
    <n v="3.8330600000000001"/>
    <n v="0.91700000000000015"/>
    <n v="4.01"/>
    <n v="3.6771699999999998"/>
    <n v="3.6779999999999999"/>
    <n v="0.91700000000000004"/>
    <n v="0"/>
    <n v="0"/>
    <n v="0"/>
    <n v="0"/>
    <n v="0"/>
    <n v="0"/>
    <n v="0"/>
    <n v="0"/>
    <n v="0"/>
    <n v="0.17"/>
    <n v="0.15589"/>
    <n v="0.91699999999999993"/>
    <n v="-0.16999999999999993"/>
    <n v="0.16999999999999993"/>
    <x v="1"/>
    <n v="3.0629999999999997"/>
    <n v="0.61500000000000021"/>
    <n v="2"/>
  </r>
  <r>
    <s v="AJEET KUMAR"/>
    <d v="2026-06-24T00:00:00"/>
    <s v="SR-RTN/26-27/42824"/>
    <s v="B-299783"/>
    <s v="B-GOLD-FILING"/>
    <s v="GOLD-FILLING-WK"/>
    <x v="0"/>
    <s v="G-NA-91.70-YG"/>
    <n v="8.75"/>
    <n v="8.0237499999999997"/>
    <n v="0.91699999999999993"/>
    <n v="8.6"/>
    <n v="7.8861999999999997"/>
    <n v="7.8870000000000005"/>
    <n v="0.91700000000000004"/>
    <n v="0"/>
    <n v="0"/>
    <n v="0"/>
    <n v="0"/>
    <n v="0"/>
    <n v="0"/>
    <n v="0"/>
    <n v="0"/>
    <n v="0"/>
    <n v="0.15"/>
    <n v="0.13755000000000001"/>
    <n v="0.91700000000000004"/>
    <n v="-0.15000000000000036"/>
    <n v="0.15000000000000036"/>
    <x v="0"/>
    <n v="7.8870000000000005"/>
    <n v="0"/>
    <n v="2"/>
  </r>
  <r>
    <s v="AJEET KUMAR"/>
    <d v="2026-06-24T00:00:00"/>
    <s v="SR-RTN/26-27/42825"/>
    <s v="B-303101"/>
    <s v="B-GOLD-FILING"/>
    <s v="GOLD-FILLING-WK"/>
    <x v="0"/>
    <s v="G-NA-91.70-YG"/>
    <n v="8.81"/>
    <n v="8.0787700000000005"/>
    <n v="0.91700000000000004"/>
    <n v="8.7899999999999991"/>
    <n v="8.0604300000000002"/>
    <n v="8.0609999999999999"/>
    <n v="0.91700000000000015"/>
    <n v="0"/>
    <n v="0"/>
    <n v="0"/>
    <n v="0"/>
    <n v="0"/>
    <n v="0"/>
    <n v="0"/>
    <n v="0"/>
    <n v="0"/>
    <n v="0.02"/>
    <n v="1.8339999999999999E-2"/>
    <n v="0.91699999999999993"/>
    <n v="-2.000000000000135E-2"/>
    <n v="2.000000000000135E-2"/>
    <x v="1"/>
    <n v="7.7310000000000008"/>
    <n v="0.32999999999999918"/>
    <n v="2"/>
  </r>
  <r>
    <s v="AJEET KUMAR"/>
    <d v="2026-06-24T00:00:00"/>
    <s v="SR-RTN/26-27/42828"/>
    <s v="B-303105"/>
    <s v="B-GOLD-FILING"/>
    <s v="GOLD-FILLING-WK"/>
    <x v="1"/>
    <s v="G-NA-75.00-YG"/>
    <n v="34.83"/>
    <n v="26.122499999999999"/>
    <n v="0.75"/>
    <n v="32.97"/>
    <n v="24.727499999999999"/>
    <n v="24.728000000000002"/>
    <n v="0.75"/>
    <n v="0"/>
    <n v="0"/>
    <n v="0"/>
    <n v="0"/>
    <n v="0"/>
    <n v="0"/>
    <n v="0"/>
    <n v="0"/>
    <n v="0"/>
    <n v="1.86"/>
    <n v="1.395"/>
    <n v="0.75"/>
    <n v="-1.8599999999999994"/>
    <n v="1.8599999999999994"/>
    <x v="0"/>
    <n v="24.728000000000002"/>
    <n v="0"/>
    <n v="1"/>
  </r>
  <r>
    <s v="AJEET KUMAR"/>
    <d v="2026-06-24T00:00:00"/>
    <s v="SR-RTN/26-27/42829"/>
    <s v="B-303502"/>
    <s v="B-GOLD-FILING"/>
    <s v="GOLD-FILLING-WK"/>
    <x v="0"/>
    <s v="G-NA-91.70-YG"/>
    <n v="26.08"/>
    <n v="23.91536"/>
    <n v="0.91700000000000004"/>
    <n v="24.45"/>
    <n v="22.420649999999998"/>
    <n v="22.421000000000003"/>
    <n v="0.91699999999999993"/>
    <n v="0"/>
    <n v="0"/>
    <n v="0"/>
    <n v="0"/>
    <n v="0"/>
    <n v="0"/>
    <n v="0"/>
    <n v="0"/>
    <n v="0"/>
    <n v="1.63"/>
    <n v="1.49471"/>
    <n v="0.91700000000000004"/>
    <n v="-1.629999999999999"/>
    <n v="1.629999999999999"/>
    <x v="0"/>
    <n v="22.421000000000003"/>
    <n v="0"/>
    <n v="1"/>
  </r>
  <r>
    <s v="AJEET KUMAR"/>
    <d v="2026-06-24T00:00:00"/>
    <s v="SR-W/O-RTN/26-27/3043"/>
    <s v="NONE"/>
    <s v="B-GOLD-FILING"/>
    <s v="GOLD-FILLING-WK"/>
    <x v="1"/>
    <s v="G-NA-75.00-RG"/>
    <n v="8.7100000000000009"/>
    <n v="6.5324999999999998"/>
    <n v="0.74999999999999989"/>
    <n v="7.41"/>
    <n v="5.5575000000000001"/>
    <n v="5.5580000000000007"/>
    <n v="0.75"/>
    <n v="0"/>
    <n v="0"/>
    <n v="0"/>
    <n v="0"/>
    <n v="0"/>
    <n v="0"/>
    <n v="0"/>
    <n v="0"/>
    <n v="0"/>
    <n v="1.3"/>
    <n v="0.97499999999999998"/>
    <n v="0.75"/>
    <n v="-1.3000000000000007"/>
    <n v="1.3000000000000007"/>
    <x v="1"/>
    <n v="0"/>
    <n v="5.5580000000000007"/>
    <n v="67"/>
  </r>
  <r>
    <s v="AJEET KUMAR"/>
    <d v="2026-06-24T00:00:00"/>
    <s v="SR-W/O-RTN/26-27/3043"/>
    <s v="NONE"/>
    <s v="B-GOLD-FILING"/>
    <s v="GOLD-FILLING-WK"/>
    <x v="1"/>
    <s v="G-NA-75.00-YG"/>
    <n v="3.82"/>
    <n v="2.8650000000000002"/>
    <n v="0.75000000000000011"/>
    <n v="3.66"/>
    <n v="2.7450000000000001"/>
    <n v="2.7450000000000001"/>
    <n v="0.75"/>
    <n v="0"/>
    <n v="0"/>
    <n v="0"/>
    <n v="0"/>
    <n v="0"/>
    <n v="0"/>
    <n v="0"/>
    <n v="0"/>
    <n v="0"/>
    <n v="0.16"/>
    <n v="0.12"/>
    <n v="0.75"/>
    <n v="-0.1599999999999997"/>
    <n v="0.1599999999999997"/>
    <x v="1"/>
    <n v="0"/>
    <n v="2.7450000000000001"/>
    <n v="67"/>
  </r>
  <r>
    <s v="AJEET KUMAR"/>
    <d v="2026-06-24T00:00:00"/>
    <s v="SR-W/O-RTN/26-27/3043"/>
    <s v="NONE"/>
    <s v="B-GOLD-FILING"/>
    <s v="GOLD-FILLING-WK"/>
    <x v="0"/>
    <s v="G-NA-91.70-YG"/>
    <n v="10.61"/>
    <n v="9.7293699999999994"/>
    <n v="0.91700000000000004"/>
    <n v="6.65"/>
    <n v="6.0980499999999997"/>
    <n v="6.0990000000000002"/>
    <n v="0.91699999999999993"/>
    <n v="0"/>
    <n v="0"/>
    <n v="0"/>
    <n v="0"/>
    <n v="0"/>
    <n v="0"/>
    <n v="0"/>
    <n v="0"/>
    <n v="0"/>
    <n v="3.96"/>
    <n v="3.6313200000000001"/>
    <n v="0.91700000000000004"/>
    <n v="-3.9599999999999991"/>
    <n v="3.9599999999999991"/>
    <x v="1"/>
    <n v="0"/>
    <n v="6.0990000000000002"/>
    <n v="67"/>
  </r>
  <r>
    <s v="AJEET KUMAR"/>
    <d v="2026-06-25T00:00:00"/>
    <s v="RTN-8935093"/>
    <s v="SR-42622/1"/>
    <s v="CAST-FILLING"/>
    <s v="GOLD-FILLING-WK"/>
    <x v="1"/>
    <s v="G-NA-75.00-RG"/>
    <n v="19.59"/>
    <n v="14.692500000000001"/>
    <n v="0.75"/>
    <n v="17.899999999999999"/>
    <n v="13.425000000000001"/>
    <n v="13.425000000000001"/>
    <n v="0.75000000000000011"/>
    <n v="0"/>
    <n v="0"/>
    <n v="0"/>
    <n v="0"/>
    <n v="0"/>
    <n v="0"/>
    <n v="0"/>
    <n v="0"/>
    <n v="0"/>
    <n v="1.69"/>
    <n v="1.2675000000000001"/>
    <n v="0.75000000000000011"/>
    <n v="-1.6900000000000013"/>
    <n v="1.6900000000000013"/>
    <x v="0"/>
    <n v="13.425000000000001"/>
    <n v="0"/>
    <n v="1"/>
  </r>
  <r>
    <s v="AJEET KUMAR"/>
    <d v="2026-06-25T00:00:00"/>
    <s v="RTN-8935115"/>
    <s v="SR-42814"/>
    <s v="CAST-FILLING"/>
    <s v="GOLD-FILLING-WK"/>
    <x v="0"/>
    <s v="G-NA-91.70-YG"/>
    <n v="15.73"/>
    <n v="14.42441"/>
    <n v="0.91699999999999993"/>
    <n v="14.25"/>
    <n v="13.06725"/>
    <n v="13.068"/>
    <n v="0.91699999999999993"/>
    <n v="0"/>
    <n v="0"/>
    <n v="0"/>
    <n v="0"/>
    <n v="0"/>
    <n v="0"/>
    <n v="0"/>
    <n v="0"/>
    <n v="0"/>
    <n v="1.48"/>
    <n v="1.3571599999999999"/>
    <n v="0.91699999999999993"/>
    <n v="-1.4800000000000004"/>
    <n v="1.4800000000000004"/>
    <x v="0"/>
    <n v="13.068"/>
    <n v="0"/>
    <n v="1"/>
  </r>
  <r>
    <s v="AJEET KUMAR"/>
    <d v="2026-06-25T00:00:00"/>
    <s v="RTN-8935121"/>
    <s v="SR-42621/1"/>
    <s v="CAST-FILLING"/>
    <s v="GOLD-FILLING-WK"/>
    <x v="1"/>
    <s v="G-NA-75.00-RG"/>
    <n v="20.68"/>
    <n v="15.51"/>
    <n v="0.75"/>
    <n v="18.14"/>
    <n v="13.605"/>
    <n v="13.605"/>
    <n v="0.75"/>
    <n v="0"/>
    <n v="0"/>
    <n v="0"/>
    <n v="0"/>
    <n v="0"/>
    <n v="0"/>
    <n v="0"/>
    <n v="0"/>
    <n v="0"/>
    <n v="2.54"/>
    <n v="1.905"/>
    <n v="0.75"/>
    <n v="-2.5399999999999991"/>
    <n v="2.5399999999999991"/>
    <x v="0"/>
    <n v="13.605"/>
    <n v="0"/>
    <n v="1"/>
  </r>
  <r>
    <s v="AJEET KUMAR"/>
    <d v="2026-06-25T00:00:00"/>
    <s v="RTN-8935153"/>
    <s v="SR-42654"/>
    <s v="CAST-FILLING"/>
    <s v="GOLD-FILLING-WK"/>
    <x v="1"/>
    <s v="G-NA-75.00-RG"/>
    <n v="105.9"/>
    <n v="79.424999999999997"/>
    <n v="0.74999999999999989"/>
    <n v="105.68"/>
    <n v="79.260000000000005"/>
    <n v="79.260000000000005"/>
    <n v="0.75"/>
    <n v="0"/>
    <n v="0"/>
    <n v="0"/>
    <n v="0"/>
    <n v="0"/>
    <n v="0"/>
    <n v="0"/>
    <n v="0"/>
    <n v="0"/>
    <n v="0.22"/>
    <n v="0.16500000000000001"/>
    <n v="0.75"/>
    <n v="-0.21999999999999886"/>
    <n v="0.21999999999999886"/>
    <x v="0"/>
    <n v="79.260000000000005"/>
    <n v="0"/>
    <n v="2"/>
  </r>
  <r>
    <s v="AJEET KUMAR"/>
    <d v="2026-06-25T00:00:00"/>
    <s v="RTN-8935183"/>
    <s v="SR-42812"/>
    <s v="CAST-FILLING"/>
    <s v="GOLD-FILLING-WK"/>
    <x v="0"/>
    <s v="G-NA-91.70-YG"/>
    <n v="13.73"/>
    <n v="12.59041"/>
    <n v="0.91700000000000004"/>
    <n v="11.6"/>
    <n v="10.6372"/>
    <n v="10.638"/>
    <n v="0.91700000000000004"/>
    <n v="0"/>
    <n v="0"/>
    <n v="0"/>
    <n v="0"/>
    <n v="0"/>
    <n v="0"/>
    <n v="0"/>
    <n v="0"/>
    <n v="0"/>
    <n v="2.13"/>
    <n v="1.9532099999999999"/>
    <n v="0.91700000000000004"/>
    <n v="-2.1300000000000008"/>
    <n v="2.1300000000000008"/>
    <x v="0"/>
    <n v="10.638"/>
    <n v="0"/>
    <n v="1"/>
  </r>
  <r>
    <s v="AJEET KUMAR"/>
    <d v="2026-06-25T00:00:00"/>
    <s v="RTN-8935288"/>
    <s v="SR-42750"/>
    <s v="CAST-FILLING"/>
    <s v="GOLD-FILLING-WK"/>
    <x v="0"/>
    <s v="G-NA-91.70-YG"/>
    <n v="39.65"/>
    <n v="36.359050000000003"/>
    <n v="0.91700000000000015"/>
    <n v="37.21"/>
    <n v="34.121569999999998"/>
    <n v="34.122"/>
    <n v="0.91699999999999993"/>
    <n v="0"/>
    <n v="0"/>
    <n v="0"/>
    <n v="0"/>
    <n v="0"/>
    <n v="0"/>
    <n v="0"/>
    <n v="0"/>
    <n v="0"/>
    <n v="2.44"/>
    <n v="2.2374800000000001"/>
    <n v="0.91700000000000004"/>
    <n v="-2.4399999999999977"/>
    <n v="2.4399999999999977"/>
    <x v="0"/>
    <n v="34.122"/>
    <n v="0"/>
    <n v="1"/>
  </r>
  <r>
    <s v="AJEET KUMAR"/>
    <d v="2026-06-25T00:00:00"/>
    <s v="RTN-8940935"/>
    <s v="SR-42751/1/1"/>
    <s v="CAST-FILLING"/>
    <s v="GOLD-FILLING-WK"/>
    <x v="0"/>
    <s v="G-NA-91.70-YG"/>
    <n v="13.44"/>
    <n v="12.324479999999999"/>
    <n v="0.91700000000000004"/>
    <n v="12.63"/>
    <n v="11.581709999999999"/>
    <n v="11.581999999999999"/>
    <n v="0.91699999999999993"/>
    <n v="0"/>
    <n v="0"/>
    <n v="0"/>
    <n v="0"/>
    <n v="0"/>
    <n v="0"/>
    <n v="0"/>
    <n v="0"/>
    <n v="0"/>
    <n v="0.81"/>
    <n v="0.74277000000000004"/>
    <n v="0.91700000000000004"/>
    <n v="-0.80999999999999872"/>
    <n v="0.80999999999999872"/>
    <x v="0"/>
    <n v="11.581999999999999"/>
    <n v="0"/>
    <n v="1"/>
  </r>
  <r>
    <s v="AJEET KUMAR"/>
    <d v="2026-06-25T00:00:00"/>
    <s v="RTN-8940979"/>
    <s v="SR-42816"/>
    <s v="CAST-FILLING"/>
    <s v="GOLD-FILLING-WK"/>
    <x v="0"/>
    <s v="G-NA-91.70-YG"/>
    <n v="181.08"/>
    <n v="166.05036000000001"/>
    <n v="0.91700000000000004"/>
    <n v="174.09"/>
    <n v="159.64053000000001"/>
    <n v="159.64099999999999"/>
    <n v="0.91700000000000004"/>
    <n v="0"/>
    <n v="0"/>
    <n v="0"/>
    <n v="0"/>
    <n v="0"/>
    <n v="0"/>
    <n v="0"/>
    <n v="0"/>
    <n v="0"/>
    <n v="6.99"/>
    <n v="6.4098300000000004"/>
    <n v="0.91700000000000004"/>
    <n v="-6.9900000000000091"/>
    <n v="6.9900000000000091"/>
    <x v="0"/>
    <n v="159.64099999999999"/>
    <n v="0"/>
    <n v="1"/>
  </r>
  <r>
    <s v="AJEET KUMAR"/>
    <d v="2026-06-25T00:00:00"/>
    <s v="RTN-8942291"/>
    <s v="SR-42751"/>
    <s v="CAST-FILLING"/>
    <s v="GOLD-FILLING-WK"/>
    <x v="0"/>
    <s v="G-NA-91.70-YG"/>
    <n v="99.48"/>
    <n v="91.223159999999993"/>
    <n v="0.91699999999999993"/>
    <n v="94.34"/>
    <n v="86.509780000000006"/>
    <n v="86.51"/>
    <n v="0.91700000000000004"/>
    <n v="0"/>
    <n v="0"/>
    <n v="0"/>
    <n v="0"/>
    <n v="0"/>
    <n v="0"/>
    <n v="0"/>
    <n v="0"/>
    <n v="0"/>
    <n v="5.14"/>
    <n v="4.7133799999999999"/>
    <n v="0.91700000000000004"/>
    <n v="-5.14"/>
    <n v="5.14"/>
    <x v="0"/>
    <n v="86.51"/>
    <n v="0"/>
    <n v="1"/>
  </r>
  <r>
    <s v="AJEET KUMAR"/>
    <d v="2026-06-25T00:00:00"/>
    <s v="RTN-8943321"/>
    <s v="SR-42809"/>
    <s v="CAST-FILLING"/>
    <s v="GOLD-FILLING-WK"/>
    <x v="0"/>
    <s v="G-NA-91.70-YG"/>
    <n v="368.67"/>
    <n v="338.07038999999997"/>
    <n v="0.91699999999999993"/>
    <n v="351.86"/>
    <n v="322.65562"/>
    <n v="322.65599999999995"/>
    <n v="0.91699999999999993"/>
    <n v="0"/>
    <n v="0"/>
    <n v="0"/>
    <n v="0"/>
    <n v="0"/>
    <n v="0"/>
    <n v="0"/>
    <n v="0"/>
    <n v="0"/>
    <n v="16.809999999999999"/>
    <n v="15.414770000000001"/>
    <n v="0.91700000000000015"/>
    <n v="-16.810000000000002"/>
    <n v="16.810000000000002"/>
    <x v="0"/>
    <n v="322.65599999999995"/>
    <n v="0"/>
    <n v="2"/>
  </r>
  <r>
    <s v="AJEET KUMAR"/>
    <d v="2026-06-25T00:00:00"/>
    <s v="RTN-8945456"/>
    <s v="SR-42818"/>
    <s v="CAST-FILLING"/>
    <s v="GOLD-FILLING-WK"/>
    <x v="0"/>
    <s v="G-NA-91.70-YG"/>
    <n v="206.55"/>
    <n v="189.40635"/>
    <n v="0.91699999999999993"/>
    <n v="195.11"/>
    <n v="178.91587000000001"/>
    <n v="178.916"/>
    <n v="0.91700000000000004"/>
    <n v="0"/>
    <n v="0"/>
    <n v="0"/>
    <n v="0"/>
    <n v="0"/>
    <n v="0"/>
    <n v="0"/>
    <n v="0"/>
    <n v="0"/>
    <n v="11.44"/>
    <n v="10.49048"/>
    <n v="0.91700000000000004"/>
    <n v="-11.439999999999998"/>
    <n v="11.439999999999998"/>
    <x v="0"/>
    <n v="178.916"/>
    <n v="0"/>
    <n v="2"/>
  </r>
  <r>
    <s v="AJEET KUMAR"/>
    <d v="2026-06-25T00:00:00"/>
    <s v="RTN-8946441"/>
    <s v="SR-42819"/>
    <s v="CAST-FILLING"/>
    <s v="GOLD-FILLING-WK"/>
    <x v="0"/>
    <s v="G-NA-91.70-YG"/>
    <n v="171.78"/>
    <n v="157.52225999999999"/>
    <n v="0.91699999999999993"/>
    <n v="163.85"/>
    <n v="150.25045"/>
    <n v="150.251"/>
    <n v="0.91700000000000004"/>
    <n v="0"/>
    <n v="0"/>
    <n v="0"/>
    <n v="0"/>
    <n v="0"/>
    <n v="0"/>
    <n v="0"/>
    <n v="0"/>
    <n v="0"/>
    <n v="7.93"/>
    <n v="7.2718100000000003"/>
    <n v="0.91700000000000004"/>
    <n v="-7.9300000000000068"/>
    <n v="7.9300000000000068"/>
    <x v="0"/>
    <n v="150.251"/>
    <n v="0"/>
    <n v="1"/>
  </r>
  <r>
    <s v="AJEET KUMAR"/>
    <d v="2026-06-25T00:00:00"/>
    <s v="RTN-8946473"/>
    <s v="SR-42809"/>
    <s v="CAST-FILLING"/>
    <s v="GOLD-FILLING-WK"/>
    <x v="0"/>
    <s v="G-NA-91.70-YG"/>
    <n v="352.12"/>
    <n v="322.89404000000002"/>
    <n v="0.91700000000000004"/>
    <n v="352.02"/>
    <n v="322.80234000000002"/>
    <n v="322.803"/>
    <n v="0.91700000000000004"/>
    <n v="0"/>
    <n v="0"/>
    <n v="0"/>
    <n v="0"/>
    <n v="0"/>
    <n v="0"/>
    <n v="0"/>
    <n v="0"/>
    <n v="0"/>
    <n v="0.1"/>
    <n v="9.1700000000000004E-2"/>
    <n v="0.91700000000000004"/>
    <n v="-0.10000000000002274"/>
    <n v="0.10000000000002274"/>
    <x v="1"/>
    <n v="322.65599999999995"/>
    <n v="0.1470000000000482"/>
    <n v="2"/>
  </r>
  <r>
    <s v="AJEET KUMAR"/>
    <d v="2026-06-25T00:00:00"/>
    <s v="RTN-8947569"/>
    <s v="SR-42837"/>
    <s v="CAST-FILLING"/>
    <s v="GOLD-FILLING-WK"/>
    <x v="0"/>
    <s v="G-NA-91.70-YG"/>
    <n v="112.03"/>
    <n v="102.73151"/>
    <n v="0.91700000000000004"/>
    <n v="106.79"/>
    <n v="97.926429999999996"/>
    <n v="97.927000000000007"/>
    <n v="0.91699999999999993"/>
    <n v="0"/>
    <n v="0"/>
    <n v="0"/>
    <n v="0"/>
    <n v="0"/>
    <n v="0"/>
    <n v="0"/>
    <n v="0"/>
    <n v="0"/>
    <n v="5.24"/>
    <n v="4.8050800000000002"/>
    <n v="0.91700000000000004"/>
    <n v="-5.2399999999999949"/>
    <n v="5.2399999999999949"/>
    <x v="0"/>
    <n v="97.927000000000007"/>
    <n v="0"/>
    <n v="1"/>
  </r>
  <r>
    <s v="AJEET KUMAR"/>
    <d v="2026-06-25T00:00:00"/>
    <s v="RTN-8947572"/>
    <s v="SR-42794"/>
    <s v="CAST-FILLING"/>
    <s v="GOLD-FILLING-WK"/>
    <x v="1"/>
    <s v="G-NA-75.00-RG"/>
    <n v="79.63"/>
    <n v="59.722499999999997"/>
    <n v="0.75"/>
    <n v="70.83"/>
    <n v="53.122500000000002"/>
    <n v="53.122999999999998"/>
    <n v="0.75"/>
    <n v="0"/>
    <n v="0"/>
    <n v="0"/>
    <n v="0"/>
    <n v="0"/>
    <n v="0"/>
    <n v="0"/>
    <n v="0"/>
    <n v="0"/>
    <n v="8.8000000000000007"/>
    <n v="6.6"/>
    <n v="0.74999999999999989"/>
    <n v="-8.7999999999999972"/>
    <n v="8.7999999999999972"/>
    <x v="0"/>
    <n v="53.122999999999998"/>
    <n v="0"/>
    <n v="1"/>
  </r>
  <r>
    <s v="AJEET KUMAR"/>
    <d v="2026-06-25T00:00:00"/>
    <s v="RTN-8947804"/>
    <s v="SR-42788"/>
    <s v="CAST-FILLING"/>
    <s v="GOLD-FILLING-WK"/>
    <x v="1"/>
    <s v="G-NA-75.00-RG"/>
    <n v="102.12"/>
    <n v="76.59"/>
    <n v="0.75"/>
    <n v="94.68"/>
    <n v="71.010000000000005"/>
    <n v="71.010000000000005"/>
    <n v="0.75"/>
    <n v="0"/>
    <n v="0"/>
    <n v="0"/>
    <n v="0"/>
    <n v="0"/>
    <n v="0"/>
    <n v="0"/>
    <n v="0"/>
    <n v="0"/>
    <n v="7.44"/>
    <n v="5.58"/>
    <n v="0.75"/>
    <n v="-7.4399999999999977"/>
    <n v="7.4399999999999977"/>
    <x v="0"/>
    <n v="71.010000000000005"/>
    <n v="0"/>
    <n v="1"/>
  </r>
  <r>
    <s v="AJEET KUMAR"/>
    <d v="2026-06-25T00:00:00"/>
    <s v="SR-RTN/26-27/42831"/>
    <s v="B-303394"/>
    <s v="B-GOLD-FILING"/>
    <s v="GOLD-FILLING-WK"/>
    <x v="1"/>
    <s v="G-NA-75.00-RG"/>
    <n v="28.31"/>
    <n v="21.232500000000002"/>
    <n v="0.75000000000000011"/>
    <n v="24.11"/>
    <n v="18.0825"/>
    <n v="18.083000000000002"/>
    <n v="0.75"/>
    <n v="0"/>
    <n v="0"/>
    <n v="0"/>
    <n v="0"/>
    <n v="0"/>
    <n v="0"/>
    <n v="0"/>
    <n v="0"/>
    <n v="0"/>
    <n v="4.2"/>
    <n v="3.15"/>
    <n v="0.75"/>
    <n v="-4.1999999999999993"/>
    <n v="4.1999999999999993"/>
    <x v="0"/>
    <n v="18.083000000000002"/>
    <n v="0"/>
    <n v="1"/>
  </r>
  <r>
    <s v="AJEET KUMAR"/>
    <d v="2026-06-25T00:00:00"/>
    <s v="SR-RTN/26-27/42832"/>
    <s v="B-303849"/>
    <s v="B-GOLD-FILING"/>
    <s v="GOLD-FILLING-WK"/>
    <x v="0"/>
    <s v="G-NA-91.70-YG"/>
    <n v="8.59"/>
    <n v="7.8770300000000004"/>
    <n v="0.91700000000000004"/>
    <n v="8.15"/>
    <n v="7.4735500000000004"/>
    <n v="7.4740000000000002"/>
    <n v="0.91700000000000004"/>
    <n v="0"/>
    <n v="0"/>
    <n v="0"/>
    <n v="0"/>
    <n v="0"/>
    <n v="0"/>
    <n v="0"/>
    <n v="0"/>
    <n v="0"/>
    <n v="0.44"/>
    <n v="0.40348000000000001"/>
    <n v="0.91700000000000004"/>
    <n v="-0.4399999999999995"/>
    <n v="0.4399999999999995"/>
    <x v="0"/>
    <n v="7.4740000000000002"/>
    <n v="0"/>
    <n v="1"/>
  </r>
  <r>
    <s v="AJEET KUMAR"/>
    <d v="2026-06-25T00:00:00"/>
    <s v="SR-RTN/26-27/42834"/>
    <s v="B-302909"/>
    <s v="B-GOLD-FILING"/>
    <s v="GOLD-FILLING-WK"/>
    <x v="0"/>
    <s v="G-NA-91.70-YG"/>
    <n v="101.59"/>
    <n v="93.158029999999997"/>
    <n v="0.91699999999999993"/>
    <n v="97.55"/>
    <n v="89.45335"/>
    <n v="89.454000000000008"/>
    <n v="0.91700000000000004"/>
    <n v="0"/>
    <n v="0"/>
    <n v="0"/>
    <n v="0"/>
    <n v="0"/>
    <n v="0"/>
    <n v="0"/>
    <n v="0"/>
    <n v="0"/>
    <n v="4.04"/>
    <n v="3.7046800000000002"/>
    <n v="0.91700000000000004"/>
    <n v="-4.0400000000000063"/>
    <n v="4.0400000000000063"/>
    <x v="0"/>
    <n v="89.454000000000008"/>
    <n v="0"/>
    <n v="1"/>
  </r>
  <r>
    <s v="AJEET KUMAR"/>
    <d v="2026-06-25T00:00:00"/>
    <s v="SR-RTN/26-27/42835"/>
    <s v="B-303137"/>
    <s v="B-GOLD-FILING"/>
    <s v="GOLD-FILLING-WK"/>
    <x v="1"/>
    <s v="G-NA-75.00-RG"/>
    <n v="22.19"/>
    <n v="16.642499999999998"/>
    <n v="0.74999999999999989"/>
    <n v="20.13"/>
    <n v="15.0975"/>
    <n v="15.097999999999999"/>
    <n v="0.75"/>
    <n v="0"/>
    <n v="0"/>
    <n v="0"/>
    <n v="0"/>
    <n v="0"/>
    <n v="0"/>
    <n v="0"/>
    <n v="0"/>
    <n v="0"/>
    <n v="2.06"/>
    <n v="1.5449999999999999"/>
    <n v="0.75"/>
    <n v="-2.0600000000000023"/>
    <n v="2.0600000000000023"/>
    <x v="0"/>
    <n v="15.097999999999999"/>
    <n v="0"/>
    <n v="1"/>
  </r>
  <r>
    <s v="AJEET KUMAR"/>
    <d v="2026-06-25T00:00:00"/>
    <s v="SR-RTN/26-27/42836"/>
    <s v="B-302893"/>
    <s v="B-GOLD-FILING"/>
    <s v="GOLD-FILLING-WK"/>
    <x v="1"/>
    <s v="G-NA-75.00-RG"/>
    <n v="17.04"/>
    <n v="12.78"/>
    <n v="0.75"/>
    <n v="14.13"/>
    <n v="10.5975"/>
    <n v="10.597999999999999"/>
    <n v="0.75"/>
    <n v="0"/>
    <n v="0"/>
    <n v="0"/>
    <n v="0"/>
    <n v="0"/>
    <n v="0"/>
    <n v="0"/>
    <n v="0"/>
    <n v="0"/>
    <n v="2.91"/>
    <n v="2.1825000000000001"/>
    <n v="0.75"/>
    <n v="-2.9099999999999984"/>
    <n v="2.9099999999999984"/>
    <x v="0"/>
    <n v="10.597999999999999"/>
    <n v="0"/>
    <n v="1"/>
  </r>
  <r>
    <s v="AJEET KUMAR"/>
    <d v="2026-06-25T00:00:00"/>
    <s v="SR-RTN/26-27/42840"/>
    <s v="B-302533"/>
    <s v="B-GOLD-FILING"/>
    <s v="GOLD-FILLING-WK"/>
    <x v="1"/>
    <s v="G-NA-75.00-RG"/>
    <n v="42.19"/>
    <n v="31.642499999999998"/>
    <n v="0.75"/>
    <n v="37.450000000000003"/>
    <n v="28.087499999999999"/>
    <n v="28.088000000000001"/>
    <n v="0.74999999999999989"/>
    <n v="0"/>
    <n v="0"/>
    <n v="0"/>
    <n v="0"/>
    <n v="0"/>
    <n v="0"/>
    <n v="0"/>
    <n v="0"/>
    <n v="0"/>
    <n v="4.74"/>
    <n v="3.5550000000000002"/>
    <n v="0.75"/>
    <n v="-4.7399999999999949"/>
    <n v="4.7399999999999949"/>
    <x v="0"/>
    <n v="28.088000000000001"/>
    <n v="0"/>
    <n v="1"/>
  </r>
  <r>
    <s v="AJEET KUMAR"/>
    <d v="2026-06-25T00:00:00"/>
    <s v="SR-RTN/26-27/42844"/>
    <s v="B-303923"/>
    <s v="B-GOLD-FILING"/>
    <s v="GOLD-FILLING-WK"/>
    <x v="1"/>
    <s v="G-NA-75.00-RG"/>
    <n v="27.58"/>
    <n v="20.684999999999999"/>
    <n v="0.75"/>
    <n v="25.8"/>
    <n v="19.350000000000001"/>
    <n v="19.350000000000001"/>
    <n v="0.75"/>
    <n v="0"/>
    <n v="0"/>
    <n v="0"/>
    <n v="0"/>
    <n v="0"/>
    <n v="0"/>
    <n v="0"/>
    <n v="0"/>
    <n v="0"/>
    <n v="1.78"/>
    <n v="1.335"/>
    <n v="0.75"/>
    <n v="-1.7799999999999976"/>
    <n v="1.7799999999999976"/>
    <x v="0"/>
    <n v="19.350000000000001"/>
    <n v="0"/>
    <n v="1"/>
  </r>
  <r>
    <s v="AJEET KUMAR"/>
    <d v="2026-06-25T00:00:00"/>
    <s v="SR-RTN/26-27/42845"/>
    <s v="B-302902"/>
    <s v="B-GOLD-FILING"/>
    <s v="GOLD-FILLING-WK"/>
    <x v="1"/>
    <s v="G-NA-75.00-RG"/>
    <n v="23.28"/>
    <n v="17.46"/>
    <n v="0.75"/>
    <n v="21.95"/>
    <n v="16.462499999999999"/>
    <n v="16.463000000000001"/>
    <n v="0.75"/>
    <n v="0"/>
    <n v="0"/>
    <n v="0"/>
    <n v="0"/>
    <n v="0"/>
    <n v="0"/>
    <n v="0"/>
    <n v="0"/>
    <n v="0"/>
    <n v="1.33"/>
    <n v="0.99750000000000005"/>
    <n v="0.75"/>
    <n v="-1.3300000000000018"/>
    <n v="1.3300000000000018"/>
    <x v="1"/>
    <n v="13.305"/>
    <n v="3.1580000000000013"/>
    <n v="2"/>
  </r>
  <r>
    <s v="AJEET KUMAR"/>
    <d v="2026-06-25T00:00:00"/>
    <s v="SR-RTN/26-27/42847"/>
    <s v="B-303928"/>
    <s v="B-GOLD-FILING"/>
    <s v="GOLD-FILLING-WK"/>
    <x v="0"/>
    <s v="G-NA-91.70-YG"/>
    <n v="1.19"/>
    <n v="1.0912299999999999"/>
    <n v="0.91699999999999993"/>
    <n v="1.1299999999999999"/>
    <n v="1.0362100000000001"/>
    <n v="1.0369999999999999"/>
    <n v="0.91700000000000015"/>
    <n v="0"/>
    <n v="0"/>
    <n v="0"/>
    <n v="0"/>
    <n v="0"/>
    <n v="0"/>
    <n v="0"/>
    <n v="0"/>
    <n v="0"/>
    <n v="0.06"/>
    <n v="5.5019999999999999E-2"/>
    <n v="0.91700000000000004"/>
    <n v="-6.0000000000000053E-2"/>
    <n v="6.0000000000000053E-2"/>
    <x v="0"/>
    <n v="1.0369999999999999"/>
    <n v="0"/>
    <n v="1"/>
  </r>
  <r>
    <s v="AJEET KUMAR"/>
    <d v="2026-06-25T00:00:00"/>
    <s v="SR-RTN/26-27/42849"/>
    <s v="B-303930"/>
    <s v="B-GOLD-FILING"/>
    <s v="GOLD-FILLING-WK"/>
    <x v="0"/>
    <s v="G-NA-91.70-YG"/>
    <n v="1.66"/>
    <n v="1.5222199999999999"/>
    <n v="0.91700000000000004"/>
    <n v="1.57"/>
    <n v="1.4396899999999999"/>
    <n v="1.44"/>
    <n v="0.91699999999999993"/>
    <n v="0"/>
    <n v="0"/>
    <n v="0"/>
    <n v="0"/>
    <n v="0"/>
    <n v="0"/>
    <n v="0"/>
    <n v="0"/>
    <n v="0"/>
    <n v="0.09"/>
    <n v="8.2530000000000006E-2"/>
    <n v="0.91700000000000015"/>
    <n v="-8.9999999999999858E-2"/>
    <n v="8.9999999999999858E-2"/>
    <x v="0"/>
    <n v="1.44"/>
    <n v="0"/>
    <n v="1"/>
  </r>
  <r>
    <s v="AJEET KUMAR"/>
    <d v="2026-06-25T00:00:00"/>
    <s v="SR-RTN/26-27/42851"/>
    <s v="B-303454"/>
    <s v="B-GOLD-FILING"/>
    <s v="GOLD-FILLING-WK"/>
    <x v="0"/>
    <s v="G-NA-91.70-YG"/>
    <n v="0.86"/>
    <n v="0.78861999999999999"/>
    <n v="0.91700000000000004"/>
    <n v="0.75"/>
    <n v="0.68774999999999997"/>
    <n v="0.68800000000000006"/>
    <n v="0.91699999999999993"/>
    <n v="0"/>
    <n v="0"/>
    <n v="0"/>
    <n v="0"/>
    <n v="0"/>
    <n v="0"/>
    <n v="0"/>
    <n v="0"/>
    <n v="0"/>
    <n v="0.11"/>
    <n v="0.10087"/>
    <n v="0.91700000000000004"/>
    <n v="-0.10999999999999999"/>
    <n v="0.10999999999999999"/>
    <x v="0"/>
    <n v="0.68800000000000006"/>
    <n v="0"/>
    <n v="1"/>
  </r>
  <r>
    <s v="AJEET KUMAR"/>
    <d v="2026-06-25T00:00:00"/>
    <s v="SR-RTN/26-27/42854"/>
    <s v="B-303931"/>
    <s v="B-GOLD-FILING"/>
    <s v="GOLD-FILLING-WK"/>
    <x v="0"/>
    <s v="G-NA-91.70-YG"/>
    <n v="1.62"/>
    <n v="1.4855400000000001"/>
    <n v="0.91700000000000004"/>
    <n v="1.5"/>
    <n v="1.3754999999999999"/>
    <n v="1.3759999999999999"/>
    <n v="0.91699999999999993"/>
    <n v="0"/>
    <n v="0"/>
    <n v="0"/>
    <n v="0"/>
    <n v="0"/>
    <n v="0"/>
    <n v="0"/>
    <n v="0"/>
    <n v="0"/>
    <n v="0.12"/>
    <n v="0.11004"/>
    <n v="0.91700000000000004"/>
    <n v="-0.12000000000000011"/>
    <n v="0.12000000000000011"/>
    <x v="0"/>
    <n v="1.3759999999999999"/>
    <n v="0"/>
    <n v="1"/>
  </r>
  <r>
    <s v="AJEET KUMAR"/>
    <d v="2026-06-25T00:00:00"/>
    <s v="SR-RTN/26-27/42861"/>
    <s v="B-302550"/>
    <s v="B-GOLD-FILING"/>
    <s v="GOLD-FILLING-WK"/>
    <x v="1"/>
    <s v="G-NA-75.00-RG"/>
    <n v="45.33"/>
    <n v="33.997500000000002"/>
    <n v="0.75000000000000011"/>
    <n v="42.57"/>
    <n v="31.927499999999998"/>
    <n v="31.928000000000001"/>
    <n v="0.75"/>
    <n v="0"/>
    <n v="0"/>
    <n v="0"/>
    <n v="0"/>
    <n v="0"/>
    <n v="0"/>
    <n v="0"/>
    <n v="0"/>
    <n v="0"/>
    <n v="2.76"/>
    <n v="2.0699999999999998"/>
    <n v="0.75"/>
    <n v="-2.759999999999998"/>
    <n v="2.759999999999998"/>
    <x v="0"/>
    <n v="31.928000000000001"/>
    <n v="0"/>
    <n v="1"/>
  </r>
  <r>
    <s v="AJEET KUMAR"/>
    <d v="2026-06-25T00:00:00"/>
    <s v="SR-RTN/26-27/42864"/>
    <s v="B-302892"/>
    <s v="B-GOLD-FILING"/>
    <s v="GOLD-FILLING-WK"/>
    <x v="1"/>
    <s v="G-NA-75.00-RG"/>
    <n v="44.16"/>
    <n v="33.119999999999997"/>
    <n v="0.75"/>
    <n v="40.78"/>
    <n v="30.585000000000001"/>
    <n v="30.585000000000001"/>
    <n v="0.75"/>
    <n v="0"/>
    <n v="0"/>
    <n v="0"/>
    <n v="0"/>
    <n v="0"/>
    <n v="0"/>
    <n v="0"/>
    <n v="0"/>
    <n v="0"/>
    <n v="3.38"/>
    <n v="2.5350000000000001"/>
    <n v="0.75000000000000011"/>
    <n v="-3.3799999999999955"/>
    <n v="3.3799999999999955"/>
    <x v="0"/>
    <n v="30.585000000000001"/>
    <n v="0"/>
    <n v="1"/>
  </r>
  <r>
    <s v="AJEET KUMAR"/>
    <d v="2026-06-25T00:00:00"/>
    <s v="SR-RTN/26-27/42866"/>
    <s v="B-302911"/>
    <s v="B-GOLD-FILING"/>
    <s v="GOLD-FILLING-WK"/>
    <x v="1"/>
    <s v="G-NA-75.00-RG"/>
    <n v="25.61"/>
    <n v="19.2075"/>
    <n v="0.75"/>
    <n v="24.11"/>
    <n v="18.0825"/>
    <n v="18.083000000000002"/>
    <n v="0.75"/>
    <n v="0"/>
    <n v="0"/>
    <n v="0"/>
    <n v="0"/>
    <n v="0"/>
    <n v="0"/>
    <n v="0"/>
    <n v="0"/>
    <n v="0"/>
    <n v="1.5"/>
    <n v="1.125"/>
    <n v="0.75"/>
    <n v="-1.5"/>
    <n v="1.5"/>
    <x v="0"/>
    <n v="18.083000000000002"/>
    <n v="0"/>
    <n v="1"/>
  </r>
  <r>
    <s v="AJEET KUMAR"/>
    <d v="2026-06-25T00:00:00"/>
    <s v="SR-RTN/26-27/42869"/>
    <s v="B-303452"/>
    <s v="B-GOLD-FILING"/>
    <s v="GOLD-FILLING-WK"/>
    <x v="1"/>
    <s v="G-NA-75.00-YG"/>
    <n v="5.28"/>
    <n v="3.96"/>
    <n v="0.75"/>
    <n v="4.47"/>
    <n v="3.3525"/>
    <n v="3.3529999999999998"/>
    <n v="0.75"/>
    <n v="0"/>
    <n v="0"/>
    <n v="0"/>
    <n v="0"/>
    <n v="0"/>
    <n v="0"/>
    <n v="0"/>
    <n v="0"/>
    <n v="0"/>
    <n v="0.81"/>
    <n v="0.60750000000000004"/>
    <n v="0.75"/>
    <n v="-0.8100000000000005"/>
    <n v="0.8100000000000005"/>
    <x v="0"/>
    <n v="3.3529999999999998"/>
    <n v="0"/>
    <n v="1"/>
  </r>
  <r>
    <s v="AJEET KUMAR"/>
    <d v="2026-06-25T00:00:00"/>
    <s v="SR-RTN/26-27/42872"/>
    <s v="B-300994"/>
    <s v="B-GOLD-FILING"/>
    <s v="GOLD-FILLING-WK"/>
    <x v="1"/>
    <s v="G-NA-75.00-RG"/>
    <n v="37.32"/>
    <n v="27.99"/>
    <n v="0.75"/>
    <n v="34.92"/>
    <n v="26.19"/>
    <n v="26.19"/>
    <n v="0.75"/>
    <n v="0"/>
    <n v="0"/>
    <n v="0"/>
    <n v="0"/>
    <n v="0"/>
    <n v="0"/>
    <n v="0"/>
    <n v="0"/>
    <n v="0"/>
    <n v="2.4"/>
    <n v="1.8"/>
    <n v="0.75"/>
    <n v="-2.3999999999999986"/>
    <n v="2.3999999999999986"/>
    <x v="0"/>
    <n v="26.19"/>
    <n v="0"/>
    <n v="1"/>
  </r>
  <r>
    <s v="AJEET KUMAR"/>
    <d v="2026-06-25T00:00:00"/>
    <s v="SR-RTN/26-27/42875"/>
    <s v="B-302900"/>
    <s v="B-GOLD-FILING"/>
    <s v="GOLD-FILLING-WK"/>
    <x v="1"/>
    <s v="G-NA-75.00-RG"/>
    <n v="19.28"/>
    <n v="14.46"/>
    <n v="0.75"/>
    <n v="17.239999999999998"/>
    <n v="12.93"/>
    <n v="12.93"/>
    <n v="0.75"/>
    <n v="0"/>
    <n v="0"/>
    <n v="0"/>
    <n v="0"/>
    <n v="0"/>
    <n v="0"/>
    <n v="0"/>
    <n v="0"/>
    <n v="0"/>
    <n v="2.04"/>
    <n v="1.53"/>
    <n v="0.75"/>
    <n v="-2.0400000000000027"/>
    <n v="2.0400000000000027"/>
    <x v="0"/>
    <n v="12.93"/>
    <n v="0"/>
    <n v="1"/>
  </r>
  <r>
    <s v="AJEET KUMAR"/>
    <d v="2026-06-25T00:00:00"/>
    <s v="SR-RTN/26-27/42883"/>
    <s v="B-303929"/>
    <s v="B-GOLD-FILING"/>
    <s v="GOLD-FILLING-WK"/>
    <x v="0"/>
    <s v="G-NA-91.70-YG"/>
    <n v="2.56"/>
    <n v="2.3475199999999998"/>
    <n v="0.91699999999999993"/>
    <n v="2.34"/>
    <n v="2.1457799999999998"/>
    <n v="2.1459999999999999"/>
    <n v="0.91699999999999993"/>
    <n v="0"/>
    <n v="0"/>
    <n v="0"/>
    <n v="0"/>
    <n v="0"/>
    <n v="0"/>
    <n v="0"/>
    <n v="0"/>
    <n v="0"/>
    <n v="0.22"/>
    <n v="0.20174"/>
    <n v="0.91700000000000004"/>
    <n v="-0.2200000000000002"/>
    <n v="0.2200000000000002"/>
    <x v="0"/>
    <n v="2.1459999999999999"/>
    <n v="0"/>
    <n v="1"/>
  </r>
  <r>
    <s v="AJEET KUMAR"/>
    <d v="2026-06-25T00:00:00"/>
    <s v="SR-RTN/26-27/42895"/>
    <s v="B-303927"/>
    <s v="B-GOLD-FILING"/>
    <s v="GOLD-FILLING-WK"/>
    <x v="0"/>
    <s v="G-NA-91.70-YG"/>
    <n v="1.1200000000000001"/>
    <n v="1.02704"/>
    <n v="0.91699999999999982"/>
    <n v="1.02"/>
    <n v="0.93533999999999995"/>
    <n v="0.93600000000000005"/>
    <n v="0.91699999999999993"/>
    <n v="0"/>
    <n v="0"/>
    <n v="0"/>
    <n v="0"/>
    <n v="0"/>
    <n v="0"/>
    <n v="0"/>
    <n v="0"/>
    <n v="0"/>
    <n v="0.1"/>
    <n v="9.1700000000000004E-2"/>
    <n v="0.91700000000000004"/>
    <n v="-0.10000000000000009"/>
    <n v="0.10000000000000009"/>
    <x v="0"/>
    <n v="0.93600000000000005"/>
    <n v="0"/>
    <n v="1"/>
  </r>
  <r>
    <s v="AJEET KUMAR"/>
    <d v="2026-06-25T00:00:00"/>
    <s v="SR-RTN/26-27/42896"/>
    <s v="B-303926"/>
    <s v="B-GOLD-FILING"/>
    <s v="GOLD-FILLING-WK"/>
    <x v="0"/>
    <s v="G-NA-91.70-YG"/>
    <n v="1.94"/>
    <n v="1.77898"/>
    <n v="0.91700000000000004"/>
    <n v="1.78"/>
    <n v="1.63226"/>
    <n v="1.6329999999999998"/>
    <n v="0.91700000000000004"/>
    <n v="0"/>
    <n v="0"/>
    <n v="0"/>
    <n v="0"/>
    <n v="0"/>
    <n v="0"/>
    <n v="0"/>
    <n v="0"/>
    <n v="0"/>
    <n v="0.16"/>
    <n v="0.14671999999999999"/>
    <n v="0.91699999999999993"/>
    <n v="-0.15999999999999992"/>
    <n v="0.15999999999999992"/>
    <x v="0"/>
    <n v="1.6329999999999998"/>
    <n v="0"/>
    <n v="1"/>
  </r>
  <r>
    <s v="AJEET KUMAR"/>
    <d v="2026-06-25T00:00:00"/>
    <s v="SR-RTN/26-27/42898"/>
    <s v="B-300774"/>
    <s v="B-GOLD-FILING"/>
    <s v="GOLD-FILLING-WK"/>
    <x v="0"/>
    <s v="G-NA-91.70-YG"/>
    <n v="41.81"/>
    <n v="38.339770000000001"/>
    <n v="0.91700000000000004"/>
    <n v="38.520000000000003"/>
    <n v="35.322839999999999"/>
    <n v="35.323"/>
    <n v="0.91699999999999993"/>
    <n v="0"/>
    <n v="0"/>
    <n v="0"/>
    <n v="0"/>
    <n v="0"/>
    <n v="0"/>
    <n v="0"/>
    <n v="0"/>
    <n v="0"/>
    <n v="3.29"/>
    <n v="3.0169299999999999"/>
    <n v="0.91699999999999993"/>
    <n v="-3.2899999999999991"/>
    <n v="3.2899999999999991"/>
    <x v="0"/>
    <n v="35.323"/>
    <n v="0"/>
    <n v="1"/>
  </r>
  <r>
    <s v="AJEET KUMAR"/>
    <d v="2026-06-25T00:00:00"/>
    <s v="SR-RTN/26-27/42900"/>
    <s v="B-302546"/>
    <s v="B-GOLD-FILING"/>
    <s v="GOLD-FILLING-WK"/>
    <x v="1"/>
    <s v="G-NA-75.00-RG"/>
    <n v="23.12"/>
    <n v="17.34"/>
    <n v="0.75"/>
    <n v="20.85"/>
    <n v="15.637499999999999"/>
    <n v="15.638"/>
    <n v="0.74999999999999989"/>
    <n v="0"/>
    <n v="0"/>
    <n v="0"/>
    <n v="0"/>
    <n v="0"/>
    <n v="0"/>
    <n v="0"/>
    <n v="0"/>
    <n v="0"/>
    <n v="2.27"/>
    <n v="1.7024999999999999"/>
    <n v="0.75"/>
    <n v="-2.2699999999999996"/>
    <n v="2.2699999999999996"/>
    <x v="0"/>
    <n v="15.638"/>
    <n v="0"/>
    <n v="1"/>
  </r>
  <r>
    <s v="AJEET KUMAR"/>
    <d v="2026-06-25T00:00:00"/>
    <s v="SR-RTN/26-27/42903"/>
    <s v="B-302910"/>
    <s v="B-GOLD-FILING"/>
    <s v="GOLD-FILLING-WK"/>
    <x v="1"/>
    <s v="G-NA-75.00-YG"/>
    <n v="17.45"/>
    <n v="13.0875"/>
    <n v="0.75"/>
    <n v="17.37"/>
    <n v="13.0275"/>
    <n v="13.027999999999999"/>
    <n v="0.75"/>
    <n v="0"/>
    <n v="0"/>
    <n v="0"/>
    <n v="0"/>
    <n v="0"/>
    <n v="0"/>
    <n v="0"/>
    <n v="0"/>
    <n v="0"/>
    <n v="0.08"/>
    <n v="0.06"/>
    <n v="0.75"/>
    <n v="-7.9999999999998295E-2"/>
    <n v="7.9999999999998295E-2"/>
    <x v="1"/>
    <n v="12"/>
    <n v="1.0279999999999987"/>
    <n v="2"/>
  </r>
  <r>
    <s v="AJEET KUMAR"/>
    <d v="2026-06-25T00:00:00"/>
    <s v="SR-RTN/26-27/42906"/>
    <s v="B-303541"/>
    <s v="B-GOLD-FILING"/>
    <s v="GOLD-FILLING-WK"/>
    <x v="1"/>
    <s v="G-NA-75.00-RG"/>
    <n v="32.630000000000003"/>
    <n v="24.4725"/>
    <n v="0.75"/>
    <n v="30.24"/>
    <n v="22.68"/>
    <n v="22.68"/>
    <n v="0.75"/>
    <n v="0"/>
    <n v="0"/>
    <n v="0"/>
    <n v="0"/>
    <n v="0"/>
    <n v="0"/>
    <n v="0"/>
    <n v="0"/>
    <n v="0"/>
    <n v="2.39"/>
    <n v="1.7925"/>
    <n v="0.75"/>
    <n v="-2.3900000000000041"/>
    <n v="2.3900000000000041"/>
    <x v="0"/>
    <n v="22.68"/>
    <n v="0"/>
    <n v="1"/>
  </r>
  <r>
    <s v="AJEET KUMAR"/>
    <d v="2026-06-25T00:00:00"/>
    <s v="SR-RTN/26-27/42907"/>
    <s v="B-302859"/>
    <s v="B-GOLD-FILING"/>
    <s v="GOLD-FILLING-WK"/>
    <x v="0"/>
    <s v="G-NA-91.70-YG"/>
    <n v="11.94"/>
    <n v="10.948980000000001"/>
    <n v="0.91700000000000004"/>
    <n v="9.99"/>
    <n v="9.1608300000000007"/>
    <n v="9.1609999999999996"/>
    <n v="0.91700000000000004"/>
    <n v="0"/>
    <n v="0"/>
    <n v="0"/>
    <n v="0"/>
    <n v="0"/>
    <n v="0"/>
    <n v="0"/>
    <n v="0"/>
    <n v="0"/>
    <n v="1.95"/>
    <n v="1.7881499999999999"/>
    <n v="0.91699999999999993"/>
    <n v="-1.9499999999999993"/>
    <n v="1.9499999999999993"/>
    <x v="0"/>
    <n v="9.1609999999999996"/>
    <n v="0"/>
    <n v="1"/>
  </r>
  <r>
    <s v="AJEET KUMAR"/>
    <d v="2026-06-25T00:00:00"/>
    <s v="SR-RTN/26-27/42915"/>
    <s v="B-302896"/>
    <s v="B-GOLD-FILING"/>
    <s v="GOLD-FILLING-WK"/>
    <x v="1"/>
    <s v="G-NA-75.00-RG"/>
    <n v="17.75"/>
    <n v="13.3125"/>
    <n v="0.75"/>
    <n v="16.36"/>
    <n v="12.27"/>
    <n v="12.27"/>
    <n v="0.75"/>
    <n v="0"/>
    <n v="0"/>
    <n v="0"/>
    <n v="0"/>
    <n v="0"/>
    <n v="0"/>
    <n v="0"/>
    <n v="0"/>
    <n v="0"/>
    <n v="1.39"/>
    <n v="1.0425"/>
    <n v="0.75"/>
    <n v="-1.3900000000000006"/>
    <n v="1.3900000000000006"/>
    <x v="1"/>
    <n v="10.635"/>
    <n v="1.6349999999999998"/>
    <n v="2"/>
  </r>
  <r>
    <s v="AJEET KUMAR"/>
    <d v="2026-06-25T00:00:00"/>
    <s v="SR-RTN/26-27/42917"/>
    <s v="B-303139"/>
    <s v="B-GOLD-FILING"/>
    <s v="GOLD-FILLING-WK"/>
    <x v="1"/>
    <s v="G-NA-75.00-YG"/>
    <n v="36.200000000000003"/>
    <n v="27.15"/>
    <n v="0.74999999999999989"/>
    <n v="34.64"/>
    <n v="25.98"/>
    <n v="25.98"/>
    <n v="0.75"/>
    <n v="0"/>
    <n v="0"/>
    <n v="0"/>
    <n v="0"/>
    <n v="0"/>
    <n v="0"/>
    <n v="0"/>
    <n v="0"/>
    <n v="0"/>
    <n v="1.56"/>
    <n v="1.17"/>
    <n v="0.74999999999999989"/>
    <n v="-1.5600000000000023"/>
    <n v="1.5600000000000023"/>
    <x v="0"/>
    <n v="25.98"/>
    <n v="0"/>
    <n v="2"/>
  </r>
  <r>
    <s v="AJEET KUMAR"/>
    <d v="2026-06-25T00:00:00"/>
    <s v="SR-RTN/26-27/42920"/>
    <s v="B-303455"/>
    <s v="B-GOLD-FILING"/>
    <s v="GOLD-FILLING-WK"/>
    <x v="1"/>
    <s v="G-NA-75.00-YG"/>
    <n v="7.41"/>
    <n v="5.5575000000000001"/>
    <n v="0.75"/>
    <n v="6.15"/>
    <n v="4.6124999999999998"/>
    <n v="4.6130000000000004"/>
    <n v="0.74999999999999989"/>
    <n v="0"/>
    <n v="0"/>
    <n v="0"/>
    <n v="0"/>
    <n v="0"/>
    <n v="0"/>
    <n v="0"/>
    <n v="0"/>
    <n v="0"/>
    <n v="1.26"/>
    <n v="0.94499999999999995"/>
    <n v="0.75"/>
    <n v="-1.2599999999999998"/>
    <n v="1.2599999999999998"/>
    <x v="0"/>
    <n v="4.6130000000000004"/>
    <n v="0"/>
    <n v="1"/>
  </r>
  <r>
    <s v="AJEET KUMAR"/>
    <d v="2026-06-25T00:00:00"/>
    <s v="SR-RTN/26-27/42921"/>
    <s v="B-302540"/>
    <s v="B-GOLD-FILING"/>
    <s v="GOLD-FILLING-WK"/>
    <x v="1"/>
    <s v="G-NA-75.00-RG"/>
    <n v="22.22"/>
    <n v="16.664999999999999"/>
    <n v="0.75"/>
    <n v="20.52"/>
    <n v="15.39"/>
    <n v="15.39"/>
    <n v="0.75"/>
    <n v="0"/>
    <n v="0"/>
    <n v="0"/>
    <n v="0"/>
    <n v="0"/>
    <n v="0"/>
    <n v="0"/>
    <n v="0"/>
    <n v="0"/>
    <n v="1.7"/>
    <n v="1.2749999999999999"/>
    <n v="0.75"/>
    <n v="-1.6999999999999993"/>
    <n v="1.6999999999999993"/>
    <x v="0"/>
    <n v="15.39"/>
    <n v="0"/>
    <n v="1"/>
  </r>
  <r>
    <s v="AJEET KUMAR"/>
    <d v="2026-06-25T00:00:00"/>
    <s v="SR-RTN/26-27/42949"/>
    <s v="B-295817"/>
    <s v="B-GOLD-FILING"/>
    <s v="GOLD-FILLING-WK"/>
    <x v="0"/>
    <s v="G-NA-91.70-YG"/>
    <n v="5.29"/>
    <n v="4.85093"/>
    <n v="0.91700000000000004"/>
    <n v="5.26"/>
    <n v="4.8234199999999996"/>
    <n v="4.8240000000000007"/>
    <n v="0.91699999999999993"/>
    <n v="0"/>
    <n v="0"/>
    <n v="0"/>
    <n v="0"/>
    <n v="0"/>
    <n v="0"/>
    <n v="0"/>
    <n v="0"/>
    <n v="0"/>
    <n v="0.03"/>
    <n v="2.751E-2"/>
    <n v="0.91700000000000004"/>
    <n v="-3.0000000000000249E-2"/>
    <n v="3.0000000000000249E-2"/>
    <x v="1"/>
    <n v="4.0900000000000007"/>
    <n v="0.73399999999999999"/>
    <n v="2"/>
  </r>
  <r>
    <s v="AJEET KUMAR"/>
    <d v="2026-06-25T00:00:00"/>
    <s v="SR-RTN/26-27/42949"/>
    <s v="B-303199"/>
    <s v="B-GOLD-FILING"/>
    <s v="GOLD-FILLING-WK"/>
    <x v="0"/>
    <s v="G-NA-91.70-YG"/>
    <n v="13.56"/>
    <n v="12.434519999999999"/>
    <n v="0.91699999999999993"/>
    <n v="12.75"/>
    <n v="11.691750000000001"/>
    <n v="11.692"/>
    <n v="0.91700000000000004"/>
    <n v="0"/>
    <n v="0"/>
    <n v="0"/>
    <n v="0"/>
    <n v="0"/>
    <n v="0"/>
    <n v="0"/>
    <n v="0"/>
    <n v="0"/>
    <n v="0.81"/>
    <n v="0.74277000000000004"/>
    <n v="0.91700000000000004"/>
    <n v="-0.8100000000000005"/>
    <n v="0.8100000000000005"/>
    <x v="0"/>
    <n v="11.692"/>
    <n v="0"/>
    <n v="1"/>
  </r>
  <r>
    <s v="AJEET KUMAR"/>
    <d v="2026-06-25T00:00:00"/>
    <s v="SR-RTN/26-27/42949"/>
    <s v="B-303201"/>
    <s v="B-GOLD-FILING"/>
    <s v="GOLD-FILLING-WK"/>
    <x v="0"/>
    <s v="G-NA-91.70-YG"/>
    <n v="14.41"/>
    <n v="13.21397"/>
    <n v="0.91699999999999993"/>
    <n v="13.22"/>
    <n v="12.12274"/>
    <n v="12.122999999999999"/>
    <n v="0.91699999999999993"/>
    <n v="0"/>
    <n v="0"/>
    <n v="0"/>
    <n v="0"/>
    <n v="0"/>
    <n v="0"/>
    <n v="0"/>
    <n v="0"/>
    <n v="0"/>
    <n v="1.19"/>
    <n v="1.0912299999999999"/>
    <n v="0.91699999999999993"/>
    <n v="-1.1899999999999995"/>
    <n v="1.1899999999999995"/>
    <x v="0"/>
    <n v="12.122999999999999"/>
    <n v="0"/>
    <n v="1"/>
  </r>
  <r>
    <s v="AJEET KUMAR"/>
    <d v="2026-06-25T00:00:00"/>
    <s v="SR-RTN/26-27/42955"/>
    <s v="B-303544"/>
    <s v="B-GOLD-FILING"/>
    <s v="GOLD-FILLING-WK"/>
    <x v="1"/>
    <s v="G-NA-75.00-YG"/>
    <n v="20.75"/>
    <n v="15.5625"/>
    <n v="0.75"/>
    <n v="19.5"/>
    <n v="14.625"/>
    <n v="14.625"/>
    <n v="0.75"/>
    <n v="0"/>
    <n v="0"/>
    <n v="0"/>
    <n v="0"/>
    <n v="0"/>
    <n v="0"/>
    <n v="0"/>
    <n v="0"/>
    <n v="0"/>
    <n v="1.25"/>
    <n v="0.9375"/>
    <n v="0.75"/>
    <n v="-1.25"/>
    <n v="1.25"/>
    <x v="1"/>
    <n v="14.618"/>
    <n v="6.9999999999996732E-3"/>
    <n v="2"/>
  </r>
  <r>
    <s v="AJEET KUMAR"/>
    <d v="2026-06-25T00:00:00"/>
    <s v="SR-RTN/26-27/42976"/>
    <s v="B-303937"/>
    <s v="B-GOLD-FILING"/>
    <s v="GOLD-FILLING-WK"/>
    <x v="1"/>
    <s v="G-NA-75.00-RG"/>
    <n v="35.729999999999997"/>
    <n v="26.797499999999999"/>
    <n v="0.75"/>
    <n v="32.71"/>
    <n v="24.532499999999999"/>
    <n v="24.533000000000001"/>
    <n v="0.75"/>
    <n v="0"/>
    <n v="0"/>
    <n v="0"/>
    <n v="0"/>
    <n v="0"/>
    <n v="0"/>
    <n v="0"/>
    <n v="0"/>
    <n v="0"/>
    <n v="3.02"/>
    <n v="2.2650000000000001"/>
    <n v="0.75"/>
    <n v="-3.019999999999996"/>
    <n v="3.019999999999996"/>
    <x v="0"/>
    <n v="24.533000000000001"/>
    <n v="0"/>
    <n v="1"/>
  </r>
  <r>
    <s v="AJEET KUMAR"/>
    <d v="2026-06-25T00:00:00"/>
    <s v="SR-RTN/26-27/42978"/>
    <s v="B-302897"/>
    <s v="B-GOLD-FILING"/>
    <s v="GOLD-FILLING-WK"/>
    <x v="1"/>
    <s v="G-NA-75.00-RG"/>
    <n v="23.4"/>
    <n v="17.55"/>
    <n v="0.75000000000000011"/>
    <n v="21.24"/>
    <n v="15.93"/>
    <n v="15.93"/>
    <n v="0.75"/>
    <n v="0"/>
    <n v="0"/>
    <n v="0"/>
    <n v="0"/>
    <n v="0"/>
    <n v="0"/>
    <n v="0"/>
    <n v="0"/>
    <n v="0"/>
    <n v="2.16"/>
    <n v="1.62"/>
    <n v="0.75"/>
    <n v="-2.16"/>
    <n v="2.16"/>
    <x v="0"/>
    <n v="15.93"/>
    <n v="0"/>
    <n v="1"/>
  </r>
  <r>
    <s v="AJEET KUMAR"/>
    <d v="2026-06-25T00:00:00"/>
    <s v="SR-RTN/26-27/42979"/>
    <s v="B-302898"/>
    <s v="B-GOLD-FILING"/>
    <s v="GOLD-FILLING-WK"/>
    <x v="1"/>
    <s v="G-NA-75.00-RG"/>
    <n v="25.35"/>
    <n v="19.012499999999999"/>
    <n v="0.74999999999999989"/>
    <n v="22.56"/>
    <n v="16.920000000000002"/>
    <n v="16.920000000000002"/>
    <n v="0.75000000000000011"/>
    <n v="0"/>
    <n v="0"/>
    <n v="0"/>
    <n v="0"/>
    <n v="0"/>
    <n v="0"/>
    <n v="0"/>
    <n v="0"/>
    <n v="0"/>
    <n v="2.79"/>
    <n v="2.0924999999999998"/>
    <n v="0.74999999999999989"/>
    <n v="-2.7900000000000027"/>
    <n v="2.7900000000000027"/>
    <x v="0"/>
    <n v="16.920000000000002"/>
    <n v="0"/>
    <n v="1"/>
  </r>
  <r>
    <s v="AJEET KUMAR"/>
    <d v="2026-06-25T00:00:00"/>
    <s v="SR-RTN/26-27/42980"/>
    <s v="B-300766"/>
    <s v="B-GOLD-FILING"/>
    <s v="GOLD-FILLING-WK"/>
    <x v="0"/>
    <s v="G-NA-91.70-YG"/>
    <n v="40.11"/>
    <n v="36.78087"/>
    <n v="0.91700000000000004"/>
    <n v="37.619999999999997"/>
    <n v="34.497540000000001"/>
    <n v="34.497999999999998"/>
    <n v="0.91700000000000004"/>
    <n v="0"/>
    <n v="0"/>
    <n v="0"/>
    <n v="0"/>
    <n v="0"/>
    <n v="0"/>
    <n v="0"/>
    <n v="0"/>
    <n v="0"/>
    <n v="2.4900000000000002"/>
    <n v="2.2833299999999999"/>
    <n v="0.91699999999999982"/>
    <n v="-2.490000000000002"/>
    <n v="2.490000000000002"/>
    <x v="0"/>
    <n v="34.497999999999998"/>
    <n v="0"/>
    <n v="1"/>
  </r>
  <r>
    <s v="AJEET KUMAR"/>
    <d v="2026-06-25T00:00:00"/>
    <s v="SR-RTN/26-27/42983"/>
    <s v="B-300778"/>
    <s v="B-GOLD-FILING"/>
    <s v="GOLD-FILLING-WK"/>
    <x v="0"/>
    <s v="G-NA-91.70-YG"/>
    <n v="35.75"/>
    <n v="32.78275"/>
    <n v="0.91700000000000004"/>
    <n v="33.380000000000003"/>
    <n v="30.609459999999999"/>
    <n v="30.610000000000003"/>
    <n v="0.91699999999999993"/>
    <n v="0"/>
    <n v="0"/>
    <n v="0"/>
    <n v="0"/>
    <n v="0"/>
    <n v="0"/>
    <n v="0"/>
    <n v="0"/>
    <n v="0"/>
    <n v="2.37"/>
    <n v="2.1732900000000002"/>
    <n v="0.91700000000000004"/>
    <n v="-2.3699999999999974"/>
    <n v="2.3699999999999974"/>
    <x v="0"/>
    <n v="30.610000000000003"/>
    <n v="0"/>
    <n v="1"/>
  </r>
  <r>
    <s v="AJEET KUMAR"/>
    <d v="2026-06-25T00:00:00"/>
    <s v="SR-RTN/26-27/42984"/>
    <s v="B-302895"/>
    <s v="B-GOLD-FILING"/>
    <s v="GOLD-FILLING-WK"/>
    <x v="1"/>
    <s v="G-NA-75.00-RG"/>
    <n v="22.17"/>
    <n v="16.627500000000001"/>
    <n v="0.75"/>
    <n v="21.17"/>
    <n v="15.8775"/>
    <n v="15.878"/>
    <n v="0.74999999999999989"/>
    <n v="0"/>
    <n v="0"/>
    <n v="0"/>
    <n v="0"/>
    <n v="0"/>
    <n v="0"/>
    <n v="0"/>
    <n v="0"/>
    <n v="0"/>
    <n v="1"/>
    <n v="0.75"/>
    <n v="0.75"/>
    <n v="-1"/>
    <n v="1"/>
    <x v="0"/>
    <n v="15.878"/>
    <n v="0"/>
    <n v="1"/>
  </r>
  <r>
    <s v="AJEET KUMAR"/>
    <d v="2026-06-25T00:00:00"/>
    <s v="SR-RTN/26-27/42985"/>
    <s v="B-299717"/>
    <s v="B-GOLD-FILING"/>
    <s v="GOLD-FILLING-WK"/>
    <x v="0"/>
    <s v="G-NA-91.70-YG"/>
    <n v="33.97"/>
    <n v="31.150490000000001"/>
    <n v="0.91700000000000004"/>
    <n v="32.14"/>
    <n v="29.472380000000001"/>
    <n v="29.473000000000003"/>
    <n v="0.91700000000000004"/>
    <n v="0"/>
    <n v="0"/>
    <n v="0"/>
    <n v="0"/>
    <n v="0"/>
    <n v="0"/>
    <n v="0"/>
    <n v="0"/>
    <n v="0"/>
    <n v="1.83"/>
    <n v="1.67811"/>
    <n v="0.91699999999999993"/>
    <n v="-1.8299999999999983"/>
    <n v="1.8299999999999983"/>
    <x v="0"/>
    <n v="29.473000000000003"/>
    <n v="0"/>
    <n v="1"/>
  </r>
  <r>
    <s v="AJEET KUMAR"/>
    <d v="2026-06-25T00:00:00"/>
    <s v="SR-RTN/26-27/42986"/>
    <s v="B-301869"/>
    <s v="B-GOLD-FILING"/>
    <s v="GOLD-FILLING-WK"/>
    <x v="1"/>
    <s v="G-NA-75.00-RG"/>
    <n v="47.61"/>
    <n v="35.707500000000003"/>
    <n v="0.75000000000000011"/>
    <n v="45.15"/>
    <n v="33.862499999999997"/>
    <n v="33.863"/>
    <n v="0.75"/>
    <n v="0"/>
    <n v="0"/>
    <n v="0"/>
    <n v="0"/>
    <n v="0"/>
    <n v="0"/>
    <n v="0"/>
    <n v="0"/>
    <n v="0"/>
    <n v="2.46"/>
    <n v="1.845"/>
    <n v="0.75"/>
    <n v="-2.4600000000000009"/>
    <n v="2.4600000000000009"/>
    <x v="0"/>
    <n v="33.863"/>
    <n v="0"/>
    <n v="1"/>
  </r>
  <r>
    <s v="AJEET KUMAR"/>
    <d v="2026-06-25T00:00:00"/>
    <s v="SR-RTN/26-27/42987"/>
    <s v="B-302532"/>
    <s v="B-GOLD-FILING"/>
    <s v="GOLD-FILLING-WK"/>
    <x v="1"/>
    <s v="G-NA-75.00-RG"/>
    <n v="15.37"/>
    <n v="11.5275"/>
    <n v="0.75"/>
    <n v="13.38"/>
    <n v="10.035"/>
    <n v="10.035"/>
    <n v="0.75"/>
    <n v="0"/>
    <n v="0"/>
    <n v="0"/>
    <n v="0"/>
    <n v="0"/>
    <n v="0"/>
    <n v="0"/>
    <n v="0"/>
    <n v="0"/>
    <n v="1.99"/>
    <n v="1.4924999999999999"/>
    <n v="0.75"/>
    <n v="-1.9899999999999984"/>
    <n v="1.9899999999999984"/>
    <x v="0"/>
    <n v="10.035"/>
    <n v="0"/>
    <n v="1"/>
  </r>
  <r>
    <s v="AJEET KUMAR"/>
    <d v="2026-06-25T00:00:00"/>
    <s v="SR-RTN/26-27/43037"/>
    <s v="B-303216"/>
    <s v="B-GOLD-FILING"/>
    <s v="GOLD-FILLING-WK"/>
    <x v="1"/>
    <s v="G-NA-75.00-RG"/>
    <n v="17.68"/>
    <n v="13.26"/>
    <n v="0.75"/>
    <n v="16.489999999999998"/>
    <n v="12.3675"/>
    <n v="12.368"/>
    <n v="0.75"/>
    <n v="0"/>
    <n v="0"/>
    <n v="0"/>
    <n v="0"/>
    <n v="0"/>
    <n v="0"/>
    <n v="0"/>
    <n v="0"/>
    <n v="0"/>
    <n v="1.19"/>
    <n v="0.89249999999999996"/>
    <n v="0.75"/>
    <n v="-1.1900000000000013"/>
    <n v="1.1900000000000013"/>
    <x v="0"/>
    <n v="12.368"/>
    <n v="0"/>
    <n v="1"/>
  </r>
  <r>
    <s v="AJEET KUMAR"/>
    <d v="2026-06-25T00:00:00"/>
    <s v="SR-RTN/26-27/43135"/>
    <s v="B-303143"/>
    <s v="B-GOLD-FILING"/>
    <s v="GOLD-FILLING-WK"/>
    <x v="0"/>
    <s v="G-NA-91.70-YG"/>
    <n v="34.340000000000003"/>
    <n v="31.48978"/>
    <n v="0.91699999999999993"/>
    <n v="32.26"/>
    <n v="29.582419999999999"/>
    <n v="29.583000000000002"/>
    <n v="0.91700000000000004"/>
    <n v="0"/>
    <n v="0"/>
    <n v="0"/>
    <n v="0"/>
    <n v="0"/>
    <n v="0"/>
    <n v="0"/>
    <n v="0"/>
    <n v="0"/>
    <n v="2.08"/>
    <n v="1.9073599999999999"/>
    <n v="0.91699999999999993"/>
    <n v="-2.0800000000000054"/>
    <n v="2.0800000000000054"/>
    <x v="0"/>
    <n v="29.583000000000002"/>
    <n v="0"/>
    <n v="1"/>
  </r>
  <r>
    <s v="AJEET KUMAR"/>
    <d v="2026-06-25T00:00:00"/>
    <s v="SR-RTN/26-27/43135"/>
    <s v="B-303447"/>
    <s v="B-GOLD-FILING"/>
    <s v="GOLD-FILLING-WK"/>
    <x v="0"/>
    <s v="G-NA-91.70-YG"/>
    <n v="20.3"/>
    <n v="18.615100000000002"/>
    <n v="0.91700000000000004"/>
    <n v="19.11"/>
    <n v="17.523869999999999"/>
    <n v="17.524000000000001"/>
    <n v="0.91699999999999993"/>
    <n v="0"/>
    <n v="0"/>
    <n v="0"/>
    <n v="0"/>
    <n v="0"/>
    <n v="0"/>
    <n v="0"/>
    <n v="0"/>
    <n v="0"/>
    <n v="1.19"/>
    <n v="1.0912299999999999"/>
    <n v="0.91699999999999993"/>
    <n v="-1.1900000000000013"/>
    <n v="1.1900000000000013"/>
    <x v="0"/>
    <n v="17.524000000000001"/>
    <n v="0"/>
    <n v="1"/>
  </r>
  <r>
    <s v="AJEET KUMAR"/>
    <d v="2026-06-25T00:00:00"/>
    <s v="SR-RTN/26-27/43143"/>
    <s v="B-300909"/>
    <s v="B-GOLD-FILING"/>
    <s v="GOLD-FILLING-WK"/>
    <x v="0"/>
    <s v="G-NA-91.70-YG"/>
    <n v="37.22"/>
    <n v="34.130740000000003"/>
    <n v="0.91700000000000015"/>
    <n v="35.51"/>
    <n v="32.562669999999997"/>
    <n v="32.562999999999995"/>
    <n v="0.91699999999999993"/>
    <n v="0"/>
    <n v="0"/>
    <n v="0"/>
    <n v="0"/>
    <n v="0"/>
    <n v="0"/>
    <n v="0"/>
    <n v="0"/>
    <n v="0"/>
    <n v="1.71"/>
    <n v="1.5680700000000001"/>
    <n v="0.91700000000000004"/>
    <n v="-1.7100000000000009"/>
    <n v="1.7100000000000009"/>
    <x v="0"/>
    <n v="32.562999999999995"/>
    <n v="0"/>
    <n v="1"/>
  </r>
  <r>
    <s v="AJEET KUMAR"/>
    <d v="2026-06-25T00:00:00"/>
    <s v="SR-RTN/26-27/43143"/>
    <s v="B-303208"/>
    <s v="B-GOLD-FILING"/>
    <s v="GOLD-FILLING-WK"/>
    <x v="1"/>
    <s v="G-NA-75.00-RG"/>
    <n v="33.29"/>
    <n v="24.967500000000001"/>
    <n v="0.75"/>
    <n v="30.73"/>
    <n v="23.047499999999999"/>
    <n v="23.048000000000002"/>
    <n v="0.75"/>
    <n v="0"/>
    <n v="0"/>
    <n v="0"/>
    <n v="0"/>
    <n v="0"/>
    <n v="0"/>
    <n v="0"/>
    <n v="0"/>
    <n v="0"/>
    <n v="2.56"/>
    <n v="1.92"/>
    <n v="0.75"/>
    <n v="-2.5599999999999987"/>
    <n v="2.5599999999999987"/>
    <x v="0"/>
    <n v="23.048000000000002"/>
    <n v="0"/>
    <n v="1"/>
  </r>
  <r>
    <s v="AJEET KUMAR"/>
    <d v="2026-06-25T00:00:00"/>
    <s v="SR-RTN/26-27/43143"/>
    <s v="B-303850"/>
    <s v="B-GOLD-FILING"/>
    <s v="GOLD-FILLING-WK"/>
    <x v="0"/>
    <s v="G-NA-91.70-YG"/>
    <n v="45.78"/>
    <n v="41.980260000000001"/>
    <n v="0.91700000000000004"/>
    <n v="43.59"/>
    <n v="39.972029999999997"/>
    <n v="39.972999999999999"/>
    <n v="0.91699999999999982"/>
    <n v="0"/>
    <n v="0"/>
    <n v="0"/>
    <n v="0"/>
    <n v="0"/>
    <n v="0"/>
    <n v="0"/>
    <n v="0"/>
    <n v="0"/>
    <n v="2.19"/>
    <n v="2.0082300000000002"/>
    <n v="0.91700000000000015"/>
    <n v="-2.1899999999999977"/>
    <n v="2.1899999999999977"/>
    <x v="0"/>
    <n v="39.972999999999999"/>
    <n v="0"/>
    <n v="1"/>
  </r>
  <r>
    <s v="AJEET KUMAR"/>
    <d v="2026-06-25T00:00:00"/>
    <s v="SR-RTN/26-27/43155"/>
    <s v="B-303220"/>
    <s v="B-GOLD-FILING"/>
    <s v="GOLD-FILLING-WK"/>
    <x v="1"/>
    <s v="G-NA-75.00-RG"/>
    <n v="55.25"/>
    <n v="41.4375"/>
    <n v="0.75"/>
    <n v="49.75"/>
    <n v="37.3125"/>
    <n v="37.312999999999995"/>
    <n v="0.75"/>
    <n v="0"/>
    <n v="0"/>
    <n v="0"/>
    <n v="0"/>
    <n v="0"/>
    <n v="0"/>
    <n v="0"/>
    <n v="0"/>
    <n v="0"/>
    <n v="5.5"/>
    <n v="4.125"/>
    <n v="0.75"/>
    <n v="-5.5"/>
    <n v="5.5"/>
    <x v="0"/>
    <n v="37.312999999999995"/>
    <n v="0"/>
    <n v="1"/>
  </r>
  <r>
    <s v="AJEET KUMAR"/>
    <d v="2026-06-25T00:00:00"/>
    <s v="SR-RTN/26-27/43155"/>
    <s v="B-303939"/>
    <s v="B-GOLD-FILING"/>
    <s v="GOLD-FILLING-WK"/>
    <x v="0"/>
    <s v="G-NA-91.70-YG"/>
    <n v="76.25"/>
    <n v="69.921250000000001"/>
    <n v="0.91700000000000004"/>
    <n v="73.319999999999993"/>
    <n v="67.234440000000006"/>
    <n v="67.234999999999999"/>
    <n v="0.91700000000000015"/>
    <n v="0"/>
    <n v="0"/>
    <n v="0"/>
    <n v="0"/>
    <n v="0"/>
    <n v="0"/>
    <n v="0"/>
    <n v="0"/>
    <n v="0"/>
    <n v="2.93"/>
    <n v="2.6868099999999999"/>
    <n v="0.91699999999999993"/>
    <n v="-2.9300000000000068"/>
    <n v="2.9300000000000068"/>
    <x v="0"/>
    <n v="67.234999999999999"/>
    <n v="0"/>
    <n v="1"/>
  </r>
  <r>
    <s v="AJEET KUMAR"/>
    <d v="2026-06-25T00:00:00"/>
    <s v="SR-RTN/26-27/43161"/>
    <s v="B-304025"/>
    <s v="B-GOLD-FILING"/>
    <s v="GOLD-FILLING-WK"/>
    <x v="0"/>
    <s v="G-NA-91.70-YG"/>
    <n v="7.21"/>
    <n v="6.6115700000000004"/>
    <n v="0.91700000000000004"/>
    <n v="6.95"/>
    <n v="6.3731499999999999"/>
    <n v="6.3740000000000006"/>
    <n v="0.91699999999999993"/>
    <n v="0"/>
    <n v="0"/>
    <n v="0"/>
    <n v="0"/>
    <n v="0"/>
    <n v="0"/>
    <n v="0"/>
    <n v="0"/>
    <n v="0"/>
    <n v="0.26"/>
    <n v="0.23841999999999999"/>
    <n v="0.91699999999999993"/>
    <n v="-0.25999999999999979"/>
    <n v="0.25999999999999979"/>
    <x v="0"/>
    <n v="6.3740000000000006"/>
    <n v="0"/>
    <n v="1"/>
  </r>
  <r>
    <s v="AJEET KUMAR"/>
    <d v="2026-06-25T00:00:00"/>
    <s v="SR-RTN/26-27/43242"/>
    <s v="B-305845"/>
    <s v="B-GOLD-FILING"/>
    <s v="GOLD-FILLING-WK"/>
    <x v="0"/>
    <s v="G-NA-91.70-YG"/>
    <n v="3.15"/>
    <n v="2.88855"/>
    <n v="0.91700000000000004"/>
    <n v="2.63"/>
    <n v="2.4117099999999998"/>
    <n v="2.4119999999999999"/>
    <n v="0.91699999999999993"/>
    <n v="0"/>
    <n v="0"/>
    <n v="0"/>
    <n v="0"/>
    <n v="0"/>
    <n v="0"/>
    <n v="0"/>
    <n v="0"/>
    <n v="0"/>
    <n v="0.52"/>
    <n v="0.47683999999999999"/>
    <n v="0.91699999999999993"/>
    <n v="-0.52"/>
    <n v="0.52"/>
    <x v="0"/>
    <n v="2.4119999999999999"/>
    <n v="0"/>
    <n v="1"/>
  </r>
  <r>
    <s v="AJEET KUMAR"/>
    <d v="2026-06-25T00:00:00"/>
    <s v="SR-RTN/26-27/43261"/>
    <s v="B-303544"/>
    <s v="B-GOLD-FILING"/>
    <s v="REP-GOLD-FILLING-WK"/>
    <x v="1"/>
    <s v="G-NA-75.00-YG"/>
    <n v="19.690000000000001"/>
    <n v="14.7675"/>
    <n v="0.75"/>
    <n v="19.489999999999998"/>
    <n v="14.6175"/>
    <n v="14.618"/>
    <n v="0.75"/>
    <n v="0"/>
    <n v="0"/>
    <n v="0"/>
    <n v="0"/>
    <n v="0"/>
    <n v="0"/>
    <n v="0"/>
    <n v="0"/>
    <n v="0"/>
    <n v="0.2"/>
    <n v="0.15"/>
    <n v="0.74999999999999989"/>
    <n v="-0.20000000000000284"/>
    <n v="0.20000000000000284"/>
    <x v="2"/>
    <n v="14.618"/>
    <n v="0"/>
    <n v="2"/>
  </r>
  <r>
    <s v="AJEET KUMAR"/>
    <d v="2026-06-25T00:00:00"/>
    <s v="SR-RTN/26-27/43262"/>
    <s v="B-291855"/>
    <s v="B-GOLD-FILING"/>
    <s v="GOLD-FILLING-WK"/>
    <x v="0"/>
    <s v="G-NA-91.70-YG"/>
    <n v="51.78"/>
    <n v="47.482259999999997"/>
    <n v="0.91699999999999993"/>
    <n v="51.69"/>
    <n v="47.399729999999998"/>
    <n v="47.4"/>
    <n v="0.91700000000000004"/>
    <n v="0"/>
    <n v="0"/>
    <n v="0"/>
    <n v="0"/>
    <n v="0"/>
    <n v="0"/>
    <n v="0"/>
    <n v="0"/>
    <n v="0"/>
    <n v="0.09"/>
    <n v="8.2530000000000006E-2"/>
    <n v="0.91700000000000015"/>
    <n v="-9.0000000000003411E-2"/>
    <n v="9.0000000000003411E-2"/>
    <x v="0"/>
    <n v="47.4"/>
    <n v="0"/>
    <n v="1"/>
  </r>
  <r>
    <s v="AJEET KUMAR"/>
    <d v="2026-06-25T00:00:00"/>
    <s v="SR-RTN/26-27/43298"/>
    <s v="B-303144"/>
    <s v="B-GOLD-FILING"/>
    <s v="GOLD-FILLING-WK"/>
    <x v="0"/>
    <s v="G-NA-91.70-YG"/>
    <n v="46.45"/>
    <n v="42.594650000000001"/>
    <n v="0.91699999999999993"/>
    <n v="43.59"/>
    <n v="39.972029999999997"/>
    <n v="39.972999999999999"/>
    <n v="0.91699999999999982"/>
    <n v="0"/>
    <n v="0"/>
    <n v="0"/>
    <n v="0"/>
    <n v="0"/>
    <n v="0"/>
    <n v="0"/>
    <n v="0"/>
    <n v="0"/>
    <n v="2.86"/>
    <n v="2.62262"/>
    <n v="0.91700000000000004"/>
    <n v="-2.8599999999999994"/>
    <n v="2.8599999999999994"/>
    <x v="0"/>
    <n v="39.972999999999999"/>
    <n v="0"/>
    <n v="1"/>
  </r>
  <r>
    <s v="AJEET KUMAR"/>
    <d v="2026-06-25T00:00:00"/>
    <s v="SR-RTN/26-27/43298"/>
    <s v="B-303539"/>
    <s v="B-GOLD-FILING"/>
    <s v="GOLD-FILLING-WK"/>
    <x v="1"/>
    <s v="G-NA-75.00-RG"/>
    <n v="19.14"/>
    <n v="14.355"/>
    <n v="0.75"/>
    <n v="19.04"/>
    <n v="14.28"/>
    <n v="14.28"/>
    <n v="0.75"/>
    <n v="0"/>
    <n v="0"/>
    <n v="0"/>
    <n v="0"/>
    <n v="0"/>
    <n v="0"/>
    <n v="0"/>
    <n v="0"/>
    <n v="0"/>
    <n v="0.1"/>
    <n v="7.4999999999999997E-2"/>
    <n v="0.74999999999999989"/>
    <n v="-0.10000000000000142"/>
    <n v="0.10000000000000142"/>
    <x v="1"/>
    <n v="13.425000000000001"/>
    <n v="0.85499999999999865"/>
    <n v="2"/>
  </r>
  <r>
    <s v="AJEET KUMAR"/>
    <d v="2026-06-25T00:00:00"/>
    <s v="SR-RTN/26-27/43298"/>
    <s v="B-303901"/>
    <s v="B-GOLD-FILING"/>
    <s v="GOLD-FILLING-WK"/>
    <x v="1"/>
    <s v="G-NA-75.00-RG"/>
    <n v="24.85"/>
    <n v="18.637499999999999"/>
    <n v="0.74999999999999989"/>
    <n v="22.18"/>
    <n v="16.635000000000002"/>
    <n v="16.635000000000002"/>
    <n v="0.75000000000000011"/>
    <n v="0"/>
    <n v="0"/>
    <n v="0"/>
    <n v="0"/>
    <n v="0"/>
    <n v="0"/>
    <n v="0"/>
    <n v="0"/>
    <n v="0"/>
    <n v="2.67"/>
    <n v="2.0024999999999999"/>
    <n v="0.75"/>
    <n v="-2.6700000000000017"/>
    <n v="2.6700000000000017"/>
    <x v="0"/>
    <n v="16.635000000000002"/>
    <n v="0"/>
    <n v="1"/>
  </r>
  <r>
    <s v="AJEET KUMAR"/>
    <d v="2026-06-25T00:00:00"/>
    <s v="SR-RTN/26-27/43298"/>
    <s v="B-304024"/>
    <s v="B-GOLD-FILING"/>
    <s v="GOLD-FILLING-WK"/>
    <x v="0"/>
    <s v="G-NA-91.70-YG"/>
    <n v="8.4600000000000009"/>
    <n v="7.7578199999999997"/>
    <n v="0.91699999999999993"/>
    <n v="8.0500000000000007"/>
    <n v="7.38185"/>
    <n v="7.3820000000000006"/>
    <n v="0.91699999999999993"/>
    <n v="0"/>
    <n v="0"/>
    <n v="0"/>
    <n v="0"/>
    <n v="0"/>
    <n v="0"/>
    <n v="0"/>
    <n v="0"/>
    <n v="0"/>
    <n v="0.41"/>
    <n v="0.37597000000000003"/>
    <n v="0.91700000000000015"/>
    <n v="-0.41000000000000014"/>
    <n v="0.41000000000000014"/>
    <x v="0"/>
    <n v="7.3820000000000006"/>
    <n v="0"/>
    <n v="1"/>
  </r>
  <r>
    <s v="AJEET KUMAR"/>
    <d v="2026-06-25T00:00:00"/>
    <s v="SR-RTN/26-27/43309"/>
    <s v="B-304346"/>
    <s v="B-GOLD-FILING"/>
    <s v="GOLD-FILLING-WK"/>
    <x v="1"/>
    <s v="G-NA-75.00-YG"/>
    <n v="33.82"/>
    <n v="25.364999999999998"/>
    <n v="0.75"/>
    <n v="32.71"/>
    <n v="24.532499999999999"/>
    <n v="24.533000000000001"/>
    <n v="0.75"/>
    <n v="0"/>
    <n v="0"/>
    <n v="0"/>
    <n v="0"/>
    <n v="0"/>
    <n v="0"/>
    <n v="0"/>
    <n v="0"/>
    <n v="0"/>
    <n v="1.1100000000000001"/>
    <n v="0.83250000000000002"/>
    <n v="0.75"/>
    <n v="-1.1099999999999994"/>
    <n v="1.1099999999999994"/>
    <x v="1"/>
    <n v="23.13"/>
    <n v="1.4030000000000022"/>
    <n v="2"/>
  </r>
  <r>
    <s v="AJEET KUMAR"/>
    <d v="2026-06-25T00:00:00"/>
    <s v="SR-RTN/26-27/43319"/>
    <s v="B-295820"/>
    <s v="B-GOLD-FILING"/>
    <s v="GOLD-FILLING-WK"/>
    <x v="0"/>
    <s v="G-NA-91.70-YG"/>
    <n v="3.96"/>
    <n v="3.6313200000000001"/>
    <n v="0.91700000000000004"/>
    <n v="3.81"/>
    <n v="3.49377"/>
    <n v="3.4939999999999998"/>
    <n v="0.91700000000000004"/>
    <n v="0"/>
    <n v="0"/>
    <n v="0"/>
    <n v="0"/>
    <n v="0"/>
    <n v="0"/>
    <n v="0"/>
    <n v="0"/>
    <n v="0"/>
    <n v="0.15"/>
    <n v="0.13755000000000001"/>
    <n v="0.91700000000000004"/>
    <n v="-0.14999999999999991"/>
    <n v="0.14999999999999991"/>
    <x v="1"/>
    <n v="2.88"/>
    <n v="0.61399999999999988"/>
    <n v="2"/>
  </r>
  <r>
    <s v="AJEET KUMAR"/>
    <d v="2026-06-25T00:00:00"/>
    <s v="SR-RTN/26-27/43319"/>
    <s v="B-299775"/>
    <s v="B-GOLD-FILING"/>
    <s v="GOLD-FILLING-WK"/>
    <x v="0"/>
    <s v="G-NA-91.70-YG"/>
    <n v="14.91"/>
    <n v="13.672470000000001"/>
    <n v="0.91700000000000004"/>
    <n v="14.33"/>
    <n v="13.140610000000001"/>
    <n v="13.141"/>
    <n v="0.91700000000000004"/>
    <n v="0"/>
    <n v="0"/>
    <n v="0"/>
    <n v="0"/>
    <n v="0"/>
    <n v="0"/>
    <n v="0"/>
    <n v="0"/>
    <n v="0"/>
    <n v="0.57999999999999996"/>
    <n v="0.53186"/>
    <n v="0.91700000000000004"/>
    <n v="-0.58000000000000007"/>
    <n v="0.58000000000000007"/>
    <x v="0"/>
    <n v="13.141"/>
    <n v="0"/>
    <n v="2"/>
  </r>
  <r>
    <s v="AJEET KUMAR"/>
    <d v="2026-06-25T00:00:00"/>
    <s v="SR-RTN/26-27/43319"/>
    <s v="B-299778"/>
    <s v="B-GOLD-FILING"/>
    <s v="GOLD-FILLING-WK"/>
    <x v="0"/>
    <s v="G-NA-91.70-YG"/>
    <n v="11.93"/>
    <n v="10.93981"/>
    <n v="0.91700000000000004"/>
    <n v="11.58"/>
    <n v="10.61886"/>
    <n v="10.619"/>
    <n v="0.91699999999999993"/>
    <n v="0"/>
    <n v="0"/>
    <n v="0"/>
    <n v="0"/>
    <n v="0"/>
    <n v="0"/>
    <n v="0"/>
    <n v="0"/>
    <n v="0"/>
    <n v="0.35"/>
    <n v="0.32095000000000001"/>
    <n v="0.91700000000000015"/>
    <n v="-0.34999999999999964"/>
    <n v="0.34999999999999964"/>
    <x v="0"/>
    <n v="10.619"/>
    <n v="0"/>
    <n v="2"/>
  </r>
  <r>
    <s v="AJEET KUMAR"/>
    <d v="2026-06-25T00:00:00"/>
    <s v="SR-RTN/26-27/43343"/>
    <s v="B-300777"/>
    <s v="B-GOLD-FILING"/>
    <s v="GOLD-FILLING-WK"/>
    <x v="0"/>
    <s v="G-NA-91.70-YG"/>
    <n v="113.65"/>
    <n v="104.21705"/>
    <n v="0.91699999999999993"/>
    <n v="113.58"/>
    <n v="104.15286"/>
    <n v="104.15300000000001"/>
    <n v="0.91700000000000004"/>
    <n v="0"/>
    <n v="0"/>
    <n v="0"/>
    <n v="0"/>
    <n v="0"/>
    <n v="0"/>
    <n v="0"/>
    <n v="0"/>
    <n v="0"/>
    <n v="7.0000000000000007E-2"/>
    <n v="6.4189999999999997E-2"/>
    <n v="0.91699999999999982"/>
    <n v="-7.000000000000739E-2"/>
    <n v="7.000000000000739E-2"/>
    <x v="0"/>
    <n v="104.15300000000001"/>
    <n v="0"/>
    <n v="2"/>
  </r>
  <r>
    <s v="AJEET KUMAR"/>
    <d v="2026-06-25T00:00:00"/>
    <s v="SR-RTN/26-27/43345"/>
    <s v="B-303136"/>
    <s v="B-GOLD-FILING"/>
    <s v="GOLD-FILLING-WK"/>
    <x v="1"/>
    <s v="G-NA-75.00-YG"/>
    <n v="69.09"/>
    <n v="51.817500000000003"/>
    <n v="0.75"/>
    <n v="61.82"/>
    <n v="46.365000000000002"/>
    <n v="46.365000000000002"/>
    <n v="0.75"/>
    <n v="0"/>
    <n v="0"/>
    <n v="0"/>
    <n v="0"/>
    <n v="0"/>
    <n v="0"/>
    <n v="0"/>
    <n v="0"/>
    <n v="0"/>
    <n v="7.27"/>
    <n v="5.4524999999999997"/>
    <n v="0.75"/>
    <n v="-7.2700000000000031"/>
    <n v="7.2700000000000031"/>
    <x v="0"/>
    <n v="46.365000000000002"/>
    <n v="0"/>
    <n v="1"/>
  </r>
  <r>
    <s v="AJEET KUMAR"/>
    <d v="2026-06-25T00:00:00"/>
    <s v="SR-RTN/26-27/43385"/>
    <s v="B-303542"/>
    <s v="B-GOLD-FILING"/>
    <s v="GOLD-FILLING-WK"/>
    <x v="0"/>
    <s v="G-NA-91.70-YG"/>
    <n v="81.77"/>
    <n v="74.983090000000004"/>
    <n v="0.91700000000000015"/>
    <n v="75.239999999999995"/>
    <n v="68.995080000000002"/>
    <n v="68.996000000000009"/>
    <n v="0.91700000000000004"/>
    <n v="0"/>
    <n v="0"/>
    <n v="0"/>
    <n v="0"/>
    <n v="0"/>
    <n v="0"/>
    <n v="0"/>
    <n v="0"/>
    <n v="0"/>
    <n v="6.53"/>
    <n v="5.9880100000000001"/>
    <n v="0.91699999999999993"/>
    <n v="-6.5300000000000011"/>
    <n v="6.5300000000000011"/>
    <x v="0"/>
    <n v="68.996000000000009"/>
    <n v="0"/>
    <n v="1"/>
  </r>
  <r>
    <s v="AJEET KUMAR"/>
    <d v="2026-06-25T00:00:00"/>
    <s v="SR-RTN/26-27/43386"/>
    <s v="B-303488"/>
    <s v="B-GOLD-FILING"/>
    <s v="GOLD-FILLING-WK"/>
    <x v="0"/>
    <s v="G-NA-91.70-YG"/>
    <n v="131.44"/>
    <n v="120.53048"/>
    <n v="0.91700000000000004"/>
    <n v="124.99"/>
    <n v="114.61583"/>
    <n v="114.616"/>
    <n v="0.91700000000000004"/>
    <n v="0"/>
    <n v="0"/>
    <n v="0"/>
    <n v="0"/>
    <n v="0"/>
    <n v="0"/>
    <n v="0"/>
    <n v="0"/>
    <n v="0"/>
    <n v="6.45"/>
    <n v="5.91465"/>
    <n v="0.91699999999999993"/>
    <n v="-6.4500000000000028"/>
    <n v="6.4500000000000028"/>
    <x v="0"/>
    <n v="114.616"/>
    <n v="0"/>
    <n v="1"/>
  </r>
  <r>
    <s v="AJEET KUMAR"/>
    <d v="2026-06-25T00:00:00"/>
    <s v="SR-RTN/26-27/43387"/>
    <s v="B-304334"/>
    <s v="B-GOLD-FILING"/>
    <s v="GOLD-FILLING-WK"/>
    <x v="1"/>
    <s v="G-NA-75.00-RG"/>
    <n v="33.18"/>
    <n v="24.885000000000002"/>
    <n v="0.75"/>
    <n v="31.37"/>
    <n v="23.5275"/>
    <n v="23.528000000000002"/>
    <n v="0.75"/>
    <n v="0"/>
    <n v="0"/>
    <n v="0"/>
    <n v="0"/>
    <n v="0"/>
    <n v="0"/>
    <n v="0"/>
    <n v="0"/>
    <n v="0"/>
    <n v="1.81"/>
    <n v="1.3574999999999999"/>
    <n v="0.74999999999999989"/>
    <n v="-1.8099999999999987"/>
    <n v="1.8099999999999987"/>
    <x v="0"/>
    <n v="23.528000000000002"/>
    <n v="0"/>
    <n v="2"/>
  </r>
  <r>
    <s v="AJEET KUMAR"/>
    <d v="2026-06-25T00:00:00"/>
    <s v="SR-RTN/26-27/43388"/>
    <s v="B-304023"/>
    <s v="B-GOLD-FILING"/>
    <s v="GOLD-FILLING-WK"/>
    <x v="0"/>
    <s v="G-NA-91.70-YG"/>
    <n v="48.41"/>
    <n v="44.391970000000001"/>
    <n v="0.91700000000000004"/>
    <n v="47.47"/>
    <n v="43.529989999999998"/>
    <n v="43.53"/>
    <n v="0.91699999999999993"/>
    <n v="0"/>
    <n v="0"/>
    <n v="0"/>
    <n v="0"/>
    <n v="0"/>
    <n v="0"/>
    <n v="0"/>
    <n v="0"/>
    <n v="0"/>
    <n v="0.94"/>
    <n v="0.86197999999999997"/>
    <n v="0.91700000000000004"/>
    <n v="-0.93999999999999773"/>
    <n v="0.93999999999999773"/>
    <x v="0"/>
    <n v="43.53"/>
    <n v="0"/>
    <n v="1"/>
  </r>
  <r>
    <s v="AJEET KUMAR"/>
    <d v="2026-06-25T00:00:00"/>
    <s v="SR-RTN/26-27/43398"/>
    <s v="B-303103"/>
    <s v="B-GOLD-FILING"/>
    <s v="GOLD-FILLING-WK"/>
    <x v="1"/>
    <s v="G-NA-75.00-YG"/>
    <n v="22.63"/>
    <n v="16.9725"/>
    <n v="0.75"/>
    <n v="21.8"/>
    <n v="16.350000000000001"/>
    <n v="16.350000000000001"/>
    <n v="0.75"/>
    <n v="0"/>
    <n v="0"/>
    <n v="0"/>
    <n v="0"/>
    <n v="0"/>
    <n v="0"/>
    <n v="0"/>
    <n v="0"/>
    <n v="0"/>
    <n v="0.83"/>
    <n v="0.62250000000000005"/>
    <n v="0.75000000000000011"/>
    <n v="-0.82999999999999829"/>
    <n v="0.82999999999999829"/>
    <x v="0"/>
    <n v="16.350000000000001"/>
    <n v="0"/>
    <n v="1"/>
  </r>
  <r>
    <s v="AJEET KUMAR"/>
    <d v="2026-06-25T00:00:00"/>
    <s v="SR-W/O-RTN/26-27/3096"/>
    <s v="NONE"/>
    <s v="B-GOLD-FILING"/>
    <s v="GOLD-FILLING-WK"/>
    <x v="1"/>
    <s v="G-NA-75.00-RG"/>
    <n v="7.41"/>
    <n v="5.5575000000000001"/>
    <n v="0.75"/>
    <n v="5.73"/>
    <n v="4.2975000000000003"/>
    <n v="4.298"/>
    <n v="0.75"/>
    <n v="0"/>
    <n v="0"/>
    <n v="0"/>
    <n v="0"/>
    <n v="0"/>
    <n v="0"/>
    <n v="0"/>
    <n v="0"/>
    <n v="0"/>
    <n v="1.68"/>
    <n v="1.26"/>
    <n v="0.75"/>
    <n v="-1.6799999999999997"/>
    <n v="1.6799999999999997"/>
    <x v="1"/>
    <n v="0"/>
    <n v="4.298"/>
    <n v="67"/>
  </r>
  <r>
    <s v="AJEET KUMAR"/>
    <d v="2026-06-25T00:00:00"/>
    <s v="SR-W/O-RTN/26-27/3096"/>
    <s v="NONE"/>
    <s v="B-GOLD-FILING"/>
    <s v="GOLD-FILLING-WK"/>
    <x v="1"/>
    <s v="G-NA-75.00-YG"/>
    <n v="3.66"/>
    <n v="2.7450000000000001"/>
    <n v="0.75"/>
    <n v="3.25"/>
    <n v="2.4375"/>
    <n v="2.4379999999999997"/>
    <n v="0.75"/>
    <n v="0"/>
    <n v="0"/>
    <n v="0"/>
    <n v="0"/>
    <n v="0"/>
    <n v="0"/>
    <n v="0"/>
    <n v="0"/>
    <n v="0"/>
    <n v="0.41"/>
    <n v="0.3075"/>
    <n v="0.75"/>
    <n v="-0.41000000000000014"/>
    <n v="0.41000000000000014"/>
    <x v="1"/>
    <n v="0"/>
    <n v="2.4379999999999997"/>
    <n v="67"/>
  </r>
  <r>
    <s v="AJEET KUMAR"/>
    <d v="2026-06-25T00:00:00"/>
    <s v="SR-W/O-RTN/26-27/3096"/>
    <s v="NONE"/>
    <s v="B-GOLD-FILING"/>
    <s v="GOLD-FILLING-WK"/>
    <x v="0"/>
    <s v="G-NA-91.70-YG"/>
    <n v="6.65"/>
    <n v="6.0980499999999997"/>
    <n v="0.91699999999999993"/>
    <n v="3.07"/>
    <n v="2.8151899999999999"/>
    <n v="2.8159999999999998"/>
    <n v="0.91700000000000004"/>
    <n v="0"/>
    <n v="0"/>
    <n v="0"/>
    <n v="0"/>
    <n v="0"/>
    <n v="0"/>
    <n v="0"/>
    <n v="0"/>
    <n v="0"/>
    <n v="3.58"/>
    <n v="3.2828599999999999"/>
    <n v="0.91699999999999993"/>
    <n v="-3.5800000000000005"/>
    <n v="3.5800000000000005"/>
    <x v="1"/>
    <n v="0"/>
    <n v="2.8159999999999998"/>
    <n v="67"/>
  </r>
  <r>
    <s v="AJEET KUMAR"/>
    <d v="2026-06-26T00:00:00"/>
    <s v="RTN-8951360"/>
    <s v="SR-42626"/>
    <s v="CAST-FILLING"/>
    <s v="GOLD-FILLING-WK"/>
    <x v="0"/>
    <s v="G-NA-91.70-YG"/>
    <n v="202.65"/>
    <n v="185.83005"/>
    <n v="0.91699999999999993"/>
    <n v="202.12"/>
    <n v="185.34404000000001"/>
    <n v="185.345"/>
    <n v="0.91700000000000004"/>
    <n v="0"/>
    <n v="0"/>
    <n v="0"/>
    <n v="0"/>
    <n v="0"/>
    <n v="0"/>
    <n v="0"/>
    <n v="0"/>
    <n v="0"/>
    <n v="0.53"/>
    <n v="0.48601"/>
    <n v="0.91699999999999993"/>
    <n v="-0.53000000000000114"/>
    <n v="0.53000000000000114"/>
    <x v="0"/>
    <n v="185.345"/>
    <n v="0"/>
    <n v="3"/>
  </r>
  <r>
    <s v="AJEET KUMAR"/>
    <d v="2026-06-26T00:00:00"/>
    <s v="RTN-8954414"/>
    <s v="SR-42793"/>
    <s v="CAST-FILLING"/>
    <s v="GOLD-FILLING-WK"/>
    <x v="1"/>
    <s v="G-NA-75.00-RG"/>
    <n v="88.97"/>
    <n v="66.727500000000006"/>
    <n v="0.75000000000000011"/>
    <n v="84.62"/>
    <n v="63.465000000000003"/>
    <n v="63.465000000000003"/>
    <n v="0.75"/>
    <n v="0"/>
    <n v="0"/>
    <n v="0"/>
    <n v="0"/>
    <n v="0"/>
    <n v="0"/>
    <n v="0"/>
    <n v="0"/>
    <n v="0"/>
    <n v="4.3499999999999996"/>
    <n v="3.2625000000000002"/>
    <n v="0.75000000000000011"/>
    <n v="-4.3499999999999943"/>
    <n v="4.3499999999999943"/>
    <x v="0"/>
    <n v="63.465000000000003"/>
    <n v="0"/>
    <n v="1"/>
  </r>
  <r>
    <s v="AJEET KUMAR"/>
    <d v="2026-06-26T00:00:00"/>
    <s v="RTN-8955448"/>
    <s v="SR-42818/1"/>
    <s v="CAST-FILLING"/>
    <s v="GOLD-FILLING-WK"/>
    <x v="0"/>
    <s v="G-NA-91.70-YG"/>
    <n v="13.4"/>
    <n v="12.287800000000001"/>
    <n v="0.91700000000000004"/>
    <n v="12.11"/>
    <n v="11.10487"/>
    <n v="11.104999999999999"/>
    <n v="0.91700000000000004"/>
    <n v="0"/>
    <n v="0"/>
    <n v="0"/>
    <n v="0"/>
    <n v="0"/>
    <n v="0"/>
    <n v="0"/>
    <n v="0"/>
    <n v="0"/>
    <n v="1.29"/>
    <n v="1.18293"/>
    <n v="0.91700000000000004"/>
    <n v="-1.2900000000000009"/>
    <n v="1.2900000000000009"/>
    <x v="0"/>
    <n v="11.104999999999999"/>
    <n v="0"/>
    <n v="1"/>
  </r>
  <r>
    <s v="AJEET KUMAR"/>
    <d v="2026-06-26T00:00:00"/>
    <s v="RTN-8959380"/>
    <s v="SR-42661/1"/>
    <s v="CAST-FILLING"/>
    <s v="GOLD-FILLING-WK"/>
    <x v="0"/>
    <s v="G-NA-91.70-YG"/>
    <n v="7.79"/>
    <n v="7.1434300000000004"/>
    <n v="0.91700000000000004"/>
    <n v="7.19"/>
    <n v="6.5932300000000001"/>
    <n v="6.5940000000000003"/>
    <n v="0.91699999999999993"/>
    <n v="0"/>
    <n v="0"/>
    <n v="0"/>
    <n v="0"/>
    <n v="0"/>
    <n v="0"/>
    <n v="0"/>
    <n v="0"/>
    <n v="0"/>
    <n v="0.6"/>
    <n v="0.55020000000000002"/>
    <n v="0.91700000000000004"/>
    <n v="-0.59999999999999964"/>
    <n v="0.59999999999999964"/>
    <x v="0"/>
    <n v="6.5940000000000003"/>
    <n v="0"/>
    <n v="1"/>
  </r>
  <r>
    <s v="AJEET KUMAR"/>
    <d v="2026-06-26T00:00:00"/>
    <s v="SR-ROA/26-27/1253"/>
    <s v="NONE"/>
    <s v="CAST-FILLING"/>
    <s v="GOLD-FILLING-WK"/>
    <x v="0"/>
    <s v="G-NA-91.70-YG"/>
    <n v="14.25"/>
    <n v="13.06725"/>
    <n v="0.91699999999999993"/>
    <n v="14.25"/>
    <n v="13.06725"/>
    <n v="13.068"/>
    <n v="0.91699999999999993"/>
    <n v="0"/>
    <n v="0"/>
    <n v="0"/>
    <n v="0"/>
    <n v="0"/>
    <n v="0"/>
    <n v="0"/>
    <n v="0"/>
    <n v="0"/>
    <n v="0"/>
    <n v="0"/>
    <n v="0"/>
    <n v="0"/>
    <n v="0"/>
    <x v="1"/>
    <n v="0"/>
    <n v="13.068"/>
    <n v="67"/>
  </r>
  <r>
    <s v="AJEET KUMAR"/>
    <d v="2026-06-26T00:00:00"/>
    <s v="SR-ROA/26-27/1254"/>
    <s v="NONE"/>
    <s v="CAST-FILLING"/>
    <s v="GOLD-FILLING-WK"/>
    <x v="1"/>
    <s v="G-NA-75.00-RG"/>
    <n v="5.82"/>
    <n v="4.3650000000000002"/>
    <n v="0.75"/>
    <n v="5.82"/>
    <n v="4.3650000000000002"/>
    <n v="4.3650000000000002"/>
    <n v="0.75"/>
    <n v="0"/>
    <n v="0"/>
    <n v="0"/>
    <n v="0"/>
    <n v="0"/>
    <n v="0"/>
    <n v="0"/>
    <n v="0"/>
    <n v="0"/>
    <n v="0"/>
    <n v="0"/>
    <n v="0"/>
    <n v="0"/>
    <n v="0"/>
    <x v="1"/>
    <n v="0"/>
    <n v="4.3650000000000002"/>
    <n v="67"/>
  </r>
  <r>
    <s v="AJEET KUMAR"/>
    <d v="2026-06-26T00:00:00"/>
    <s v="SR-ROA/26-27/1255"/>
    <s v="NONE"/>
    <s v="CAST-FILLING"/>
    <s v="GOLD-FILLING-WK"/>
    <x v="1"/>
    <s v="G-NA-75.00-YG"/>
    <n v="15.77"/>
    <n v="11.827500000000001"/>
    <n v="0.75000000000000011"/>
    <n v="15.77"/>
    <n v="11.827500000000001"/>
    <n v="11.827999999999999"/>
    <n v="0.75000000000000011"/>
    <n v="0"/>
    <n v="0"/>
    <n v="0"/>
    <n v="0"/>
    <n v="0"/>
    <n v="0"/>
    <n v="0"/>
    <n v="0"/>
    <n v="0"/>
    <n v="0"/>
    <n v="0"/>
    <n v="0"/>
    <n v="0"/>
    <n v="0"/>
    <x v="1"/>
    <n v="0"/>
    <n v="11.827999999999999"/>
    <n v="67"/>
  </r>
  <r>
    <s v="AJEET KUMAR"/>
    <d v="2026-06-26T00:00:00"/>
    <s v="SR-ROA/26-27/1256"/>
    <s v="NONE"/>
    <s v="CAST-FILLING"/>
    <s v="GOLD-FILLING-WK"/>
    <x v="1"/>
    <s v="G-NA-75.00-RG"/>
    <n v="4.68"/>
    <n v="3.51"/>
    <n v="0.75"/>
    <n v="0"/>
    <n v="0"/>
    <n v="0"/>
    <n v="0"/>
    <n v="0"/>
    <n v="0"/>
    <n v="0"/>
    <n v="0"/>
    <n v="0"/>
    <n v="0"/>
    <n v="0"/>
    <n v="0"/>
    <n v="0"/>
    <n v="4.68"/>
    <n v="3.51"/>
    <n v="0.75"/>
    <n v="-4.68"/>
    <n v="4.68"/>
    <x v="1"/>
    <n v="0"/>
    <n v="0"/>
    <n v="67"/>
  </r>
  <r>
    <s v="AJEET KUMAR"/>
    <d v="2026-06-26T00:00:00"/>
    <s v="SR-ROA/26-27/1256"/>
    <s v="NONE"/>
    <s v="CAST-FILLING"/>
    <s v="GOLD-FILLING-WK"/>
    <x v="1"/>
    <s v="G-NA-75.00-YG"/>
    <n v="1.89"/>
    <n v="1.4175"/>
    <n v="0.75"/>
    <n v="0"/>
    <n v="0"/>
    <n v="0"/>
    <n v="0"/>
    <n v="0"/>
    <n v="0"/>
    <n v="0"/>
    <n v="0"/>
    <n v="0"/>
    <n v="0"/>
    <n v="0"/>
    <n v="0"/>
    <n v="0"/>
    <n v="1.89"/>
    <n v="1.4175"/>
    <n v="0.75"/>
    <n v="-1.89"/>
    <n v="1.89"/>
    <x v="1"/>
    <n v="0"/>
    <n v="0"/>
    <n v="67"/>
  </r>
  <r>
    <s v="AJEET KUMAR"/>
    <d v="2026-06-26T00:00:00"/>
    <s v="SR-ROA/26-27/1258"/>
    <s v="NONE"/>
    <s v="CAST-FILLING"/>
    <s v="GOLD-FILLING-WK"/>
    <x v="0"/>
    <s v="G-NA-91.70-YG"/>
    <n v="15.49"/>
    <n v="14.204330000000001"/>
    <n v="0.91700000000000004"/>
    <n v="8.84"/>
    <n v="8.1062799999999999"/>
    <n v="8.1069999999999993"/>
    <n v="0.91700000000000004"/>
    <n v="0"/>
    <n v="0"/>
    <n v="0"/>
    <n v="0"/>
    <n v="0"/>
    <n v="0"/>
    <n v="0"/>
    <n v="0"/>
    <n v="0"/>
    <n v="6.65"/>
    <n v="6.0980499999999997"/>
    <n v="0.91699999999999993"/>
    <n v="-6.65"/>
    <n v="6.65"/>
    <x v="1"/>
    <n v="0"/>
    <n v="8.1069999999999993"/>
    <n v="67"/>
  </r>
  <r>
    <s v="AJEET KUMAR"/>
    <d v="2026-06-26T00:00:00"/>
    <s v="SR-ROA/26-27/1259"/>
    <s v="NONE"/>
    <s v="CAST-FILLING"/>
    <s v="GOLD-FILLING-WK"/>
    <x v="1"/>
    <s v="G-NA-75.00-RG"/>
    <n v="1.1399999999999999"/>
    <n v="0.85499999999999998"/>
    <n v="0.75"/>
    <n v="1.1399999999999999"/>
    <n v="0.85499999999999998"/>
    <n v="0.85499999999999998"/>
    <n v="0.75"/>
    <n v="0"/>
    <n v="0"/>
    <n v="0"/>
    <n v="0"/>
    <n v="0"/>
    <n v="0"/>
    <n v="0"/>
    <n v="0"/>
    <n v="0"/>
    <n v="0"/>
    <n v="0"/>
    <n v="0"/>
    <n v="0"/>
    <n v="0"/>
    <x v="1"/>
    <n v="0"/>
    <n v="0.85499999999999998"/>
    <n v="67"/>
  </r>
  <r>
    <s v="AJEET KUMAR"/>
    <d v="2026-06-26T00:00:00"/>
    <s v="SR-RTN/26-27/43477"/>
    <s v="B-301946"/>
    <s v="B-GOLD-FILING"/>
    <s v="GOLD-FILLING-WK"/>
    <x v="1"/>
    <s v="G-NA-75.00-YG"/>
    <n v="209.37"/>
    <n v="157.0275"/>
    <n v="0.75"/>
    <n v="181.56"/>
    <n v="136.16999999999999"/>
    <n v="136.16999999999999"/>
    <n v="0.74999999999999989"/>
    <n v="0"/>
    <n v="0"/>
    <n v="0"/>
    <n v="0"/>
    <n v="0"/>
    <n v="0"/>
    <n v="0"/>
    <n v="0"/>
    <n v="0"/>
    <n v="27.81"/>
    <n v="20.857500000000002"/>
    <n v="0.75000000000000011"/>
    <n v="-27.81"/>
    <n v="27.81"/>
    <x v="0"/>
    <n v="136.16999999999999"/>
    <n v="0"/>
    <n v="1"/>
  </r>
  <r>
    <s v="AJEET KUMAR"/>
    <d v="2026-06-26T00:00:00"/>
    <s v="SR-RTN/26-27/43478"/>
    <s v="B-304027"/>
    <s v="B-GOLD-FILING"/>
    <s v="GOLD-FILLING-WK"/>
    <x v="0"/>
    <s v="G-NA-91.70-YG"/>
    <n v="45.9"/>
    <n v="42.090299999999999"/>
    <n v="0.91700000000000004"/>
    <n v="42.02"/>
    <n v="38.532339999999998"/>
    <n v="38.532999999999994"/>
    <n v="0.91699999999999993"/>
    <n v="0"/>
    <n v="0"/>
    <n v="0"/>
    <n v="0"/>
    <n v="0"/>
    <n v="0"/>
    <n v="0"/>
    <n v="0"/>
    <n v="0"/>
    <n v="3.88"/>
    <n v="3.55796"/>
    <n v="0.91700000000000004"/>
    <n v="-3.8799999999999955"/>
    <n v="3.8799999999999955"/>
    <x v="0"/>
    <n v="38.532999999999994"/>
    <n v="0"/>
    <n v="1"/>
  </r>
  <r>
    <s v="AJEET KUMAR"/>
    <d v="2026-06-26T00:00:00"/>
    <s v="SR-RTN/26-27/43480"/>
    <s v="B-304022"/>
    <s v="B-GOLD-FILING"/>
    <s v="GOLD-FILLING-WK"/>
    <x v="0"/>
    <s v="G-NA-91.70-YG"/>
    <n v="44.22"/>
    <n v="40.54974"/>
    <n v="0.91700000000000004"/>
    <n v="42.93"/>
    <n v="39.366810000000001"/>
    <n v="39.366999999999997"/>
    <n v="0.91700000000000004"/>
    <n v="0"/>
    <n v="0"/>
    <n v="0"/>
    <n v="0"/>
    <n v="0"/>
    <n v="0"/>
    <n v="0"/>
    <n v="0"/>
    <n v="0"/>
    <n v="1.29"/>
    <n v="1.18293"/>
    <n v="0.91700000000000004"/>
    <n v="-1.2899999999999991"/>
    <n v="1.2899999999999991"/>
    <x v="0"/>
    <n v="39.366999999999997"/>
    <n v="0"/>
    <n v="1"/>
  </r>
  <r>
    <s v="AJEET KUMAR"/>
    <d v="2026-06-26T00:00:00"/>
    <s v="SR-RTN/26-27/43481"/>
    <s v="B-303851"/>
    <s v="B-GOLD-FILING"/>
    <s v="GOLD-FILLING-WK"/>
    <x v="0"/>
    <s v="G-NA-91.70-YG"/>
    <n v="2.81"/>
    <n v="2.5767699999999998"/>
    <n v="0.91699999999999993"/>
    <n v="2.64"/>
    <n v="2.4208799999999999"/>
    <n v="2.4209999999999998"/>
    <n v="0.91699999999999993"/>
    <n v="0"/>
    <n v="0"/>
    <n v="0"/>
    <n v="0"/>
    <n v="0"/>
    <n v="0"/>
    <n v="0"/>
    <n v="0"/>
    <n v="0"/>
    <n v="0.17"/>
    <n v="0.15589"/>
    <n v="0.91699999999999993"/>
    <n v="-0.16999999999999993"/>
    <n v="0.16999999999999993"/>
    <x v="0"/>
    <n v="2.4209999999999998"/>
    <n v="0"/>
    <n v="1"/>
  </r>
  <r>
    <s v="AJEET KUMAR"/>
    <d v="2026-06-26T00:00:00"/>
    <s v="SR-RTN/26-27/43482"/>
    <s v="B-304026"/>
    <s v="B-GOLD-FILING"/>
    <s v="GOLD-FILLING-WK"/>
    <x v="0"/>
    <s v="G-NA-91.70-YG"/>
    <n v="12.84"/>
    <n v="11.774279999999999"/>
    <n v="0.91699999999999993"/>
    <n v="12.84"/>
    <n v="11.774279999999999"/>
    <n v="11.774999999999999"/>
    <n v="0.91699999999999993"/>
    <n v="0"/>
    <n v="0"/>
    <n v="0"/>
    <n v="0"/>
    <n v="0"/>
    <n v="0"/>
    <n v="0"/>
    <n v="0"/>
    <n v="0"/>
    <n v="0"/>
    <n v="0"/>
    <n v="0"/>
    <n v="0"/>
    <n v="0"/>
    <x v="1"/>
    <n v="11.16"/>
    <n v="0.61499999999999844"/>
    <n v="3"/>
  </r>
  <r>
    <s v="AJEET KUMAR"/>
    <d v="2026-06-26T00:00:00"/>
    <s v="SR-RTN/26-27/43501"/>
    <s v="B-303261"/>
    <s v="B-GOLD-FILING"/>
    <s v="GOLD-FILLING-WK"/>
    <x v="0"/>
    <s v="G-NA-91.70-YG"/>
    <n v="2.54"/>
    <n v="2.32918"/>
    <n v="0.91700000000000004"/>
    <n v="2.42"/>
    <n v="2.2191399999999999"/>
    <n v="2.2199999999999998"/>
    <n v="0.91699999999999993"/>
    <n v="0"/>
    <n v="0"/>
    <n v="0"/>
    <n v="0"/>
    <n v="0"/>
    <n v="0"/>
    <n v="0"/>
    <n v="0"/>
    <n v="0"/>
    <n v="0.12"/>
    <n v="0.11004"/>
    <n v="0.91700000000000004"/>
    <n v="-0.12000000000000011"/>
    <n v="0.12000000000000011"/>
    <x v="0"/>
    <n v="2.2199999999999998"/>
    <n v="0"/>
    <n v="1"/>
  </r>
  <r>
    <s v="AJEET KUMAR"/>
    <d v="2026-06-26T00:00:00"/>
    <s v="SR-RTN/26-27/43599"/>
    <s v="B-303388"/>
    <s v="B-GOLD-FILING"/>
    <s v="GOLD-FILLING-WK"/>
    <x v="0"/>
    <s v="G-NA-91.70-YG"/>
    <n v="3.54"/>
    <n v="3.2461799999999998"/>
    <n v="0.91699999999999993"/>
    <n v="3.34"/>
    <n v="3.0627800000000001"/>
    <n v="3.0629999999999997"/>
    <n v="0.91700000000000004"/>
    <n v="0"/>
    <n v="0"/>
    <n v="0"/>
    <n v="0"/>
    <n v="0"/>
    <n v="0"/>
    <n v="0"/>
    <n v="0"/>
    <n v="0"/>
    <n v="0.2"/>
    <n v="0.18340000000000001"/>
    <n v="0.91700000000000004"/>
    <n v="-0.20000000000000018"/>
    <n v="0.20000000000000018"/>
    <x v="0"/>
    <n v="3.0629999999999997"/>
    <n v="0"/>
    <n v="1"/>
  </r>
  <r>
    <s v="AJEET KUMAR"/>
    <d v="2026-06-26T00:00:00"/>
    <s v="SR-RTN/26-27/43601"/>
    <s v="B-304339"/>
    <s v="B-GOLD-FILING"/>
    <s v="GOLD-FILLING-WK"/>
    <x v="0"/>
    <s v="G-NA-91.70-YG"/>
    <n v="21.05"/>
    <n v="19.302849999999999"/>
    <n v="0.91699999999999993"/>
    <n v="19.02"/>
    <n v="17.44134"/>
    <n v="17.442"/>
    <n v="0.91700000000000004"/>
    <n v="0"/>
    <n v="0"/>
    <n v="0"/>
    <n v="0"/>
    <n v="0"/>
    <n v="0"/>
    <n v="0"/>
    <n v="0"/>
    <n v="0"/>
    <n v="2.0299999999999998"/>
    <n v="1.86151"/>
    <n v="0.91700000000000004"/>
    <n v="-2.0300000000000011"/>
    <n v="2.0300000000000011"/>
    <x v="0"/>
    <n v="17.442"/>
    <n v="0"/>
    <n v="1"/>
  </r>
  <r>
    <s v="AJEET KUMAR"/>
    <d v="2026-06-26T00:00:00"/>
    <s v="SR-RTN/26-27/43603"/>
    <s v="B-303389"/>
    <s v="B-GOLD-FILING"/>
    <s v="GOLD-FILLING-WK"/>
    <x v="0"/>
    <s v="G-NA-91.70-YG"/>
    <n v="3.78"/>
    <n v="3.4662600000000001"/>
    <n v="0.91700000000000004"/>
    <n v="3.62"/>
    <n v="3.3195399999999999"/>
    <n v="3.32"/>
    <n v="0.91699999999999993"/>
    <n v="0"/>
    <n v="0"/>
    <n v="0"/>
    <n v="0"/>
    <n v="0"/>
    <n v="0"/>
    <n v="0"/>
    <n v="0"/>
    <n v="0"/>
    <n v="0.16"/>
    <n v="0.14671999999999999"/>
    <n v="0.91699999999999993"/>
    <n v="-0.1599999999999997"/>
    <n v="0.1599999999999997"/>
    <x v="0"/>
    <n v="3.32"/>
    <n v="0"/>
    <n v="1"/>
  </r>
  <r>
    <s v="AJEET KUMAR"/>
    <d v="2026-06-26T00:00:00"/>
    <s v="SR-RTN/26-27/43606"/>
    <s v="B-303848"/>
    <s v="B-GOLD-FILING"/>
    <s v="GOLD-FILLING-WK"/>
    <x v="0"/>
    <s v="G-NA-91.70-YG"/>
    <n v="44.46"/>
    <n v="40.769820000000003"/>
    <n v="0.91700000000000004"/>
    <n v="40.83"/>
    <n v="37.441110000000002"/>
    <n v="37.442"/>
    <n v="0.91700000000000004"/>
    <n v="0"/>
    <n v="0"/>
    <n v="0"/>
    <n v="0"/>
    <n v="0"/>
    <n v="0"/>
    <n v="0"/>
    <n v="0"/>
    <n v="0"/>
    <n v="3.63"/>
    <n v="3.3287100000000001"/>
    <n v="0.91700000000000004"/>
    <n v="-3.6300000000000026"/>
    <n v="3.6300000000000026"/>
    <x v="0"/>
    <n v="37.442"/>
    <n v="0"/>
    <n v="1"/>
  </r>
  <r>
    <s v="AJEET KUMAR"/>
    <d v="2026-06-26T00:00:00"/>
    <s v="SR-RTN/26-27/43608"/>
    <s v="B-302549"/>
    <s v="B-GOLD-FILING"/>
    <s v="GOLD-FILLING-WK"/>
    <x v="1"/>
    <s v="G-NA-75.00-RG"/>
    <n v="47.55"/>
    <n v="35.662500000000001"/>
    <n v="0.75000000000000011"/>
    <n v="43.48"/>
    <n v="32.61"/>
    <n v="32.61"/>
    <n v="0.75"/>
    <n v="0"/>
    <n v="0"/>
    <n v="0"/>
    <n v="0"/>
    <n v="0"/>
    <n v="0"/>
    <n v="0"/>
    <n v="0"/>
    <n v="0"/>
    <n v="4.07"/>
    <n v="3.0525000000000002"/>
    <n v="0.75"/>
    <n v="-4.07"/>
    <n v="4.07"/>
    <x v="0"/>
    <n v="32.61"/>
    <n v="0"/>
    <n v="1"/>
  </r>
  <r>
    <s v="AJEET KUMAR"/>
    <d v="2026-06-26T00:00:00"/>
    <s v="SR-RTN/26-27/43609"/>
    <s v="B-304029"/>
    <s v="B-GOLD-FILING"/>
    <s v="GOLD-FILLING-WK"/>
    <x v="0"/>
    <s v="G-NA-91.70-YG"/>
    <n v="21.03"/>
    <n v="19.284510000000001"/>
    <n v="0.91700000000000004"/>
    <n v="18.5"/>
    <n v="16.964500000000001"/>
    <n v="16.965"/>
    <n v="0.91700000000000004"/>
    <n v="0"/>
    <n v="0"/>
    <n v="0"/>
    <n v="0"/>
    <n v="0"/>
    <n v="0"/>
    <n v="0"/>
    <n v="0"/>
    <n v="0"/>
    <n v="2.5299999999999998"/>
    <n v="2.3200099999999999"/>
    <n v="0.91700000000000004"/>
    <n v="-2.5300000000000011"/>
    <n v="2.5300000000000011"/>
    <x v="0"/>
    <n v="16.965"/>
    <n v="0"/>
    <n v="1"/>
  </r>
  <r>
    <s v="AJEET KUMAR"/>
    <d v="2026-06-26T00:00:00"/>
    <s v="SR-RTN/26-27/43629"/>
    <s v="B-304345"/>
    <s v="B-GOLD-FILING"/>
    <s v="GOLD-FILLING-WK"/>
    <x v="0"/>
    <s v="G-NA-91.70-YG"/>
    <n v="86.63"/>
    <n v="79.439710000000005"/>
    <n v="0.91700000000000015"/>
    <n v="81.47"/>
    <n v="74.707989999999995"/>
    <n v="74.707999999999998"/>
    <n v="0.91699999999999993"/>
    <n v="0"/>
    <n v="0"/>
    <n v="0"/>
    <n v="0"/>
    <n v="0"/>
    <n v="0"/>
    <n v="0"/>
    <n v="0"/>
    <n v="0"/>
    <n v="5.16"/>
    <n v="4.7317200000000001"/>
    <n v="0.91700000000000004"/>
    <n v="-5.1599999999999966"/>
    <n v="5.1599999999999966"/>
    <x v="0"/>
    <n v="74.707999999999998"/>
    <n v="0"/>
    <n v="1"/>
  </r>
  <r>
    <s v="AJEET KUMAR"/>
    <d v="2026-06-26T00:00:00"/>
    <s v="SR-RTN/26-27/43630"/>
    <s v="B-304325"/>
    <s v="B-GOLD-FILING"/>
    <s v="GOLD-FILLING-WK"/>
    <x v="1"/>
    <s v="G-NA-75.00-RG"/>
    <n v="71.37"/>
    <n v="53.527500000000003"/>
    <n v="0.75"/>
    <n v="66.48"/>
    <n v="49.86"/>
    <n v="49.86"/>
    <n v="0.75"/>
    <n v="0"/>
    <n v="0"/>
    <n v="0"/>
    <n v="0"/>
    <n v="0"/>
    <n v="0"/>
    <n v="0"/>
    <n v="0"/>
    <n v="0"/>
    <n v="4.8899999999999997"/>
    <n v="3.6675"/>
    <n v="0.75"/>
    <n v="-4.8900000000000006"/>
    <n v="4.8900000000000006"/>
    <x v="0"/>
    <n v="49.86"/>
    <n v="0"/>
    <n v="1"/>
  </r>
  <r>
    <s v="AJEET KUMAR"/>
    <d v="2026-06-26T00:00:00"/>
    <s v="SR-RTN/26-27/43633"/>
    <s v="B-303938"/>
    <s v="B-GOLD-FILING"/>
    <s v="GOLD-FILLING-WK"/>
    <x v="0"/>
    <s v="G-NA-91.70-YG"/>
    <n v="92.36"/>
    <n v="84.694119999999998"/>
    <n v="0.91700000000000004"/>
    <n v="90.06"/>
    <n v="82.58502"/>
    <n v="82.585999999999999"/>
    <n v="0.91699999999999993"/>
    <n v="0"/>
    <n v="0"/>
    <n v="0"/>
    <n v="0"/>
    <n v="0"/>
    <n v="0"/>
    <n v="0"/>
    <n v="0"/>
    <n v="0"/>
    <n v="2.2999999999999998"/>
    <n v="2.1091000000000002"/>
    <n v="0.91700000000000015"/>
    <n v="-2.2999999999999972"/>
    <n v="2.2999999999999972"/>
    <x v="0"/>
    <n v="82.585999999999999"/>
    <n v="0"/>
    <n v="1"/>
  </r>
  <r>
    <s v="AJEET KUMAR"/>
    <d v="2026-06-26T00:00:00"/>
    <s v="SR-RTN/26-27/43634"/>
    <s v="B-304343"/>
    <s v="B-GOLD-FILING"/>
    <s v="GOLD-FILLING-WK"/>
    <x v="0"/>
    <s v="G-NA-91.70-YG"/>
    <n v="45.37"/>
    <n v="41.604289999999999"/>
    <n v="0.91700000000000004"/>
    <n v="41.89"/>
    <n v="38.413130000000002"/>
    <n v="38.413999999999994"/>
    <n v="0.91700000000000004"/>
    <n v="0"/>
    <n v="0"/>
    <n v="0"/>
    <n v="0"/>
    <n v="0"/>
    <n v="0"/>
    <n v="0"/>
    <n v="0"/>
    <n v="0"/>
    <n v="3.48"/>
    <n v="3.19116"/>
    <n v="0.91700000000000004"/>
    <n v="-3.4799999999999969"/>
    <n v="3.4799999999999969"/>
    <x v="0"/>
    <n v="38.413999999999994"/>
    <n v="0"/>
    <n v="1"/>
  </r>
  <r>
    <s v="AJEET KUMAR"/>
    <d v="2026-06-26T00:00:00"/>
    <s v="SR-RTN/26-27/43636"/>
    <s v="B-303386"/>
    <s v="B-GOLD-FILING"/>
    <s v="GOLD-FILLING-WK"/>
    <x v="0"/>
    <s v="G-NA-91.70-YG"/>
    <n v="4.08"/>
    <n v="3.7413599999999998"/>
    <n v="0.91699999999999993"/>
    <n v="3.87"/>
    <n v="3.5487899999999999"/>
    <n v="3.5489999999999999"/>
    <n v="0.91699999999999993"/>
    <n v="0"/>
    <n v="0"/>
    <n v="0"/>
    <n v="0"/>
    <n v="0"/>
    <n v="0"/>
    <n v="0"/>
    <n v="0"/>
    <n v="0"/>
    <n v="0.21"/>
    <n v="0.19256999999999999"/>
    <n v="0.91700000000000004"/>
    <n v="-0.20999999999999996"/>
    <n v="0.20999999999999996"/>
    <x v="0"/>
    <n v="3.5489999999999999"/>
    <n v="0"/>
    <n v="1"/>
  </r>
  <r>
    <s v="AJEET KUMAR"/>
    <d v="2026-06-26T00:00:00"/>
    <s v="SR-RTN/26-27/43639"/>
    <s v="B-304032"/>
    <s v="B-GOLD-FILING"/>
    <s v="GOLD-FILLING-WK"/>
    <x v="0"/>
    <s v="G-NA-91.70-YG"/>
    <n v="23.13"/>
    <n v="21.21021"/>
    <n v="0.91700000000000004"/>
    <n v="20.79"/>
    <n v="19.064430000000002"/>
    <n v="19.065000000000001"/>
    <n v="0.91700000000000015"/>
    <n v="0"/>
    <n v="0"/>
    <n v="0"/>
    <n v="0"/>
    <n v="0"/>
    <n v="0"/>
    <n v="0"/>
    <n v="0"/>
    <n v="0"/>
    <n v="2.34"/>
    <n v="2.1457799999999998"/>
    <n v="0.91699999999999993"/>
    <n v="-2.34"/>
    <n v="2.34"/>
    <x v="0"/>
    <n v="19.065000000000001"/>
    <n v="0"/>
    <n v="1"/>
  </r>
  <r>
    <s v="AJEET KUMAR"/>
    <d v="2026-06-26T00:00:00"/>
    <s v="SR-RTN/26-27/43641"/>
    <s v="B-303390"/>
    <s v="B-GOLD-FILING"/>
    <s v="GOLD-FILLING-WK"/>
    <x v="0"/>
    <s v="G-NA-91.70-YG"/>
    <n v="5.6"/>
    <n v="5.1352000000000002"/>
    <n v="0.91700000000000015"/>
    <n v="5.28"/>
    <n v="4.8417599999999998"/>
    <n v="4.8420000000000005"/>
    <n v="0.91699999999999993"/>
    <n v="0"/>
    <n v="0"/>
    <n v="0"/>
    <n v="0"/>
    <n v="0"/>
    <n v="0"/>
    <n v="0"/>
    <n v="0"/>
    <n v="0"/>
    <n v="0.32"/>
    <n v="0.29343999999999998"/>
    <n v="0.91699999999999993"/>
    <n v="-0.3199999999999994"/>
    <n v="0.3199999999999994"/>
    <x v="0"/>
    <n v="4.8420000000000005"/>
    <n v="0"/>
    <n v="1"/>
  </r>
  <r>
    <s v="AJEET KUMAR"/>
    <d v="2026-06-26T00:00:00"/>
    <s v="SR-RTN/26-27/43642"/>
    <s v="B-303391"/>
    <s v="B-GOLD-FILING"/>
    <s v="GOLD-FILLING-WK"/>
    <x v="0"/>
    <s v="G-NA-91.70-YG"/>
    <n v="4.9000000000000004"/>
    <n v="4.4932999999999996"/>
    <n v="0.91699999999999982"/>
    <n v="4.5999999999999996"/>
    <n v="4.2182000000000004"/>
    <n v="4.2190000000000003"/>
    <n v="0.91700000000000015"/>
    <n v="0"/>
    <n v="0"/>
    <n v="0"/>
    <n v="0"/>
    <n v="0"/>
    <n v="0"/>
    <n v="0"/>
    <n v="0"/>
    <n v="0"/>
    <n v="0.3"/>
    <n v="0.27510000000000001"/>
    <n v="0.91700000000000004"/>
    <n v="-0.30000000000000071"/>
    <n v="0.30000000000000071"/>
    <x v="0"/>
    <n v="4.2190000000000003"/>
    <n v="0"/>
    <n v="1"/>
  </r>
  <r>
    <s v="AJEET KUMAR"/>
    <d v="2026-06-26T00:00:00"/>
    <s v="SR-RTN/26-27/43644"/>
    <s v="B-303387"/>
    <s v="B-GOLD-FILING"/>
    <s v="GOLD-FILLING-WK"/>
    <x v="0"/>
    <s v="G-NA-91.70-YG"/>
    <n v="5.77"/>
    <n v="5.2910899999999996"/>
    <n v="0.91700000000000004"/>
    <n v="5.41"/>
    <n v="4.9609699999999997"/>
    <n v="4.9610000000000003"/>
    <n v="0.91699999999999993"/>
    <n v="0"/>
    <n v="0"/>
    <n v="0"/>
    <n v="0"/>
    <n v="0"/>
    <n v="0"/>
    <n v="0"/>
    <n v="0"/>
    <n v="0"/>
    <n v="0.36"/>
    <n v="0.33012000000000002"/>
    <n v="0.91700000000000015"/>
    <n v="-0.35999999999999943"/>
    <n v="0.35999999999999943"/>
    <x v="0"/>
    <n v="4.9610000000000003"/>
    <n v="0"/>
    <n v="1"/>
  </r>
  <r>
    <s v="AJEET KUMAR"/>
    <d v="2026-06-26T00:00:00"/>
    <s v="SR-RTN/26-27/43647"/>
    <s v="B-303595"/>
    <s v="B-GOLD-FILING"/>
    <s v="GOLD-FILLING-WK"/>
    <x v="1"/>
    <s v="G-NA-75.00-YG"/>
    <n v="400.7"/>
    <n v="300.52499999999998"/>
    <n v="0.75"/>
    <n v="376.03"/>
    <n v="282.02249999999998"/>
    <n v="282.02299999999997"/>
    <n v="0.75"/>
    <n v="0"/>
    <n v="0"/>
    <n v="0"/>
    <n v="0"/>
    <n v="0"/>
    <n v="0"/>
    <n v="0"/>
    <n v="0"/>
    <n v="0"/>
    <n v="24.67"/>
    <n v="18.502500000000001"/>
    <n v="0.75"/>
    <n v="-24.670000000000016"/>
    <n v="24.670000000000016"/>
    <x v="1"/>
    <n v="281.94799999999998"/>
    <n v="7.4999999999988631E-2"/>
    <n v="2"/>
  </r>
  <r>
    <s v="AJEET KUMAR"/>
    <d v="2026-06-26T00:00:00"/>
    <s v="SR-RTN/26-27/43648"/>
    <s v="B-304360"/>
    <s v="B-GOLD-FILING"/>
    <s v="GOLD-FILLING-WK"/>
    <x v="0"/>
    <s v="G-NA-91.70-YG"/>
    <n v="4.04"/>
    <n v="3.7046800000000002"/>
    <n v="0.91700000000000004"/>
    <n v="3.7"/>
    <n v="3.3929"/>
    <n v="3.3929999999999998"/>
    <n v="0.91699999999999993"/>
    <n v="0"/>
    <n v="0"/>
    <n v="0"/>
    <n v="0"/>
    <n v="0"/>
    <n v="0"/>
    <n v="0"/>
    <n v="0"/>
    <n v="0"/>
    <n v="0.34"/>
    <n v="0.31178"/>
    <n v="0.91699999999999993"/>
    <n v="-0.33999999999999986"/>
    <n v="0.33999999999999986"/>
    <x v="1"/>
    <n v="3.3479999999999999"/>
    <n v="4.4999999999999929E-2"/>
    <n v="2"/>
  </r>
  <r>
    <s v="AJEET KUMAR"/>
    <d v="2026-06-26T00:00:00"/>
    <s v="SR-RTN/26-27/43653"/>
    <s v="B-304342"/>
    <s v="B-GOLD-FILING"/>
    <s v="GOLD-FILLING-WK"/>
    <x v="0"/>
    <s v="G-NA-91.70-YG"/>
    <n v="49.95"/>
    <n v="45.80415"/>
    <n v="0.91699999999999993"/>
    <n v="48.18"/>
    <n v="44.181060000000002"/>
    <n v="44.181999999999995"/>
    <n v="0.91700000000000004"/>
    <n v="0"/>
    <n v="0"/>
    <n v="0"/>
    <n v="0"/>
    <n v="0"/>
    <n v="0"/>
    <n v="0"/>
    <n v="0"/>
    <n v="0"/>
    <n v="1.77"/>
    <n v="1.6230899999999999"/>
    <n v="0.91699999999999993"/>
    <n v="-1.7700000000000031"/>
    <n v="1.7700000000000031"/>
    <x v="0"/>
    <n v="44.181999999999995"/>
    <n v="0"/>
    <n v="1"/>
  </r>
  <r>
    <s v="AJEET KUMAR"/>
    <d v="2026-06-26T00:00:00"/>
    <s v="SR-RTN/26-27/43681"/>
    <s v="B-304031"/>
    <s v="B-GOLD-FILING"/>
    <s v="GOLD-FILLING-WK"/>
    <x v="0"/>
    <s v="G-NA-91.70-YG"/>
    <n v="23.74"/>
    <n v="21.769580000000001"/>
    <n v="0.91700000000000015"/>
    <n v="23.14"/>
    <n v="21.219380000000001"/>
    <n v="21.220000000000002"/>
    <n v="0.91700000000000004"/>
    <n v="0"/>
    <n v="0"/>
    <n v="0"/>
    <n v="0"/>
    <n v="0"/>
    <n v="0"/>
    <n v="0"/>
    <n v="0"/>
    <n v="0"/>
    <n v="0.6"/>
    <n v="0.55020000000000002"/>
    <n v="0.91700000000000004"/>
    <n v="-0.59999999999999787"/>
    <n v="0.59999999999999787"/>
    <x v="0"/>
    <n v="21.220000000000002"/>
    <n v="0"/>
    <n v="1"/>
  </r>
  <r>
    <s v="AJEET KUMAR"/>
    <d v="2026-06-26T00:00:00"/>
    <s v="SR-RTN/26-27/43683"/>
    <s v="B-304340"/>
    <s v="B-GOLD-FILING"/>
    <s v="GOLD-FILLING-WK"/>
    <x v="0"/>
    <s v="G-NA-91.70-YG"/>
    <n v="29.04"/>
    <n v="26.62968"/>
    <n v="0.91700000000000004"/>
    <n v="28.23"/>
    <n v="25.88691"/>
    <n v="25.887"/>
    <n v="0.91700000000000004"/>
    <n v="0"/>
    <n v="0"/>
    <n v="0"/>
    <n v="0"/>
    <n v="0"/>
    <n v="0"/>
    <n v="0"/>
    <n v="0"/>
    <n v="0"/>
    <n v="0.81"/>
    <n v="0.74277000000000004"/>
    <n v="0.91700000000000004"/>
    <n v="-0.80999999999999872"/>
    <n v="0.80999999999999872"/>
    <x v="0"/>
    <n v="25.887"/>
    <n v="0"/>
    <n v="1"/>
  </r>
  <r>
    <s v="AJEET KUMAR"/>
    <d v="2026-06-26T00:00:00"/>
    <s v="SR-RTN/26-27/43684"/>
    <s v="B-304386"/>
    <s v="B-GOLD-FILING"/>
    <s v="GOLD-FILLING-WK"/>
    <x v="1"/>
    <s v="G-NA-75.00-RG"/>
    <n v="1.48"/>
    <n v="1.1100000000000001"/>
    <n v="0.75000000000000011"/>
    <n v="1.38"/>
    <n v="1.0349999999999999"/>
    <n v="1.0349999999999999"/>
    <n v="0.75"/>
    <n v="0"/>
    <n v="0"/>
    <n v="0"/>
    <n v="0"/>
    <n v="0"/>
    <n v="0"/>
    <n v="0"/>
    <n v="0"/>
    <n v="0"/>
    <n v="0.1"/>
    <n v="7.4999999999999997E-2"/>
    <n v="0.74999999999999989"/>
    <n v="-0.10000000000000009"/>
    <n v="0.10000000000000009"/>
    <x v="0"/>
    <n v="1.0349999999999999"/>
    <n v="0"/>
    <n v="1"/>
  </r>
  <r>
    <s v="AJEET KUMAR"/>
    <d v="2026-06-26T00:00:00"/>
    <s v="SR-RTN/26-27/43686"/>
    <s v="B-303595"/>
    <s v="B-GOLD-FILING"/>
    <s v="REP-GOLD-FILLING-WK"/>
    <x v="1"/>
    <s v="G-NA-75.00-YG"/>
    <n v="376.03"/>
    <n v="282.02249999999998"/>
    <n v="0.75"/>
    <n v="375.93"/>
    <n v="281.94749999999999"/>
    <n v="281.94799999999998"/>
    <n v="0.75"/>
    <n v="0"/>
    <n v="0"/>
    <n v="0"/>
    <n v="0"/>
    <n v="0"/>
    <n v="0"/>
    <n v="0"/>
    <n v="0"/>
    <n v="0"/>
    <n v="0.1"/>
    <n v="7.4999999999999997E-2"/>
    <n v="0.74999999999999989"/>
    <n v="-9.9999999999965894E-2"/>
    <n v="9.9999999999965894E-2"/>
    <x v="2"/>
    <n v="281.94799999999998"/>
    <n v="0"/>
    <n v="2"/>
  </r>
  <r>
    <s v="AJEET KUMAR"/>
    <d v="2026-06-26T00:00:00"/>
    <s v="SR-RTN/26-27/43745"/>
    <s v="B-304334"/>
    <s v="B-GOLD-FILING"/>
    <s v="GOLD-FILLING-WK"/>
    <x v="1"/>
    <s v="G-NA-75.00-RG"/>
    <n v="31.67"/>
    <n v="23.752500000000001"/>
    <n v="0.75"/>
    <n v="31.67"/>
    <n v="23.752500000000001"/>
    <n v="23.753"/>
    <n v="0.75"/>
    <n v="0"/>
    <n v="0"/>
    <n v="0"/>
    <n v="0"/>
    <n v="0"/>
    <n v="0"/>
    <n v="0"/>
    <n v="0"/>
    <n v="0"/>
    <n v="0"/>
    <n v="0"/>
    <n v="0"/>
    <n v="0"/>
    <n v="0"/>
    <x v="1"/>
    <n v="23.528000000000002"/>
    <n v="0.22499999999999787"/>
    <n v="2"/>
  </r>
  <r>
    <s v="AJEET KUMAR"/>
    <d v="2026-06-26T00:00:00"/>
    <s v="SR-RTN/26-27/43769"/>
    <s v="B-306241"/>
    <s v="B-GOLD-FILING"/>
    <s v="GOLD-FILLING-WK"/>
    <x v="0"/>
    <s v="G-NA-91.70-YG"/>
    <n v="46.1"/>
    <n v="42.273699999999998"/>
    <n v="0.91699999999999993"/>
    <n v="46.01"/>
    <n v="42.19117"/>
    <n v="42.192"/>
    <n v="0.91700000000000004"/>
    <n v="0"/>
    <n v="0"/>
    <n v="0"/>
    <n v="0"/>
    <n v="0"/>
    <n v="0"/>
    <n v="0"/>
    <n v="0"/>
    <n v="0"/>
    <n v="0.09"/>
    <n v="8.2530000000000006E-2"/>
    <n v="0.91700000000000015"/>
    <n v="-9.0000000000003411E-2"/>
    <n v="9.0000000000003411E-2"/>
    <x v="1"/>
    <n v="15.423999999999999"/>
    <n v="26.768000000000001"/>
    <n v="2"/>
  </r>
  <r>
    <s v="AJEET KUMAR"/>
    <d v="2026-06-26T00:00:00"/>
    <s v="SR-RTN/26-27/43816"/>
    <s v="B-303767"/>
    <s v="B-GOLD-FILING"/>
    <s v="GOLD-FILLING-WK"/>
    <x v="0"/>
    <s v="G-NA-91.70-YG"/>
    <n v="12.22"/>
    <n v="11.20574"/>
    <n v="0.91700000000000004"/>
    <n v="11.25"/>
    <n v="10.31625"/>
    <n v="10.317"/>
    <n v="0.91700000000000004"/>
    <n v="0"/>
    <n v="0"/>
    <n v="0"/>
    <n v="0"/>
    <n v="0"/>
    <n v="0"/>
    <n v="0"/>
    <n v="0"/>
    <n v="0"/>
    <n v="0.97"/>
    <n v="0.88949"/>
    <n v="0.91700000000000004"/>
    <n v="-0.97000000000000064"/>
    <n v="0.97000000000000064"/>
    <x v="0"/>
    <n v="10.317"/>
    <n v="0"/>
    <n v="1"/>
  </r>
  <r>
    <s v="AJEET KUMAR"/>
    <d v="2026-06-26T00:00:00"/>
    <s v="SR-RTN/26-27/43819"/>
    <s v="B-304360"/>
    <s v="B-GOLD-FILING"/>
    <s v="GOLD-FILLING-WK"/>
    <x v="0"/>
    <s v="G-NA-91.70-YG"/>
    <n v="3.7"/>
    <n v="3.3929"/>
    <n v="0.91699999999999993"/>
    <n v="3.65"/>
    <n v="3.3470499999999999"/>
    <n v="3.3479999999999999"/>
    <n v="0.91700000000000004"/>
    <n v="0"/>
    <n v="0"/>
    <n v="0"/>
    <n v="0"/>
    <n v="0"/>
    <n v="0"/>
    <n v="0"/>
    <n v="0"/>
    <n v="0"/>
    <n v="0.05"/>
    <n v="4.5850000000000002E-2"/>
    <n v="0.91700000000000004"/>
    <n v="-5.0000000000000266E-2"/>
    <n v="5.0000000000000266E-2"/>
    <x v="0"/>
    <n v="3.3479999999999999"/>
    <n v="0"/>
    <n v="2"/>
  </r>
  <r>
    <s v="AJEET KUMAR"/>
    <d v="2026-06-26T00:00:00"/>
    <s v="SR-RTN/26-27/43821"/>
    <s v="B-303147"/>
    <s v="B-GOLD-FILING"/>
    <s v="GOLD-FILLING-WK"/>
    <x v="0"/>
    <s v="G-NA-91.70-YG"/>
    <n v="3.46"/>
    <n v="3.1728200000000002"/>
    <n v="0.91700000000000004"/>
    <n v="2.99"/>
    <n v="2.7418300000000002"/>
    <n v="2.742"/>
    <n v="0.91700000000000004"/>
    <n v="0"/>
    <n v="0"/>
    <n v="0"/>
    <n v="0"/>
    <n v="0"/>
    <n v="0"/>
    <n v="0"/>
    <n v="0"/>
    <n v="0"/>
    <n v="0.47"/>
    <n v="0.43098999999999998"/>
    <n v="0.91700000000000004"/>
    <n v="-0.46999999999999975"/>
    <n v="0.46999999999999975"/>
    <x v="0"/>
    <n v="2.742"/>
    <n v="0"/>
    <n v="1"/>
  </r>
  <r>
    <s v="AJEET KUMAR"/>
    <d v="2026-06-26T00:00:00"/>
    <s v="SR-RTN/26-27/43822"/>
    <s v="B-303743"/>
    <s v="B-GOLD-FILING"/>
    <s v="GOLD-FILLING-WK"/>
    <x v="0"/>
    <s v="G-NA-91.70-YG"/>
    <n v="11.19"/>
    <n v="10.261229999999999"/>
    <n v="0.91700000000000004"/>
    <n v="10.11"/>
    <n v="9.2708700000000004"/>
    <n v="9.270999999999999"/>
    <n v="0.91700000000000004"/>
    <n v="0"/>
    <n v="0"/>
    <n v="0"/>
    <n v="0"/>
    <n v="0"/>
    <n v="0"/>
    <n v="0"/>
    <n v="0"/>
    <n v="0"/>
    <n v="1.08"/>
    <n v="0.99036000000000002"/>
    <n v="0.91699999999999993"/>
    <n v="-1.08"/>
    <n v="1.08"/>
    <x v="0"/>
    <n v="9.270999999999999"/>
    <n v="0"/>
    <n v="1"/>
  </r>
  <r>
    <s v="AJEET KUMAR"/>
    <d v="2026-06-26T00:00:00"/>
    <s v="SR-RTN/26-27/43823"/>
    <s v="B-304336"/>
    <s v="B-GOLD-FILING"/>
    <s v="GOLD-FILLING-WK"/>
    <x v="0"/>
    <s v="G-NA-91.70-YG"/>
    <n v="60.92"/>
    <n v="55.863639999999997"/>
    <n v="0.91699999999999993"/>
    <n v="54.83"/>
    <n v="50.279110000000003"/>
    <n v="50.28"/>
    <n v="0.91700000000000004"/>
    <n v="0"/>
    <n v="0"/>
    <n v="0"/>
    <n v="0"/>
    <n v="0"/>
    <n v="0"/>
    <n v="0"/>
    <n v="0"/>
    <n v="0"/>
    <n v="6.09"/>
    <n v="5.58453"/>
    <n v="0.91700000000000004"/>
    <n v="-6.0900000000000034"/>
    <n v="6.0900000000000034"/>
    <x v="0"/>
    <n v="50.28"/>
    <n v="0"/>
    <n v="1"/>
  </r>
  <r>
    <s v="AJEET KUMAR"/>
    <d v="2026-06-26T00:00:00"/>
    <s v="SR-RTN/26-27/43824"/>
    <s v="B-303533"/>
    <s v="B-GOLD-FILING"/>
    <s v="GOLD-FILLING-WK"/>
    <x v="0"/>
    <s v="G-NA-91.70-YG"/>
    <n v="59.21"/>
    <n v="54.295569999999998"/>
    <n v="0.91699999999999993"/>
    <n v="56.37"/>
    <n v="51.691290000000002"/>
    <n v="51.692"/>
    <n v="0.91700000000000004"/>
    <n v="0"/>
    <n v="0"/>
    <n v="0"/>
    <n v="0"/>
    <n v="0"/>
    <n v="0"/>
    <n v="0"/>
    <n v="0"/>
    <n v="0"/>
    <n v="2.84"/>
    <n v="2.6042800000000002"/>
    <n v="0.91700000000000015"/>
    <n v="-2.8400000000000034"/>
    <n v="2.8400000000000034"/>
    <x v="0"/>
    <n v="51.692"/>
    <n v="0"/>
    <n v="1"/>
  </r>
  <r>
    <s v="AJEET KUMAR"/>
    <d v="2026-06-26T00:00:00"/>
    <s v="SR-RTN/26-27/43838"/>
    <s v="B-304026"/>
    <s v="B-GOLD-FILING"/>
    <s v="GOLD-FILLING-WK"/>
    <x v="0"/>
    <s v="G-NA-91.70-YG"/>
    <n v="12.84"/>
    <n v="11.774279999999999"/>
    <n v="0.91699999999999993"/>
    <n v="12.29"/>
    <n v="11.26993"/>
    <n v="11.27"/>
    <n v="0.91700000000000015"/>
    <n v="0"/>
    <n v="0"/>
    <n v="0"/>
    <n v="0"/>
    <n v="0"/>
    <n v="0"/>
    <n v="0"/>
    <n v="0"/>
    <n v="0"/>
    <n v="0.55000000000000004"/>
    <n v="0.50434999999999997"/>
    <n v="0.91699999999999982"/>
    <n v="-0.55000000000000071"/>
    <n v="0.55000000000000071"/>
    <x v="1"/>
    <n v="11.16"/>
    <n v="0.10999999999999943"/>
    <n v="3"/>
  </r>
  <r>
    <s v="AJEET KUMAR"/>
    <d v="2026-06-26T00:00:00"/>
    <s v="SR-RTN/26-27/43838"/>
    <s v="B-304346"/>
    <s v="B-GOLD-FILING"/>
    <s v="GOLD-FILLING-WK"/>
    <x v="1"/>
    <s v="G-NA-75.00-YG"/>
    <n v="32.590000000000003"/>
    <n v="24.442499999999999"/>
    <n v="0.74999999999999989"/>
    <n v="30.84"/>
    <n v="23.13"/>
    <n v="23.13"/>
    <n v="0.75"/>
    <n v="0"/>
    <n v="0"/>
    <n v="0"/>
    <n v="0"/>
    <n v="0"/>
    <n v="0"/>
    <n v="0"/>
    <n v="0"/>
    <n v="0"/>
    <n v="1.75"/>
    <n v="1.3125"/>
    <n v="0.75"/>
    <n v="-1.7500000000000036"/>
    <n v="1.7500000000000036"/>
    <x v="0"/>
    <n v="23.13"/>
    <n v="0"/>
    <n v="2"/>
  </r>
  <r>
    <s v="AJEET KUMAR"/>
    <d v="2026-06-26T00:00:00"/>
    <s v="SR-RTN/26-27/43843"/>
    <s v="B-303742"/>
    <s v="B-GOLD-FILING"/>
    <s v="GOLD-FILLING-WK"/>
    <x v="0"/>
    <s v="G-NA-91.70-YG"/>
    <n v="11.7"/>
    <n v="10.728899999999999"/>
    <n v="0.91700000000000004"/>
    <n v="11.04"/>
    <n v="10.12368"/>
    <n v="10.123999999999999"/>
    <n v="0.91700000000000004"/>
    <n v="0"/>
    <n v="0"/>
    <n v="0"/>
    <n v="0"/>
    <n v="0"/>
    <n v="0"/>
    <n v="0"/>
    <n v="0"/>
    <n v="0"/>
    <n v="0.66"/>
    <n v="0.60521999999999998"/>
    <n v="0.91699999999999993"/>
    <n v="-0.66000000000000014"/>
    <n v="0.66000000000000014"/>
    <x v="0"/>
    <n v="10.123999999999999"/>
    <n v="0"/>
    <n v="1"/>
  </r>
  <r>
    <s v="AJEET KUMAR"/>
    <d v="2026-06-26T00:00:00"/>
    <s v="SR-RTN/26-27/43844"/>
    <s v="B-303706"/>
    <s v="B-GOLD-FILING"/>
    <s v="GOLD-FILLING-WK"/>
    <x v="0"/>
    <s v="G-NA-91.70-YG"/>
    <n v="11.73"/>
    <n v="10.756410000000001"/>
    <n v="0.91700000000000004"/>
    <n v="10.8"/>
    <n v="9.9036000000000008"/>
    <n v="9.9039999999999999"/>
    <n v="0.91700000000000004"/>
    <n v="0"/>
    <n v="0"/>
    <n v="0"/>
    <n v="0"/>
    <n v="0"/>
    <n v="0"/>
    <n v="0"/>
    <n v="0"/>
    <n v="0"/>
    <n v="0.93"/>
    <n v="0.85280999999999996"/>
    <n v="0.91699999999999993"/>
    <n v="-0.92999999999999972"/>
    <n v="0.92999999999999972"/>
    <x v="0"/>
    <n v="9.9039999999999999"/>
    <n v="0"/>
    <n v="1"/>
  </r>
  <r>
    <s v="AJEET KUMAR"/>
    <d v="2026-06-26T00:00:00"/>
    <s v="SR-RTN/26-27/43846"/>
    <s v="B-302861"/>
    <s v="B-GOLD-FILING"/>
    <s v="GOLD-FILLING-WK"/>
    <x v="0"/>
    <s v="G-NA-91.70-YG"/>
    <n v="12.19"/>
    <n v="11.178229999999999"/>
    <n v="0.91699999999999993"/>
    <n v="10.19"/>
    <n v="9.3442299999999996"/>
    <n v="9.3449999999999989"/>
    <n v="0.91700000000000004"/>
    <n v="0"/>
    <n v="0"/>
    <n v="0"/>
    <n v="0"/>
    <n v="0"/>
    <n v="0"/>
    <n v="0"/>
    <n v="0"/>
    <n v="0"/>
    <n v="2"/>
    <n v="1.8340000000000001"/>
    <n v="0.91700000000000004"/>
    <n v="-2"/>
    <n v="2"/>
    <x v="0"/>
    <n v="9.3449999999999989"/>
    <n v="0"/>
    <n v="1"/>
  </r>
  <r>
    <s v="AJEET KUMAR"/>
    <d v="2026-06-26T00:00:00"/>
    <s v="SR-RTN/26-27/43847"/>
    <s v="B-304324"/>
    <s v="B-GOLD-FILING"/>
    <s v="GOLD-FILLING-WK"/>
    <x v="1"/>
    <s v="G-NA-75.00-RG"/>
    <n v="53.04"/>
    <n v="39.78"/>
    <n v="0.75"/>
    <n v="49.92"/>
    <n v="37.44"/>
    <n v="37.44"/>
    <n v="0.74999999999999989"/>
    <n v="0"/>
    <n v="0"/>
    <n v="0"/>
    <n v="0"/>
    <n v="0"/>
    <n v="0"/>
    <n v="0"/>
    <n v="0"/>
    <n v="0"/>
    <n v="3.12"/>
    <n v="2.34"/>
    <n v="0.74999999999999989"/>
    <n v="-3.1199999999999974"/>
    <n v="3.1199999999999974"/>
    <x v="0"/>
    <n v="37.44"/>
    <n v="0"/>
    <n v="1"/>
  </r>
  <r>
    <s v="AJEET KUMAR"/>
    <d v="2026-06-26T00:00:00"/>
    <s v="SR-RTN/26-27/43848"/>
    <s v="B-303821"/>
    <s v="B-GOLD-FILING"/>
    <s v="GOLD-FILLING-WK"/>
    <x v="0"/>
    <s v="G-NA-91.70-YG"/>
    <n v="11.92"/>
    <n v="10.93064"/>
    <n v="0.91700000000000004"/>
    <n v="10.82"/>
    <n v="9.9219399999999993"/>
    <n v="9.9219999999999988"/>
    <n v="0.91699999999999993"/>
    <n v="0"/>
    <n v="0"/>
    <n v="0"/>
    <n v="0"/>
    <n v="0"/>
    <n v="0"/>
    <n v="0"/>
    <n v="0"/>
    <n v="0"/>
    <n v="1.1000000000000001"/>
    <n v="1.0086999999999999"/>
    <n v="0.91699999999999982"/>
    <n v="-1.0999999999999996"/>
    <n v="1.0999999999999996"/>
    <x v="0"/>
    <n v="9.9219999999999988"/>
    <n v="0"/>
    <n v="1"/>
  </r>
  <r>
    <s v="AJEET KUMAR"/>
    <d v="2026-06-26T00:00:00"/>
    <s v="SR-RTN/26-27/43851"/>
    <s v="B-303780"/>
    <s v="B-GOLD-FILING"/>
    <s v="GOLD-FILLING-WK"/>
    <x v="0"/>
    <s v="G-NA-91.70-YG"/>
    <n v="10.79"/>
    <n v="9.8944299999999998"/>
    <n v="0.91700000000000004"/>
    <n v="10.08"/>
    <n v="9.2433599999999991"/>
    <n v="9.2439999999999998"/>
    <n v="0.91699999999999993"/>
    <n v="0"/>
    <n v="0"/>
    <n v="0"/>
    <n v="0"/>
    <n v="0"/>
    <n v="0"/>
    <n v="0"/>
    <n v="0"/>
    <n v="0"/>
    <n v="0.71"/>
    <n v="0.65107000000000004"/>
    <n v="0.91700000000000015"/>
    <n v="-0.70999999999999908"/>
    <n v="0.70999999999999908"/>
    <x v="0"/>
    <n v="9.2439999999999998"/>
    <n v="0"/>
    <n v="1"/>
  </r>
  <r>
    <s v="AJEET KUMAR"/>
    <d v="2026-06-26T00:00:00"/>
    <s v="SR-RTN/26-27/43852"/>
    <s v="B-303820"/>
    <s v="B-GOLD-FILING"/>
    <s v="GOLD-FILLING-WK"/>
    <x v="0"/>
    <s v="G-NA-91.70-YG"/>
    <n v="9.3800000000000008"/>
    <n v="8.6014599999999994"/>
    <n v="0.91699999999999982"/>
    <n v="8.7899999999999991"/>
    <n v="8.0604300000000002"/>
    <n v="8.0609999999999999"/>
    <n v="0.91700000000000015"/>
    <n v="0"/>
    <n v="0"/>
    <n v="0"/>
    <n v="0"/>
    <n v="0"/>
    <n v="0"/>
    <n v="0"/>
    <n v="0"/>
    <n v="0"/>
    <n v="0.59"/>
    <n v="0.54103000000000001"/>
    <n v="0.91700000000000004"/>
    <n v="-0.59000000000000163"/>
    <n v="0.59000000000000163"/>
    <x v="0"/>
    <n v="8.0609999999999999"/>
    <n v="0"/>
    <n v="1"/>
  </r>
  <r>
    <s v="AJEET KUMAR"/>
    <d v="2026-06-26T00:00:00"/>
    <s v="SR-RTN/26-27/43854"/>
    <s v="B-303211"/>
    <s v="B-GOLD-FILING"/>
    <s v="GOLD-FILLING-WK"/>
    <x v="1"/>
    <s v="G-NA-75.00-RG"/>
    <n v="34.36"/>
    <n v="25.77"/>
    <n v="0.75"/>
    <n v="31.52"/>
    <n v="23.64"/>
    <n v="23.64"/>
    <n v="0.75"/>
    <n v="0"/>
    <n v="0"/>
    <n v="0"/>
    <n v="0"/>
    <n v="0"/>
    <n v="0"/>
    <n v="0"/>
    <n v="0"/>
    <n v="0"/>
    <n v="2.84"/>
    <n v="2.13"/>
    <n v="0.75"/>
    <n v="-2.84"/>
    <n v="2.84"/>
    <x v="0"/>
    <n v="23.64"/>
    <n v="0"/>
    <n v="1"/>
  </r>
  <r>
    <s v="AJEET KUMAR"/>
    <d v="2026-06-26T00:00:00"/>
    <s v="SR-RTN/26-27/43855"/>
    <s v="B-304028"/>
    <s v="B-GOLD-FILING"/>
    <s v="GOLD-FILLING-WK"/>
    <x v="0"/>
    <s v="G-NA-91.70-YG"/>
    <n v="18.670000000000002"/>
    <n v="17.12039"/>
    <n v="0.91699999999999993"/>
    <n v="17.86"/>
    <n v="16.37762"/>
    <n v="16.378"/>
    <n v="0.91700000000000004"/>
    <n v="0"/>
    <n v="0"/>
    <n v="0"/>
    <n v="0"/>
    <n v="0"/>
    <n v="0"/>
    <n v="0"/>
    <n v="0"/>
    <n v="0"/>
    <n v="0.81"/>
    <n v="0.74277000000000004"/>
    <n v="0.91700000000000004"/>
    <n v="-0.81000000000000227"/>
    <n v="0.81000000000000227"/>
    <x v="0"/>
    <n v="16.378"/>
    <n v="0"/>
    <n v="1"/>
  </r>
  <r>
    <s v="AJEET KUMAR"/>
    <d v="2026-06-26T00:00:00"/>
    <s v="SR-RTN/26-27/43856"/>
    <s v="B-304030"/>
    <s v="B-GOLD-FILING"/>
    <s v="GOLD-FILLING-WK"/>
    <x v="0"/>
    <s v="G-NA-91.70-YG"/>
    <n v="22.95"/>
    <n v="21.04515"/>
    <n v="0.91700000000000004"/>
    <n v="22.09"/>
    <n v="20.256530000000001"/>
    <n v="20.257000000000001"/>
    <n v="0.91700000000000004"/>
    <n v="0"/>
    <n v="0"/>
    <n v="0"/>
    <n v="0"/>
    <n v="0"/>
    <n v="0"/>
    <n v="0"/>
    <n v="0"/>
    <n v="0"/>
    <n v="0.86"/>
    <n v="0.78861999999999999"/>
    <n v="0.91700000000000004"/>
    <n v="-0.85999999999999943"/>
    <n v="0.85999999999999943"/>
    <x v="0"/>
    <n v="20.257000000000001"/>
    <n v="0"/>
    <n v="1"/>
  </r>
  <r>
    <s v="AJEET KUMAR"/>
    <d v="2026-06-26T00:00:00"/>
    <s v="SR-RTN/26-27/43859"/>
    <s v="B-303596"/>
    <s v="B-GOLD-FILING"/>
    <s v="GOLD-FILLING-WK"/>
    <x v="1"/>
    <s v="G-NA-75.00-YG"/>
    <n v="477.72"/>
    <n v="358.29"/>
    <n v="0.75"/>
    <n v="448.23"/>
    <n v="336.17250000000001"/>
    <n v="336.173"/>
    <n v="0.75"/>
    <n v="0"/>
    <n v="0"/>
    <n v="0"/>
    <n v="0"/>
    <n v="0"/>
    <n v="0"/>
    <n v="0"/>
    <n v="0"/>
    <n v="0"/>
    <n v="29.49"/>
    <n v="22.1175"/>
    <n v="0.75"/>
    <n v="-29.490000000000009"/>
    <n v="29.490000000000009"/>
    <x v="1"/>
    <n v="336.09799999999996"/>
    <n v="7.5000000000045475E-2"/>
    <n v="2"/>
  </r>
  <r>
    <s v="AJEET KUMAR"/>
    <d v="2026-06-26T00:00:00"/>
    <s v="SR-RTN/26-27/43861"/>
    <s v="B-304317"/>
    <s v="B-GOLD-FILING"/>
    <s v="GOLD-FILLING-WK"/>
    <x v="0"/>
    <s v="G-NA-91.70-YG"/>
    <n v="12.09"/>
    <n v="11.08653"/>
    <n v="0.91700000000000004"/>
    <n v="11.45"/>
    <n v="10.499650000000001"/>
    <n v="10.5"/>
    <n v="0.91700000000000015"/>
    <n v="0"/>
    <n v="0"/>
    <n v="0"/>
    <n v="0"/>
    <n v="0"/>
    <n v="0"/>
    <n v="0"/>
    <n v="0"/>
    <n v="0"/>
    <n v="0.64"/>
    <n v="0.58687999999999996"/>
    <n v="0.91699999999999993"/>
    <n v="-0.64000000000000057"/>
    <n v="0.64000000000000057"/>
    <x v="0"/>
    <n v="10.5"/>
    <n v="0"/>
    <n v="1"/>
  </r>
  <r>
    <s v="AJEET KUMAR"/>
    <d v="2026-06-26T00:00:00"/>
    <s v="SR-RTN/26-27/43862"/>
    <s v="B-305345"/>
    <s v="B-GOLD-FILING"/>
    <s v="GOLD-FILLING-WK"/>
    <x v="0"/>
    <s v="G-NA-91.70-YG"/>
    <n v="4.3600000000000003"/>
    <n v="3.9981200000000001"/>
    <n v="0.91699999999999993"/>
    <n v="4.2300000000000004"/>
    <n v="3.8789099999999999"/>
    <n v="3.879"/>
    <n v="0.91699999999999993"/>
    <n v="0"/>
    <n v="0"/>
    <n v="0"/>
    <n v="0"/>
    <n v="0"/>
    <n v="0"/>
    <n v="0"/>
    <n v="0"/>
    <n v="0"/>
    <n v="0.13"/>
    <n v="0.11921"/>
    <n v="0.91699999999999993"/>
    <n v="-0.12999999999999989"/>
    <n v="0.12999999999999989"/>
    <x v="0"/>
    <n v="3.879"/>
    <n v="0"/>
    <n v="1"/>
  </r>
  <r>
    <s v="AJEET KUMAR"/>
    <d v="2026-06-26T00:00:00"/>
    <s v="SR-RTN/26-27/43864"/>
    <s v="B-304355"/>
    <s v="B-GOLD-FILING"/>
    <s v="GOLD-FILLING-WK"/>
    <x v="1"/>
    <s v="G-NA-75.00-YG"/>
    <n v="32.14"/>
    <n v="24.105"/>
    <n v="0.75"/>
    <n v="29.89"/>
    <n v="22.4175"/>
    <n v="22.418000000000003"/>
    <n v="0.75"/>
    <n v="0"/>
    <n v="0"/>
    <n v="0"/>
    <n v="0"/>
    <n v="0"/>
    <n v="0"/>
    <n v="0"/>
    <n v="0"/>
    <n v="0"/>
    <n v="2.25"/>
    <n v="1.6875"/>
    <n v="0.75"/>
    <n v="-2.25"/>
    <n v="2.25"/>
    <x v="0"/>
    <n v="22.418000000000003"/>
    <n v="0"/>
    <n v="1"/>
  </r>
  <r>
    <s v="AJEET KUMAR"/>
    <d v="2026-06-26T00:00:00"/>
    <s v="SR-RTN/26-27/43865"/>
    <s v="B-303215"/>
    <s v="B-GOLD-FILING"/>
    <s v="GOLD-FILLING-WK"/>
    <x v="1"/>
    <s v="G-NA-75.00-RG"/>
    <n v="31.46"/>
    <n v="23.594999999999999"/>
    <n v="0.74999999999999989"/>
    <n v="28.84"/>
    <n v="21.63"/>
    <n v="21.63"/>
    <n v="0.75"/>
    <n v="0"/>
    <n v="0"/>
    <n v="0"/>
    <n v="0"/>
    <n v="0"/>
    <n v="0"/>
    <n v="0"/>
    <n v="0"/>
    <n v="0"/>
    <n v="2.62"/>
    <n v="1.9650000000000001"/>
    <n v="0.75"/>
    <n v="-2.620000000000001"/>
    <n v="2.620000000000001"/>
    <x v="0"/>
    <n v="21.63"/>
    <n v="0"/>
    <n v="1"/>
  </r>
  <r>
    <s v="AJEET KUMAR"/>
    <d v="2026-06-26T00:00:00"/>
    <s v="SR-RTN/26-27/43876"/>
    <s v="B-300985"/>
    <s v="B-GOLD-FILING"/>
    <s v="GOLD-FILLING-WK"/>
    <x v="0"/>
    <s v="G-NA-91.70-YG"/>
    <n v="4.4800000000000004"/>
    <n v="4.1081599999999998"/>
    <n v="0.91699999999999982"/>
    <n v="4.17"/>
    <n v="3.82389"/>
    <n v="3.8239999999999998"/>
    <n v="0.91700000000000004"/>
    <n v="0"/>
    <n v="0"/>
    <n v="0"/>
    <n v="0"/>
    <n v="0"/>
    <n v="0"/>
    <n v="0"/>
    <n v="0"/>
    <n v="0"/>
    <n v="0.31"/>
    <n v="0.28427000000000002"/>
    <n v="0.91700000000000004"/>
    <n v="-0.3100000000000005"/>
    <n v="0.3100000000000005"/>
    <x v="0"/>
    <n v="3.8239999999999998"/>
    <n v="0"/>
    <n v="3"/>
  </r>
  <r>
    <s v="AJEET KUMAR"/>
    <d v="2026-06-26T00:00:00"/>
    <s v="SR-RTN/26-27/43880"/>
    <s v="B-303758"/>
    <s v="B-GOLD-FILING"/>
    <s v="GOLD-FILLING-WK"/>
    <x v="0"/>
    <s v="G-NA-91.70-YG"/>
    <n v="5.45"/>
    <n v="4.9976500000000001"/>
    <n v="0.91700000000000004"/>
    <n v="4.8600000000000003"/>
    <n v="4.45662"/>
    <n v="4.4570000000000007"/>
    <n v="0.91699999999999993"/>
    <n v="0"/>
    <n v="0"/>
    <n v="0"/>
    <n v="0"/>
    <n v="0"/>
    <n v="0"/>
    <n v="0"/>
    <n v="0"/>
    <n v="0"/>
    <n v="0.59"/>
    <n v="0.54103000000000001"/>
    <n v="0.91700000000000004"/>
    <n v="-0.58999999999999986"/>
    <n v="0.58999999999999986"/>
    <x v="0"/>
    <n v="4.4570000000000007"/>
    <n v="0"/>
    <n v="1"/>
  </r>
  <r>
    <s v="AJEET KUMAR"/>
    <d v="2026-06-26T00:00:00"/>
    <s v="SR-RTN/26-27/43881"/>
    <s v="B-304303"/>
    <s v="B-GOLD-FILING"/>
    <s v="GOLD-FILLING-WK"/>
    <x v="0"/>
    <s v="G-NA-91.70-YG"/>
    <n v="11.56"/>
    <n v="10.600519999999999"/>
    <n v="0.91699999999999993"/>
    <n v="11.07"/>
    <n v="10.15119"/>
    <n v="10.151999999999999"/>
    <n v="0.91699999999999993"/>
    <n v="0"/>
    <n v="0"/>
    <n v="0"/>
    <n v="0"/>
    <n v="0"/>
    <n v="0"/>
    <n v="0"/>
    <n v="0"/>
    <n v="0"/>
    <n v="0.49"/>
    <n v="0.44933000000000001"/>
    <n v="0.91700000000000004"/>
    <n v="-0.49000000000000021"/>
    <n v="0.49000000000000021"/>
    <x v="0"/>
    <n v="10.151999999999999"/>
    <n v="0"/>
    <n v="1"/>
  </r>
  <r>
    <s v="AJEET KUMAR"/>
    <d v="2026-06-26T00:00:00"/>
    <s v="SR-RTN/26-27/43883"/>
    <s v="B-303738"/>
    <s v="B-GOLD-FILING"/>
    <s v="GOLD-FILLING-WK"/>
    <x v="0"/>
    <s v="G-NA-91.70-YG"/>
    <n v="10.91"/>
    <n v="10.00447"/>
    <n v="0.91699999999999993"/>
    <n v="10.14"/>
    <n v="9.2983799999999999"/>
    <n v="9.2989999999999995"/>
    <n v="0.91699999999999993"/>
    <n v="0"/>
    <n v="0"/>
    <n v="0"/>
    <n v="0"/>
    <n v="0"/>
    <n v="0"/>
    <n v="0"/>
    <n v="0"/>
    <n v="0"/>
    <n v="0.77"/>
    <n v="0.70609"/>
    <n v="0.91699999999999993"/>
    <n v="-0.76999999999999957"/>
    <n v="0.76999999999999957"/>
    <x v="0"/>
    <n v="9.2989999999999995"/>
    <n v="0"/>
    <n v="1"/>
  </r>
  <r>
    <s v="AJEET KUMAR"/>
    <d v="2026-06-26T00:00:00"/>
    <s v="SR-RTN/26-27/43884"/>
    <s v="B-303814"/>
    <s v="B-GOLD-FILING"/>
    <s v="GOLD-FILLING-WK"/>
    <x v="0"/>
    <s v="G-NA-91.70-YG"/>
    <n v="12.09"/>
    <n v="11.08653"/>
    <n v="0.91700000000000004"/>
    <n v="11.17"/>
    <n v="10.242889999999999"/>
    <n v="10.243"/>
    <n v="0.91699999999999993"/>
    <n v="0"/>
    <n v="0"/>
    <n v="0"/>
    <n v="0"/>
    <n v="0"/>
    <n v="0"/>
    <n v="0"/>
    <n v="0"/>
    <n v="0"/>
    <n v="0.92"/>
    <n v="0.84363999999999995"/>
    <n v="0.91699999999999993"/>
    <n v="-0.92"/>
    <n v="0.92"/>
    <x v="0"/>
    <n v="10.243"/>
    <n v="0"/>
    <n v="1"/>
  </r>
  <r>
    <s v="AJEET KUMAR"/>
    <d v="2026-06-26T00:00:00"/>
    <s v="SR-RTN/26-27/43888"/>
    <s v="B-303145"/>
    <s v="B-GOLD-FILING"/>
    <s v="GOLD-FILLING-WK"/>
    <x v="0"/>
    <s v="G-NA-91.70-YG"/>
    <n v="19.18"/>
    <n v="17.588059999999999"/>
    <n v="0.91699999999999993"/>
    <n v="18.04"/>
    <n v="16.542680000000001"/>
    <n v="16.543000000000003"/>
    <n v="0.91700000000000004"/>
    <n v="0"/>
    <n v="0"/>
    <n v="0"/>
    <n v="0"/>
    <n v="0"/>
    <n v="0"/>
    <n v="0"/>
    <n v="0"/>
    <n v="0"/>
    <n v="1.1399999999999999"/>
    <n v="1.04538"/>
    <n v="0.91700000000000004"/>
    <n v="-1.1400000000000006"/>
    <n v="1.1400000000000006"/>
    <x v="0"/>
    <n v="16.543000000000003"/>
    <n v="0"/>
    <n v="1"/>
  </r>
  <r>
    <s v="AJEET KUMAR"/>
    <d v="2026-06-26T00:00:00"/>
    <s v="SR-RTN/26-27/43905"/>
    <s v="SR-42654/1"/>
    <s v="CAST-FILLING"/>
    <s v="GOLD-FILLING-WK"/>
    <x v="1"/>
    <s v="G-NA-75.00-RG"/>
    <n v="12.69"/>
    <n v="9.5175000000000001"/>
    <n v="0.75"/>
    <n v="12.69"/>
    <n v="9.5175000000000001"/>
    <n v="9.5179999999999989"/>
    <n v="0.75"/>
    <n v="0"/>
    <n v="0"/>
    <n v="0"/>
    <n v="0"/>
    <n v="0"/>
    <n v="0"/>
    <n v="0"/>
    <n v="0"/>
    <n v="0"/>
    <n v="0"/>
    <n v="0"/>
    <n v="0"/>
    <n v="0"/>
    <n v="0"/>
    <x v="0"/>
    <n v="9.5179999999999989"/>
    <n v="0"/>
    <n v="2"/>
  </r>
  <r>
    <s v="AJEET KUMAR"/>
    <d v="2026-06-26T00:00:00"/>
    <s v="SR-RTN/26-27/43911"/>
    <s v="SR-42654/1"/>
    <s v="B-GOLD-FILING"/>
    <s v="GOLD-FILLING-WK"/>
    <x v="1"/>
    <s v="G-NA-75.00-RG"/>
    <n v="12.73"/>
    <n v="9.5474999999999994"/>
    <n v="0.74999999999999989"/>
    <n v="12.73"/>
    <n v="9.5474999999999994"/>
    <n v="9.548"/>
    <n v="0.74999999999999989"/>
    <n v="0"/>
    <n v="0"/>
    <n v="0"/>
    <n v="0"/>
    <n v="0"/>
    <n v="0"/>
    <n v="0"/>
    <n v="0"/>
    <n v="0"/>
    <n v="0"/>
    <n v="0"/>
    <n v="0"/>
    <n v="0"/>
    <n v="0"/>
    <x v="1"/>
    <n v="9.5179999999999989"/>
    <n v="3.0000000000001137E-2"/>
    <n v="2"/>
  </r>
  <r>
    <s v="AJEET KUMAR"/>
    <d v="2026-06-26T00:00:00"/>
    <s v="SR-RTN/26-27/43914"/>
    <s v="B-303139"/>
    <s v="B-GOLD-FILING"/>
    <s v="GOLD-FILLING-WK"/>
    <x v="1"/>
    <s v="G-NA-75.00-YG"/>
    <n v="36.17"/>
    <n v="27.127500000000001"/>
    <n v="0.75"/>
    <n v="35.72"/>
    <n v="26.79"/>
    <n v="26.79"/>
    <n v="0.75"/>
    <n v="0"/>
    <n v="0"/>
    <n v="0"/>
    <n v="0"/>
    <n v="0"/>
    <n v="0"/>
    <n v="0"/>
    <n v="0"/>
    <n v="0"/>
    <n v="0.45"/>
    <n v="0.33750000000000002"/>
    <n v="0.75"/>
    <n v="-0.45000000000000284"/>
    <n v="0.45000000000000284"/>
    <x v="1"/>
    <n v="25.98"/>
    <n v="0.80999999999999872"/>
    <n v="2"/>
  </r>
  <r>
    <s v="AJEET KUMAR"/>
    <d v="2026-06-26T00:00:00"/>
    <s v="SR-RTN/26-27/43949"/>
    <s v="B-295813"/>
    <s v="B-GOLD-FILING"/>
    <s v="GOLD-FILLING-WK"/>
    <x v="0"/>
    <s v="G-NA-91.70-YG"/>
    <n v="3.55"/>
    <n v="3.25535"/>
    <n v="0.91700000000000004"/>
    <n v="3.33"/>
    <n v="3.0536099999999999"/>
    <n v="3.0539999999999998"/>
    <n v="0.91699999999999993"/>
    <n v="0"/>
    <n v="0"/>
    <n v="0"/>
    <n v="0"/>
    <n v="0"/>
    <n v="0"/>
    <n v="0"/>
    <n v="0"/>
    <n v="0"/>
    <n v="0.22"/>
    <n v="0.20174"/>
    <n v="0.91700000000000004"/>
    <n v="-0.21999999999999975"/>
    <n v="0.21999999999999975"/>
    <x v="0"/>
    <n v="3.0539999999999998"/>
    <n v="0"/>
    <n v="2"/>
  </r>
  <r>
    <s v="AJEET KUMAR"/>
    <d v="2026-06-26T00:00:00"/>
    <s v="SR-RTN/26-27/43950"/>
    <s v="B-304322"/>
    <s v="B-GOLD-FILING"/>
    <s v="GOLD-FILLING-WK"/>
    <x v="0"/>
    <s v="G-NA-91.70-YG"/>
    <n v="39.17"/>
    <n v="35.918889999999998"/>
    <n v="0.91699999999999993"/>
    <n v="38.81"/>
    <n v="35.588769999999997"/>
    <n v="35.588999999999999"/>
    <n v="0.91699999999999982"/>
    <n v="0"/>
    <n v="0"/>
    <n v="0"/>
    <n v="0"/>
    <n v="0"/>
    <n v="0"/>
    <n v="0"/>
    <n v="0"/>
    <n v="0"/>
    <n v="0.36"/>
    <n v="0.33012000000000002"/>
    <n v="0.91700000000000015"/>
    <n v="-0.35999999999999943"/>
    <n v="0.35999999999999943"/>
    <x v="0"/>
    <n v="35.588999999999999"/>
    <n v="0"/>
    <n v="1"/>
  </r>
  <r>
    <s v="AJEET KUMAR"/>
    <d v="2026-06-26T00:00:00"/>
    <s v="SR-RTN/26-27/43951"/>
    <s v="B-295819"/>
    <s v="B-GOLD-FILING"/>
    <s v="GOLD-FILLING-WK"/>
    <x v="0"/>
    <s v="G-NA-91.70-YG"/>
    <n v="3.17"/>
    <n v="2.9068900000000002"/>
    <n v="0.91700000000000004"/>
    <n v="2.91"/>
    <n v="2.6684700000000001"/>
    <n v="2.669"/>
    <n v="0.91700000000000004"/>
    <n v="0"/>
    <n v="0"/>
    <n v="0"/>
    <n v="0"/>
    <n v="0"/>
    <n v="0"/>
    <n v="0"/>
    <n v="0"/>
    <n v="0"/>
    <n v="0.26"/>
    <n v="0.23841999999999999"/>
    <n v="0.91699999999999993"/>
    <n v="-0.25999999999999979"/>
    <n v="0.25999999999999979"/>
    <x v="0"/>
    <n v="2.669"/>
    <n v="0"/>
    <n v="2"/>
  </r>
  <r>
    <s v="AJEET KUMAR"/>
    <d v="2026-06-26T00:00:00"/>
    <s v="SR-RTN/26-27/43952"/>
    <s v="B-304034"/>
    <s v="B-GOLD-FILING"/>
    <s v="GOLD-FILLING-WK"/>
    <x v="0"/>
    <s v="G-NA-91.70-YG"/>
    <n v="24.5"/>
    <n v="22.4665"/>
    <n v="0.91700000000000004"/>
    <n v="23.07"/>
    <n v="21.155190000000001"/>
    <n v="21.156000000000002"/>
    <n v="0.91700000000000004"/>
    <n v="0"/>
    <n v="0"/>
    <n v="0"/>
    <n v="0"/>
    <n v="0"/>
    <n v="0"/>
    <n v="0"/>
    <n v="0"/>
    <n v="0"/>
    <n v="1.43"/>
    <n v="1.31131"/>
    <n v="0.91700000000000004"/>
    <n v="-1.4299999999999997"/>
    <n v="1.4299999999999997"/>
    <x v="0"/>
    <n v="21.156000000000002"/>
    <n v="0"/>
    <n v="1"/>
  </r>
  <r>
    <s v="AJEET KUMAR"/>
    <d v="2026-06-26T00:00:00"/>
    <s v="SR-RTN/26-27/43953"/>
    <s v="B-304313"/>
    <s v="B-GOLD-FILING"/>
    <s v="GOLD-FILLING-WK"/>
    <x v="0"/>
    <s v="G-NA-91.70-YG"/>
    <n v="9.8000000000000007"/>
    <n v="8.9865999999999993"/>
    <n v="0.91699999999999982"/>
    <n v="9.24"/>
    <n v="8.4730799999999995"/>
    <n v="8.4740000000000002"/>
    <n v="0.91699999999999993"/>
    <n v="0"/>
    <n v="0"/>
    <n v="0"/>
    <n v="0"/>
    <n v="0"/>
    <n v="0"/>
    <n v="0"/>
    <n v="0"/>
    <n v="0"/>
    <n v="0.56000000000000005"/>
    <n v="0.51351999999999998"/>
    <n v="0.91699999999999982"/>
    <n v="-0.5600000000000005"/>
    <n v="0.5600000000000005"/>
    <x v="0"/>
    <n v="8.4740000000000002"/>
    <n v="0"/>
    <n v="1"/>
  </r>
  <r>
    <s v="AJEET KUMAR"/>
    <d v="2026-06-26T00:00:00"/>
    <s v="SR-RTN/26-27/43954"/>
    <s v="B-303140"/>
    <s v="B-GOLD-FILING"/>
    <s v="GOLD-FILLING-WK"/>
    <x v="1"/>
    <s v="G-NA-75.00-YG"/>
    <n v="18.71"/>
    <n v="14.032500000000001"/>
    <n v="0.75"/>
    <n v="18.38"/>
    <n v="13.785"/>
    <n v="13.785"/>
    <n v="0.75"/>
    <n v="0"/>
    <n v="0"/>
    <n v="0"/>
    <n v="0"/>
    <n v="0"/>
    <n v="0"/>
    <n v="0"/>
    <n v="0"/>
    <n v="0"/>
    <n v="0.33"/>
    <n v="0.2475"/>
    <n v="0.75"/>
    <n v="-0.33000000000000185"/>
    <n v="0.33000000000000185"/>
    <x v="1"/>
    <n v="13.664999999999999"/>
    <n v="0.12000000000000099"/>
    <n v="2"/>
  </r>
  <r>
    <s v="AJEET KUMAR"/>
    <d v="2026-06-26T00:00:00"/>
    <s v="SR-RTN/26-27/43955"/>
    <s v="B-306240"/>
    <s v="B-GOLD-FILING"/>
    <s v="GOLD-FILLING-WK"/>
    <x v="0"/>
    <s v="G-NA-91.70-YG"/>
    <n v="63.62"/>
    <n v="58.33954"/>
    <n v="0.91700000000000004"/>
    <n v="61.74"/>
    <n v="56.615580000000001"/>
    <n v="56.616"/>
    <n v="0.91700000000000004"/>
    <n v="0"/>
    <n v="0"/>
    <n v="0"/>
    <n v="0"/>
    <n v="0"/>
    <n v="0"/>
    <n v="0"/>
    <n v="0"/>
    <n v="0"/>
    <n v="1.88"/>
    <n v="1.7239599999999999"/>
    <n v="0.91700000000000004"/>
    <n v="-1.8799999999999955"/>
    <n v="1.8799999999999955"/>
    <x v="0"/>
    <n v="56.616"/>
    <n v="0"/>
    <n v="2"/>
  </r>
  <r>
    <s v="AJEET KUMAR"/>
    <d v="2026-06-26T00:00:00"/>
    <s v="SR-RTN/26-27/43960"/>
    <s v="B-303736"/>
    <s v="B-GOLD-FILING"/>
    <s v="GOLD-FILLING-WK"/>
    <x v="0"/>
    <s v="G-NA-91.70-YG"/>
    <n v="11.02"/>
    <n v="10.10534"/>
    <n v="0.91700000000000004"/>
    <n v="10.48"/>
    <n v="9.6101600000000005"/>
    <n v="9.6109999999999989"/>
    <n v="0.91700000000000004"/>
    <n v="0"/>
    <n v="0"/>
    <n v="0"/>
    <n v="0"/>
    <n v="0"/>
    <n v="0"/>
    <n v="0"/>
    <n v="0"/>
    <n v="0"/>
    <n v="0.54"/>
    <n v="0.49518000000000001"/>
    <n v="0.91699999999999993"/>
    <n v="-0.53999999999999915"/>
    <n v="0.53999999999999915"/>
    <x v="0"/>
    <n v="9.6109999999999989"/>
    <n v="0"/>
    <n v="1"/>
  </r>
  <r>
    <s v="AJEET KUMAR"/>
    <d v="2026-06-26T00:00:00"/>
    <s v="SR-RTN/26-27/43960"/>
    <s v="B-304320"/>
    <s v="B-GOLD-FILING"/>
    <s v="GOLD-FILLING-WK"/>
    <x v="0"/>
    <s v="G-NA-91.70-YG"/>
    <n v="14.22"/>
    <n v="13.03974"/>
    <n v="0.91699999999999993"/>
    <n v="13.98"/>
    <n v="12.819660000000001"/>
    <n v="12.82"/>
    <n v="0.91700000000000004"/>
    <n v="0"/>
    <n v="0"/>
    <n v="0"/>
    <n v="0"/>
    <n v="0"/>
    <n v="0"/>
    <n v="0"/>
    <n v="0"/>
    <n v="0"/>
    <n v="0.24"/>
    <n v="0.22008"/>
    <n v="0.91700000000000004"/>
    <n v="-0.24000000000000021"/>
    <n v="0.24000000000000021"/>
    <x v="0"/>
    <n v="12.82"/>
    <n v="0"/>
    <n v="1"/>
  </r>
  <r>
    <s v="AJEET KUMAR"/>
    <d v="2026-06-26T00:00:00"/>
    <s v="SR-RTN/26-27/43962"/>
    <s v="B-306239"/>
    <s v="B-GOLD-FILING"/>
    <s v="GOLD-FILLING-WK"/>
    <x v="0"/>
    <s v="G-NA-91.70-YG"/>
    <n v="60.27"/>
    <n v="55.267589999999998"/>
    <n v="0.91699999999999993"/>
    <n v="58.33"/>
    <n v="53.488610000000001"/>
    <n v="53.488999999999997"/>
    <n v="0.91700000000000004"/>
    <n v="0"/>
    <n v="0"/>
    <n v="0"/>
    <n v="0"/>
    <n v="0"/>
    <n v="0"/>
    <n v="0"/>
    <n v="0"/>
    <n v="0"/>
    <n v="1.94"/>
    <n v="1.77898"/>
    <n v="0.91700000000000004"/>
    <n v="-1.9400000000000048"/>
    <n v="1.9400000000000048"/>
    <x v="0"/>
    <n v="53.488999999999997"/>
    <n v="0"/>
    <n v="2"/>
  </r>
  <r>
    <s v="AJEET KUMAR"/>
    <d v="2026-06-26T00:00:00"/>
    <s v="SR-RTN/26-27/43963"/>
    <s v="B-304026"/>
    <s v="B-GOLD-FILING"/>
    <s v="REP-GOLD-FILLING-WK"/>
    <x v="0"/>
    <s v="G-NA-91.70-YG"/>
    <n v="12.29"/>
    <n v="11.26993"/>
    <n v="0.91700000000000015"/>
    <n v="12.17"/>
    <n v="11.159890000000001"/>
    <n v="11.16"/>
    <n v="0.91700000000000004"/>
    <n v="0"/>
    <n v="0"/>
    <n v="0"/>
    <n v="0"/>
    <n v="0"/>
    <n v="0"/>
    <n v="0"/>
    <n v="0"/>
    <n v="0"/>
    <n v="0.12"/>
    <n v="0.11004"/>
    <n v="0.91700000000000004"/>
    <n v="-0.11999999999999922"/>
    <n v="0.11999999999999922"/>
    <x v="2"/>
    <n v="11.16"/>
    <n v="0"/>
    <n v="3"/>
  </r>
  <r>
    <s v="AJEET KUMAR"/>
    <d v="2026-06-26T00:00:00"/>
    <s v="SR-RTN/26-27/43973"/>
    <s v="B-303802"/>
    <s v="B-GOLD-FILING"/>
    <s v="GOLD-FILLING-WK"/>
    <x v="0"/>
    <s v="G-NA-91.70-YG"/>
    <n v="11.06"/>
    <n v="10.14202"/>
    <n v="0.91700000000000004"/>
    <n v="10.83"/>
    <n v="9.9311100000000003"/>
    <n v="9.9319999999999986"/>
    <n v="0.91700000000000004"/>
    <n v="0"/>
    <n v="0"/>
    <n v="0"/>
    <n v="0"/>
    <n v="0"/>
    <n v="0"/>
    <n v="0"/>
    <n v="0"/>
    <n v="0"/>
    <n v="0.23"/>
    <n v="0.21090999999999999"/>
    <n v="0.91699999999999993"/>
    <n v="-0.23000000000000043"/>
    <n v="0.23000000000000043"/>
    <x v="0"/>
    <n v="9.9319999999999986"/>
    <n v="0"/>
    <n v="1"/>
  </r>
  <r>
    <s v="AJEET KUMAR"/>
    <d v="2026-06-26T00:00:00"/>
    <s v="SR-W/O-RTN/26-27/3179"/>
    <s v="NONE"/>
    <s v="B-GOLD-FILING"/>
    <s v="GOLD-FILLING-WK"/>
    <x v="1"/>
    <s v="G-NA-75.00-RG"/>
    <n v="0.39"/>
    <n v="0.29249999999999998"/>
    <n v="0.74999999999999989"/>
    <n v="0.09"/>
    <n v="6.7500000000000004E-2"/>
    <n v="6.8000000000000005E-2"/>
    <n v="0.75000000000000011"/>
    <n v="0.3"/>
    <n v="0.22500000000000001"/>
    <n v="0.75"/>
    <n v="0"/>
    <n v="0"/>
    <n v="0"/>
    <n v="0"/>
    <n v="0"/>
    <n v="0"/>
    <n v="0"/>
    <n v="0"/>
    <n v="0"/>
    <n v="-0.60000000000000009"/>
    <n v="5.5511151231257827E-17"/>
    <x v="1"/>
    <n v="0"/>
    <n v="6.8000000000000005E-2"/>
    <n v="67"/>
  </r>
  <r>
    <s v="AJEET KUMAR"/>
    <d v="2026-06-26T00:00:00"/>
    <s v="SR-W/O-RTN/26-27/3179"/>
    <s v="NONE"/>
    <s v="B-GOLD-FILING"/>
    <s v="GOLD-FILLING-WK"/>
    <x v="1"/>
    <s v="G-NA-75.00-YG"/>
    <n v="0.01"/>
    <n v="7.4999999999999997E-3"/>
    <n v="0.75"/>
    <n v="0.01"/>
    <n v="7.4999999999999997E-3"/>
    <n v="8.0000000000000002E-3"/>
    <n v="0.75"/>
    <n v="0"/>
    <n v="0"/>
    <n v="0"/>
    <n v="0"/>
    <n v="0"/>
    <n v="0"/>
    <n v="0"/>
    <n v="0"/>
    <n v="0"/>
    <n v="0"/>
    <n v="0"/>
    <n v="0"/>
    <n v="0"/>
    <n v="0"/>
    <x v="1"/>
    <n v="0"/>
    <n v="8.0000000000000002E-3"/>
    <n v="67"/>
  </r>
  <r>
    <s v="AJEET KUMAR"/>
    <d v="2026-06-26T00:00:00"/>
    <s v="SR-W/O-RTN/26-27/3179"/>
    <s v="NONE"/>
    <s v="B-GOLD-FILING"/>
    <s v="GOLD-FILLING-WK"/>
    <x v="0"/>
    <s v="G-NA-91.70-YG"/>
    <n v="0.01"/>
    <n v="9.1699999999999993E-3"/>
    <n v="0.91699999999999993"/>
    <n v="0.01"/>
    <n v="9.1699999999999993E-3"/>
    <n v="9.9999999999999985E-3"/>
    <n v="0.91699999999999993"/>
    <n v="0"/>
    <n v="0"/>
    <n v="0"/>
    <n v="0"/>
    <n v="0"/>
    <n v="0"/>
    <n v="0"/>
    <n v="0"/>
    <n v="0"/>
    <n v="0"/>
    <n v="0"/>
    <n v="0"/>
    <n v="0"/>
    <n v="0"/>
    <x v="1"/>
    <n v="0"/>
    <n v="9.9999999999999985E-3"/>
    <n v="67"/>
  </r>
  <r>
    <s v="AJEET KUMAR"/>
    <d v="2026-06-27T00:00:00"/>
    <s v="RTN-8964835"/>
    <s v="SR-42840"/>
    <s v="CAST-FILLING"/>
    <s v="GOLD-FILLING-WK"/>
    <x v="0"/>
    <s v="G-NA-91.70-YG"/>
    <n v="342.2"/>
    <n v="313.79739999999998"/>
    <n v="0.91699999999999993"/>
    <n v="323.14"/>
    <n v="296.31938000000002"/>
    <n v="296.32"/>
    <n v="0.91700000000000015"/>
    <n v="0"/>
    <n v="0"/>
    <n v="0"/>
    <n v="0"/>
    <n v="0"/>
    <n v="0"/>
    <n v="0"/>
    <n v="0"/>
    <n v="0"/>
    <n v="19.059999999999999"/>
    <n v="17.478020000000001"/>
    <n v="0.91700000000000015"/>
    <n v="-19.060000000000002"/>
    <n v="19.060000000000002"/>
    <x v="0"/>
    <n v="296.32"/>
    <n v="0"/>
    <n v="1"/>
  </r>
  <r>
    <s v="AJEET KUMAR"/>
    <d v="2026-06-27T00:00:00"/>
    <s v="RTN-8969501"/>
    <s v="SR-42751/1"/>
    <s v="CAST-FILLING"/>
    <s v="GOLD-FILLING-WK"/>
    <x v="0"/>
    <s v="G-NA-91.70-YG"/>
    <n v="13.81"/>
    <n v="12.66377"/>
    <n v="0.91699999999999993"/>
    <n v="13"/>
    <n v="11.920999999999999"/>
    <n v="11.920999999999999"/>
    <n v="0.91699999999999993"/>
    <n v="0"/>
    <n v="0"/>
    <n v="0"/>
    <n v="0"/>
    <n v="0"/>
    <n v="0"/>
    <n v="0"/>
    <n v="0"/>
    <n v="0"/>
    <n v="0.81"/>
    <n v="0.74277000000000004"/>
    <n v="0.91700000000000004"/>
    <n v="-0.8100000000000005"/>
    <n v="0.8100000000000005"/>
    <x v="0"/>
    <n v="11.920999999999999"/>
    <n v="0"/>
    <n v="1"/>
  </r>
  <r>
    <s v="AJEET KUMAR"/>
    <d v="2026-06-27T00:00:00"/>
    <s v="RTN-8977495"/>
    <s v="SR-42947"/>
    <s v="CAST-FILLING"/>
    <s v="GOLD-FILLING-WK"/>
    <x v="0"/>
    <s v="G-NA-91.70-YG"/>
    <n v="166.21"/>
    <n v="152.41457"/>
    <n v="0.91699999999999993"/>
    <n v="154.91"/>
    <n v="142.05247"/>
    <n v="142.053"/>
    <n v="0.91700000000000004"/>
    <n v="0"/>
    <n v="0"/>
    <n v="0"/>
    <n v="0"/>
    <n v="0"/>
    <n v="0"/>
    <n v="0"/>
    <n v="0"/>
    <n v="0"/>
    <n v="11.3"/>
    <n v="10.3621"/>
    <n v="0.91699999999999993"/>
    <n v="-11.300000000000011"/>
    <n v="11.300000000000011"/>
    <x v="1"/>
    <n v="141.84200000000001"/>
    <n v="0.21099999999998431"/>
    <n v="2"/>
  </r>
  <r>
    <s v="AJEET KUMAR"/>
    <d v="2026-06-27T00:00:00"/>
    <s v="RTN-8977501"/>
    <s v="SR-42958"/>
    <s v="CAST-FILLING"/>
    <s v="GOLD-FILLING-WK"/>
    <x v="0"/>
    <s v="G-NA-91.70-YG"/>
    <n v="73.45"/>
    <n v="67.353650000000002"/>
    <n v="0.91700000000000004"/>
    <n v="70.28"/>
    <n v="64.446759999999998"/>
    <n v="64.447000000000003"/>
    <n v="0.91699999999999993"/>
    <n v="0"/>
    <n v="0"/>
    <n v="0"/>
    <n v="0"/>
    <n v="0"/>
    <n v="0"/>
    <n v="0"/>
    <n v="0"/>
    <n v="0"/>
    <n v="3.17"/>
    <n v="2.9068900000000002"/>
    <n v="0.91700000000000004"/>
    <n v="-3.1700000000000017"/>
    <n v="3.1700000000000017"/>
    <x v="0"/>
    <n v="64.447000000000003"/>
    <n v="0"/>
    <n v="1"/>
  </r>
  <r>
    <s v="AJEET KUMAR"/>
    <d v="2026-06-27T00:00:00"/>
    <s v="SR-ROA/26-27/1263"/>
    <s v="NONE"/>
    <s v="CAST-FILLING"/>
    <s v="GOLD-FILLING-WK"/>
    <x v="1"/>
    <s v="G-NA-75.00-YG"/>
    <n v="13.88"/>
    <n v="10.41"/>
    <n v="0.75"/>
    <n v="12.46"/>
    <n v="9.3450000000000006"/>
    <n v="9.3450000000000006"/>
    <n v="0.75"/>
    <n v="0"/>
    <n v="0"/>
    <n v="0"/>
    <n v="0"/>
    <n v="0"/>
    <n v="0"/>
    <n v="0"/>
    <n v="0"/>
    <n v="0"/>
    <n v="1.42"/>
    <n v="1.0649999999999999"/>
    <n v="0.75"/>
    <n v="-1.42"/>
    <n v="1.42"/>
    <x v="1"/>
    <n v="0"/>
    <n v="9.3450000000000006"/>
    <n v="67"/>
  </r>
  <r>
    <s v="AJEET KUMAR"/>
    <d v="2026-06-27T00:00:00"/>
    <s v="SR-RTN/26-27/44013"/>
    <s v="B-303596"/>
    <s v="B-GOLD-FILING"/>
    <s v="GOLD-FILLING-WK"/>
    <x v="1"/>
    <s v="G-NA-75.00-YG"/>
    <n v="448.23"/>
    <n v="336.17250000000001"/>
    <n v="0.75"/>
    <n v="448.13"/>
    <n v="336.09750000000003"/>
    <n v="336.09799999999996"/>
    <n v="0.75000000000000011"/>
    <n v="0"/>
    <n v="0"/>
    <n v="0"/>
    <n v="0"/>
    <n v="0"/>
    <n v="0"/>
    <n v="0"/>
    <n v="0"/>
    <n v="0"/>
    <n v="0.1"/>
    <n v="7.4999999999999997E-2"/>
    <n v="0.74999999999999989"/>
    <n v="-0.10000000000002274"/>
    <n v="0.10000000000002274"/>
    <x v="0"/>
    <n v="336.09799999999996"/>
    <n v="0"/>
    <n v="2"/>
  </r>
  <r>
    <s v="AJEET KUMAR"/>
    <d v="2026-06-27T00:00:00"/>
    <s v="SR-RTN/26-27/44032"/>
    <s v="B-304316"/>
    <s v="B-GOLD-FILING"/>
    <s v="GOLD-FILLING-WK"/>
    <x v="0"/>
    <s v="G-NA-91.70-YG"/>
    <n v="11.64"/>
    <n v="10.67388"/>
    <n v="0.91700000000000004"/>
    <n v="10.98"/>
    <n v="10.068659999999999"/>
    <n v="10.068999999999999"/>
    <n v="0.91699999999999993"/>
    <n v="0"/>
    <n v="0"/>
    <n v="0"/>
    <n v="0"/>
    <n v="0"/>
    <n v="0"/>
    <n v="0"/>
    <n v="0"/>
    <n v="0"/>
    <n v="0.66"/>
    <n v="0.60521999999999998"/>
    <n v="0.91699999999999993"/>
    <n v="-0.66000000000000014"/>
    <n v="0.66000000000000014"/>
    <x v="0"/>
    <n v="10.068999999999999"/>
    <n v="0"/>
    <n v="1"/>
  </r>
  <r>
    <s v="AJEET KUMAR"/>
    <d v="2026-06-27T00:00:00"/>
    <s v="SR-RTN/26-27/44033"/>
    <s v="B-304319"/>
    <s v="B-GOLD-FILING"/>
    <s v="GOLD-FILLING-WK"/>
    <x v="0"/>
    <s v="G-NA-91.70-YG"/>
    <n v="11.01"/>
    <n v="10.096170000000001"/>
    <n v="0.91700000000000004"/>
    <n v="10.34"/>
    <n v="9.4817800000000005"/>
    <n v="9.4819999999999993"/>
    <n v="0.91700000000000004"/>
    <n v="0"/>
    <n v="0"/>
    <n v="0"/>
    <n v="0"/>
    <n v="0"/>
    <n v="0"/>
    <n v="0"/>
    <n v="0"/>
    <n v="0"/>
    <n v="0.67"/>
    <n v="0.61438999999999999"/>
    <n v="0.91699999999999993"/>
    <n v="-0.67"/>
    <n v="0.67"/>
    <x v="0"/>
    <n v="9.4819999999999993"/>
    <n v="0"/>
    <n v="1"/>
  </r>
  <r>
    <s v="AJEET KUMAR"/>
    <d v="2026-06-27T00:00:00"/>
    <s v="SR-RTN/26-27/44034"/>
    <s v="B-303786"/>
    <s v="B-GOLD-FILING"/>
    <s v="GOLD-FILLING-WK"/>
    <x v="0"/>
    <s v="G-NA-91.70-YG"/>
    <n v="12.1"/>
    <n v="11.095700000000001"/>
    <n v="0.91700000000000004"/>
    <n v="11.68"/>
    <n v="10.710559999999999"/>
    <n v="10.711"/>
    <n v="0.91699999999999993"/>
    <n v="0"/>
    <n v="0"/>
    <n v="0"/>
    <n v="0"/>
    <n v="0"/>
    <n v="0"/>
    <n v="0"/>
    <n v="0"/>
    <n v="0"/>
    <n v="0.42"/>
    <n v="0.38513999999999998"/>
    <n v="0.91700000000000004"/>
    <n v="-0.41999999999999993"/>
    <n v="0.41999999999999993"/>
    <x v="0"/>
    <n v="10.711"/>
    <n v="0"/>
    <n v="1"/>
  </r>
  <r>
    <s v="AJEET KUMAR"/>
    <d v="2026-06-27T00:00:00"/>
    <s v="SR-RTN/26-27/44036"/>
    <s v="B-303737"/>
    <s v="B-GOLD-FILING"/>
    <s v="GOLD-FILLING-WK"/>
    <x v="0"/>
    <s v="G-NA-91.70-YG"/>
    <n v="11.19"/>
    <n v="10.261229999999999"/>
    <n v="0.91700000000000004"/>
    <n v="10.68"/>
    <n v="9.7935599999999994"/>
    <n v="9.7939999999999987"/>
    <n v="0.91699999999999993"/>
    <n v="0"/>
    <n v="0"/>
    <n v="0"/>
    <n v="0"/>
    <n v="0"/>
    <n v="0"/>
    <n v="0"/>
    <n v="0"/>
    <n v="0"/>
    <n v="0.51"/>
    <n v="0.46766999999999997"/>
    <n v="0.91699999999999993"/>
    <n v="-0.50999999999999979"/>
    <n v="0.50999999999999979"/>
    <x v="0"/>
    <n v="9.7939999999999987"/>
    <n v="0"/>
    <n v="1"/>
  </r>
  <r>
    <s v="AJEET KUMAR"/>
    <d v="2026-06-27T00:00:00"/>
    <s v="SR-RTN/26-27/44038"/>
    <s v="B-304385"/>
    <s v="B-GOLD-FILING"/>
    <s v="GOLD-FILLING-WK"/>
    <x v="1"/>
    <s v="G-NA-75.00-RG"/>
    <n v="0.75"/>
    <n v="0.5625"/>
    <n v="0.75"/>
    <n v="0.72"/>
    <n v="0.54"/>
    <n v="0.54"/>
    <n v="0.75000000000000011"/>
    <n v="0"/>
    <n v="0"/>
    <n v="0"/>
    <n v="0"/>
    <n v="0"/>
    <n v="0"/>
    <n v="0"/>
    <n v="0"/>
    <n v="0"/>
    <n v="0.03"/>
    <n v="2.2499999999999999E-2"/>
    <n v="0.75"/>
    <n v="-3.0000000000000027E-2"/>
    <n v="3.0000000000000027E-2"/>
    <x v="0"/>
    <n v="0.54"/>
    <n v="0"/>
    <n v="1"/>
  </r>
  <r>
    <s v="AJEET KUMAR"/>
    <d v="2026-06-27T00:00:00"/>
    <s v="SR-RTN/26-27/44039"/>
    <s v="B-303790"/>
    <s v="B-GOLD-FILING"/>
    <s v="GOLD-FILLING-WK"/>
    <x v="0"/>
    <s v="G-NA-91.70-YG"/>
    <n v="11.53"/>
    <n v="10.57301"/>
    <n v="0.91700000000000004"/>
    <n v="10.7"/>
    <n v="9.8118999999999996"/>
    <n v="9.8119999999999994"/>
    <n v="0.91700000000000004"/>
    <n v="0"/>
    <n v="0"/>
    <n v="0"/>
    <n v="0"/>
    <n v="0"/>
    <n v="0"/>
    <n v="0"/>
    <n v="0"/>
    <n v="0"/>
    <n v="0.83"/>
    <n v="0.76110999999999995"/>
    <n v="0.91700000000000004"/>
    <n v="-0.83"/>
    <n v="0.83"/>
    <x v="0"/>
    <n v="9.8119999999999994"/>
    <n v="0"/>
    <n v="1"/>
  </r>
  <r>
    <s v="AJEET KUMAR"/>
    <d v="2026-06-27T00:00:00"/>
    <s v="SR-RTN/26-27/44041"/>
    <s v="B-304311"/>
    <s v="B-GOLD-FILING"/>
    <s v="GOLD-FILLING-WK"/>
    <x v="0"/>
    <s v="G-NA-91.70-YG"/>
    <n v="10.89"/>
    <n v="9.9861299999999993"/>
    <n v="0.91699999999999993"/>
    <n v="10.26"/>
    <n v="9.4084199999999996"/>
    <n v="9.4089999999999989"/>
    <n v="0.91699999999999993"/>
    <n v="0"/>
    <n v="0"/>
    <n v="0"/>
    <n v="0"/>
    <n v="0"/>
    <n v="0"/>
    <n v="0"/>
    <n v="0"/>
    <n v="0"/>
    <n v="0.63"/>
    <n v="0.57770999999999995"/>
    <n v="0.91699999999999993"/>
    <n v="-0.63000000000000078"/>
    <n v="0.63000000000000078"/>
    <x v="0"/>
    <n v="9.4089999999999989"/>
    <n v="0"/>
    <n v="1"/>
  </r>
  <r>
    <s v="AJEET KUMAR"/>
    <d v="2026-06-27T00:00:00"/>
    <s v="SR-RTN/26-27/44043"/>
    <s v="B-303138"/>
    <s v="B-GOLD-FILING"/>
    <s v="GOLD-FILLING-WK"/>
    <x v="0"/>
    <s v="G-NA-91.70-YG"/>
    <n v="4.5999999999999996"/>
    <n v="4.2182000000000004"/>
    <n v="0.91700000000000015"/>
    <n v="4.3099999999999996"/>
    <n v="3.9522699999999999"/>
    <n v="3.9529999999999998"/>
    <n v="0.91700000000000004"/>
    <n v="0"/>
    <n v="0"/>
    <n v="0"/>
    <n v="0"/>
    <n v="0"/>
    <n v="0"/>
    <n v="0"/>
    <n v="0"/>
    <n v="0"/>
    <n v="0.28999999999999998"/>
    <n v="0.26593"/>
    <n v="0.91700000000000004"/>
    <n v="-0.29000000000000004"/>
    <n v="0.29000000000000004"/>
    <x v="0"/>
    <n v="3.9529999999999998"/>
    <n v="0"/>
    <n v="3"/>
  </r>
  <r>
    <s v="AJEET KUMAR"/>
    <d v="2026-06-27T00:00:00"/>
    <s v="SR-RTN/26-27/44115"/>
    <s v="B-303403"/>
    <s v="B-GOLD-FILING"/>
    <s v="GOLD-FILLING-WK"/>
    <x v="0"/>
    <s v="G-NA-91.70-YG"/>
    <n v="0.74"/>
    <n v="0.67857999999999996"/>
    <n v="0.91699999999999993"/>
    <n v="0.72"/>
    <n v="0.66024000000000005"/>
    <n v="0.66100000000000003"/>
    <n v="0.91700000000000015"/>
    <n v="0"/>
    <n v="0"/>
    <n v="0"/>
    <n v="0"/>
    <n v="0"/>
    <n v="0"/>
    <n v="0"/>
    <n v="0"/>
    <n v="0"/>
    <n v="0.02"/>
    <n v="1.8339999999999999E-2"/>
    <n v="0.91699999999999993"/>
    <n v="-2.0000000000000018E-2"/>
    <n v="2.0000000000000018E-2"/>
    <x v="0"/>
    <n v="0.66100000000000003"/>
    <n v="0"/>
    <n v="1"/>
  </r>
  <r>
    <s v="AJEET KUMAR"/>
    <d v="2026-06-27T00:00:00"/>
    <s v="SR-RTN/26-27/44117"/>
    <s v="B-303396"/>
    <s v="B-GOLD-FILING"/>
    <s v="GOLD-FILLING-WK"/>
    <x v="0"/>
    <s v="G-NA-91.70-YG"/>
    <n v="0.77"/>
    <n v="0.70609"/>
    <n v="0.91699999999999993"/>
    <n v="0.75"/>
    <n v="0.68774999999999997"/>
    <n v="0.68800000000000006"/>
    <n v="0.91699999999999993"/>
    <n v="0"/>
    <n v="0"/>
    <n v="0"/>
    <n v="0"/>
    <n v="0"/>
    <n v="0"/>
    <n v="0"/>
    <n v="0"/>
    <n v="0"/>
    <n v="0.02"/>
    <n v="1.8339999999999999E-2"/>
    <n v="0.91699999999999993"/>
    <n v="-2.0000000000000018E-2"/>
    <n v="2.0000000000000018E-2"/>
    <x v="0"/>
    <n v="0.68800000000000006"/>
    <n v="0"/>
    <n v="1"/>
  </r>
  <r>
    <s v="AJEET KUMAR"/>
    <d v="2026-06-27T00:00:00"/>
    <s v="SR-RTN/26-27/44120"/>
    <s v="B-303400"/>
    <s v="B-GOLD-FILING"/>
    <s v="GOLD-FILLING-WK"/>
    <x v="0"/>
    <s v="G-NA-91.70-YG"/>
    <n v="1"/>
    <n v="0.91700000000000004"/>
    <n v="0.91700000000000004"/>
    <n v="0.98"/>
    <n v="0.89866000000000001"/>
    <n v="0.89900000000000002"/>
    <n v="0.91700000000000004"/>
    <n v="0"/>
    <n v="0"/>
    <n v="0"/>
    <n v="0"/>
    <n v="0"/>
    <n v="0"/>
    <n v="0"/>
    <n v="0"/>
    <n v="0"/>
    <n v="0.02"/>
    <n v="1.8339999999999999E-2"/>
    <n v="0.91699999999999993"/>
    <n v="-2.0000000000000018E-2"/>
    <n v="2.0000000000000018E-2"/>
    <x v="0"/>
    <n v="0.89900000000000002"/>
    <n v="0"/>
    <n v="1"/>
  </r>
  <r>
    <s v="AJEET KUMAR"/>
    <d v="2026-06-27T00:00:00"/>
    <s v="SR-RTN/26-27/44121"/>
    <s v="B-303774"/>
    <s v="B-GOLD-FILING"/>
    <s v="GOLD-FILLING-WK"/>
    <x v="0"/>
    <s v="G-NA-91.70-YG"/>
    <n v="13.62"/>
    <n v="12.48954"/>
    <n v="0.91700000000000004"/>
    <n v="13.17"/>
    <n v="12.076890000000001"/>
    <n v="12.077"/>
    <n v="0.91700000000000004"/>
    <n v="0"/>
    <n v="0"/>
    <n v="0"/>
    <n v="0"/>
    <n v="0"/>
    <n v="0"/>
    <n v="0"/>
    <n v="0"/>
    <n v="0"/>
    <n v="0.45"/>
    <n v="0.41265000000000002"/>
    <n v="0.91700000000000004"/>
    <n v="-0.44999999999999929"/>
    <n v="0.44999999999999929"/>
    <x v="0"/>
    <n v="12.077"/>
    <n v="0"/>
    <n v="1"/>
  </r>
  <r>
    <s v="AJEET KUMAR"/>
    <d v="2026-06-27T00:00:00"/>
    <s v="SR-RTN/26-27/44124"/>
    <s v="B-304321"/>
    <s v="B-GOLD-FILING"/>
    <s v="GOLD-FILLING-WK"/>
    <x v="0"/>
    <s v="G-NA-91.70-YG"/>
    <n v="10.83"/>
    <n v="9.9311100000000003"/>
    <n v="0.91700000000000004"/>
    <n v="10.72"/>
    <n v="9.8302399999999999"/>
    <n v="9.8309999999999995"/>
    <n v="0.91699999999999993"/>
    <n v="0"/>
    <n v="0"/>
    <n v="0"/>
    <n v="0"/>
    <n v="0"/>
    <n v="0"/>
    <n v="0"/>
    <n v="0"/>
    <n v="0"/>
    <n v="0.11"/>
    <n v="0.10087"/>
    <n v="0.91700000000000004"/>
    <n v="-0.10999999999999943"/>
    <n v="0.10999999999999943"/>
    <x v="0"/>
    <n v="9.8309999999999995"/>
    <n v="0"/>
    <n v="1"/>
  </r>
  <r>
    <s v="AJEET KUMAR"/>
    <d v="2026-06-27T00:00:00"/>
    <s v="SR-RTN/26-27/44125"/>
    <s v="B-303385"/>
    <s v="B-GOLD-FILING"/>
    <s v="GOLD-FILLING-WK"/>
    <x v="0"/>
    <s v="G-NA-91.70-YG"/>
    <n v="2.2599999999999998"/>
    <n v="2.0724200000000002"/>
    <n v="0.91700000000000015"/>
    <n v="2.12"/>
    <n v="1.94404"/>
    <n v="1.9449999999999998"/>
    <n v="0.91699999999999993"/>
    <n v="0"/>
    <n v="0"/>
    <n v="0"/>
    <n v="0"/>
    <n v="0"/>
    <n v="0"/>
    <n v="0"/>
    <n v="0"/>
    <n v="0"/>
    <n v="0.14000000000000001"/>
    <n v="0.12837999999999999"/>
    <n v="0.91699999999999982"/>
    <n v="-0.13999999999999968"/>
    <n v="0.13999999999999968"/>
    <x v="0"/>
    <n v="1.9449999999999998"/>
    <n v="0"/>
    <n v="1"/>
  </r>
  <r>
    <s v="AJEET KUMAR"/>
    <d v="2026-06-27T00:00:00"/>
    <s v="SR-RTN/26-27/44128"/>
    <s v="B-303423"/>
    <s v="B-GOLD-FILING"/>
    <s v="GOLD-FILLING-WK"/>
    <x v="1"/>
    <s v="G-NA-75.00-RG"/>
    <n v="2.79"/>
    <n v="2.0924999999999998"/>
    <n v="0.74999999999999989"/>
    <n v="2.65"/>
    <n v="1.9875"/>
    <n v="1.988"/>
    <n v="0.75"/>
    <n v="0"/>
    <n v="0"/>
    <n v="0"/>
    <n v="0"/>
    <n v="0"/>
    <n v="0"/>
    <n v="0"/>
    <n v="0"/>
    <n v="0"/>
    <n v="0.14000000000000001"/>
    <n v="0.105"/>
    <n v="0.74999999999999989"/>
    <n v="-0.14000000000000012"/>
    <n v="0.14000000000000012"/>
    <x v="1"/>
    <n v="1.98"/>
    <n v="8.0000000000000071E-3"/>
    <n v="2"/>
  </r>
  <r>
    <s v="AJEET KUMAR"/>
    <d v="2026-06-27T00:00:00"/>
    <s v="SR-RTN/26-27/44129"/>
    <s v="B-304312"/>
    <s v="B-GOLD-FILING"/>
    <s v="GOLD-FILLING-WK"/>
    <x v="0"/>
    <s v="G-NA-91.70-YG"/>
    <n v="9.83"/>
    <n v="9.0141100000000005"/>
    <n v="0.91700000000000004"/>
    <n v="9.15"/>
    <n v="8.3905499999999993"/>
    <n v="8.391"/>
    <n v="0.91699999999999993"/>
    <n v="0"/>
    <n v="0"/>
    <n v="0"/>
    <n v="0"/>
    <n v="0"/>
    <n v="0"/>
    <n v="0"/>
    <n v="0"/>
    <n v="0"/>
    <n v="0.68"/>
    <n v="0.62356"/>
    <n v="0.91699999999999993"/>
    <n v="-0.67999999999999972"/>
    <n v="0.67999999999999972"/>
    <x v="0"/>
    <n v="8.391"/>
    <n v="0"/>
    <n v="1"/>
  </r>
  <r>
    <s v="AJEET KUMAR"/>
    <d v="2026-06-27T00:00:00"/>
    <s v="SR-RTN/26-27/44165"/>
    <s v="B-303744"/>
    <s v="B-GOLD-FILING"/>
    <s v="GOLD-FILLING-WK"/>
    <x v="0"/>
    <s v="G-NA-91.70-YG"/>
    <n v="10.86"/>
    <n v="9.9586199999999998"/>
    <n v="0.91700000000000004"/>
    <n v="10.199999999999999"/>
    <n v="9.3534000000000006"/>
    <n v="9.3539999999999992"/>
    <n v="0.91700000000000015"/>
    <n v="0"/>
    <n v="0"/>
    <n v="0"/>
    <n v="0"/>
    <n v="0"/>
    <n v="0"/>
    <n v="0"/>
    <n v="0"/>
    <n v="0"/>
    <n v="0.66"/>
    <n v="0.60521999999999998"/>
    <n v="0.91699999999999993"/>
    <n v="-0.66000000000000014"/>
    <n v="0.66000000000000014"/>
    <x v="0"/>
    <n v="9.3539999999999992"/>
    <n v="0"/>
    <n v="1"/>
  </r>
  <r>
    <s v="AJEET KUMAR"/>
    <d v="2026-06-27T00:00:00"/>
    <s v="SR-RTN/26-27/44166"/>
    <s v="B-304304"/>
    <s v="B-GOLD-FILING"/>
    <s v="GOLD-FILLING-WK"/>
    <x v="0"/>
    <s v="G-NA-91.70-YG"/>
    <n v="23.02"/>
    <n v="21.10934"/>
    <n v="0.91700000000000004"/>
    <n v="22.26"/>
    <n v="20.412420000000001"/>
    <n v="20.413"/>
    <n v="0.91699999999999993"/>
    <n v="0"/>
    <n v="0"/>
    <n v="0"/>
    <n v="0"/>
    <n v="0"/>
    <n v="0"/>
    <n v="0"/>
    <n v="0"/>
    <n v="0"/>
    <n v="0.76"/>
    <n v="0.69691999999999998"/>
    <n v="0.91699999999999993"/>
    <n v="-0.75999999999999801"/>
    <n v="0.75999999999999801"/>
    <x v="0"/>
    <n v="20.413"/>
    <n v="0"/>
    <n v="1"/>
  </r>
  <r>
    <s v="AJEET KUMAR"/>
    <d v="2026-06-27T00:00:00"/>
    <s v="SR-RTN/26-27/44198"/>
    <s v="B-303398"/>
    <s v="B-GOLD-FILING"/>
    <s v="GOLD-FILLING-WK"/>
    <x v="0"/>
    <s v="G-NA-91.70-YG"/>
    <n v="1.51"/>
    <n v="1.3846700000000001"/>
    <n v="0.91700000000000004"/>
    <n v="1.45"/>
    <n v="1.32965"/>
    <n v="1.3299999999999998"/>
    <n v="0.91700000000000004"/>
    <n v="0"/>
    <n v="0"/>
    <n v="0"/>
    <n v="0"/>
    <n v="0"/>
    <n v="0"/>
    <n v="0"/>
    <n v="0"/>
    <n v="0"/>
    <n v="0.06"/>
    <n v="5.5019999999999999E-2"/>
    <n v="0.91700000000000004"/>
    <n v="-6.0000000000000053E-2"/>
    <n v="6.0000000000000053E-2"/>
    <x v="0"/>
    <n v="1.3299999999999998"/>
    <n v="0"/>
    <n v="1"/>
  </r>
  <r>
    <s v="AJEET KUMAR"/>
    <d v="2026-06-27T00:00:00"/>
    <s v="SR-RTN/26-27/44198"/>
    <s v="B-303481"/>
    <s v="B-GOLD-FILING"/>
    <s v="GOLD-FILLING-WK"/>
    <x v="0"/>
    <s v="G-NA-91.70-YG"/>
    <n v="62.5"/>
    <n v="57.3125"/>
    <n v="0.91700000000000004"/>
    <n v="59.82"/>
    <n v="54.854939999999999"/>
    <n v="54.854999999999997"/>
    <n v="0.91699999999999993"/>
    <n v="0"/>
    <n v="0"/>
    <n v="0"/>
    <n v="0"/>
    <n v="0"/>
    <n v="0"/>
    <n v="0"/>
    <n v="0"/>
    <n v="0"/>
    <n v="2.68"/>
    <n v="2.45756"/>
    <n v="0.91699999999999993"/>
    <n v="-2.68"/>
    <n v="2.68"/>
    <x v="0"/>
    <n v="54.854999999999997"/>
    <n v="0"/>
    <n v="1"/>
  </r>
  <r>
    <s v="AJEET KUMAR"/>
    <d v="2026-06-27T00:00:00"/>
    <s v="SR-RTN/26-27/44198"/>
    <s v="B-303934"/>
    <s v="B-GOLD-FILING"/>
    <s v="GOLD-FILLING-WK"/>
    <x v="1"/>
    <s v="G-NA-75.00-YG"/>
    <n v="57.24"/>
    <n v="42.93"/>
    <n v="0.75"/>
    <n v="54.04"/>
    <n v="40.53"/>
    <n v="40.53"/>
    <n v="0.75"/>
    <n v="0"/>
    <n v="0"/>
    <n v="0"/>
    <n v="0"/>
    <n v="0"/>
    <n v="0"/>
    <n v="0"/>
    <n v="0"/>
    <n v="0"/>
    <n v="3.2"/>
    <n v="2.4"/>
    <n v="0.74999999999999989"/>
    <n v="-3.2000000000000028"/>
    <n v="3.2000000000000028"/>
    <x v="0"/>
    <n v="40.53"/>
    <n v="0"/>
    <n v="1"/>
  </r>
  <r>
    <s v="AJEET KUMAR"/>
    <d v="2026-06-27T00:00:00"/>
    <s v="SR-RTN/26-27/44198"/>
    <s v="B-303936"/>
    <s v="B-GOLD-FILING"/>
    <s v="GOLD-FILLING-WK"/>
    <x v="1"/>
    <s v="G-NA-75.00-YG"/>
    <n v="51.85"/>
    <n v="38.887500000000003"/>
    <n v="0.75"/>
    <n v="49.55"/>
    <n v="37.162500000000001"/>
    <n v="37.162999999999997"/>
    <n v="0.75000000000000011"/>
    <n v="0"/>
    <n v="0"/>
    <n v="0"/>
    <n v="0"/>
    <n v="0"/>
    <n v="0"/>
    <n v="0"/>
    <n v="0"/>
    <n v="0"/>
    <n v="2.2999999999999998"/>
    <n v="1.7250000000000001"/>
    <n v="0.75000000000000011"/>
    <n v="-2.3000000000000043"/>
    <n v="2.3000000000000043"/>
    <x v="0"/>
    <n v="37.162999999999997"/>
    <n v="0"/>
    <n v="1"/>
  </r>
  <r>
    <s v="AJEET KUMAR"/>
    <d v="2026-06-27T00:00:00"/>
    <s v="SR-RTN/26-27/44198"/>
    <s v="B-304315"/>
    <s v="B-GOLD-FILING"/>
    <s v="GOLD-FILLING-WK"/>
    <x v="0"/>
    <s v="G-NA-91.70-YG"/>
    <n v="11.77"/>
    <n v="10.793089999999999"/>
    <n v="0.91700000000000004"/>
    <n v="11.26"/>
    <n v="10.325419999999999"/>
    <n v="10.325999999999999"/>
    <n v="0.91699999999999993"/>
    <n v="0"/>
    <n v="0"/>
    <n v="0"/>
    <n v="0"/>
    <n v="0"/>
    <n v="0"/>
    <n v="0"/>
    <n v="0"/>
    <n v="0"/>
    <n v="0.51"/>
    <n v="0.46766999999999997"/>
    <n v="0.91699999999999993"/>
    <n v="-0.50999999999999979"/>
    <n v="0.50999999999999979"/>
    <x v="0"/>
    <n v="10.325999999999999"/>
    <n v="0"/>
    <n v="1"/>
  </r>
  <r>
    <s v="AJEET KUMAR"/>
    <d v="2026-06-27T00:00:00"/>
    <s v="SR-RTN/26-27/44198"/>
    <s v="B-304344"/>
    <s v="B-GOLD-FILING"/>
    <s v="GOLD-FILLING-WK"/>
    <x v="0"/>
    <s v="G-NA-91.70-YG"/>
    <n v="82.98"/>
    <n v="76.092659999999995"/>
    <n v="0.91699999999999993"/>
    <n v="78.56"/>
    <n v="72.039519999999996"/>
    <n v="72.040000000000006"/>
    <n v="0.91699999999999993"/>
    <n v="0"/>
    <n v="0"/>
    <n v="0"/>
    <n v="0"/>
    <n v="0"/>
    <n v="0"/>
    <n v="0"/>
    <n v="0"/>
    <n v="0"/>
    <n v="4.42"/>
    <n v="4.05314"/>
    <n v="0.91700000000000004"/>
    <n v="-4.4200000000000017"/>
    <n v="4.4200000000000017"/>
    <x v="0"/>
    <n v="72.040000000000006"/>
    <n v="0"/>
    <n v="1"/>
  </r>
  <r>
    <s v="AJEET KUMAR"/>
    <d v="2026-06-27T00:00:00"/>
    <s v="SR-RTN/26-27/44198"/>
    <s v="B-304389"/>
    <s v="B-GOLD-FILING"/>
    <s v="GOLD-FILLING-WK"/>
    <x v="1"/>
    <s v="G-NA-75.00-YG"/>
    <n v="28.97"/>
    <n v="21.727499999999999"/>
    <n v="0.75"/>
    <n v="27.74"/>
    <n v="20.805"/>
    <n v="20.805"/>
    <n v="0.75"/>
    <n v="0"/>
    <n v="0"/>
    <n v="0"/>
    <n v="0"/>
    <n v="0"/>
    <n v="0"/>
    <n v="0"/>
    <n v="0"/>
    <n v="0"/>
    <n v="1.23"/>
    <n v="0.92249999999999999"/>
    <n v="0.75"/>
    <n v="-1.2300000000000004"/>
    <n v="1.2300000000000004"/>
    <x v="0"/>
    <n v="20.805"/>
    <n v="0"/>
    <n v="1"/>
  </r>
  <r>
    <s v="AJEET KUMAR"/>
    <d v="2026-06-27T00:00:00"/>
    <s v="SR-RTN/26-27/44205"/>
    <s v="B-305326"/>
    <s v="B-GOLD-FILING"/>
    <s v="GOLD-FILLING-WK"/>
    <x v="1"/>
    <s v="G-NA-75.00-RG"/>
    <n v="24.62"/>
    <n v="18.465"/>
    <n v="0.75"/>
    <n v="23.39"/>
    <n v="17.5425"/>
    <n v="17.543000000000003"/>
    <n v="0.75"/>
    <n v="0"/>
    <n v="0"/>
    <n v="0"/>
    <n v="0"/>
    <n v="0"/>
    <n v="0"/>
    <n v="0"/>
    <n v="0"/>
    <n v="0"/>
    <n v="1.23"/>
    <n v="0.92249999999999999"/>
    <n v="0.75"/>
    <n v="-1.2300000000000004"/>
    <n v="1.2300000000000004"/>
    <x v="0"/>
    <n v="17.543000000000003"/>
    <n v="0"/>
    <n v="1"/>
  </r>
  <r>
    <s v="AJEET KUMAR"/>
    <d v="2026-06-27T00:00:00"/>
    <s v="SR-RTN/26-27/44224"/>
    <s v="B-302855"/>
    <s v="B-GOLD-FILING"/>
    <s v="GOLD-FILLING-WK"/>
    <x v="0"/>
    <s v="G-NA-91.70-YG"/>
    <n v="11.33"/>
    <n v="10.389609999999999"/>
    <n v="0.91699999999999993"/>
    <n v="10.89"/>
    <n v="9.9861299999999993"/>
    <n v="9.9870000000000001"/>
    <n v="0.91699999999999993"/>
    <n v="0"/>
    <n v="0"/>
    <n v="0"/>
    <n v="0"/>
    <n v="0"/>
    <n v="0"/>
    <n v="0"/>
    <n v="0"/>
    <n v="0"/>
    <n v="0.44"/>
    <n v="0.40348000000000001"/>
    <n v="0.91700000000000004"/>
    <n v="-0.4399999999999995"/>
    <n v="0.4399999999999995"/>
    <x v="0"/>
    <n v="9.9870000000000001"/>
    <n v="0"/>
    <n v="1"/>
  </r>
  <r>
    <s v="AJEET KUMAR"/>
    <d v="2026-06-27T00:00:00"/>
    <s v="SR-RTN/26-27/44224"/>
    <s v="B-303764"/>
    <s v="B-GOLD-FILING"/>
    <s v="GOLD-FILLING-WK"/>
    <x v="0"/>
    <s v="G-NA-91.70-YG"/>
    <n v="11.39"/>
    <n v="10.44463"/>
    <n v="0.91699999999999993"/>
    <n v="10.98"/>
    <n v="10.068659999999999"/>
    <n v="10.068999999999999"/>
    <n v="0.91699999999999993"/>
    <n v="0"/>
    <n v="0"/>
    <n v="0"/>
    <n v="0"/>
    <n v="0"/>
    <n v="0"/>
    <n v="0"/>
    <n v="0"/>
    <n v="0"/>
    <n v="0.41"/>
    <n v="0.37597000000000003"/>
    <n v="0.91700000000000015"/>
    <n v="-0.41000000000000014"/>
    <n v="0.41000000000000014"/>
    <x v="0"/>
    <n v="10.068999999999999"/>
    <n v="0"/>
    <n v="1"/>
  </r>
  <r>
    <s v="AJEET KUMAR"/>
    <d v="2026-06-27T00:00:00"/>
    <s v="SR-RTN/26-27/44224"/>
    <s v="B-304332"/>
    <s v="B-GOLD-FILING"/>
    <s v="GOLD-FILLING-WK"/>
    <x v="1"/>
    <s v="G-NA-75.00-YG"/>
    <n v="45.11"/>
    <n v="33.832500000000003"/>
    <n v="0.75000000000000011"/>
    <n v="42.46"/>
    <n v="31.844999999999999"/>
    <n v="31.844999999999999"/>
    <n v="0.75"/>
    <n v="0"/>
    <n v="0"/>
    <n v="0"/>
    <n v="0"/>
    <n v="0"/>
    <n v="0"/>
    <n v="0"/>
    <n v="0"/>
    <n v="0"/>
    <n v="2.65"/>
    <n v="1.9875"/>
    <n v="0.75"/>
    <n v="-2.6499999999999986"/>
    <n v="2.6499999999999986"/>
    <x v="0"/>
    <n v="31.844999999999999"/>
    <n v="0"/>
    <n v="1"/>
  </r>
  <r>
    <s v="AJEET KUMAR"/>
    <d v="2026-06-27T00:00:00"/>
    <s v="SR-RTN/26-27/44224"/>
    <s v="B-305353"/>
    <s v="B-GOLD-FILING"/>
    <s v="GOLD-FILLING-WK"/>
    <x v="0"/>
    <s v="G-NA-91.70-YG"/>
    <n v="7.39"/>
    <n v="6.7766299999999999"/>
    <n v="0.91700000000000004"/>
    <n v="7.39"/>
    <n v="6.7766299999999999"/>
    <n v="6.7770000000000001"/>
    <n v="0.91700000000000004"/>
    <n v="0"/>
    <n v="0"/>
    <n v="0"/>
    <n v="0"/>
    <n v="0"/>
    <n v="0"/>
    <n v="0"/>
    <n v="0"/>
    <n v="0"/>
    <n v="0"/>
    <n v="0"/>
    <n v="0"/>
    <n v="0"/>
    <n v="0"/>
    <x v="0"/>
    <n v="6.7770000000000001"/>
    <n v="0"/>
    <n v="2"/>
  </r>
  <r>
    <s v="AJEET KUMAR"/>
    <d v="2026-06-27T00:00:00"/>
    <s v="SR-RTN/26-27/44243"/>
    <s v="B-304310"/>
    <s v="B-GOLD-FILING"/>
    <s v="GOLD-FILLING-WK"/>
    <x v="0"/>
    <s v="G-NA-91.70-YG"/>
    <n v="22.42"/>
    <n v="20.559139999999999"/>
    <n v="0.91699999999999993"/>
    <n v="21.41"/>
    <n v="19.63297"/>
    <n v="19.633000000000003"/>
    <n v="0.91700000000000004"/>
    <n v="0"/>
    <n v="0"/>
    <n v="0"/>
    <n v="0"/>
    <n v="0"/>
    <n v="0"/>
    <n v="0"/>
    <n v="0"/>
    <n v="0"/>
    <n v="1.01"/>
    <n v="0.92617000000000005"/>
    <n v="0.91700000000000004"/>
    <n v="-1.0100000000000016"/>
    <n v="1.0100000000000016"/>
    <x v="0"/>
    <n v="19.633000000000003"/>
    <n v="0"/>
    <n v="1"/>
  </r>
  <r>
    <s v="AJEET KUMAR"/>
    <d v="2026-06-27T00:00:00"/>
    <s v="SR-RTN/26-27/44243"/>
    <s v="B-304314"/>
    <s v="B-GOLD-FILING"/>
    <s v="GOLD-FILLING-WK"/>
    <x v="0"/>
    <s v="G-NA-91.70-YG"/>
    <n v="11.29"/>
    <n v="10.352930000000001"/>
    <n v="0.91700000000000015"/>
    <n v="10.46"/>
    <n v="9.5918200000000002"/>
    <n v="9.5919999999999987"/>
    <n v="0.91699999999999993"/>
    <n v="0"/>
    <n v="0"/>
    <n v="0"/>
    <n v="0"/>
    <n v="0"/>
    <n v="0"/>
    <n v="0"/>
    <n v="0"/>
    <n v="0"/>
    <n v="0.83"/>
    <n v="0.76110999999999995"/>
    <n v="0.91700000000000004"/>
    <n v="-0.82999999999999829"/>
    <n v="0.82999999999999829"/>
    <x v="0"/>
    <n v="9.5919999999999987"/>
    <n v="0"/>
    <n v="1"/>
  </r>
  <r>
    <s v="AJEET KUMAR"/>
    <d v="2026-06-27T00:00:00"/>
    <s v="SR-RTN/26-27/44280"/>
    <s v="B-302864"/>
    <s v="B-GOLD-FILING"/>
    <s v="GOLD-FILLING-WK"/>
    <x v="0"/>
    <s v="G-NA-91.70-YG"/>
    <n v="3.36"/>
    <n v="3.0811199999999999"/>
    <n v="0.91700000000000004"/>
    <n v="3.27"/>
    <n v="2.9985900000000001"/>
    <n v="2.9990000000000001"/>
    <n v="0.91700000000000004"/>
    <n v="0"/>
    <n v="0"/>
    <n v="0"/>
    <n v="0"/>
    <n v="0"/>
    <n v="0"/>
    <n v="0"/>
    <n v="0"/>
    <n v="0"/>
    <n v="0.09"/>
    <n v="8.2530000000000006E-2"/>
    <n v="0.91700000000000015"/>
    <n v="-8.9999999999999858E-2"/>
    <n v="8.9999999999999858E-2"/>
    <x v="0"/>
    <n v="2.9990000000000001"/>
    <n v="0"/>
    <n v="2"/>
  </r>
  <r>
    <s v="AJEET KUMAR"/>
    <d v="2026-06-27T00:00:00"/>
    <s v="SR-RTN/26-27/44280"/>
    <s v="B-303484"/>
    <s v="B-GOLD-FILING"/>
    <s v="GOLD-FILLING-WK"/>
    <x v="0"/>
    <s v="G-NA-91.70-YG"/>
    <n v="117.69"/>
    <n v="107.92173"/>
    <n v="0.91700000000000004"/>
    <n v="112.86"/>
    <n v="103.49262"/>
    <n v="103.49300000000001"/>
    <n v="0.91700000000000004"/>
    <n v="0"/>
    <n v="0"/>
    <n v="0"/>
    <n v="0"/>
    <n v="0"/>
    <n v="0"/>
    <n v="0"/>
    <n v="0"/>
    <n v="0"/>
    <n v="4.83"/>
    <n v="4.4291099999999997"/>
    <n v="0.91699999999999993"/>
    <n v="-4.8299999999999983"/>
    <n v="4.8299999999999983"/>
    <x v="0"/>
    <n v="103.49300000000001"/>
    <n v="0"/>
    <n v="1"/>
  </r>
  <r>
    <s v="AJEET KUMAR"/>
    <d v="2026-06-27T00:00:00"/>
    <s v="SR-RTN/26-27/44280"/>
    <s v="B-304302"/>
    <s v="B-GOLD-FILING"/>
    <s v="GOLD-FILLING-WK"/>
    <x v="0"/>
    <s v="G-NA-91.70-YG"/>
    <n v="5.41"/>
    <n v="4.9609699999999997"/>
    <n v="0.91699999999999993"/>
    <n v="5.0599999999999996"/>
    <n v="4.6400199999999998"/>
    <n v="4.641"/>
    <n v="0.91700000000000004"/>
    <n v="0"/>
    <n v="0"/>
    <n v="0"/>
    <n v="0"/>
    <n v="0"/>
    <n v="0"/>
    <n v="0"/>
    <n v="0"/>
    <n v="0"/>
    <n v="0.35"/>
    <n v="0.32095000000000001"/>
    <n v="0.91700000000000015"/>
    <n v="-0.35000000000000053"/>
    <n v="0.35000000000000053"/>
    <x v="0"/>
    <n v="4.641"/>
    <n v="0"/>
    <n v="1"/>
  </r>
  <r>
    <s v="AJEET KUMAR"/>
    <d v="2026-06-27T00:00:00"/>
    <s v="SR-RTN/26-27/44280"/>
    <s v="B-305195"/>
    <s v="B-GOLD-FILING"/>
    <s v="GOLD-FILLING-WK"/>
    <x v="0"/>
    <s v="G-NA-91.70-YG"/>
    <n v="15.49"/>
    <n v="14.204330000000001"/>
    <n v="0.91700000000000004"/>
    <n v="14.73"/>
    <n v="13.50741"/>
    <n v="13.507999999999999"/>
    <n v="0.91700000000000004"/>
    <n v="0"/>
    <n v="0"/>
    <n v="0"/>
    <n v="0"/>
    <n v="0"/>
    <n v="0"/>
    <n v="0"/>
    <n v="0"/>
    <n v="0"/>
    <n v="0.76"/>
    <n v="0.69691999999999998"/>
    <n v="0.91699999999999993"/>
    <n v="-0.75999999999999979"/>
    <n v="0.75999999999999979"/>
    <x v="0"/>
    <n v="13.507999999999999"/>
    <n v="0"/>
    <n v="1"/>
  </r>
  <r>
    <s v="AJEET KUMAR"/>
    <d v="2026-06-27T00:00:00"/>
    <s v="SR-RTN/26-27/44280"/>
    <s v="B-305199"/>
    <s v="B-GOLD-FILING"/>
    <s v="GOLD-FILLING-WK"/>
    <x v="0"/>
    <s v="G-NA-91.70-YG"/>
    <n v="16.510000000000002"/>
    <n v="15.139670000000001"/>
    <n v="0.91699999999999993"/>
    <n v="15.66"/>
    <n v="14.36022"/>
    <n v="14.360999999999999"/>
    <n v="0.91700000000000004"/>
    <n v="0"/>
    <n v="0"/>
    <n v="0"/>
    <n v="0"/>
    <n v="0"/>
    <n v="0"/>
    <n v="0"/>
    <n v="0"/>
    <n v="0"/>
    <n v="0.85"/>
    <n v="0.77944999999999998"/>
    <n v="0.91700000000000004"/>
    <n v="-0.85000000000000142"/>
    <n v="0.85000000000000142"/>
    <x v="0"/>
    <n v="14.360999999999999"/>
    <n v="0"/>
    <n v="1"/>
  </r>
  <r>
    <s v="AJEET KUMAR"/>
    <d v="2026-06-27T00:00:00"/>
    <s v="SR-RTN/26-27/44289"/>
    <s v="B-302862"/>
    <s v="B-GOLD-FILING"/>
    <s v="GOLD-FILLING-WK"/>
    <x v="0"/>
    <s v="G-NA-91.70-YG"/>
    <n v="3.49"/>
    <n v="3.2003300000000001"/>
    <n v="0.91699999999999993"/>
    <n v="3.3"/>
    <n v="3.0261"/>
    <n v="3.0269999999999997"/>
    <n v="0.91700000000000004"/>
    <n v="0"/>
    <n v="0"/>
    <n v="0"/>
    <n v="0"/>
    <n v="0"/>
    <n v="0"/>
    <n v="0"/>
    <n v="0"/>
    <n v="0"/>
    <n v="0.19"/>
    <n v="0.17423"/>
    <n v="0.91699999999999993"/>
    <n v="-0.19000000000000039"/>
    <n v="0.19000000000000039"/>
    <x v="0"/>
    <n v="3.0269999999999997"/>
    <n v="0"/>
    <n v="3"/>
  </r>
  <r>
    <s v="AJEET KUMAR"/>
    <d v="2026-06-27T00:00:00"/>
    <s v="SR-RTN/26-27/44289"/>
    <s v="B-303129"/>
    <s v="B-GOLD-FILING"/>
    <s v="GOLD-FILLING-WK"/>
    <x v="1"/>
    <s v="G-NA-75.00-YG"/>
    <n v="10.07"/>
    <n v="7.5525000000000002"/>
    <n v="0.75"/>
    <n v="9.64"/>
    <n v="7.23"/>
    <n v="7.23"/>
    <n v="0.75"/>
    <n v="0"/>
    <n v="0"/>
    <n v="0"/>
    <n v="0"/>
    <n v="0"/>
    <n v="0"/>
    <n v="0"/>
    <n v="0"/>
    <n v="0"/>
    <n v="0.43"/>
    <n v="0.32250000000000001"/>
    <n v="0.75"/>
    <n v="-0.42999999999999972"/>
    <n v="0.42999999999999972"/>
    <x v="0"/>
    <n v="7.23"/>
    <n v="0"/>
    <n v="1"/>
  </r>
  <r>
    <s v="AJEET KUMAR"/>
    <d v="2026-06-27T00:00:00"/>
    <s v="SR-RTN/26-27/44289"/>
    <s v="B-304412"/>
    <s v="B-GOLD-FILING"/>
    <s v="GOLD-FILLING-WK"/>
    <x v="1"/>
    <s v="G-NA-75.00-YG"/>
    <n v="41.27"/>
    <n v="30.952500000000001"/>
    <n v="0.75"/>
    <n v="35.770000000000003"/>
    <n v="26.827500000000001"/>
    <n v="26.828000000000003"/>
    <n v="0.75"/>
    <n v="0"/>
    <n v="0"/>
    <n v="0"/>
    <n v="0"/>
    <n v="0"/>
    <n v="0"/>
    <n v="0"/>
    <n v="0"/>
    <n v="0"/>
    <n v="5.5"/>
    <n v="4.125"/>
    <n v="0.75"/>
    <n v="-5.5"/>
    <n v="5.5"/>
    <x v="1"/>
    <n v="25.664999999999999"/>
    <n v="1.1630000000000038"/>
    <n v="2"/>
  </r>
  <r>
    <s v="AJEET KUMAR"/>
    <d v="2026-06-27T00:00:00"/>
    <s v="SR-RTN/26-27/44289"/>
    <s v="B-305325"/>
    <s v="B-GOLD-FILING"/>
    <s v="GOLD-FILLING-WK"/>
    <x v="1"/>
    <s v="G-NA-75.00-YG"/>
    <n v="28"/>
    <n v="21"/>
    <n v="0.75"/>
    <n v="26.06"/>
    <n v="19.545000000000002"/>
    <n v="19.545000000000002"/>
    <n v="0.75000000000000011"/>
    <n v="0"/>
    <n v="0"/>
    <n v="0"/>
    <n v="0"/>
    <n v="0"/>
    <n v="0"/>
    <n v="0"/>
    <n v="0"/>
    <n v="0"/>
    <n v="1.94"/>
    <n v="1.4550000000000001"/>
    <n v="0.75000000000000011"/>
    <n v="-1.9400000000000013"/>
    <n v="1.9400000000000013"/>
    <x v="0"/>
    <n v="19.545000000000002"/>
    <n v="0"/>
    <n v="1"/>
  </r>
  <r>
    <s v="AJEET KUMAR"/>
    <d v="2026-06-27T00:00:00"/>
    <s v="SR-RTN/26-27/44299"/>
    <s v="B-302863"/>
    <s v="B-GOLD-FILING"/>
    <s v="GOLD-FILLING-WK"/>
    <x v="0"/>
    <s v="G-NA-91.70-YG"/>
    <n v="3.86"/>
    <n v="3.5396200000000002"/>
    <n v="0.91700000000000004"/>
    <n v="3.74"/>
    <n v="3.4295800000000001"/>
    <n v="3.4299999999999997"/>
    <n v="0.91699999999999993"/>
    <n v="0"/>
    <n v="0"/>
    <n v="0"/>
    <n v="0"/>
    <n v="0"/>
    <n v="0"/>
    <n v="0"/>
    <n v="0"/>
    <n v="0"/>
    <n v="0.12"/>
    <n v="0.11004"/>
    <n v="0.91700000000000004"/>
    <n v="-0.11999999999999966"/>
    <n v="0.11999999999999966"/>
    <x v="0"/>
    <n v="3.4299999999999997"/>
    <n v="0"/>
    <n v="2"/>
  </r>
  <r>
    <s v="AJEET KUMAR"/>
    <d v="2026-06-27T00:00:00"/>
    <s v="SR-RTN/26-27/44301"/>
    <s v="B-303138"/>
    <s v="B-GOLD-FILING"/>
    <s v="GOLD-FILLING-WK"/>
    <x v="0"/>
    <s v="G-NA-91.70-YG"/>
    <n v="35.78"/>
    <n v="32.81026"/>
    <n v="0.91699999999999993"/>
    <n v="35.72"/>
    <n v="32.755240000000001"/>
    <n v="32.756"/>
    <n v="0.91700000000000004"/>
    <n v="0"/>
    <n v="0"/>
    <n v="0"/>
    <n v="0"/>
    <n v="0"/>
    <n v="0"/>
    <n v="0"/>
    <n v="0"/>
    <n v="0"/>
    <n v="0.06"/>
    <n v="5.5019999999999999E-2"/>
    <n v="0.91700000000000004"/>
    <n v="-6.0000000000002274E-2"/>
    <n v="6.0000000000002274E-2"/>
    <x v="1"/>
    <n v="3.9529999999999998"/>
    <n v="28.803000000000001"/>
    <n v="3"/>
  </r>
  <r>
    <s v="AJEET KUMAR"/>
    <d v="2026-06-27T00:00:00"/>
    <s v="SR-RTN/26-27/44307"/>
    <s v="B-300985"/>
    <s v="B-GOLD-FILING"/>
    <s v="GOLD-FILLING-WK"/>
    <x v="0"/>
    <s v="G-NA-91.70-YG"/>
    <n v="48.1"/>
    <n v="44.107700000000001"/>
    <n v="0.91700000000000004"/>
    <n v="47.81"/>
    <n v="43.841769999999997"/>
    <n v="43.841999999999999"/>
    <n v="0.91699999999999993"/>
    <n v="0"/>
    <n v="0"/>
    <n v="0"/>
    <n v="0"/>
    <n v="0"/>
    <n v="0"/>
    <n v="0"/>
    <n v="0"/>
    <n v="0"/>
    <n v="0.28999999999999998"/>
    <n v="0.26593"/>
    <n v="0.91700000000000004"/>
    <n v="-0.28999999999999915"/>
    <n v="0.28999999999999915"/>
    <x v="1"/>
    <n v="3.8239999999999998"/>
    <n v="40.018000000000001"/>
    <n v="3"/>
  </r>
  <r>
    <s v="AJEET KUMAR"/>
    <d v="2026-06-27T00:00:00"/>
    <s v="SR-RTN/26-27/44322"/>
    <s v="B-302548"/>
    <s v="B-GOLD-FILING"/>
    <s v="GOLD-FILLING-WK"/>
    <x v="1"/>
    <s v="G-NA-75.00-RG"/>
    <n v="49.91"/>
    <n v="37.432499999999997"/>
    <n v="0.75"/>
    <n v="45"/>
    <n v="33.75"/>
    <n v="33.75"/>
    <n v="0.75"/>
    <n v="0"/>
    <n v="0"/>
    <n v="0"/>
    <n v="0"/>
    <n v="0"/>
    <n v="0"/>
    <n v="0"/>
    <n v="0"/>
    <n v="0"/>
    <n v="4.91"/>
    <n v="3.6825000000000001"/>
    <n v="0.75"/>
    <n v="-4.9099999999999966"/>
    <n v="4.9099999999999966"/>
    <x v="0"/>
    <n v="33.75"/>
    <n v="0"/>
    <n v="1"/>
  </r>
  <r>
    <s v="AJEET KUMAR"/>
    <d v="2026-06-27T00:00:00"/>
    <s v="SR-RTN/26-27/44322"/>
    <s v="B-303127"/>
    <s v="B-GOLD-FILING"/>
    <s v="GOLD-FILLING-WK"/>
    <x v="1"/>
    <s v="G-NA-75.00-YG"/>
    <n v="10.97"/>
    <n v="8.2274999999999991"/>
    <n v="0.74999999999999989"/>
    <n v="10.42"/>
    <n v="7.8150000000000004"/>
    <n v="7.8150000000000004"/>
    <n v="0.75"/>
    <n v="0"/>
    <n v="0"/>
    <n v="0"/>
    <n v="0"/>
    <n v="0"/>
    <n v="0"/>
    <n v="0"/>
    <n v="0"/>
    <n v="0"/>
    <n v="0.55000000000000004"/>
    <n v="0.41249999999999998"/>
    <n v="0.74999999999999989"/>
    <n v="-0.55000000000000071"/>
    <n v="0.55000000000000071"/>
    <x v="0"/>
    <n v="7.8150000000000004"/>
    <n v="0"/>
    <n v="1"/>
  </r>
  <r>
    <s v="AJEET KUMAR"/>
    <d v="2026-06-27T00:00:00"/>
    <s v="SR-RTN/26-27/44322"/>
    <s v="B-303401"/>
    <s v="B-GOLD-FILING"/>
    <s v="GOLD-FILLING-WK"/>
    <x v="0"/>
    <s v="G-NA-91.70-YG"/>
    <n v="1.05"/>
    <n v="0.96284999999999998"/>
    <n v="0.91699999999999993"/>
    <n v="1"/>
    <n v="0.91700000000000004"/>
    <n v="0.91700000000000004"/>
    <n v="0.91700000000000004"/>
    <n v="0"/>
    <n v="0"/>
    <n v="0"/>
    <n v="0"/>
    <n v="0"/>
    <n v="0"/>
    <n v="0"/>
    <n v="0"/>
    <n v="0"/>
    <n v="0.05"/>
    <n v="4.5850000000000002E-2"/>
    <n v="0.91700000000000004"/>
    <n v="-5.0000000000000044E-2"/>
    <n v="5.0000000000000044E-2"/>
    <x v="0"/>
    <n v="0.91700000000000004"/>
    <n v="0"/>
    <n v="1"/>
  </r>
  <r>
    <s v="AJEET KUMAR"/>
    <d v="2026-06-27T00:00:00"/>
    <s v="SR-RTN/26-27/44322"/>
    <s v="B-303483"/>
    <s v="B-GOLD-FILING"/>
    <s v="GOLD-FILLING-WK"/>
    <x v="0"/>
    <s v="G-NA-91.70-YG"/>
    <n v="116.06"/>
    <n v="106.42702"/>
    <n v="0.91699999999999993"/>
    <n v="111.88"/>
    <n v="102.59396"/>
    <n v="102.59400000000001"/>
    <n v="0.91700000000000004"/>
    <n v="0"/>
    <n v="0"/>
    <n v="0"/>
    <n v="0"/>
    <n v="0"/>
    <n v="0"/>
    <n v="0"/>
    <n v="0"/>
    <n v="0"/>
    <n v="4.18"/>
    <n v="3.8330600000000001"/>
    <n v="0.91700000000000015"/>
    <n v="-4.1800000000000068"/>
    <n v="4.1800000000000068"/>
    <x v="0"/>
    <n v="102.59400000000001"/>
    <n v="0"/>
    <n v="1"/>
  </r>
  <r>
    <s v="AJEET KUMAR"/>
    <d v="2026-06-27T00:00:00"/>
    <s v="SR-RTN/26-27/44359"/>
    <s v="B-306241"/>
    <s v="B-GOLD-FILING"/>
    <s v="GOLD-FILLING-WK"/>
    <x v="0"/>
    <s v="G-NA-91.70-YG"/>
    <n v="16.88"/>
    <n v="15.478960000000001"/>
    <n v="0.91700000000000015"/>
    <n v="16.82"/>
    <n v="15.42394"/>
    <n v="15.423999999999999"/>
    <n v="0.91700000000000004"/>
    <n v="0"/>
    <n v="0"/>
    <n v="0"/>
    <n v="0"/>
    <n v="0"/>
    <n v="0"/>
    <n v="0"/>
    <n v="0"/>
    <n v="0"/>
    <n v="0.06"/>
    <n v="5.5019999999999999E-2"/>
    <n v="0.91700000000000004"/>
    <n v="-5.9999999999998721E-2"/>
    <n v="5.9999999999998721E-2"/>
    <x v="0"/>
    <n v="15.423999999999999"/>
    <n v="0"/>
    <n v="2"/>
  </r>
  <r>
    <s v="AJEET KUMAR"/>
    <d v="2026-06-27T00:00:00"/>
    <s v="SR-RTN/26-27/44371"/>
    <s v="B-302856"/>
    <s v="B-GOLD-FILING"/>
    <s v="GOLD-FILLING-WK"/>
    <x v="0"/>
    <s v="G-NA-91.70-YG"/>
    <n v="7.32"/>
    <n v="6.71244"/>
    <n v="0.91699999999999993"/>
    <n v="6.6"/>
    <n v="6.0522"/>
    <n v="6.0529999999999999"/>
    <n v="0.91700000000000004"/>
    <n v="0"/>
    <n v="0"/>
    <n v="0"/>
    <n v="0"/>
    <n v="0"/>
    <n v="0"/>
    <n v="0"/>
    <n v="0"/>
    <n v="0"/>
    <n v="0.72"/>
    <n v="0.66024000000000005"/>
    <n v="0.91700000000000015"/>
    <n v="-0.72000000000000064"/>
    <n v="0.72000000000000064"/>
    <x v="0"/>
    <n v="6.0529999999999999"/>
    <n v="0"/>
    <n v="1"/>
  </r>
  <r>
    <s v="AJEET KUMAR"/>
    <d v="2026-06-27T00:00:00"/>
    <s v="SR-RTN/26-27/44371"/>
    <s v="B-302865"/>
    <s v="B-GOLD-FILING"/>
    <s v="GOLD-FILLING-WK"/>
    <x v="0"/>
    <s v="G-NA-91.70-YG"/>
    <n v="2.12"/>
    <n v="1.94404"/>
    <n v="0.91699999999999993"/>
    <n v="2.0099999999999998"/>
    <n v="1.84317"/>
    <n v="1.8439999999999999"/>
    <n v="0.91700000000000004"/>
    <n v="0"/>
    <n v="0"/>
    <n v="0"/>
    <n v="0"/>
    <n v="0"/>
    <n v="0"/>
    <n v="0"/>
    <n v="0"/>
    <n v="0"/>
    <n v="0.11"/>
    <n v="0.10087"/>
    <n v="0.91700000000000004"/>
    <n v="-0.11000000000000032"/>
    <n v="0.11000000000000032"/>
    <x v="0"/>
    <n v="1.8439999999999999"/>
    <n v="0"/>
    <n v="2"/>
  </r>
  <r>
    <s v="AJEET KUMAR"/>
    <d v="2026-06-27T00:00:00"/>
    <s v="SR-RTN/26-27/44371"/>
    <s v="B-303399"/>
    <s v="B-GOLD-FILING"/>
    <s v="GOLD-FILLING-WK"/>
    <x v="0"/>
    <s v="G-NA-91.70-YG"/>
    <n v="0.64"/>
    <n v="0.58687999999999996"/>
    <n v="0.91699999999999993"/>
    <n v="0.62"/>
    <n v="0.56854000000000005"/>
    <n v="0.56899999999999995"/>
    <n v="0.91700000000000004"/>
    <n v="0"/>
    <n v="0"/>
    <n v="0"/>
    <n v="0"/>
    <n v="0"/>
    <n v="0"/>
    <n v="0"/>
    <n v="0"/>
    <n v="0"/>
    <n v="0.02"/>
    <n v="1.8339999999999999E-2"/>
    <n v="0.91699999999999993"/>
    <n v="-2.0000000000000018E-2"/>
    <n v="2.0000000000000018E-2"/>
    <x v="0"/>
    <n v="0.56899999999999995"/>
    <n v="0"/>
    <n v="1"/>
  </r>
  <r>
    <s v="AJEET KUMAR"/>
    <d v="2026-06-27T00:00:00"/>
    <s v="SR-RTN/26-27/44371"/>
    <s v="B-304401"/>
    <s v="B-GOLD-FILING"/>
    <s v="GOLD-FILLING-WK"/>
    <x v="1"/>
    <s v="G-NA-75.00-RG"/>
    <n v="30.34"/>
    <n v="22.754999999999999"/>
    <n v="0.75"/>
    <n v="26.58"/>
    <n v="19.934999999999999"/>
    <n v="19.934999999999999"/>
    <n v="0.75"/>
    <n v="0"/>
    <n v="0"/>
    <n v="0"/>
    <n v="0"/>
    <n v="0"/>
    <n v="0"/>
    <n v="0"/>
    <n v="0"/>
    <n v="0"/>
    <n v="3.76"/>
    <n v="2.82"/>
    <n v="0.75"/>
    <n v="-3.7600000000000016"/>
    <n v="3.7600000000000016"/>
    <x v="0"/>
    <n v="19.934999999999999"/>
    <n v="0"/>
    <n v="1"/>
  </r>
  <r>
    <s v="AJEET KUMAR"/>
    <d v="2026-06-27T00:00:00"/>
    <s v="SR-RTN/26-27/44395"/>
    <s v="B-303128"/>
    <s v="B-GOLD-FILING"/>
    <s v="GOLD-FILLING-WK"/>
    <x v="1"/>
    <s v="G-NA-75.00-YG"/>
    <n v="9.08"/>
    <n v="6.81"/>
    <n v="0.75"/>
    <n v="8.6999999999999993"/>
    <n v="6.5250000000000004"/>
    <n v="6.5250000000000004"/>
    <n v="0.75000000000000011"/>
    <n v="0"/>
    <n v="0"/>
    <n v="0"/>
    <n v="0"/>
    <n v="0"/>
    <n v="0"/>
    <n v="0"/>
    <n v="0"/>
    <n v="0"/>
    <n v="0.38"/>
    <n v="0.28499999999999998"/>
    <n v="0.74999999999999989"/>
    <n v="-0.38000000000000078"/>
    <n v="0.38000000000000078"/>
    <x v="0"/>
    <n v="6.5250000000000004"/>
    <n v="0"/>
    <n v="1"/>
  </r>
  <r>
    <s v="AJEET KUMAR"/>
    <d v="2026-06-27T00:00:00"/>
    <s v="SR-RTN/26-27/44395"/>
    <s v="B-303133"/>
    <s v="B-GOLD-FILING"/>
    <s v="GOLD-FILLING-WK"/>
    <x v="1"/>
    <s v="G-NA-75.00-YG"/>
    <n v="10.88"/>
    <n v="8.16"/>
    <n v="0.75"/>
    <n v="10.45"/>
    <n v="7.8375000000000004"/>
    <n v="7.8380000000000001"/>
    <n v="0.75000000000000011"/>
    <n v="0"/>
    <n v="0"/>
    <n v="0"/>
    <n v="0"/>
    <n v="0"/>
    <n v="0"/>
    <n v="0"/>
    <n v="0"/>
    <n v="0"/>
    <n v="0.43"/>
    <n v="0.32250000000000001"/>
    <n v="0.75"/>
    <n v="-0.43000000000000149"/>
    <n v="0.43000000000000149"/>
    <x v="0"/>
    <n v="7.8380000000000001"/>
    <n v="0"/>
    <n v="1"/>
  </r>
  <r>
    <s v="AJEET KUMAR"/>
    <d v="2026-06-27T00:00:00"/>
    <s v="SR-RTN/26-27/44395"/>
    <s v="B-303489"/>
    <s v="B-GOLD-FILING"/>
    <s v="GOLD-FILLING-WK"/>
    <x v="0"/>
    <s v="G-NA-91.70-YG"/>
    <n v="108.21"/>
    <n v="99.228570000000005"/>
    <n v="0.91700000000000015"/>
    <n v="103.25"/>
    <n v="94.680250000000001"/>
    <n v="94.681000000000012"/>
    <n v="0.91700000000000004"/>
    <n v="0"/>
    <n v="0"/>
    <n v="0"/>
    <n v="0"/>
    <n v="0"/>
    <n v="0"/>
    <n v="0"/>
    <n v="0"/>
    <n v="0"/>
    <n v="4.96"/>
    <n v="4.5483200000000004"/>
    <n v="0.91700000000000004"/>
    <n v="-4.9599999999999937"/>
    <n v="4.9599999999999937"/>
    <x v="0"/>
    <n v="94.681000000000012"/>
    <n v="0"/>
    <n v="1"/>
  </r>
  <r>
    <s v="AJEET KUMAR"/>
    <d v="2026-06-27T00:00:00"/>
    <s v="SR-RTN/26-27/44395"/>
    <s v="B-304305"/>
    <s v="B-GOLD-FILING"/>
    <s v="GOLD-FILLING-WK"/>
    <x v="0"/>
    <s v="G-NA-91.70-YG"/>
    <n v="10.71"/>
    <n v="9.8210700000000006"/>
    <n v="0.91700000000000004"/>
    <n v="9.9700000000000006"/>
    <n v="9.1424900000000004"/>
    <n v="9.1429999999999989"/>
    <n v="0.91700000000000004"/>
    <n v="0"/>
    <n v="0"/>
    <n v="0"/>
    <n v="0"/>
    <n v="0"/>
    <n v="0"/>
    <n v="0"/>
    <n v="0"/>
    <n v="0"/>
    <n v="0.74"/>
    <n v="0.67857999999999996"/>
    <n v="0.91699999999999993"/>
    <n v="-0.74000000000000021"/>
    <n v="0.74000000000000021"/>
    <x v="0"/>
    <n v="9.1429999999999989"/>
    <n v="0"/>
    <n v="1"/>
  </r>
  <r>
    <s v="AJEET KUMAR"/>
    <d v="2026-06-27T00:00:00"/>
    <s v="SR-RTN/26-27/44395"/>
    <s v="B-305243"/>
    <s v="B-GOLD-FILING"/>
    <s v="GOLD-FILLING-WK"/>
    <x v="0"/>
    <s v="G-NA-91.70-YG"/>
    <n v="48.58"/>
    <n v="44.54786"/>
    <n v="0.91700000000000004"/>
    <n v="48.58"/>
    <n v="44.54786"/>
    <n v="44.547999999999995"/>
    <n v="0.91700000000000004"/>
    <n v="0"/>
    <n v="0"/>
    <n v="0"/>
    <n v="0"/>
    <n v="0"/>
    <n v="0"/>
    <n v="0"/>
    <n v="0"/>
    <n v="0"/>
    <n v="0"/>
    <n v="0"/>
    <n v="0"/>
    <n v="0"/>
    <n v="0"/>
    <x v="1"/>
    <n v="42.723999999999997"/>
    <n v="1.8239999999999981"/>
    <n v="2"/>
  </r>
  <r>
    <s v="AJEET KUMAR"/>
    <d v="2026-06-27T00:00:00"/>
    <s v="SR-RTN/26-27/44398"/>
    <s v="B-295813"/>
    <s v="B-GOLD-FILING"/>
    <s v="GOLD-FILLING-WK"/>
    <x v="0"/>
    <s v="G-NA-91.70-YG"/>
    <n v="4.1399999999999997"/>
    <n v="3.7963800000000001"/>
    <n v="0.91700000000000004"/>
    <n v="4.01"/>
    <n v="3.6771699999999998"/>
    <n v="3.6779999999999999"/>
    <n v="0.91700000000000004"/>
    <n v="0"/>
    <n v="0"/>
    <n v="0"/>
    <n v="0"/>
    <n v="0"/>
    <n v="0"/>
    <n v="0"/>
    <n v="0"/>
    <n v="0"/>
    <n v="0.13"/>
    <n v="0.11921"/>
    <n v="0.91699999999999993"/>
    <n v="-0.12999999999999989"/>
    <n v="0.12999999999999989"/>
    <x v="1"/>
    <n v="3.0539999999999998"/>
    <n v="0.62400000000000011"/>
    <n v="2"/>
  </r>
  <r>
    <s v="AJEET KUMAR"/>
    <d v="2026-06-27T00:00:00"/>
    <s v="SR-RTN/26-27/44398"/>
    <s v="B-295819"/>
    <s v="B-GOLD-FILING"/>
    <s v="GOLD-FILLING-WK"/>
    <x v="0"/>
    <s v="G-NA-91.70-YG"/>
    <n v="3.75"/>
    <n v="3.4387500000000002"/>
    <n v="0.91700000000000004"/>
    <n v="3.66"/>
    <n v="3.35622"/>
    <n v="3.3569999999999998"/>
    <n v="0.91699999999999993"/>
    <n v="0"/>
    <n v="0"/>
    <n v="0"/>
    <n v="0"/>
    <n v="0"/>
    <n v="0"/>
    <n v="0"/>
    <n v="0"/>
    <n v="0"/>
    <n v="0.09"/>
    <n v="8.2530000000000006E-2"/>
    <n v="0.91700000000000015"/>
    <n v="-8.9999999999999858E-2"/>
    <n v="8.9999999999999858E-2"/>
    <x v="1"/>
    <n v="2.669"/>
    <n v="0.68799999999999972"/>
    <n v="2"/>
  </r>
  <r>
    <s v="AJEET KUMAR"/>
    <d v="2026-06-27T00:00:00"/>
    <s v="SR-RTN/26-27/44398"/>
    <s v="B-303423"/>
    <s v="B-GOLD-FILING"/>
    <s v="GOLD-FILLING-WK"/>
    <x v="1"/>
    <s v="G-NA-75.00-RG"/>
    <n v="2.64"/>
    <n v="1.98"/>
    <n v="0.75"/>
    <n v="2.64"/>
    <n v="1.98"/>
    <n v="1.98"/>
    <n v="0.75"/>
    <n v="0"/>
    <n v="0"/>
    <n v="0"/>
    <n v="0"/>
    <n v="0"/>
    <n v="0"/>
    <n v="0"/>
    <n v="0"/>
    <n v="0"/>
    <n v="0"/>
    <n v="0"/>
    <n v="0"/>
    <n v="0"/>
    <n v="0"/>
    <x v="0"/>
    <n v="1.98"/>
    <n v="0"/>
    <n v="2"/>
  </r>
  <r>
    <s v="AJEET KUMAR"/>
    <d v="2026-06-27T00:00:00"/>
    <s v="SR-RTN/26-27/44398"/>
    <s v="B-307112"/>
    <s v="B-GOLD-FILING"/>
    <s v="GOLD-FILLING-WK"/>
    <x v="0"/>
    <s v="G-NA-91.70-YG"/>
    <n v="32.1"/>
    <n v="29.435700000000001"/>
    <n v="0.91699999999999993"/>
    <n v="32.020000000000003"/>
    <n v="29.36234"/>
    <n v="29.363"/>
    <n v="0.91699999999999993"/>
    <n v="0"/>
    <n v="0"/>
    <n v="0"/>
    <n v="0"/>
    <n v="0"/>
    <n v="0"/>
    <n v="0"/>
    <n v="0"/>
    <n v="0"/>
    <n v="0.08"/>
    <n v="7.3359999999999995E-2"/>
    <n v="0.91699999999999993"/>
    <n v="-7.9999999999998295E-2"/>
    <n v="7.9999999999998295E-2"/>
    <x v="0"/>
    <n v="29.363"/>
    <n v="0"/>
    <n v="1"/>
  </r>
  <r>
    <s v="AJEET KUMAR"/>
    <d v="2026-06-27T00:00:00"/>
    <s v="SR-RTN/26-27/44447"/>
    <s v="B-304403"/>
    <s v="B-GOLD-FILING"/>
    <s v="GOLD-FILLING-WK"/>
    <x v="1"/>
    <s v="G-NA-75.00-RG"/>
    <n v="29.58"/>
    <n v="22.184999999999999"/>
    <n v="0.75"/>
    <n v="26.74"/>
    <n v="20.055"/>
    <n v="20.055"/>
    <n v="0.75"/>
    <n v="0"/>
    <n v="0"/>
    <n v="0"/>
    <n v="0"/>
    <n v="0"/>
    <n v="0"/>
    <n v="0"/>
    <n v="0"/>
    <n v="0"/>
    <n v="2.84"/>
    <n v="2.13"/>
    <n v="0.75"/>
    <n v="-2.84"/>
    <n v="2.84"/>
    <x v="0"/>
    <n v="20.055"/>
    <n v="0"/>
    <n v="1"/>
  </r>
  <r>
    <s v="AJEET KUMAR"/>
    <d v="2026-06-27T00:00:00"/>
    <s v="SR-RTN/26-27/44448"/>
    <s v="B-304301"/>
    <s v="B-GOLD-FILING"/>
    <s v="GOLD-FILLING-WK"/>
    <x v="0"/>
    <s v="G-NA-91.70-YG"/>
    <n v="10.77"/>
    <n v="9.8760899999999996"/>
    <n v="0.91700000000000004"/>
    <n v="9.59"/>
    <n v="8.7940299999999993"/>
    <n v="8.7949999999999999"/>
    <n v="0.91699999999999993"/>
    <n v="0"/>
    <n v="0"/>
    <n v="0"/>
    <n v="0"/>
    <n v="0"/>
    <n v="0"/>
    <n v="0"/>
    <n v="0"/>
    <n v="0"/>
    <n v="1.18"/>
    <n v="1.08206"/>
    <n v="0.91700000000000004"/>
    <n v="-1.1799999999999997"/>
    <n v="1.1799999999999997"/>
    <x v="0"/>
    <n v="8.7949999999999999"/>
    <n v="0"/>
    <n v="1"/>
  </r>
  <r>
    <s v="AJEET KUMAR"/>
    <d v="2026-06-27T00:00:00"/>
    <s v="SR-RTN/26-27/44451"/>
    <s v="B-305219"/>
    <s v="B-GOLD-FILING"/>
    <s v="GOLD-FILLING-WK"/>
    <x v="0"/>
    <s v="G-NA-91.70-YG"/>
    <n v="33.380000000000003"/>
    <n v="30.609459999999999"/>
    <n v="0.91699999999999993"/>
    <n v="30.61"/>
    <n v="28.069369999999999"/>
    <n v="28.07"/>
    <n v="0.91700000000000004"/>
    <n v="0"/>
    <n v="0"/>
    <n v="0"/>
    <n v="0"/>
    <n v="0"/>
    <n v="0"/>
    <n v="0"/>
    <n v="0"/>
    <n v="0"/>
    <n v="2.77"/>
    <n v="2.5400900000000002"/>
    <n v="0.91700000000000004"/>
    <n v="-2.7700000000000031"/>
    <n v="2.7700000000000031"/>
    <x v="0"/>
    <n v="28.07"/>
    <n v="0"/>
    <n v="1"/>
  </r>
  <r>
    <s v="AJEET KUMAR"/>
    <d v="2026-06-27T00:00:00"/>
    <s v="SR-RTN/26-27/44452"/>
    <s v="B-304335"/>
    <s v="B-GOLD-FILING"/>
    <s v="GOLD-FILLING-WK"/>
    <x v="1"/>
    <s v="G-NA-75.00-RG"/>
    <n v="49.28"/>
    <n v="36.96"/>
    <n v="0.75"/>
    <n v="47.14"/>
    <n v="35.354999999999997"/>
    <n v="35.354999999999997"/>
    <n v="0.74999999999999989"/>
    <n v="0"/>
    <n v="0"/>
    <n v="0"/>
    <n v="0"/>
    <n v="0"/>
    <n v="0"/>
    <n v="0"/>
    <n v="0"/>
    <n v="0"/>
    <n v="2.14"/>
    <n v="1.605"/>
    <n v="0.75"/>
    <n v="-2.1400000000000006"/>
    <n v="2.1400000000000006"/>
    <x v="0"/>
    <n v="35.354999999999997"/>
    <n v="0"/>
    <n v="1"/>
  </r>
  <r>
    <s v="AJEET KUMAR"/>
    <d v="2026-06-27T00:00:00"/>
    <s v="SR-RTN/26-27/44453"/>
    <s v="B-303130"/>
    <s v="B-GOLD-FILING"/>
    <s v="GOLD-FILLING-WK"/>
    <x v="1"/>
    <s v="G-NA-75.00-YG"/>
    <n v="8.2100000000000009"/>
    <n v="6.1574999999999998"/>
    <n v="0.74999999999999989"/>
    <n v="7.65"/>
    <n v="5.7374999999999998"/>
    <n v="5.7380000000000004"/>
    <n v="0.74999999999999989"/>
    <n v="0"/>
    <n v="0"/>
    <n v="0"/>
    <n v="0"/>
    <n v="0"/>
    <n v="0"/>
    <n v="0"/>
    <n v="0"/>
    <n v="0"/>
    <n v="0.56000000000000005"/>
    <n v="0.42"/>
    <n v="0.74999999999999989"/>
    <n v="-0.5600000000000005"/>
    <n v="0.5600000000000005"/>
    <x v="0"/>
    <n v="5.7380000000000004"/>
    <n v="0"/>
    <n v="1"/>
  </r>
  <r>
    <s v="AJEET KUMAR"/>
    <d v="2026-06-27T00:00:00"/>
    <s v="SR-RTN/26-27/44455"/>
    <s v="B-302858"/>
    <s v="B-GOLD-FILING"/>
    <s v="GOLD-FILLING-WK"/>
    <x v="0"/>
    <s v="G-NA-91.70-YG"/>
    <n v="7.09"/>
    <n v="6.5015299999999998"/>
    <n v="0.91700000000000004"/>
    <n v="6.32"/>
    <n v="5.7954400000000001"/>
    <n v="5.7960000000000003"/>
    <n v="0.91700000000000004"/>
    <n v="0"/>
    <n v="0"/>
    <n v="0"/>
    <n v="0"/>
    <n v="0"/>
    <n v="0"/>
    <n v="0"/>
    <n v="0"/>
    <n v="0"/>
    <n v="0.77"/>
    <n v="0.70609"/>
    <n v="0.91699999999999993"/>
    <n v="-0.76999999999999957"/>
    <n v="0.76999999999999957"/>
    <x v="0"/>
    <n v="5.7960000000000003"/>
    <n v="0"/>
    <n v="1"/>
  </r>
  <r>
    <s v="AJEET KUMAR"/>
    <d v="2026-06-27T00:00:00"/>
    <s v="SR-RTN/26-27/44492"/>
    <s v="B-306303"/>
    <s v="B-GOLD-FILING"/>
    <s v="GOLD-FILLING-WK"/>
    <x v="0"/>
    <s v="G-NA-91.70-YG"/>
    <n v="1.034"/>
    <n v="0.94817799999999997"/>
    <n v="0.91699999999999993"/>
    <n v="0.98399999999999999"/>
    <n v="0.90232800000000002"/>
    <n v="0.90300000000000002"/>
    <n v="0.91700000000000004"/>
    <n v="0"/>
    <n v="0"/>
    <n v="0"/>
    <n v="0"/>
    <n v="0"/>
    <n v="0"/>
    <n v="0"/>
    <n v="0"/>
    <n v="0"/>
    <n v="0.05"/>
    <n v="4.5850000000000002E-2"/>
    <n v="0.91700000000000004"/>
    <n v="-5.0000000000000044E-2"/>
    <n v="5.0000000000000044E-2"/>
    <x v="0"/>
    <n v="0.90300000000000002"/>
    <n v="0"/>
    <n v="1"/>
  </r>
  <r>
    <s v="AJEET KUMAR"/>
    <d v="2026-06-27T00:00:00"/>
    <s v="SR-RTN/26-27/44494"/>
    <s v="B-303131"/>
    <s v="B-GOLD-FILING"/>
    <s v="GOLD-FILLING-WK"/>
    <x v="1"/>
    <s v="G-NA-75.00-YG"/>
    <n v="10.19"/>
    <n v="7.6425000000000001"/>
    <n v="0.75"/>
    <n v="9.92"/>
    <n v="7.44"/>
    <n v="7.44"/>
    <n v="0.75"/>
    <n v="0"/>
    <n v="0"/>
    <n v="0"/>
    <n v="0"/>
    <n v="0"/>
    <n v="0"/>
    <n v="0"/>
    <n v="0"/>
    <n v="0"/>
    <n v="0.27"/>
    <n v="0.20250000000000001"/>
    <n v="0.75"/>
    <n v="-0.26999999999999957"/>
    <n v="0.26999999999999957"/>
    <x v="0"/>
    <n v="7.44"/>
    <n v="0"/>
    <n v="1"/>
  </r>
  <r>
    <s v="AJEET KUMAR"/>
    <d v="2026-06-27T00:00:00"/>
    <s v="SR-RTN/26-27/44495"/>
    <s v="B-305245"/>
    <s v="B-GOLD-FILING"/>
    <s v="GOLD-FILLING-WK"/>
    <x v="0"/>
    <s v="G-NA-91.70-YG"/>
    <n v="31.84"/>
    <n v="29.197279999999999"/>
    <n v="0.91699999999999993"/>
    <n v="31.22"/>
    <n v="28.628740000000001"/>
    <n v="28.629000000000001"/>
    <n v="0.91700000000000004"/>
    <n v="0"/>
    <n v="0"/>
    <n v="0"/>
    <n v="0"/>
    <n v="0"/>
    <n v="0"/>
    <n v="0"/>
    <n v="0"/>
    <n v="0"/>
    <n v="0.62"/>
    <n v="0.56854000000000005"/>
    <n v="0.91700000000000004"/>
    <n v="-0.62000000000000099"/>
    <n v="0.62000000000000099"/>
    <x v="0"/>
    <n v="28.629000000000001"/>
    <n v="0"/>
    <n v="1"/>
  </r>
  <r>
    <s v="AJEET KUMAR"/>
    <d v="2026-06-27T00:00:00"/>
    <s v="SR-RTN/26-27/44498"/>
    <s v="B-302854"/>
    <s v="B-GOLD-FILING"/>
    <s v="GOLD-FILLING-WK"/>
    <x v="0"/>
    <s v="G-NA-91.70-YG"/>
    <n v="8.11"/>
    <n v="7.4368699999999999"/>
    <n v="0.91700000000000004"/>
    <n v="7.31"/>
    <n v="6.7032699999999998"/>
    <n v="6.7040000000000006"/>
    <n v="0.91700000000000004"/>
    <n v="0"/>
    <n v="0"/>
    <n v="0"/>
    <n v="0"/>
    <n v="0"/>
    <n v="0"/>
    <n v="0"/>
    <n v="0"/>
    <n v="0"/>
    <n v="0.8"/>
    <n v="0.73360000000000003"/>
    <n v="0.91700000000000004"/>
    <n v="-0.79999999999999982"/>
    <n v="0.79999999999999982"/>
    <x v="0"/>
    <n v="6.7040000000000006"/>
    <n v="0"/>
    <n v="1"/>
  </r>
  <r>
    <s v="AJEET KUMAR"/>
    <d v="2026-06-27T00:00:00"/>
    <s v="SR-RTN/26-27/44500"/>
    <s v="B-304390"/>
    <s v="B-GOLD-FILING"/>
    <s v="GOLD-FILLING-WK"/>
    <x v="1"/>
    <s v="G-NA-75.00-YG"/>
    <n v="24.9"/>
    <n v="18.675000000000001"/>
    <n v="0.75000000000000011"/>
    <n v="23.55"/>
    <n v="17.662500000000001"/>
    <n v="17.663"/>
    <n v="0.75"/>
    <n v="0"/>
    <n v="0"/>
    <n v="0"/>
    <n v="0"/>
    <n v="0"/>
    <n v="0"/>
    <n v="0"/>
    <n v="0"/>
    <n v="0"/>
    <n v="1.35"/>
    <n v="1.0125"/>
    <n v="0.74999999999999989"/>
    <n v="-1.3499999999999979"/>
    <n v="1.3499999999999979"/>
    <x v="0"/>
    <n v="17.663"/>
    <n v="0"/>
    <n v="1"/>
  </r>
  <r>
    <s v="AJEET KUMAR"/>
    <d v="2026-06-27T00:00:00"/>
    <s v="SR-RTN/26-27/44502"/>
    <s v="B-303132"/>
    <s v="B-GOLD-FILING"/>
    <s v="GOLD-FILLING-WK"/>
    <x v="1"/>
    <s v="G-NA-75.00-YG"/>
    <n v="10.34"/>
    <n v="7.7549999999999999"/>
    <n v="0.75"/>
    <n v="9.7799999999999994"/>
    <n v="7.335"/>
    <n v="7.335"/>
    <n v="0.75"/>
    <n v="0"/>
    <n v="0"/>
    <n v="0"/>
    <n v="0"/>
    <n v="0"/>
    <n v="0"/>
    <n v="0"/>
    <n v="0"/>
    <n v="0"/>
    <n v="0.56000000000000005"/>
    <n v="0.42"/>
    <n v="0.74999999999999989"/>
    <n v="-0.5600000000000005"/>
    <n v="0.5600000000000005"/>
    <x v="0"/>
    <n v="7.335"/>
    <n v="0"/>
    <n v="1"/>
  </r>
  <r>
    <s v="AJEET KUMAR"/>
    <d v="2026-06-27T00:00:00"/>
    <s v="SR-RTN/26-27/44504"/>
    <s v="B-304327"/>
    <s v="B-GOLD-FILING"/>
    <s v="GOLD-FILLING-WK"/>
    <x v="1"/>
    <s v="G-NA-75.00-YG"/>
    <n v="18.739999999999998"/>
    <n v="14.055"/>
    <n v="0.75"/>
    <n v="17.78"/>
    <n v="13.335000000000001"/>
    <n v="13.335000000000001"/>
    <n v="0.75"/>
    <n v="0"/>
    <n v="0"/>
    <n v="0"/>
    <n v="0"/>
    <n v="0"/>
    <n v="0"/>
    <n v="0"/>
    <n v="0"/>
    <n v="0"/>
    <n v="0.96"/>
    <n v="0.72"/>
    <n v="0.75"/>
    <n v="-0.9599999999999973"/>
    <n v="0.9599999999999973"/>
    <x v="0"/>
    <n v="13.335000000000001"/>
    <n v="0"/>
    <n v="1"/>
  </r>
  <r>
    <s v="AJEET KUMAR"/>
    <d v="2026-06-27T00:00:00"/>
    <s v="SR-RTN/26-27/44506"/>
    <s v="B-302857"/>
    <s v="B-GOLD-FILING"/>
    <s v="GOLD-FILLING-WK"/>
    <x v="0"/>
    <s v="G-NA-91.70-YG"/>
    <n v="8.0299999999999994"/>
    <n v="7.3635099999999998"/>
    <n v="0.91700000000000004"/>
    <n v="7.57"/>
    <n v="6.9416900000000004"/>
    <n v="6.9420000000000002"/>
    <n v="0.91700000000000004"/>
    <n v="0"/>
    <n v="0"/>
    <n v="0"/>
    <n v="0"/>
    <n v="0"/>
    <n v="0"/>
    <n v="0"/>
    <n v="0"/>
    <n v="0"/>
    <n v="0.46"/>
    <n v="0.42181999999999997"/>
    <n v="0.91699999999999993"/>
    <n v="-0.45999999999999908"/>
    <n v="0.45999999999999908"/>
    <x v="0"/>
    <n v="6.9420000000000002"/>
    <n v="0"/>
    <n v="1"/>
  </r>
  <r>
    <s v="AJEET KUMAR"/>
    <d v="2026-06-27T00:00:00"/>
    <s v="SR-RTN/26-27/44510"/>
    <s v="B-306240"/>
    <s v="B-GOLD-FILING"/>
    <s v="GOLD-FILLING-WK"/>
    <x v="0"/>
    <s v="G-NA-91.70-YG"/>
    <n v="131.83000000000001"/>
    <n v="120.88811"/>
    <n v="0.91699999999999993"/>
    <n v="130.76"/>
    <n v="119.90692"/>
    <n v="119.90700000000001"/>
    <n v="0.91700000000000004"/>
    <n v="0"/>
    <n v="0"/>
    <n v="0"/>
    <n v="0"/>
    <n v="0"/>
    <n v="0"/>
    <n v="0"/>
    <n v="0"/>
    <n v="0"/>
    <n v="1.07"/>
    <n v="0.98119000000000001"/>
    <n v="0.91699999999999993"/>
    <n v="-1.0700000000000216"/>
    <n v="1.0700000000000216"/>
    <x v="1"/>
    <n v="56.616"/>
    <n v="63.291000000000011"/>
    <n v="2"/>
  </r>
  <r>
    <s v="AJEET KUMAR"/>
    <d v="2026-06-27T00:00:00"/>
    <s v="SR-RTN/26-27/44513"/>
    <s v="B-304308"/>
    <s v="B-GOLD-FILING"/>
    <s v="GOLD-FILLING-WK"/>
    <x v="0"/>
    <s v="G-NA-91.70-YG"/>
    <n v="11.45"/>
    <n v="10.499650000000001"/>
    <n v="0.91700000000000015"/>
    <n v="10.78"/>
    <n v="9.8852600000000006"/>
    <n v="9.8859999999999992"/>
    <n v="0.91700000000000015"/>
    <n v="0"/>
    <n v="0"/>
    <n v="0"/>
    <n v="0"/>
    <n v="0"/>
    <n v="0"/>
    <n v="0"/>
    <n v="0"/>
    <n v="0"/>
    <n v="0.67"/>
    <n v="0.61438999999999999"/>
    <n v="0.91699999999999993"/>
    <n v="-0.67"/>
    <n v="0.67"/>
    <x v="0"/>
    <n v="9.8859999999999992"/>
    <n v="0"/>
    <n v="1"/>
  </r>
  <r>
    <s v="AJEET KUMAR"/>
    <d v="2026-06-27T00:00:00"/>
    <s v="SR-RTN/26-27/44549"/>
    <s v="B-303953"/>
    <s v="B-GOLD-FILING"/>
    <s v="GOLD-FILLING-WK"/>
    <x v="0"/>
    <s v="G-NA-91.70-YG"/>
    <n v="8.8000000000000007"/>
    <n v="8.0695999999999994"/>
    <n v="0.91699999999999982"/>
    <n v="8.02"/>
    <n v="7.3543399999999997"/>
    <n v="7.3550000000000004"/>
    <n v="0.91700000000000004"/>
    <n v="0"/>
    <n v="0"/>
    <n v="0"/>
    <n v="0"/>
    <n v="0"/>
    <n v="0"/>
    <n v="0"/>
    <n v="0"/>
    <n v="0"/>
    <n v="0.78"/>
    <n v="0.71526000000000001"/>
    <n v="0.91699999999999993"/>
    <n v="-0.78000000000000114"/>
    <n v="0.78000000000000114"/>
    <x v="0"/>
    <n v="7.3550000000000004"/>
    <n v="0"/>
    <n v="1"/>
  </r>
  <r>
    <s v="AJEET KUMAR"/>
    <d v="2026-06-27T00:00:00"/>
    <s v="SR-RTN/26-27/44549"/>
    <s v="B-305255"/>
    <s v="B-GOLD-FILING"/>
    <s v="GOLD-FILLING-WK"/>
    <x v="0"/>
    <s v="G-NA-91.70-YG"/>
    <n v="20.079999999999998"/>
    <n v="18.413360000000001"/>
    <n v="0.91700000000000015"/>
    <n v="19.27"/>
    <n v="17.670590000000001"/>
    <n v="17.671000000000003"/>
    <n v="0.91700000000000004"/>
    <n v="0"/>
    <n v="0"/>
    <n v="0"/>
    <n v="0"/>
    <n v="0"/>
    <n v="0"/>
    <n v="0"/>
    <n v="0"/>
    <n v="0"/>
    <n v="0.81"/>
    <n v="0.74277000000000004"/>
    <n v="0.91700000000000004"/>
    <n v="-0.80999999999999872"/>
    <n v="0.80999999999999872"/>
    <x v="0"/>
    <n v="17.671000000000003"/>
    <n v="0"/>
    <n v="1"/>
  </r>
  <r>
    <s v="AJEET KUMAR"/>
    <d v="2026-06-27T00:00:00"/>
    <s v="SR-RTN/26-27/44549"/>
    <s v="B-306300"/>
    <s v="B-GOLD-FILING"/>
    <s v="GOLD-FILLING-WK"/>
    <x v="1"/>
    <s v="G-NA-75.00-YG"/>
    <n v="0.86"/>
    <n v="0.64500000000000002"/>
    <n v="0.75"/>
    <n v="0.82"/>
    <n v="0.61499999999999999"/>
    <n v="0.61499999999999999"/>
    <n v="0.75"/>
    <n v="0"/>
    <n v="0"/>
    <n v="0"/>
    <n v="0"/>
    <n v="0"/>
    <n v="0"/>
    <n v="0"/>
    <n v="0"/>
    <n v="0"/>
    <n v="0.04"/>
    <n v="0.03"/>
    <n v="0.75"/>
    <n v="-4.0000000000000036E-2"/>
    <n v="4.0000000000000036E-2"/>
    <x v="0"/>
    <n v="0.61499999999999999"/>
    <n v="0"/>
    <n v="2"/>
  </r>
  <r>
    <s v="AJEET KUMAR"/>
    <d v="2026-06-27T00:00:00"/>
    <s v="SR-RTN/26-27/44553"/>
    <s v="B-305784"/>
    <s v="B-GOLD-FILING"/>
    <s v="GOLD-FILLING-WK"/>
    <x v="0"/>
    <s v="G-NA-91.70-YG"/>
    <n v="2.5950000000000002"/>
    <n v="2.3796149999999998"/>
    <n v="0.91699999999999982"/>
    <n v="2.4849999999999999"/>
    <n v="2.2787449999999998"/>
    <n v="2.2789999999999999"/>
    <n v="0.91699999999999993"/>
    <n v="0"/>
    <n v="0"/>
    <n v="0"/>
    <n v="0"/>
    <n v="0"/>
    <n v="0"/>
    <n v="0"/>
    <n v="0"/>
    <n v="0"/>
    <n v="0.11"/>
    <n v="0.10087"/>
    <n v="0.91700000000000004"/>
    <n v="-0.11000000000000032"/>
    <n v="0.11000000000000032"/>
    <x v="0"/>
    <n v="2.2789999999999999"/>
    <n v="0"/>
    <n v="1"/>
  </r>
  <r>
    <s v="AJEET KUMAR"/>
    <d v="2026-06-27T00:00:00"/>
    <s v="SR-RTN/26-27/44560"/>
    <s v="B-300348"/>
    <s v="B-GOLD-FILING"/>
    <s v="GOLD-FILLING-WK"/>
    <x v="1"/>
    <s v="G-NA-75.00-RG"/>
    <n v="22.56"/>
    <n v="16.920000000000002"/>
    <n v="0.75000000000000011"/>
    <n v="21.75"/>
    <n v="16.3125"/>
    <n v="16.313000000000002"/>
    <n v="0.75"/>
    <n v="0"/>
    <n v="0"/>
    <n v="0"/>
    <n v="0"/>
    <n v="0"/>
    <n v="0"/>
    <n v="0"/>
    <n v="0"/>
    <n v="0"/>
    <n v="0.81"/>
    <n v="0.60750000000000004"/>
    <n v="0.75"/>
    <n v="-0.80999999999999872"/>
    <n v="0.80999999999999872"/>
    <x v="0"/>
    <n v="16.313000000000002"/>
    <n v="0"/>
    <n v="4"/>
  </r>
  <r>
    <s v="AJEET KUMAR"/>
    <d v="2026-06-27T00:00:00"/>
    <s v="SR-RTN/26-27/44564"/>
    <s v="B-289503"/>
    <s v="B-GOLD-FILING"/>
    <s v="GOLD-FILLING-WK"/>
    <x v="1"/>
    <s v="G-NA-75.00-YG"/>
    <n v="7.56"/>
    <n v="5.67"/>
    <n v="0.75"/>
    <n v="6.87"/>
    <n v="5.1524999999999999"/>
    <n v="5.1530000000000005"/>
    <n v="0.75"/>
    <n v="0"/>
    <n v="0"/>
    <n v="0"/>
    <n v="0"/>
    <n v="0"/>
    <n v="0"/>
    <n v="0"/>
    <n v="0"/>
    <n v="0"/>
    <n v="0.69"/>
    <n v="0.51749999999999996"/>
    <n v="0.75"/>
    <n v="-0.6899999999999995"/>
    <n v="0.6899999999999995"/>
    <x v="0"/>
    <n v="5.1530000000000005"/>
    <n v="0"/>
    <n v="1"/>
  </r>
  <r>
    <s v="AJEET KUMAR"/>
    <d v="2026-06-27T00:00:00"/>
    <s v="SR-RTN/26-27/44564"/>
    <s v="B-306304"/>
    <s v="B-GOLD-FILING"/>
    <s v="GOLD-FILLING-WK"/>
    <x v="0"/>
    <s v="G-NA-91.70-YG"/>
    <n v="1.518"/>
    <n v="1.3920060000000001"/>
    <n v="0.91700000000000004"/>
    <n v="1.4279999999999999"/>
    <n v="1.3094760000000001"/>
    <n v="1.3099999999999998"/>
    <n v="0.91700000000000015"/>
    <n v="0"/>
    <n v="0"/>
    <n v="0"/>
    <n v="0"/>
    <n v="0"/>
    <n v="0"/>
    <n v="0"/>
    <n v="0"/>
    <n v="0"/>
    <n v="0.09"/>
    <n v="8.2530000000000006E-2"/>
    <n v="0.91700000000000015"/>
    <n v="-9.000000000000008E-2"/>
    <n v="9.000000000000008E-2"/>
    <x v="0"/>
    <n v="1.3099999999999998"/>
    <n v="0"/>
    <n v="1"/>
  </r>
  <r>
    <s v="AJEET KUMAR"/>
    <d v="2026-06-27T00:00:00"/>
    <s v="SR-RTN/26-27/44567"/>
    <s v="B-303138"/>
    <s v="B-GOLD-FILING"/>
    <s v="GOLD-FILLING-WK"/>
    <x v="0"/>
    <s v="G-NA-91.70-YG"/>
    <n v="17.97"/>
    <n v="16.478490000000001"/>
    <n v="0.91700000000000015"/>
    <n v="17.73"/>
    <n v="16.258410000000001"/>
    <n v="16.259"/>
    <n v="0.91700000000000004"/>
    <n v="0"/>
    <n v="0"/>
    <n v="0"/>
    <n v="0"/>
    <n v="0"/>
    <n v="0"/>
    <n v="0"/>
    <n v="0"/>
    <n v="0"/>
    <n v="0.24"/>
    <n v="0.22008"/>
    <n v="0.91700000000000004"/>
    <n v="-0.23999999999999844"/>
    <n v="0.23999999999999844"/>
    <x v="1"/>
    <n v="3.9529999999999998"/>
    <n v="12.306000000000001"/>
    <n v="3"/>
  </r>
  <r>
    <s v="AJEET KUMAR"/>
    <d v="2026-06-27T00:00:00"/>
    <s v="SR-RTN/26-27/44603"/>
    <s v="B-306239"/>
    <s v="B-GOLD-FILING"/>
    <s v="GOLD-FILLING-WK"/>
    <x v="0"/>
    <s v="G-NA-91.70-YG"/>
    <n v="152.91999999999999"/>
    <n v="140.22764000000001"/>
    <n v="0.91700000000000015"/>
    <n v="151.97"/>
    <n v="139.35649000000001"/>
    <n v="139.357"/>
    <n v="0.91700000000000004"/>
    <n v="0"/>
    <n v="0"/>
    <n v="0"/>
    <n v="0"/>
    <n v="0"/>
    <n v="0"/>
    <n v="0"/>
    <n v="0"/>
    <n v="0"/>
    <n v="0.95"/>
    <n v="0.87114999999999998"/>
    <n v="0.91700000000000004"/>
    <n v="-0.94999999999998863"/>
    <n v="0.94999999999998863"/>
    <x v="1"/>
    <n v="53.488999999999997"/>
    <n v="85.867999999999995"/>
    <n v="2"/>
  </r>
  <r>
    <s v="AJEET KUMAR"/>
    <d v="2026-06-29T00:00:00"/>
    <s v="RTN-8983739"/>
    <s v="SR-42955/1"/>
    <s v="CAST-FILLING"/>
    <s v="GOLD-FILLING-WK"/>
    <x v="1"/>
    <s v="G-NA-75.00-RG"/>
    <n v="16.13"/>
    <n v="12.0975"/>
    <n v="0.75"/>
    <n v="14.19"/>
    <n v="10.6425"/>
    <n v="10.642999999999999"/>
    <n v="0.75"/>
    <n v="0"/>
    <n v="0"/>
    <n v="0"/>
    <n v="0"/>
    <n v="0"/>
    <n v="0"/>
    <n v="0"/>
    <n v="0"/>
    <n v="0"/>
    <n v="1.94"/>
    <n v="1.4550000000000001"/>
    <n v="0.75000000000000011"/>
    <n v="-1.9399999999999995"/>
    <n v="1.9399999999999995"/>
    <x v="0"/>
    <n v="10.642999999999999"/>
    <n v="0"/>
    <n v="1"/>
  </r>
  <r>
    <s v="AJEET KUMAR"/>
    <d v="2026-06-29T00:00:00"/>
    <s v="RTN-8983745"/>
    <s v="SR-42947"/>
    <s v="CAST-FILLING"/>
    <s v="GOLD-FILLING-WK"/>
    <x v="0"/>
    <s v="G-NA-91.70-YG"/>
    <n v="154.81"/>
    <n v="141.96077"/>
    <n v="0.91699999999999993"/>
    <n v="154.68"/>
    <n v="141.84155999999999"/>
    <n v="141.84200000000001"/>
    <n v="0.91699999999999993"/>
    <n v="0"/>
    <n v="0"/>
    <n v="0"/>
    <n v="0"/>
    <n v="0"/>
    <n v="0"/>
    <n v="0"/>
    <n v="0"/>
    <n v="0"/>
    <n v="0.13"/>
    <n v="0.11921"/>
    <n v="0.91699999999999993"/>
    <n v="-0.12999999999999545"/>
    <n v="0.12999999999999545"/>
    <x v="0"/>
    <n v="141.84200000000001"/>
    <n v="0"/>
    <n v="2"/>
  </r>
  <r>
    <s v="AJEET KUMAR"/>
    <d v="2026-06-29T00:00:00"/>
    <s v="RTN-8986524"/>
    <s v="SR-42965"/>
    <s v="CAST-FILLING"/>
    <s v="GOLD-FILLING-WK"/>
    <x v="0"/>
    <s v="G-NA-91.70-YG"/>
    <n v="275.66000000000003"/>
    <n v="252.78022000000001"/>
    <n v="0.91699999999999993"/>
    <n v="258.27999999999997"/>
    <n v="236.84276"/>
    <n v="236.84300000000002"/>
    <n v="0.91700000000000004"/>
    <n v="0"/>
    <n v="0"/>
    <n v="0"/>
    <n v="0"/>
    <n v="0"/>
    <n v="0"/>
    <n v="0"/>
    <n v="0"/>
    <n v="0"/>
    <n v="17.38"/>
    <n v="15.93746"/>
    <n v="0.91700000000000004"/>
    <n v="-17.380000000000052"/>
    <n v="17.380000000000052"/>
    <x v="0"/>
    <n v="236.84300000000002"/>
    <n v="0"/>
    <n v="1"/>
  </r>
  <r>
    <s v="AJEET KUMAR"/>
    <d v="2026-06-29T00:00:00"/>
    <s v="RTN-8986532"/>
    <s v="SR-42973"/>
    <s v="CAST-FILLING"/>
    <s v="GOLD-FILLING-WK"/>
    <x v="0"/>
    <s v="G-NA-91.70-YG"/>
    <n v="216.67"/>
    <n v="198.68638999999999"/>
    <n v="0.91700000000000004"/>
    <n v="201.6"/>
    <n v="184.8672"/>
    <n v="184.86799999999999"/>
    <n v="0.91700000000000004"/>
    <n v="0"/>
    <n v="0"/>
    <n v="0"/>
    <n v="0"/>
    <n v="0"/>
    <n v="0"/>
    <n v="0"/>
    <n v="0"/>
    <n v="0"/>
    <n v="15.07"/>
    <n v="13.819190000000001"/>
    <n v="0.91700000000000004"/>
    <n v="-15.069999999999993"/>
    <n v="15.069999999999993"/>
    <x v="0"/>
    <n v="184.86799999999999"/>
    <n v="0"/>
    <n v="1"/>
  </r>
  <r>
    <s v="AJEET KUMAR"/>
    <d v="2026-06-29T00:00:00"/>
    <s v="RTN-8986536"/>
    <s v="SR-42961"/>
    <s v="CAST-FILLING"/>
    <s v="GOLD-FILLING-WK"/>
    <x v="0"/>
    <s v="G-NA-91.70-YG"/>
    <n v="67.680000000000007"/>
    <n v="62.062559999999998"/>
    <n v="0.91699999999999993"/>
    <n v="64.239999999999995"/>
    <n v="58.908079999999998"/>
    <n v="58.908999999999999"/>
    <n v="0.91700000000000004"/>
    <n v="0"/>
    <n v="0"/>
    <n v="0"/>
    <n v="0"/>
    <n v="0"/>
    <n v="0"/>
    <n v="0"/>
    <n v="0"/>
    <n v="0"/>
    <n v="3.44"/>
    <n v="3.15448"/>
    <n v="0.91700000000000004"/>
    <n v="-3.4400000000000119"/>
    <n v="3.4400000000000119"/>
    <x v="0"/>
    <n v="58.908999999999999"/>
    <n v="0"/>
    <n v="1"/>
  </r>
  <r>
    <s v="AJEET KUMAR"/>
    <d v="2026-06-29T00:00:00"/>
    <s v="RTN-8987868"/>
    <s v="SR-42926"/>
    <s v="CAST-FILLING"/>
    <s v="GOLD-FILLING-WK"/>
    <x v="1"/>
    <s v="G-NA-75.00-RG"/>
    <n v="77.28"/>
    <n v="57.96"/>
    <n v="0.75"/>
    <n v="70.06"/>
    <n v="52.545000000000002"/>
    <n v="52.545000000000002"/>
    <n v="0.75"/>
    <n v="0"/>
    <n v="0"/>
    <n v="0"/>
    <n v="0"/>
    <n v="0"/>
    <n v="0"/>
    <n v="0"/>
    <n v="0"/>
    <n v="0"/>
    <n v="7.22"/>
    <n v="5.415"/>
    <n v="0.75"/>
    <n v="-7.2199999999999989"/>
    <n v="7.2199999999999989"/>
    <x v="0"/>
    <n v="52.545000000000002"/>
    <n v="0"/>
    <n v="1"/>
  </r>
  <r>
    <s v="AJEET KUMAR"/>
    <d v="2026-06-29T00:00:00"/>
    <s v="RTN-8988843"/>
    <s v="SR-42983"/>
    <s v="CAST-FILLING"/>
    <s v="GOLD-FILLING-WK"/>
    <x v="1"/>
    <s v="G-NA-75.00-RG"/>
    <n v="74.569999999999993"/>
    <n v="55.927500000000002"/>
    <n v="0.75000000000000011"/>
    <n v="69.55"/>
    <n v="52.162500000000001"/>
    <n v="52.162999999999997"/>
    <n v="0.75"/>
    <n v="0"/>
    <n v="0"/>
    <n v="0"/>
    <n v="0"/>
    <n v="0"/>
    <n v="0"/>
    <n v="0"/>
    <n v="0"/>
    <n v="0"/>
    <n v="5.0199999999999996"/>
    <n v="3.7650000000000001"/>
    <n v="0.75000000000000011"/>
    <n v="-5.019999999999996"/>
    <n v="5.019999999999996"/>
    <x v="0"/>
    <n v="52.162999999999997"/>
    <n v="0"/>
    <n v="1"/>
  </r>
  <r>
    <s v="AJEET KUMAR"/>
    <d v="2026-06-29T00:00:00"/>
    <s v="RTN-8989830"/>
    <s v="SR-43011"/>
    <s v="CAST-FILLING"/>
    <s v="GOLD-FILLING-WK"/>
    <x v="0"/>
    <s v="G-NA-91.70-YG"/>
    <n v="180.8"/>
    <n v="165.7936"/>
    <n v="0.91699999999999993"/>
    <n v="174.22"/>
    <n v="159.75973999999999"/>
    <n v="159.76"/>
    <n v="0.91699999999999993"/>
    <n v="0"/>
    <n v="0"/>
    <n v="0"/>
    <n v="0"/>
    <n v="0"/>
    <n v="0"/>
    <n v="0"/>
    <n v="0"/>
    <n v="0"/>
    <n v="6.58"/>
    <n v="6.0338599999999998"/>
    <n v="0.91699999999999993"/>
    <n v="-6.5800000000000125"/>
    <n v="6.5800000000000125"/>
    <x v="0"/>
    <n v="159.76"/>
    <n v="0"/>
    <n v="1"/>
  </r>
  <r>
    <s v="AJEET KUMAR"/>
    <d v="2026-06-29T00:00:00"/>
    <s v="RTN-8989947"/>
    <s v="SR-43050"/>
    <s v="CAST-FILLING"/>
    <s v="GOLD-FILLING-WK"/>
    <x v="0"/>
    <s v="G-NA-91.70-YG"/>
    <n v="70.69"/>
    <n v="64.822730000000007"/>
    <n v="0.91700000000000015"/>
    <n v="69.650000000000006"/>
    <n v="63.869050000000001"/>
    <n v="63.87"/>
    <n v="0.91699999999999993"/>
    <n v="0"/>
    <n v="0"/>
    <n v="0"/>
    <n v="0"/>
    <n v="0"/>
    <n v="0"/>
    <n v="0"/>
    <n v="0"/>
    <n v="0"/>
    <n v="1.04"/>
    <n v="0.95367999999999997"/>
    <n v="0.91699999999999993"/>
    <n v="-1.039999999999992"/>
    <n v="1.039999999999992"/>
    <x v="1"/>
    <n v="61.448999999999998"/>
    <n v="2.4209999999999994"/>
    <n v="2"/>
  </r>
  <r>
    <s v="AJEET KUMAR"/>
    <d v="2026-06-29T00:00:00"/>
    <s v="RTN-8990357"/>
    <s v="SR-42925"/>
    <s v="CAST-FILLING"/>
    <s v="GOLD-FILLING-WK"/>
    <x v="1"/>
    <s v="G-NA-75.00-RG"/>
    <n v="92.48"/>
    <n v="69.36"/>
    <n v="0.75"/>
    <n v="81.64"/>
    <n v="61.23"/>
    <n v="61.23"/>
    <n v="0.75"/>
    <n v="0"/>
    <n v="0"/>
    <n v="0"/>
    <n v="0"/>
    <n v="0"/>
    <n v="0"/>
    <n v="0"/>
    <n v="0"/>
    <n v="0"/>
    <n v="10.84"/>
    <n v="8.1300000000000008"/>
    <n v="0.75000000000000011"/>
    <n v="-10.840000000000003"/>
    <n v="10.840000000000003"/>
    <x v="0"/>
    <n v="61.23"/>
    <n v="0"/>
    <n v="1"/>
  </r>
  <r>
    <s v="AJEET KUMAR"/>
    <d v="2026-06-29T00:00:00"/>
    <s v="RTN-8990842"/>
    <s v="SR-42955"/>
    <s v="CAST-FILLING"/>
    <s v="GOLD-FILLING-WK"/>
    <x v="1"/>
    <s v="G-NA-75.00-RG"/>
    <n v="95.2"/>
    <n v="71.400000000000006"/>
    <n v="0.75"/>
    <n v="84.81"/>
    <n v="63.607500000000002"/>
    <n v="63.607999999999997"/>
    <n v="0.75"/>
    <n v="0"/>
    <n v="0"/>
    <n v="0"/>
    <n v="0"/>
    <n v="0"/>
    <n v="0"/>
    <n v="0"/>
    <n v="0"/>
    <n v="0"/>
    <n v="10.39"/>
    <n v="7.7925000000000004"/>
    <n v="0.75"/>
    <n v="-10.39"/>
    <n v="10.39"/>
    <x v="0"/>
    <n v="63.607999999999997"/>
    <n v="0"/>
    <n v="1"/>
  </r>
  <r>
    <s v="AJEET KUMAR"/>
    <d v="2026-06-29T00:00:00"/>
    <s v="RTN-8991829"/>
    <s v="SR-42972"/>
    <s v="CAST-FILLING"/>
    <s v="GOLD-FILLING-WK"/>
    <x v="0"/>
    <s v="G-NA-91.70-YG"/>
    <n v="80.209999999999994"/>
    <n v="73.552570000000003"/>
    <n v="0.91700000000000015"/>
    <n v="71.3"/>
    <n v="65.382099999999994"/>
    <n v="65.38300000000001"/>
    <n v="0.91699999999999993"/>
    <n v="0"/>
    <n v="0"/>
    <n v="0"/>
    <n v="0"/>
    <n v="0"/>
    <n v="0"/>
    <n v="0"/>
    <n v="0"/>
    <n v="0"/>
    <n v="8.91"/>
    <n v="8.1704699999999999"/>
    <n v="0.91699999999999993"/>
    <n v="-8.9099999999999966"/>
    <n v="8.9099999999999966"/>
    <x v="0"/>
    <n v="65.38300000000001"/>
    <n v="0"/>
    <n v="1"/>
  </r>
  <r>
    <s v="AJEET KUMAR"/>
    <d v="2026-06-29T00:00:00"/>
    <s v="RTN-8992766"/>
    <s v="SR-42986"/>
    <s v="CAST-FILLING"/>
    <s v="GOLD-FILLING-WK"/>
    <x v="0"/>
    <s v="G-NA-91.70-YG"/>
    <n v="137.93"/>
    <n v="126.48181"/>
    <n v="0.91699999999999993"/>
    <n v="128.30000000000001"/>
    <n v="117.6511"/>
    <n v="117.652"/>
    <n v="0.91699999999999993"/>
    <n v="0"/>
    <n v="0"/>
    <n v="0"/>
    <n v="0"/>
    <n v="0"/>
    <n v="0"/>
    <n v="0"/>
    <n v="0"/>
    <n v="0"/>
    <n v="9.6300000000000008"/>
    <n v="8.8307099999999998"/>
    <n v="0.91699999999999993"/>
    <n v="-9.6299999999999955"/>
    <n v="9.6299999999999955"/>
    <x v="0"/>
    <n v="117.652"/>
    <n v="0"/>
    <n v="1"/>
  </r>
  <r>
    <s v="AJEET KUMAR"/>
    <d v="2026-06-29T00:00:00"/>
    <s v="SR-RTN/26-27/44616"/>
    <s v="B-303573"/>
    <s v="B-GOLD-FILING"/>
    <s v="GOLD-FILLING-WK"/>
    <x v="0"/>
    <s v="G-NA-91.70-YG"/>
    <n v="120"/>
    <n v="110.04"/>
    <n v="0.91700000000000004"/>
    <n v="107.32"/>
    <n v="98.412440000000004"/>
    <n v="98.413000000000011"/>
    <n v="0.91700000000000004"/>
    <n v="0"/>
    <n v="0"/>
    <n v="0"/>
    <n v="0"/>
    <n v="0"/>
    <n v="0"/>
    <n v="0"/>
    <n v="0"/>
    <n v="0"/>
    <n v="12.68"/>
    <n v="11.627560000000001"/>
    <n v="0.91700000000000004"/>
    <n v="-12.680000000000007"/>
    <n v="12.680000000000007"/>
    <x v="0"/>
    <n v="98.413000000000011"/>
    <n v="0"/>
    <n v="1"/>
  </r>
  <r>
    <s v="AJEET KUMAR"/>
    <d v="2026-06-29T00:00:00"/>
    <s v="SR-RTN/26-27/44617"/>
    <s v="B-304333"/>
    <s v="B-GOLD-FILING"/>
    <s v="GOLD-FILLING-WK"/>
    <x v="1"/>
    <s v="G-NA-75.00-RG"/>
    <n v="17.579999999999998"/>
    <n v="13.185"/>
    <n v="0.75000000000000011"/>
    <n v="16.8"/>
    <n v="12.6"/>
    <n v="12.6"/>
    <n v="0.75"/>
    <n v="0"/>
    <n v="0"/>
    <n v="0"/>
    <n v="0"/>
    <n v="0"/>
    <n v="0"/>
    <n v="0"/>
    <n v="0"/>
    <n v="0"/>
    <n v="0.78"/>
    <n v="0.58499999999999996"/>
    <n v="0.74999999999999989"/>
    <n v="-0.77999999999999758"/>
    <n v="0.77999999999999758"/>
    <x v="0"/>
    <n v="12.6"/>
    <n v="0"/>
    <n v="1"/>
  </r>
  <r>
    <s v="AJEET KUMAR"/>
    <d v="2026-06-29T00:00:00"/>
    <s v="SR-RTN/26-27/44618"/>
    <s v="B-303950"/>
    <s v="B-GOLD-FILING"/>
    <s v="GOLD-FILLING-WK"/>
    <x v="0"/>
    <s v="G-NA-91.70-YG"/>
    <n v="11.11"/>
    <n v="10.18787"/>
    <n v="0.91700000000000004"/>
    <n v="10.17"/>
    <n v="9.3258899999999993"/>
    <n v="9.3259999999999987"/>
    <n v="0.91699999999999993"/>
    <n v="0"/>
    <n v="0"/>
    <n v="0"/>
    <n v="0"/>
    <n v="0"/>
    <n v="0"/>
    <n v="0"/>
    <n v="0"/>
    <n v="0"/>
    <n v="0.94"/>
    <n v="0.86197999999999997"/>
    <n v="0.91700000000000004"/>
    <n v="-0.9399999999999995"/>
    <n v="0.9399999999999995"/>
    <x v="0"/>
    <n v="9.3259999999999987"/>
    <n v="0"/>
    <n v="1"/>
  </r>
  <r>
    <s v="AJEET KUMAR"/>
    <d v="2026-06-29T00:00:00"/>
    <s v="SR-RTN/26-27/44619"/>
    <s v="B-305244"/>
    <s v="B-GOLD-FILING"/>
    <s v="GOLD-FILLING-WK"/>
    <x v="0"/>
    <s v="G-NA-91.70-YG"/>
    <n v="37.81"/>
    <n v="34.671770000000002"/>
    <n v="0.91700000000000004"/>
    <n v="33.5"/>
    <n v="30.7195"/>
    <n v="30.720000000000002"/>
    <n v="0.91700000000000004"/>
    <n v="0"/>
    <n v="0"/>
    <n v="0"/>
    <n v="0"/>
    <n v="0"/>
    <n v="0"/>
    <n v="0"/>
    <n v="0"/>
    <n v="0"/>
    <n v="4.3099999999999996"/>
    <n v="3.9522699999999999"/>
    <n v="0.91700000000000004"/>
    <n v="-4.3100000000000023"/>
    <n v="4.3100000000000023"/>
    <x v="0"/>
    <n v="30.720000000000002"/>
    <n v="0"/>
    <n v="1"/>
  </r>
  <r>
    <s v="AJEET KUMAR"/>
    <d v="2026-06-29T00:00:00"/>
    <s v="SR-RTN/26-27/44620"/>
    <s v="B-303952"/>
    <s v="B-GOLD-FILING"/>
    <s v="GOLD-FILLING-WK"/>
    <x v="0"/>
    <s v="G-NA-91.70-YG"/>
    <n v="9.35"/>
    <n v="8.57395"/>
    <n v="0.91700000000000004"/>
    <n v="8.19"/>
    <n v="7.51023"/>
    <n v="7.5110000000000001"/>
    <n v="0.91700000000000004"/>
    <n v="0"/>
    <n v="0"/>
    <n v="0"/>
    <n v="0"/>
    <n v="0"/>
    <n v="0"/>
    <n v="0"/>
    <n v="0"/>
    <n v="0"/>
    <n v="1.1599999999999999"/>
    <n v="1.06372"/>
    <n v="0.91700000000000004"/>
    <n v="-1.1600000000000001"/>
    <n v="1.1600000000000001"/>
    <x v="0"/>
    <n v="7.5110000000000001"/>
    <n v="0"/>
    <n v="1"/>
  </r>
  <r>
    <s v="AJEET KUMAR"/>
    <d v="2026-06-29T00:00:00"/>
    <s v="SR-RTN/26-27/44651"/>
    <s v="B-305785"/>
    <s v="B-GOLD-FILING"/>
    <s v="GOLD-FILLING-WK"/>
    <x v="1"/>
    <s v="G-NA-75.00-YG"/>
    <n v="12.06"/>
    <n v="9.0449999999999999"/>
    <n v="0.75"/>
    <n v="11.01"/>
    <n v="8.2575000000000003"/>
    <n v="8.2579999999999991"/>
    <n v="0.75"/>
    <n v="0"/>
    <n v="0"/>
    <n v="0"/>
    <n v="0"/>
    <n v="0"/>
    <n v="0"/>
    <n v="0"/>
    <n v="0"/>
    <n v="0"/>
    <n v="1.05"/>
    <n v="0.78749999999999998"/>
    <n v="0.75"/>
    <n v="-1.0500000000000007"/>
    <n v="1.0500000000000007"/>
    <x v="0"/>
    <n v="8.2579999999999991"/>
    <n v="0"/>
    <n v="1"/>
  </r>
  <r>
    <s v="AJEET KUMAR"/>
    <d v="2026-06-29T00:00:00"/>
    <s v="SR-RTN/26-27/44687"/>
    <s v="B-303946"/>
    <s v="B-GOLD-FILING"/>
    <s v="GOLD-FILLING-WK"/>
    <x v="0"/>
    <s v="G-NA-91.70-YG"/>
    <n v="9.2100000000000009"/>
    <n v="8.44557"/>
    <n v="0.91699999999999993"/>
    <n v="8.5"/>
    <n v="7.7945000000000002"/>
    <n v="7.7949999999999999"/>
    <n v="0.91700000000000004"/>
    <n v="0"/>
    <n v="0"/>
    <n v="0"/>
    <n v="0"/>
    <n v="0"/>
    <n v="0"/>
    <n v="0"/>
    <n v="0"/>
    <n v="0"/>
    <n v="0.71"/>
    <n v="0.65107000000000004"/>
    <n v="0.91700000000000015"/>
    <n v="-0.71000000000000085"/>
    <n v="0.71000000000000085"/>
    <x v="0"/>
    <n v="7.7949999999999999"/>
    <n v="0"/>
    <n v="1"/>
  </r>
  <r>
    <s v="AJEET KUMAR"/>
    <d v="2026-06-29T00:00:00"/>
    <s v="SR-RTN/26-27/44687"/>
    <s v="B-305235"/>
    <s v="B-GOLD-FILING"/>
    <s v="GOLD-FILLING-WK"/>
    <x v="0"/>
    <s v="G-NA-91.70-YG"/>
    <n v="49.42"/>
    <n v="45.31814"/>
    <n v="0.91699999999999993"/>
    <n v="46.97"/>
    <n v="43.071489999999997"/>
    <n v="43.071999999999996"/>
    <n v="0.91699999999999993"/>
    <n v="0"/>
    <n v="0"/>
    <n v="0"/>
    <n v="0"/>
    <n v="0"/>
    <n v="0"/>
    <n v="0"/>
    <n v="0"/>
    <n v="0"/>
    <n v="2.4500000000000002"/>
    <n v="2.2466499999999998"/>
    <n v="0.91699999999999982"/>
    <n v="-2.4500000000000028"/>
    <n v="2.4500000000000028"/>
    <x v="0"/>
    <n v="43.071999999999996"/>
    <n v="0"/>
    <n v="1"/>
  </r>
  <r>
    <s v="AJEET KUMAR"/>
    <d v="2026-06-29T00:00:00"/>
    <s v="SR-RTN/26-27/44701"/>
    <s v="B-305343"/>
    <s v="B-GOLD-FILING"/>
    <s v="GOLD-FILLING-WK"/>
    <x v="0"/>
    <s v="G-NA-91.70-YG"/>
    <n v="74.11"/>
    <n v="67.958870000000005"/>
    <n v="0.91700000000000004"/>
    <n v="69.3"/>
    <n v="63.548099999999998"/>
    <n v="63.548999999999999"/>
    <n v="0.91700000000000004"/>
    <n v="0"/>
    <n v="0"/>
    <n v="0"/>
    <n v="0"/>
    <n v="0"/>
    <n v="0"/>
    <n v="0"/>
    <n v="0"/>
    <n v="0"/>
    <n v="4.8099999999999996"/>
    <n v="4.4107700000000003"/>
    <n v="0.91700000000000015"/>
    <n v="-4.8100000000000023"/>
    <n v="4.8100000000000023"/>
    <x v="1"/>
    <n v="62.823999999999998"/>
    <n v="0.72500000000000142"/>
    <n v="3"/>
  </r>
  <r>
    <s v="AJEET KUMAR"/>
    <d v="2026-06-29T00:00:00"/>
    <s v="SR-RTN/26-27/44704"/>
    <s v="B-305343"/>
    <s v="B-GOLD-FILING"/>
    <s v="GOLD-FILLING-WK"/>
    <x v="0"/>
    <s v="G-NA-91.70-YG"/>
    <n v="69.3"/>
    <n v="63.548099999999998"/>
    <n v="0.91700000000000004"/>
    <n v="69.3"/>
    <n v="63.548099999999998"/>
    <n v="63.548999999999999"/>
    <n v="0.91700000000000004"/>
    <n v="0"/>
    <n v="0"/>
    <n v="0"/>
    <n v="0"/>
    <n v="0"/>
    <n v="0"/>
    <n v="0"/>
    <n v="0"/>
    <n v="0"/>
    <n v="0"/>
    <n v="0"/>
    <n v="0"/>
    <n v="0"/>
    <n v="0"/>
    <x v="1"/>
    <n v="62.823999999999998"/>
    <n v="0.72500000000000142"/>
    <n v="3"/>
  </r>
  <r>
    <s v="AJEET KUMAR"/>
    <d v="2026-06-29T00:00:00"/>
    <s v="SR-RTN/26-27/44714"/>
    <s v="B-303954"/>
    <s v="B-GOLD-FILING"/>
    <s v="GOLD-FILLING-WK"/>
    <x v="0"/>
    <s v="G-NA-91.70-YG"/>
    <n v="10.34"/>
    <n v="9.4817800000000005"/>
    <n v="0.91700000000000004"/>
    <n v="9.48"/>
    <n v="8.6931600000000007"/>
    <n v="8.6939999999999991"/>
    <n v="0.91700000000000004"/>
    <n v="0"/>
    <n v="0"/>
    <n v="0"/>
    <n v="0"/>
    <n v="0"/>
    <n v="0"/>
    <n v="0"/>
    <n v="0"/>
    <n v="0"/>
    <n v="0.86"/>
    <n v="0.78861999999999999"/>
    <n v="0.91700000000000004"/>
    <n v="-0.85999999999999943"/>
    <n v="0.85999999999999943"/>
    <x v="0"/>
    <n v="8.6939999999999991"/>
    <n v="0"/>
    <n v="1"/>
  </r>
  <r>
    <s v="AJEET KUMAR"/>
    <d v="2026-06-29T00:00:00"/>
    <s v="SR-RTN/26-27/44742"/>
    <s v="B-295537"/>
    <s v="B-GOLD-FILING"/>
    <s v="GOLD-FILLING-WK"/>
    <x v="0"/>
    <s v="G-NA-91.70-YG"/>
    <n v="13.64"/>
    <n v="12.50788"/>
    <n v="0.91699999999999993"/>
    <n v="12.92"/>
    <n v="11.84764"/>
    <n v="11.847999999999999"/>
    <n v="0.91700000000000004"/>
    <n v="0"/>
    <n v="0"/>
    <n v="0"/>
    <n v="0"/>
    <n v="0"/>
    <n v="0"/>
    <n v="0"/>
    <n v="0"/>
    <n v="0"/>
    <n v="0.72"/>
    <n v="0.66024000000000005"/>
    <n v="0.91700000000000015"/>
    <n v="-0.72000000000000064"/>
    <n v="0.72000000000000064"/>
    <x v="1"/>
    <n v="8.9599999999999991"/>
    <n v="2.8879999999999999"/>
    <n v="2"/>
  </r>
  <r>
    <s v="AJEET KUMAR"/>
    <d v="2026-06-29T00:00:00"/>
    <s v="SR-RTN/26-27/44742"/>
    <s v="B-303951"/>
    <s v="B-GOLD-FILING"/>
    <s v="GOLD-FILLING-WK"/>
    <x v="0"/>
    <s v="G-NA-91.70-YG"/>
    <n v="9.48"/>
    <n v="8.6931600000000007"/>
    <n v="0.91700000000000004"/>
    <n v="8.82"/>
    <n v="8.0879399999999997"/>
    <n v="8.0879999999999992"/>
    <n v="0.91699999999999993"/>
    <n v="0"/>
    <n v="0"/>
    <n v="0"/>
    <n v="0"/>
    <n v="0"/>
    <n v="0"/>
    <n v="0"/>
    <n v="0"/>
    <n v="0"/>
    <n v="0.66"/>
    <n v="0.60521999999999998"/>
    <n v="0.91699999999999993"/>
    <n v="-0.66000000000000014"/>
    <n v="0.66000000000000014"/>
    <x v="0"/>
    <n v="8.0879999999999992"/>
    <n v="0"/>
    <n v="1"/>
  </r>
  <r>
    <s v="AJEET KUMAR"/>
    <d v="2026-06-29T00:00:00"/>
    <s v="SR-RTN/26-27/44747"/>
    <s v="B-305362"/>
    <s v="B-GOLD-FILING"/>
    <s v="GOLD-FILLING-WK"/>
    <x v="0"/>
    <s v="G-NA-91.70-YG"/>
    <n v="28.89"/>
    <n v="26.49213"/>
    <n v="0.91699999999999993"/>
    <n v="28"/>
    <n v="25.675999999999998"/>
    <n v="25.675999999999998"/>
    <n v="0.91699999999999993"/>
    <n v="0"/>
    <n v="0"/>
    <n v="0"/>
    <n v="0"/>
    <n v="0"/>
    <n v="0"/>
    <n v="0"/>
    <n v="0"/>
    <n v="0"/>
    <n v="0.89"/>
    <n v="0.81613000000000002"/>
    <n v="0.91700000000000004"/>
    <n v="-0.89000000000000057"/>
    <n v="0.89000000000000057"/>
    <x v="0"/>
    <n v="25.675999999999998"/>
    <n v="0"/>
    <n v="1"/>
  </r>
  <r>
    <s v="AJEET KUMAR"/>
    <d v="2026-06-29T00:00:00"/>
    <s v="SR-RTN/26-27/44747"/>
    <s v="B-306299"/>
    <s v="B-GOLD-FILING"/>
    <s v="GOLD-FILLING-WK"/>
    <x v="1"/>
    <s v="G-NA-75.00-RG"/>
    <n v="5.79"/>
    <n v="4.3425000000000002"/>
    <n v="0.75"/>
    <n v="5.29"/>
    <n v="3.9674999999999998"/>
    <n v="3.968"/>
    <n v="0.75"/>
    <n v="0"/>
    <n v="0"/>
    <n v="0"/>
    <n v="0"/>
    <n v="0"/>
    <n v="0"/>
    <n v="0"/>
    <n v="0"/>
    <n v="0"/>
    <n v="0.5"/>
    <n v="0.375"/>
    <n v="0.75"/>
    <n v="-0.5"/>
    <n v="0.5"/>
    <x v="0"/>
    <n v="3.968"/>
    <n v="0"/>
    <n v="1"/>
  </r>
  <r>
    <s v="AJEET KUMAR"/>
    <d v="2026-06-29T00:00:00"/>
    <s v="SR-RTN/26-27/44753"/>
    <s v="B-295538"/>
    <s v="B-GOLD-FILING"/>
    <s v="GOLD-FILLING-WK"/>
    <x v="0"/>
    <s v="G-NA-91.70-YG"/>
    <n v="18.02"/>
    <n v="16.524339999999999"/>
    <n v="0.91699999999999993"/>
    <n v="17.27"/>
    <n v="15.836589999999999"/>
    <n v="15.837"/>
    <n v="0.91699999999999993"/>
    <n v="0"/>
    <n v="0"/>
    <n v="0"/>
    <n v="0"/>
    <n v="0"/>
    <n v="0"/>
    <n v="0"/>
    <n v="0"/>
    <n v="0"/>
    <n v="0.75"/>
    <n v="0.68774999999999997"/>
    <n v="0.91699999999999993"/>
    <n v="-0.75"/>
    <n v="0.75"/>
    <x v="1"/>
    <n v="7.7120000000000006"/>
    <n v="8.125"/>
    <n v="2"/>
  </r>
  <r>
    <s v="AJEET KUMAR"/>
    <d v="2026-06-29T00:00:00"/>
    <s v="SR-RTN/26-27/44754"/>
    <s v="B-300985"/>
    <s v="B-GOLD-FILING"/>
    <s v="GOLD-FILLING-WK"/>
    <x v="0"/>
    <s v="G-NA-91.70-YG"/>
    <n v="26.31"/>
    <n v="24.126270000000002"/>
    <n v="0.91700000000000015"/>
    <n v="26.05"/>
    <n v="23.88785"/>
    <n v="23.888000000000002"/>
    <n v="0.91700000000000004"/>
    <n v="0"/>
    <n v="0"/>
    <n v="0"/>
    <n v="0"/>
    <n v="0"/>
    <n v="0"/>
    <n v="0"/>
    <n v="0"/>
    <n v="0"/>
    <n v="0.26"/>
    <n v="0.23841999999999999"/>
    <n v="0.91699999999999993"/>
    <n v="-0.25999999999999801"/>
    <n v="0.25999999999999801"/>
    <x v="1"/>
    <n v="3.8239999999999998"/>
    <n v="20.064"/>
    <n v="3"/>
  </r>
  <r>
    <s v="AJEET KUMAR"/>
    <d v="2026-06-29T00:00:00"/>
    <s v="SR-RTN/26-27/44764"/>
    <s v="B-304411"/>
    <s v="B-GOLD-FILING"/>
    <s v="GOLD-FILLING-WK"/>
    <x v="1"/>
    <s v="G-NA-75.00-RG"/>
    <n v="21.93"/>
    <n v="16.447500000000002"/>
    <n v="0.75000000000000011"/>
    <n v="20.65"/>
    <n v="15.487500000000001"/>
    <n v="15.488"/>
    <n v="0.75000000000000011"/>
    <n v="0"/>
    <n v="0"/>
    <n v="0"/>
    <n v="0"/>
    <n v="0"/>
    <n v="0"/>
    <n v="0"/>
    <n v="0"/>
    <n v="0"/>
    <n v="1.28"/>
    <n v="0.96"/>
    <n v="0.75"/>
    <n v="-1.2800000000000011"/>
    <n v="1.2800000000000011"/>
    <x v="0"/>
    <n v="15.488"/>
    <n v="0"/>
    <n v="1"/>
  </r>
  <r>
    <s v="AJEET KUMAR"/>
    <d v="2026-06-29T00:00:00"/>
    <s v="SR-RTN/26-27/44776"/>
    <s v="B-304337"/>
    <s v="B-GOLD-FILING"/>
    <s v="GOLD-FILLING-WK"/>
    <x v="0"/>
    <s v="G-NA-91.70-YG"/>
    <n v="22.86"/>
    <n v="20.962620000000001"/>
    <n v="0.91700000000000004"/>
    <n v="20.8"/>
    <n v="19.073599999999999"/>
    <n v="19.074000000000002"/>
    <n v="0.91699999999999993"/>
    <n v="0"/>
    <n v="0"/>
    <n v="0"/>
    <n v="0"/>
    <n v="0"/>
    <n v="0"/>
    <n v="0"/>
    <n v="0"/>
    <n v="0"/>
    <n v="2.06"/>
    <n v="1.8890199999999999"/>
    <n v="0.91699999999999993"/>
    <n v="-2.0599999999999987"/>
    <n v="2.0599999999999987"/>
    <x v="0"/>
    <n v="19.074000000000002"/>
    <n v="0"/>
    <n v="1"/>
  </r>
  <r>
    <s v="AJEET KUMAR"/>
    <d v="2026-06-29T00:00:00"/>
    <s v="SR-RTN/26-27/44786"/>
    <s v="B-304412"/>
    <s v="B-GOLD-FILING"/>
    <s v="GOLD-FILLING-WK"/>
    <x v="1"/>
    <s v="G-NA-75.00-YG"/>
    <n v="35.54"/>
    <n v="26.655000000000001"/>
    <n v="0.75"/>
    <n v="34.22"/>
    <n v="25.664999999999999"/>
    <n v="25.664999999999999"/>
    <n v="0.75"/>
    <n v="0"/>
    <n v="0"/>
    <n v="0"/>
    <n v="0"/>
    <n v="0"/>
    <n v="0"/>
    <n v="0"/>
    <n v="0"/>
    <n v="0"/>
    <n v="1.32"/>
    <n v="0.99"/>
    <n v="0.75"/>
    <n v="-1.3200000000000003"/>
    <n v="1.3200000000000003"/>
    <x v="0"/>
    <n v="25.664999999999999"/>
    <n v="0"/>
    <n v="2"/>
  </r>
  <r>
    <s v="AJEET KUMAR"/>
    <d v="2026-06-29T00:00:00"/>
    <s v="SR-RTN/26-27/44793"/>
    <s v="B-305787"/>
    <s v="B-GOLD-FILING"/>
    <s v="GOLD-FILLING-WK"/>
    <x v="1"/>
    <s v="G-NA-75.00-YG"/>
    <n v="30.75"/>
    <n v="23.0625"/>
    <n v="0.75"/>
    <n v="28.15"/>
    <n v="21.112500000000001"/>
    <n v="21.113"/>
    <n v="0.75000000000000011"/>
    <n v="0"/>
    <n v="0"/>
    <n v="0"/>
    <n v="0"/>
    <n v="0"/>
    <n v="0"/>
    <n v="0"/>
    <n v="0"/>
    <n v="0"/>
    <n v="2.6"/>
    <n v="1.95"/>
    <n v="0.75"/>
    <n v="-2.6000000000000014"/>
    <n v="2.6000000000000014"/>
    <x v="0"/>
    <n v="21.113"/>
    <n v="0"/>
    <n v="1"/>
  </r>
  <r>
    <s v="AJEET KUMAR"/>
    <d v="2026-06-29T00:00:00"/>
    <s v="SR-RTN/26-27/44799"/>
    <s v="B-305250"/>
    <s v="B-GOLD-FILING"/>
    <s v="GOLD-FILLING-WK"/>
    <x v="0"/>
    <s v="G-NA-91.70-YG"/>
    <n v="19.010000000000002"/>
    <n v="17.432169999999999"/>
    <n v="0.91699999999999993"/>
    <n v="16.3"/>
    <n v="14.947100000000001"/>
    <n v="14.947999999999999"/>
    <n v="0.91700000000000004"/>
    <n v="0"/>
    <n v="0"/>
    <n v="0"/>
    <n v="0"/>
    <n v="0"/>
    <n v="0"/>
    <n v="0"/>
    <n v="0"/>
    <n v="0"/>
    <n v="2.71"/>
    <n v="2.4850699999999999"/>
    <n v="0.91699999999999993"/>
    <n v="-2.7100000000000009"/>
    <n v="2.7100000000000009"/>
    <x v="1"/>
    <n v="14.873999999999999"/>
    <n v="7.3999999999999844E-2"/>
    <n v="2"/>
  </r>
  <r>
    <s v="AJEET KUMAR"/>
    <d v="2026-06-29T00:00:00"/>
    <s v="SR-RTN/26-27/44800"/>
    <s v="B-304033"/>
    <s v="B-GOLD-FILING"/>
    <s v="GOLD-FILLING-WK"/>
    <x v="0"/>
    <s v="G-NA-91.70-YG"/>
    <n v="25.6"/>
    <n v="23.475200000000001"/>
    <n v="0.91700000000000004"/>
    <n v="23.35"/>
    <n v="21.411950000000001"/>
    <n v="21.412000000000003"/>
    <n v="0.91700000000000004"/>
    <n v="0"/>
    <n v="0"/>
    <n v="0"/>
    <n v="0"/>
    <n v="0"/>
    <n v="0"/>
    <n v="0"/>
    <n v="0"/>
    <n v="0"/>
    <n v="2.25"/>
    <n v="2.06325"/>
    <n v="0.91700000000000004"/>
    <n v="-2.25"/>
    <n v="2.25"/>
    <x v="0"/>
    <n v="21.412000000000003"/>
    <n v="0"/>
    <n v="1"/>
  </r>
  <r>
    <s v="AJEET KUMAR"/>
    <d v="2026-06-29T00:00:00"/>
    <s v="SR-RTN/26-27/44813"/>
    <s v="B-304382"/>
    <s v="B-GOLD-FILING"/>
    <s v="GOLD-FILLING-WK"/>
    <x v="1"/>
    <s v="G-NA-75.00-RG"/>
    <n v="116.74"/>
    <n v="87.555000000000007"/>
    <n v="0.75000000000000011"/>
    <n v="112.35"/>
    <n v="84.262500000000003"/>
    <n v="84.263000000000005"/>
    <n v="0.75000000000000011"/>
    <n v="0"/>
    <n v="0"/>
    <n v="0"/>
    <n v="0"/>
    <n v="0"/>
    <n v="0"/>
    <n v="0"/>
    <n v="0"/>
    <n v="0"/>
    <n v="4.3899999999999997"/>
    <n v="3.2925"/>
    <n v="0.75"/>
    <n v="-4.3900000000000006"/>
    <n v="4.3900000000000006"/>
    <x v="1"/>
    <n v="79.283000000000001"/>
    <n v="4.980000000000004"/>
    <n v="2"/>
  </r>
  <r>
    <s v="AJEET KUMAR"/>
    <d v="2026-06-29T00:00:00"/>
    <s v="SR-RTN/26-27/44825"/>
    <s v="B-305172"/>
    <s v="B-GOLD-FILING"/>
    <s v="GOLD-FILLING-WK"/>
    <x v="1"/>
    <s v="G-NA-75.00-RG"/>
    <n v="27.68"/>
    <n v="20.76"/>
    <n v="0.75000000000000011"/>
    <n v="26.44"/>
    <n v="19.829999999999998"/>
    <n v="19.829999999999998"/>
    <n v="0.74999999999999989"/>
    <n v="0"/>
    <n v="0"/>
    <n v="0"/>
    <n v="0"/>
    <n v="0"/>
    <n v="0"/>
    <n v="0"/>
    <n v="0"/>
    <n v="0"/>
    <n v="1.24"/>
    <n v="0.93"/>
    <n v="0.75"/>
    <n v="-1.2399999999999984"/>
    <n v="1.2399999999999984"/>
    <x v="0"/>
    <n v="19.829999999999998"/>
    <n v="0"/>
    <n v="1"/>
  </r>
  <r>
    <s v="AJEET KUMAR"/>
    <d v="2026-06-29T00:00:00"/>
    <s v="SR-RTN/26-27/44825"/>
    <s v="B-305223"/>
    <s v="B-GOLD-FILING"/>
    <s v="GOLD-FILLING-WK"/>
    <x v="0"/>
    <s v="G-NA-91.70-YG"/>
    <n v="57.8"/>
    <n v="53.002600000000001"/>
    <n v="0.91700000000000004"/>
    <n v="54"/>
    <n v="49.518000000000001"/>
    <n v="49.518000000000001"/>
    <n v="0.91700000000000004"/>
    <n v="0"/>
    <n v="0"/>
    <n v="0"/>
    <n v="0"/>
    <n v="0"/>
    <n v="0"/>
    <n v="0"/>
    <n v="0"/>
    <n v="0"/>
    <n v="3.8"/>
    <n v="3.4845999999999999"/>
    <n v="0.91700000000000004"/>
    <n v="-3.7999999999999972"/>
    <n v="3.7999999999999972"/>
    <x v="0"/>
    <n v="49.518000000000001"/>
    <n v="0"/>
    <n v="1"/>
  </r>
  <r>
    <s v="AJEET KUMAR"/>
    <d v="2026-06-29T00:00:00"/>
    <s v="SR-RTN/26-27/44825"/>
    <s v="B-305247"/>
    <s v="B-GOLD-FILING"/>
    <s v="GOLD-FILLING-WK"/>
    <x v="0"/>
    <s v="G-NA-91.70-YG"/>
    <n v="21.05"/>
    <n v="19.302849999999999"/>
    <n v="0.91699999999999993"/>
    <n v="17.600000000000001"/>
    <n v="16.139199999999999"/>
    <n v="16.14"/>
    <n v="0.91699999999999982"/>
    <n v="0"/>
    <n v="0"/>
    <n v="0"/>
    <n v="0"/>
    <n v="0"/>
    <n v="0"/>
    <n v="0"/>
    <n v="0"/>
    <n v="0"/>
    <n v="3.45"/>
    <n v="3.1636500000000001"/>
    <n v="0.91699999999999993"/>
    <n v="-3.4499999999999993"/>
    <n v="3.4499999999999993"/>
    <x v="0"/>
    <n v="16.14"/>
    <n v="0"/>
    <n v="1"/>
  </r>
  <r>
    <s v="AJEET KUMAR"/>
    <d v="2026-06-29T00:00:00"/>
    <s v="SR-RTN/26-27/44887"/>
    <s v="B-295815"/>
    <s v="B-GOLD-FILING"/>
    <s v="GOLD-FILLING-WK"/>
    <x v="0"/>
    <s v="G-NA-91.70-YG"/>
    <n v="2.82"/>
    <n v="2.5859399999999999"/>
    <n v="0.91700000000000004"/>
    <n v="2.82"/>
    <n v="2.5859399999999999"/>
    <n v="2.5859999999999999"/>
    <n v="0.91700000000000004"/>
    <n v="0"/>
    <n v="0"/>
    <n v="0"/>
    <n v="0"/>
    <n v="0"/>
    <n v="0"/>
    <n v="0"/>
    <n v="0"/>
    <n v="0"/>
    <n v="0"/>
    <n v="0"/>
    <n v="0"/>
    <n v="0"/>
    <n v="0"/>
    <x v="0"/>
    <n v="2.5859999999999999"/>
    <n v="0"/>
    <n v="2"/>
  </r>
  <r>
    <s v="AJEET KUMAR"/>
    <d v="2026-06-29T00:00:00"/>
    <s v="SR-RTN/26-27/44897"/>
    <s v="B-305232"/>
    <s v="B-GOLD-FILING"/>
    <s v="GOLD-FILLING-WK"/>
    <x v="0"/>
    <s v="G-NA-91.70-YG"/>
    <n v="32.93"/>
    <n v="30.196809999999999"/>
    <n v="0.91700000000000004"/>
    <n v="32.93"/>
    <n v="30.196809999999999"/>
    <n v="30.197000000000003"/>
    <n v="0.91700000000000004"/>
    <n v="0"/>
    <n v="0"/>
    <n v="0"/>
    <n v="0"/>
    <n v="0"/>
    <n v="0"/>
    <n v="0"/>
    <n v="0"/>
    <n v="0"/>
    <n v="0"/>
    <n v="0"/>
    <n v="0"/>
    <n v="0"/>
    <n v="0"/>
    <x v="1"/>
    <n v="28.748000000000001"/>
    <n v="1.4490000000000016"/>
    <n v="2"/>
  </r>
  <r>
    <s v="AJEET KUMAR"/>
    <d v="2026-06-29T00:00:00"/>
    <s v="SR-RTN/26-27/44898"/>
    <s v="B-305228"/>
    <s v="B-GOLD-FILING"/>
    <s v="GOLD-FILLING-WK"/>
    <x v="0"/>
    <s v="G-NA-91.70-YG"/>
    <n v="93.23"/>
    <n v="85.491910000000004"/>
    <n v="0.91700000000000004"/>
    <n v="87.5"/>
    <n v="80.237499999999997"/>
    <n v="80.238"/>
    <n v="0.91699999999999993"/>
    <n v="0"/>
    <n v="0"/>
    <n v="0"/>
    <n v="0"/>
    <n v="0"/>
    <n v="0"/>
    <n v="0"/>
    <n v="0"/>
    <n v="0"/>
    <n v="5.73"/>
    <n v="5.25441"/>
    <n v="0.91699999999999993"/>
    <n v="-5.730000000000004"/>
    <n v="5.730000000000004"/>
    <x v="0"/>
    <n v="80.238"/>
    <n v="0"/>
    <n v="1"/>
  </r>
  <r>
    <s v="AJEET KUMAR"/>
    <d v="2026-06-29T00:00:00"/>
    <s v="SR-RTN/26-27/44899"/>
    <s v="B-295815"/>
    <s v="B-GOLD-FILING"/>
    <s v="GOLD-FILLING-WK"/>
    <x v="0"/>
    <s v="G-NA-91.70-YG"/>
    <n v="5.09"/>
    <n v="4.6675300000000002"/>
    <n v="0.91700000000000004"/>
    <n v="4.7298999999999998"/>
    <n v="4.3373182999999997"/>
    <n v="4.3380000000000001"/>
    <n v="0.91700000000000004"/>
    <n v="0"/>
    <n v="0"/>
    <n v="0"/>
    <n v="0"/>
    <n v="0"/>
    <n v="0"/>
    <n v="0"/>
    <n v="0"/>
    <n v="0"/>
    <n v="0.36009999999999998"/>
    <n v="0.3302117"/>
    <n v="0.91700000000000004"/>
    <n v="-0.36010000000000009"/>
    <n v="0.36010000000000009"/>
    <x v="1"/>
    <n v="2.5859999999999999"/>
    <n v="1.7520000000000002"/>
    <n v="2"/>
  </r>
  <r>
    <s v="AJEET KUMAR"/>
    <d v="2026-06-29T00:00:00"/>
    <s v="SR-RTN/26-27/44901"/>
    <s v="B-305343"/>
    <s v="B-GOLD-FILING"/>
    <s v="GOLD-FILLING-WK"/>
    <x v="0"/>
    <s v="G-NA-91.70-YG"/>
    <n v="68.510000000000005"/>
    <n v="62.82367"/>
    <n v="0.91699999999999993"/>
    <n v="68.510000000000005"/>
    <n v="62.82367"/>
    <n v="62.823999999999998"/>
    <n v="0.91699999999999993"/>
    <n v="0"/>
    <n v="0"/>
    <n v="0"/>
    <n v="0"/>
    <n v="0"/>
    <n v="0"/>
    <n v="0"/>
    <n v="0"/>
    <n v="0"/>
    <n v="0"/>
    <n v="0"/>
    <n v="0"/>
    <n v="0"/>
    <n v="0"/>
    <x v="0"/>
    <n v="62.823999999999998"/>
    <n v="0"/>
    <n v="3"/>
  </r>
  <r>
    <s v="AJEET KUMAR"/>
    <d v="2026-06-29T00:00:00"/>
    <s v="SR-RTN/26-27/44902"/>
    <s v="B-306300"/>
    <s v="B-GOLD-FILING"/>
    <s v="GOLD-FILLING-WK"/>
    <x v="1"/>
    <s v="G-NA-75.00-YG"/>
    <n v="1.44"/>
    <n v="1.08"/>
    <n v="0.75000000000000011"/>
    <n v="1.44"/>
    <n v="1.08"/>
    <n v="1.08"/>
    <n v="0.75000000000000011"/>
    <n v="0"/>
    <n v="0"/>
    <n v="0"/>
    <n v="0"/>
    <n v="0"/>
    <n v="0"/>
    <n v="0"/>
    <n v="0"/>
    <n v="0"/>
    <n v="0"/>
    <n v="0"/>
    <n v="0"/>
    <n v="0"/>
    <n v="0"/>
    <x v="1"/>
    <n v="0.61499999999999999"/>
    <n v="0.46500000000000008"/>
    <n v="2"/>
  </r>
  <r>
    <s v="AJEET KUMAR"/>
    <d v="2026-06-29T00:00:00"/>
    <s v="SR-RTN/26-27/44944"/>
    <s v="B-305353"/>
    <s v="B-GOLD-FILING"/>
    <s v="GOLD-FILLING-WK"/>
    <x v="0"/>
    <s v="G-NA-91.70-YG"/>
    <n v="11.52"/>
    <n v="10.563840000000001"/>
    <n v="0.91700000000000015"/>
    <n v="10.68"/>
    <n v="9.7935599999999994"/>
    <n v="9.7939999999999987"/>
    <n v="0.91699999999999993"/>
    <n v="0"/>
    <n v="0"/>
    <n v="0"/>
    <n v="0"/>
    <n v="0"/>
    <n v="0"/>
    <n v="0"/>
    <n v="0"/>
    <n v="0"/>
    <n v="0.84"/>
    <n v="0.77027999999999996"/>
    <n v="0.91700000000000004"/>
    <n v="-0.83999999999999986"/>
    <n v="0.83999999999999986"/>
    <x v="1"/>
    <n v="6.7770000000000001"/>
    <n v="3.0169999999999986"/>
    <n v="2"/>
  </r>
  <r>
    <s v="AJEET KUMAR"/>
    <d v="2026-06-29T00:00:00"/>
    <s v="SR-RTN/26-27/44991"/>
    <s v="B-305178"/>
    <s v="B-GOLD-FILING"/>
    <s v="GOLD-FILLING-WK"/>
    <x v="0"/>
    <s v="G-NA-91.70-YG"/>
    <n v="169.57"/>
    <n v="155.49569"/>
    <n v="0.91700000000000004"/>
    <n v="163.04"/>
    <n v="149.50767999999999"/>
    <n v="149.50800000000001"/>
    <n v="0.91700000000000004"/>
    <n v="0"/>
    <n v="0"/>
    <n v="0"/>
    <n v="0"/>
    <n v="0"/>
    <n v="0"/>
    <n v="0"/>
    <n v="0"/>
    <n v="0"/>
    <n v="6.53"/>
    <n v="5.9880100000000001"/>
    <n v="0.91699999999999993"/>
    <n v="-6.5300000000000011"/>
    <n v="6.5300000000000011"/>
    <x v="0"/>
    <n v="149.50800000000001"/>
    <n v="0"/>
    <n v="1"/>
  </r>
  <r>
    <s v="AJEET KUMAR"/>
    <d v="2026-06-29T00:00:00"/>
    <s v="SR-RTN/26-27/44991"/>
    <s v="B-305354"/>
    <s v="B-GOLD-FILING"/>
    <s v="GOLD-FILLING-WK"/>
    <x v="0"/>
    <s v="G-NA-91.70-YG"/>
    <n v="13.56"/>
    <n v="12.434519999999999"/>
    <n v="0.91699999999999993"/>
    <n v="12.45"/>
    <n v="11.416650000000001"/>
    <n v="11.417"/>
    <n v="0.91700000000000015"/>
    <n v="0"/>
    <n v="0"/>
    <n v="0"/>
    <n v="0"/>
    <n v="0"/>
    <n v="0"/>
    <n v="0"/>
    <n v="0"/>
    <n v="0"/>
    <n v="1.1100000000000001"/>
    <n v="1.0178700000000001"/>
    <n v="0.91699999999999993"/>
    <n v="-1.1100000000000012"/>
    <n v="1.1100000000000012"/>
    <x v="0"/>
    <n v="11.417"/>
    <n v="0"/>
    <n v="1"/>
  </r>
  <r>
    <s v="AJEET KUMAR"/>
    <d v="2026-06-29T00:00:00"/>
    <s v="SR-RTN/26-27/44991"/>
    <s v="B-305849"/>
    <s v="B-GOLD-FILING"/>
    <s v="GOLD-FILLING-WK"/>
    <x v="0"/>
    <s v="G-NA-91.70-YG"/>
    <n v="1.75"/>
    <n v="1.6047499999999999"/>
    <n v="0.91699999999999993"/>
    <n v="1.55"/>
    <n v="1.4213499999999999"/>
    <n v="1.4219999999999999"/>
    <n v="0.91699999999999993"/>
    <n v="0"/>
    <n v="0"/>
    <n v="0"/>
    <n v="0"/>
    <n v="0"/>
    <n v="0"/>
    <n v="0"/>
    <n v="0"/>
    <n v="0"/>
    <n v="0.2"/>
    <n v="0.18340000000000001"/>
    <n v="0.91700000000000004"/>
    <n v="-0.19999999999999996"/>
    <n v="0.19999999999999996"/>
    <x v="0"/>
    <n v="1.4219999999999999"/>
    <n v="0"/>
    <n v="1"/>
  </r>
  <r>
    <s v="AJEET KUMAR"/>
    <d v="2026-06-29T00:00:00"/>
    <s v="SR-RTN/26-27/44999"/>
    <s v="B-305249"/>
    <s v="B-GOLD-FILING"/>
    <s v="GOLD-FILLING-WK"/>
    <x v="0"/>
    <s v="G-NA-91.70-YG"/>
    <n v="24.33"/>
    <n v="22.31061"/>
    <n v="0.91700000000000004"/>
    <n v="21.34"/>
    <n v="19.56878"/>
    <n v="19.569000000000003"/>
    <n v="0.91700000000000004"/>
    <n v="0"/>
    <n v="0"/>
    <n v="0"/>
    <n v="0"/>
    <n v="0"/>
    <n v="0"/>
    <n v="0"/>
    <n v="0"/>
    <n v="0"/>
    <n v="2.99"/>
    <n v="2.7418300000000002"/>
    <n v="0.91700000000000004"/>
    <n v="-2.9899999999999984"/>
    <n v="2.9899999999999984"/>
    <x v="0"/>
    <n v="19.569000000000003"/>
    <n v="0"/>
    <n v="1"/>
  </r>
  <r>
    <s v="AJEET KUMAR"/>
    <d v="2026-06-29T00:00:00"/>
    <s v="SR-RTN/26-27/44999"/>
    <s v="B-305847"/>
    <s v="B-GOLD-FILING"/>
    <s v="GOLD-FILLING-WK"/>
    <x v="0"/>
    <s v="G-NA-91.70-YG"/>
    <n v="2.96"/>
    <n v="2.7143199999999998"/>
    <n v="0.91699999999999993"/>
    <n v="2.74"/>
    <n v="2.5125799999999998"/>
    <n v="2.5129999999999999"/>
    <n v="0.91699999999999982"/>
    <n v="0"/>
    <n v="0"/>
    <n v="0"/>
    <n v="0"/>
    <n v="0"/>
    <n v="0"/>
    <n v="0"/>
    <n v="0"/>
    <n v="0"/>
    <n v="0.22"/>
    <n v="0.20174"/>
    <n v="0.91700000000000004"/>
    <n v="-0.21999999999999975"/>
    <n v="0.21999999999999975"/>
    <x v="0"/>
    <n v="2.5129999999999999"/>
    <n v="0"/>
    <n v="1"/>
  </r>
  <r>
    <s v="AJEET KUMAR"/>
    <d v="2026-06-29T00:00:00"/>
    <s v="SR-RTN/26-27/45002"/>
    <s v="B-304382"/>
    <s v="B-GOLD-FILING"/>
    <s v="GOLD-FILLING-WK"/>
    <x v="1"/>
    <s v="G-NA-75.00-RG"/>
    <n v="105.71"/>
    <n v="79.282499999999999"/>
    <n v="0.75"/>
    <n v="105.71"/>
    <n v="79.282499999999999"/>
    <n v="79.283000000000001"/>
    <n v="0.75"/>
    <n v="0"/>
    <n v="0"/>
    <n v="0"/>
    <n v="0"/>
    <n v="0"/>
    <n v="0"/>
    <n v="0"/>
    <n v="0"/>
    <n v="0"/>
    <n v="0"/>
    <n v="0"/>
    <n v="0"/>
    <n v="0"/>
    <n v="0"/>
    <x v="0"/>
    <n v="79.283000000000001"/>
    <n v="0"/>
    <n v="2"/>
  </r>
  <r>
    <s v="AJEET KUMAR"/>
    <d v="2026-06-29T00:00:00"/>
    <s v="SR-RTN/26-27/45041"/>
    <s v="B-304410"/>
    <s v="B-GOLD-FILING"/>
    <s v="GOLD-FILLING-WK"/>
    <x v="1"/>
    <s v="G-NA-75.00-RG"/>
    <n v="40.83"/>
    <n v="30.622499999999999"/>
    <n v="0.75"/>
    <n v="36.5"/>
    <n v="27.375"/>
    <n v="27.375"/>
    <n v="0.75"/>
    <n v="0"/>
    <n v="0"/>
    <n v="0"/>
    <n v="0"/>
    <n v="0"/>
    <n v="0"/>
    <n v="0"/>
    <n v="0"/>
    <n v="0"/>
    <n v="4.33"/>
    <n v="3.2475000000000001"/>
    <n v="0.75"/>
    <n v="-4.3299999999999983"/>
    <n v="4.3299999999999983"/>
    <x v="0"/>
    <n v="27.375"/>
    <n v="0"/>
    <n v="1"/>
  </r>
  <r>
    <s v="AJEET KUMAR"/>
    <d v="2026-06-29T00:00:00"/>
    <s v="SR-RTN/26-27/45041"/>
    <s v="B-305181"/>
    <s v="B-GOLD-FILING"/>
    <s v="GOLD-FILLING-WK"/>
    <x v="0"/>
    <s v="G-NA-91.70-YG"/>
    <n v="110.32"/>
    <n v="101.16343999999999"/>
    <n v="0.91700000000000004"/>
    <n v="106.42"/>
    <n v="97.587140000000005"/>
    <n v="97.588000000000008"/>
    <n v="0.91700000000000004"/>
    <n v="0"/>
    <n v="0"/>
    <n v="0"/>
    <n v="0"/>
    <n v="0"/>
    <n v="0"/>
    <n v="0"/>
    <n v="0"/>
    <n v="0"/>
    <n v="3.9"/>
    <n v="3.5762999999999998"/>
    <n v="0.91699999999999993"/>
    <n v="-3.8999999999999915"/>
    <n v="3.8999999999999915"/>
    <x v="0"/>
    <n v="97.588000000000008"/>
    <n v="0"/>
    <n v="1"/>
  </r>
  <r>
    <s v="AJEET KUMAR"/>
    <d v="2026-06-29T00:00:00"/>
    <s v="SR-RTN/26-27/45041"/>
    <s v="B-305222"/>
    <s v="B-GOLD-FILING"/>
    <s v="GOLD-FILLING-WK"/>
    <x v="0"/>
    <s v="G-NA-91.70-YG"/>
    <n v="125.44"/>
    <n v="115.02848"/>
    <n v="0.91700000000000004"/>
    <n v="118.7"/>
    <n v="108.8479"/>
    <n v="108.848"/>
    <n v="0.91699999999999993"/>
    <n v="0"/>
    <n v="0"/>
    <n v="0"/>
    <n v="0"/>
    <n v="0"/>
    <n v="0"/>
    <n v="0"/>
    <n v="0"/>
    <n v="0"/>
    <n v="6.74"/>
    <n v="6.18058"/>
    <n v="0.91699999999999993"/>
    <n v="-6.7399999999999949"/>
    <n v="6.7399999999999949"/>
    <x v="0"/>
    <n v="108.848"/>
    <n v="0"/>
    <n v="1"/>
  </r>
  <r>
    <s v="AJEET KUMAR"/>
    <d v="2026-06-29T00:00:00"/>
    <s v="SR-RTN/26-27/45041"/>
    <s v="B-305250"/>
    <s v="B-GOLD-FILING"/>
    <s v="GOLD-FILLING-WK"/>
    <x v="0"/>
    <s v="G-NA-91.70-YG"/>
    <n v="16.440000000000001"/>
    <n v="15.075480000000001"/>
    <n v="0.91699999999999993"/>
    <n v="16.22"/>
    <n v="14.87374"/>
    <n v="14.873999999999999"/>
    <n v="0.91700000000000004"/>
    <n v="0"/>
    <n v="0"/>
    <n v="0"/>
    <n v="0"/>
    <n v="0"/>
    <n v="0"/>
    <n v="0"/>
    <n v="0"/>
    <n v="0"/>
    <n v="0.22"/>
    <n v="0.20174"/>
    <n v="0.91700000000000004"/>
    <n v="-0.22000000000000242"/>
    <n v="0.22000000000000242"/>
    <x v="0"/>
    <n v="14.873999999999999"/>
    <n v="0"/>
    <n v="2"/>
  </r>
  <r>
    <s v="AJEET KUMAR"/>
    <d v="2026-06-29T00:00:00"/>
    <s v="SR-RTN/26-27/45041"/>
    <s v="B-305257"/>
    <s v="B-GOLD-FILING"/>
    <s v="GOLD-FILLING-WK"/>
    <x v="0"/>
    <s v="G-NA-91.70-YG"/>
    <n v="23.98"/>
    <n v="21.989660000000001"/>
    <n v="0.91700000000000004"/>
    <n v="23.23"/>
    <n v="21.301909999999999"/>
    <n v="21.302"/>
    <n v="0.91699999999999993"/>
    <n v="0"/>
    <n v="0"/>
    <n v="0"/>
    <n v="0"/>
    <n v="0"/>
    <n v="0"/>
    <n v="0"/>
    <n v="0"/>
    <n v="0"/>
    <n v="0.75"/>
    <n v="0.68774999999999997"/>
    <n v="0.91699999999999993"/>
    <n v="-0.75"/>
    <n v="0.75"/>
    <x v="0"/>
    <n v="21.302"/>
    <n v="0"/>
    <n v="1"/>
  </r>
  <r>
    <s v="AJEET KUMAR"/>
    <d v="2026-06-29T00:00:00"/>
    <s v="SR-RTN/26-27/45045"/>
    <s v="B-305243"/>
    <s v="B-GOLD-FILING"/>
    <s v="GOLD-FILLING-WK"/>
    <x v="0"/>
    <s v="G-NA-91.70-YG"/>
    <n v="48.56"/>
    <n v="44.529519999999998"/>
    <n v="0.91699999999999993"/>
    <n v="46.59"/>
    <n v="42.723030000000001"/>
    <n v="42.723999999999997"/>
    <n v="0.91699999999999993"/>
    <n v="0"/>
    <n v="0"/>
    <n v="0"/>
    <n v="0"/>
    <n v="0"/>
    <n v="0"/>
    <n v="0"/>
    <n v="0"/>
    <n v="0"/>
    <n v="1.97"/>
    <n v="1.8064899999999999"/>
    <n v="0.91699999999999993"/>
    <n v="-1.9699999999999989"/>
    <n v="1.9699999999999989"/>
    <x v="0"/>
    <n v="42.723999999999997"/>
    <n v="0"/>
    <n v="2"/>
  </r>
  <r>
    <s v="AJEET KUMAR"/>
    <d v="2026-06-29T00:00:00"/>
    <s v="SR-RTN/26-27/45049"/>
    <s v="B-304413"/>
    <s v="B-GOLD-FILING"/>
    <s v="GOLD-FILLING-WK"/>
    <x v="1"/>
    <s v="G-NA-75.00-YG"/>
    <n v="91.66"/>
    <n v="68.745000000000005"/>
    <n v="0.75000000000000011"/>
    <n v="85.15"/>
    <n v="63.862499999999997"/>
    <n v="63.863"/>
    <n v="0.74999999999999989"/>
    <n v="0"/>
    <n v="0"/>
    <n v="0"/>
    <n v="0"/>
    <n v="0"/>
    <n v="0"/>
    <n v="0"/>
    <n v="0"/>
    <n v="0"/>
    <n v="6.51"/>
    <n v="4.8825000000000003"/>
    <n v="0.75000000000000011"/>
    <n v="-6.5099999999999909"/>
    <n v="6.5099999999999909"/>
    <x v="0"/>
    <n v="63.863"/>
    <n v="0"/>
    <n v="1"/>
  </r>
  <r>
    <s v="AJEET KUMAR"/>
    <d v="2026-06-29T00:00:00"/>
    <s v="SR-RTN/26-27/45055"/>
    <s v="B-306220"/>
    <s v="B-GOLD-FILING"/>
    <s v="GOLD-FILLING-WK"/>
    <x v="0"/>
    <s v="G-NA-91.70-YG"/>
    <n v="58.56"/>
    <n v="53.69952"/>
    <n v="0.91699999999999993"/>
    <n v="55.35"/>
    <n v="50.755949999999999"/>
    <n v="50.756"/>
    <n v="0.91699999999999993"/>
    <n v="0"/>
    <n v="0"/>
    <n v="0"/>
    <n v="0"/>
    <n v="0"/>
    <n v="0"/>
    <n v="0"/>
    <n v="0"/>
    <n v="0"/>
    <n v="3.21"/>
    <n v="2.9435699999999998"/>
    <n v="0.91699999999999993"/>
    <n v="-3.2100000000000009"/>
    <n v="3.2100000000000009"/>
    <x v="0"/>
    <n v="50.756"/>
    <n v="0"/>
    <n v="1"/>
  </r>
  <r>
    <s v="AJEET KUMAR"/>
    <d v="2026-06-29T00:00:00"/>
    <s v="SR-RTN/26-27/45075"/>
    <s v="B-305356"/>
    <s v="B-GOLD-FILING"/>
    <s v="GOLD-FILLING-WK"/>
    <x v="0"/>
    <s v="G-NA-91.70-YG"/>
    <n v="12.09"/>
    <n v="11.08653"/>
    <n v="0.91700000000000004"/>
    <n v="10.55"/>
    <n v="9.6743500000000004"/>
    <n v="9.6749999999999989"/>
    <n v="0.91699999999999993"/>
    <n v="0"/>
    <n v="0"/>
    <n v="0"/>
    <n v="0"/>
    <n v="0"/>
    <n v="0"/>
    <n v="0"/>
    <n v="0"/>
    <n v="0"/>
    <n v="1.54"/>
    <n v="1.41218"/>
    <n v="0.91699999999999993"/>
    <n v="-1.5399999999999991"/>
    <n v="1.5399999999999991"/>
    <x v="0"/>
    <n v="9.6749999999999989"/>
    <n v="0"/>
    <n v="1"/>
  </r>
  <r>
    <s v="AJEET KUMAR"/>
    <d v="2026-06-29T00:00:00"/>
    <s v="SR-RTN/26-27/45077"/>
    <s v="B-306309"/>
    <s v="B-GOLD-FILING"/>
    <s v="GOLD-FILLING-WK"/>
    <x v="1"/>
    <s v="G-NA-75.00-RG"/>
    <n v="4.915"/>
    <n v="3.6862499999999998"/>
    <n v="0.75"/>
    <n v="4.915"/>
    <n v="3.6862499999999998"/>
    <n v="3.6869999999999998"/>
    <n v="0.75"/>
    <n v="0"/>
    <n v="0"/>
    <n v="0"/>
    <n v="0"/>
    <n v="0"/>
    <n v="0"/>
    <n v="0"/>
    <n v="0"/>
    <n v="0"/>
    <n v="0"/>
    <n v="0"/>
    <n v="0"/>
    <n v="0"/>
    <n v="0"/>
    <x v="1"/>
    <n v="0.41299999999999998"/>
    <n v="3.274"/>
    <n v="2"/>
  </r>
  <r>
    <s v="AJEET KUMAR"/>
    <d v="2026-06-29T00:00:00"/>
    <s v="SR-RTN/26-27/45077"/>
    <s v="B-306309"/>
    <s v="B-GOLD-FILING"/>
    <s v="GOLD-FILLING-WK"/>
    <x v="1"/>
    <s v="G-NA-75.00-WG"/>
    <n v="0.55000000000000004"/>
    <n v="0.41249999999999998"/>
    <n v="0.74999999999999989"/>
    <n v="0.55000000000000004"/>
    <n v="0.41249999999999998"/>
    <n v="0.41299999999999998"/>
    <n v="0.74999999999999989"/>
    <n v="0"/>
    <n v="0"/>
    <n v="0"/>
    <n v="0"/>
    <n v="0"/>
    <n v="0"/>
    <n v="0"/>
    <n v="0"/>
    <n v="0"/>
    <n v="0"/>
    <n v="0"/>
    <n v="0"/>
    <n v="0"/>
    <n v="0"/>
    <x v="0"/>
    <n v="0.41299999999999998"/>
    <n v="0"/>
    <n v="2"/>
  </r>
  <r>
    <s v="AJEET KUMAR"/>
    <d v="2026-06-29T00:00:00"/>
    <s v="SR-RTN/26-27/45090"/>
    <s v="B-303948"/>
    <s v="B-GOLD-FILING"/>
    <s v="GOLD-FILLING-WK"/>
    <x v="0"/>
    <s v="G-NA-91.70-YG"/>
    <n v="9.61"/>
    <n v="8.8123699999999996"/>
    <n v="0.91700000000000004"/>
    <n v="9.15"/>
    <n v="8.3905499999999993"/>
    <n v="8.391"/>
    <n v="0.91699999999999993"/>
    <n v="0"/>
    <n v="0"/>
    <n v="0"/>
    <n v="0"/>
    <n v="0"/>
    <n v="0"/>
    <n v="0"/>
    <n v="0"/>
    <n v="0"/>
    <n v="0.46"/>
    <n v="0.42181999999999997"/>
    <n v="0.91699999999999993"/>
    <n v="-0.45999999999999908"/>
    <n v="0.45999999999999908"/>
    <x v="1"/>
    <n v="7.9050000000000002"/>
    <n v="0.48599999999999977"/>
    <n v="2"/>
  </r>
  <r>
    <s v="AJEET KUMAR"/>
    <d v="2026-06-29T00:00:00"/>
    <s v="SR-RTN/26-27/45098"/>
    <s v="B-303947"/>
    <s v="B-GOLD-FILING"/>
    <s v="GOLD-FILLING-WK"/>
    <x v="0"/>
    <s v="G-NA-91.70-YG"/>
    <n v="11.85"/>
    <n v="10.86645"/>
    <n v="0.91700000000000004"/>
    <n v="11.28"/>
    <n v="10.34376"/>
    <n v="10.343999999999999"/>
    <n v="0.91700000000000004"/>
    <n v="0"/>
    <n v="0"/>
    <n v="0"/>
    <n v="0"/>
    <n v="0"/>
    <n v="0"/>
    <n v="0"/>
    <n v="0"/>
    <n v="0"/>
    <n v="0.56999999999999995"/>
    <n v="0.52268999999999999"/>
    <n v="0.91700000000000004"/>
    <n v="-0.57000000000000028"/>
    <n v="0.57000000000000028"/>
    <x v="1"/>
    <n v="9.802999999999999"/>
    <n v="0.54100000000000037"/>
    <n v="2"/>
  </r>
  <r>
    <s v="AJEET KUMAR"/>
    <d v="2026-06-29T00:00:00"/>
    <s v="SR-RTN/26-27/45133"/>
    <s v="B-304306"/>
    <s v="B-GOLD-FILING"/>
    <s v="GOLD-FILLING-WK"/>
    <x v="0"/>
    <s v="G-NA-91.70-YG"/>
    <n v="8.11"/>
    <n v="7.4368699999999999"/>
    <n v="0.91700000000000004"/>
    <n v="7.81"/>
    <n v="7.1617699999999997"/>
    <n v="7.1619999999999999"/>
    <n v="0.91700000000000004"/>
    <n v="0"/>
    <n v="0"/>
    <n v="0"/>
    <n v="0"/>
    <n v="0"/>
    <n v="0"/>
    <n v="0"/>
    <n v="0"/>
    <n v="0"/>
    <n v="0.3"/>
    <n v="0.27510000000000001"/>
    <n v="0.91700000000000004"/>
    <n v="-0.29999999999999982"/>
    <n v="0.29999999999999982"/>
    <x v="0"/>
    <n v="7.1619999999999999"/>
    <n v="0"/>
    <n v="1"/>
  </r>
  <r>
    <s v="AJEET KUMAR"/>
    <d v="2026-06-29T00:00:00"/>
    <s v="SR-RTN/26-27/45133"/>
    <s v="B-304309"/>
    <s v="B-GOLD-FILING"/>
    <s v="GOLD-FILLING-WK"/>
    <x v="0"/>
    <s v="G-NA-91.70-YG"/>
    <n v="10.88"/>
    <n v="9.9769600000000001"/>
    <n v="0.91699999999999993"/>
    <n v="10.18"/>
    <n v="9.3350600000000004"/>
    <n v="9.3360000000000003"/>
    <n v="0.91700000000000004"/>
    <n v="0"/>
    <n v="0"/>
    <n v="0"/>
    <n v="0"/>
    <n v="0"/>
    <n v="0"/>
    <n v="0"/>
    <n v="0"/>
    <n v="0"/>
    <n v="0.7"/>
    <n v="0.64190000000000003"/>
    <n v="0.91700000000000015"/>
    <n v="-0.70000000000000107"/>
    <n v="0.70000000000000107"/>
    <x v="0"/>
    <n v="9.3360000000000003"/>
    <n v="0"/>
    <n v="1"/>
  </r>
  <r>
    <s v="AJEET KUMAR"/>
    <d v="2026-06-29T00:00:00"/>
    <s v="SR-RTN/26-27/45133"/>
    <s v="B-305182"/>
    <s v="B-GOLD-FILING"/>
    <s v="GOLD-FILLING-WK"/>
    <x v="0"/>
    <s v="G-NA-91.70-YG"/>
    <n v="93.09"/>
    <n v="85.363529999999997"/>
    <n v="0.91699999999999993"/>
    <n v="89.67"/>
    <n v="82.22739"/>
    <n v="82.228000000000009"/>
    <n v="0.91699999999999993"/>
    <n v="0"/>
    <n v="0"/>
    <n v="0"/>
    <n v="0"/>
    <n v="0"/>
    <n v="0"/>
    <n v="0"/>
    <n v="0"/>
    <n v="0"/>
    <n v="3.42"/>
    <n v="3.1361400000000001"/>
    <n v="0.91700000000000004"/>
    <n v="-3.4200000000000017"/>
    <n v="3.4200000000000017"/>
    <x v="0"/>
    <n v="82.228000000000009"/>
    <n v="0"/>
    <n v="1"/>
  </r>
  <r>
    <s v="AJEET KUMAR"/>
    <d v="2026-06-29T00:00:00"/>
    <s v="SR-RTN/26-27/45133"/>
    <s v="B-305187"/>
    <s v="B-GOLD-FILING"/>
    <s v="GOLD-FILLING-WK"/>
    <x v="0"/>
    <s v="G-NA-91.70-YG"/>
    <n v="22.68"/>
    <n v="20.797560000000001"/>
    <n v="0.91700000000000004"/>
    <n v="21.64"/>
    <n v="19.843879999999999"/>
    <n v="19.844000000000001"/>
    <n v="0.91699999999999993"/>
    <n v="0"/>
    <n v="0"/>
    <n v="0"/>
    <n v="0"/>
    <n v="0"/>
    <n v="0"/>
    <n v="0"/>
    <n v="0"/>
    <n v="0"/>
    <n v="1.04"/>
    <n v="0.95367999999999997"/>
    <n v="0.91699999999999993"/>
    <n v="-1.0399999999999991"/>
    <n v="1.0399999999999991"/>
    <x v="0"/>
    <n v="19.844000000000001"/>
    <n v="0"/>
    <n v="1"/>
  </r>
  <r>
    <s v="AJEET KUMAR"/>
    <d v="2026-06-29T00:00:00"/>
    <s v="SR-RTN/26-27/45133"/>
    <s v="B-305359"/>
    <s v="B-GOLD-FILING"/>
    <s v="GOLD-FILLING-WK"/>
    <x v="0"/>
    <s v="G-NA-91.70-YG"/>
    <n v="24.06"/>
    <n v="22.063020000000002"/>
    <n v="0.91700000000000015"/>
    <n v="22.64"/>
    <n v="20.76088"/>
    <n v="20.761000000000003"/>
    <n v="0.91700000000000004"/>
    <n v="0"/>
    <n v="0"/>
    <n v="0"/>
    <n v="0"/>
    <n v="0"/>
    <n v="0"/>
    <n v="0"/>
    <n v="0"/>
    <n v="0"/>
    <n v="1.42"/>
    <n v="1.3021400000000001"/>
    <n v="0.91700000000000015"/>
    <n v="-1.4199999999999982"/>
    <n v="1.4199999999999982"/>
    <x v="0"/>
    <n v="20.761000000000003"/>
    <n v="0"/>
    <n v="1"/>
  </r>
  <r>
    <s v="AJEET KUMAR"/>
    <d v="2026-06-29T00:00:00"/>
    <s v="SR-RTN/26-27/45133"/>
    <s v="B-305361"/>
    <s v="B-GOLD-FILING"/>
    <s v="GOLD-FILLING-WK"/>
    <x v="0"/>
    <s v="G-NA-91.70-YG"/>
    <n v="22.23"/>
    <n v="20.384910000000001"/>
    <n v="0.91700000000000004"/>
    <n v="21.08"/>
    <n v="19.330359999999999"/>
    <n v="19.331"/>
    <n v="0.91700000000000004"/>
    <n v="0"/>
    <n v="0"/>
    <n v="0"/>
    <n v="0"/>
    <n v="0"/>
    <n v="0"/>
    <n v="0"/>
    <n v="0"/>
    <n v="0"/>
    <n v="1.1499999999999999"/>
    <n v="1.0545500000000001"/>
    <n v="0.91700000000000015"/>
    <n v="-1.1500000000000021"/>
    <n v="1.1500000000000021"/>
    <x v="0"/>
    <n v="19.331"/>
    <n v="0"/>
    <n v="1"/>
  </r>
  <r>
    <s v="AJEET KUMAR"/>
    <d v="2026-06-29T00:00:00"/>
    <s v="SR-RTN/26-27/45133"/>
    <s v="B-305380"/>
    <s v="B-GOLD-FILING"/>
    <s v="GOLD-FILLING-WK"/>
    <x v="0"/>
    <s v="G-NA-91.70-YG"/>
    <n v="25.33"/>
    <n v="23.227609999999999"/>
    <n v="0.91700000000000004"/>
    <n v="24.17"/>
    <n v="22.163889999999999"/>
    <n v="22.164000000000001"/>
    <n v="0.91699999999999993"/>
    <n v="0"/>
    <n v="0"/>
    <n v="0"/>
    <n v="0"/>
    <n v="0"/>
    <n v="0"/>
    <n v="0"/>
    <n v="0"/>
    <n v="0"/>
    <n v="1.1599999999999999"/>
    <n v="1.06372"/>
    <n v="0.91700000000000004"/>
    <n v="-1.1599999999999966"/>
    <n v="1.1599999999999966"/>
    <x v="0"/>
    <n v="22.164000000000001"/>
    <n v="0"/>
    <n v="1"/>
  </r>
  <r>
    <s v="AJEET KUMAR"/>
    <d v="2026-06-29T00:00:00"/>
    <s v="SR-RTN/26-27/45134"/>
    <s v="B-303949"/>
    <s v="B-GOLD-FILING"/>
    <s v="GOLD-FILLING-WK"/>
    <x v="0"/>
    <s v="G-NA-91.70-YG"/>
    <n v="9"/>
    <n v="8.2530000000000001"/>
    <n v="0.91700000000000004"/>
    <n v="8.51"/>
    <n v="7.8036700000000003"/>
    <n v="7.8040000000000003"/>
    <n v="0.91700000000000004"/>
    <n v="0"/>
    <n v="0"/>
    <n v="0"/>
    <n v="0"/>
    <n v="0"/>
    <n v="0"/>
    <n v="0"/>
    <n v="0"/>
    <n v="0"/>
    <n v="0.49"/>
    <n v="0.44933000000000001"/>
    <n v="0.91700000000000004"/>
    <n v="-0.49000000000000021"/>
    <n v="0.49000000000000021"/>
    <x v="1"/>
    <n v="7.2910000000000004"/>
    <n v="0.5129999999999999"/>
    <n v="2"/>
  </r>
  <r>
    <s v="AJEET KUMAR"/>
    <d v="2026-06-29T00:00:00"/>
    <s v="SR-RTN/26-27/45140"/>
    <s v="B-305231"/>
    <s v="B-GOLD-FILING"/>
    <s v="GOLD-FILLING-WK"/>
    <x v="0"/>
    <s v="G-NA-91.70-YG"/>
    <n v="65.069999999999993"/>
    <n v="59.66919"/>
    <n v="0.91700000000000015"/>
    <n v="60.14"/>
    <n v="55.148380000000003"/>
    <n v="55.149000000000001"/>
    <n v="0.91700000000000004"/>
    <n v="0"/>
    <n v="0"/>
    <n v="0"/>
    <n v="0"/>
    <n v="0"/>
    <n v="0"/>
    <n v="0"/>
    <n v="0"/>
    <n v="0"/>
    <n v="4.93"/>
    <n v="4.52081"/>
    <n v="0.91700000000000004"/>
    <n v="-4.9299999999999926"/>
    <n v="4.9299999999999926"/>
    <x v="0"/>
    <n v="55.149000000000001"/>
    <n v="0"/>
    <n v="1"/>
  </r>
  <r>
    <s v="AJEET KUMAR"/>
    <d v="2026-06-29T00:00:00"/>
    <s v="SR-RTN/26-27/45143"/>
    <s v="B-305177"/>
    <s v="B-GOLD-FILING"/>
    <s v="GOLD-FILLING-WK"/>
    <x v="0"/>
    <s v="G-NA-91.70-YG"/>
    <n v="106.08"/>
    <n v="97.275360000000006"/>
    <n v="0.91700000000000004"/>
    <n v="100.72"/>
    <n v="92.360240000000005"/>
    <n v="92.361000000000004"/>
    <n v="0.91700000000000004"/>
    <n v="0"/>
    <n v="0"/>
    <n v="0"/>
    <n v="0"/>
    <n v="0"/>
    <n v="0"/>
    <n v="0"/>
    <n v="0"/>
    <n v="0"/>
    <n v="5.36"/>
    <n v="4.9151199999999999"/>
    <n v="0.91699999999999993"/>
    <n v="-5.36"/>
    <n v="5.36"/>
    <x v="0"/>
    <n v="92.361000000000004"/>
    <n v="0"/>
    <n v="1"/>
  </r>
  <r>
    <s v="AJEET KUMAR"/>
    <d v="2026-06-29T00:00:00"/>
    <s v="SR-RTN/26-27/45143"/>
    <s v="B-305357"/>
    <s v="B-GOLD-FILING"/>
    <s v="GOLD-FILLING-WK"/>
    <x v="0"/>
    <s v="G-NA-91.70-YG"/>
    <n v="10.35"/>
    <n v="9.4909499999999998"/>
    <n v="0.91700000000000004"/>
    <n v="9.3800000000000008"/>
    <n v="8.6014599999999994"/>
    <n v="8.6020000000000003"/>
    <n v="0.91699999999999982"/>
    <n v="0"/>
    <n v="0"/>
    <n v="0"/>
    <n v="0"/>
    <n v="0"/>
    <n v="0"/>
    <n v="0"/>
    <n v="0"/>
    <n v="0"/>
    <n v="0.97"/>
    <n v="0.88949"/>
    <n v="0.91700000000000004"/>
    <n v="-0.96999999999999886"/>
    <n v="0.96999999999999886"/>
    <x v="0"/>
    <n v="8.6020000000000003"/>
    <n v="0"/>
    <n v="1"/>
  </r>
  <r>
    <s v="AJEET KUMAR"/>
    <d v="2026-06-29T00:00:00"/>
    <s v="SR-RTN/26-27/45177"/>
    <s v="B-305225"/>
    <s v="B-GOLD-FILING"/>
    <s v="GOLD-FILLING-WK"/>
    <x v="0"/>
    <s v="G-NA-91.70-YG"/>
    <n v="67.040000000000006"/>
    <n v="61.475679999999997"/>
    <n v="0.91699999999999982"/>
    <n v="63.6"/>
    <n v="58.321199999999997"/>
    <n v="58.321999999999996"/>
    <n v="0.91699999999999993"/>
    <n v="0"/>
    <n v="0"/>
    <n v="0"/>
    <n v="0"/>
    <n v="0"/>
    <n v="0"/>
    <n v="0"/>
    <n v="0"/>
    <n v="0"/>
    <n v="3.44"/>
    <n v="3.15448"/>
    <n v="0.91700000000000004"/>
    <n v="-3.4400000000000048"/>
    <n v="3.4400000000000048"/>
    <x v="0"/>
    <n v="58.321999999999996"/>
    <n v="0"/>
    <n v="1"/>
  </r>
  <r>
    <s v="AJEET KUMAR"/>
    <d v="2026-06-29T00:00:00"/>
    <s v="SR-RTN/26-27/45180"/>
    <s v="B-305364"/>
    <s v="B-GOLD-FILING"/>
    <s v="GOLD-FILLING-WK"/>
    <x v="0"/>
    <s v="G-NA-91.70-YG"/>
    <n v="25.07"/>
    <n v="22.989190000000001"/>
    <n v="0.91700000000000004"/>
    <n v="24.25"/>
    <n v="22.23725"/>
    <n v="22.238"/>
    <n v="0.91699999999999993"/>
    <n v="0"/>
    <n v="0"/>
    <n v="0"/>
    <n v="0"/>
    <n v="0"/>
    <n v="0"/>
    <n v="0"/>
    <n v="0"/>
    <n v="0"/>
    <n v="0.82"/>
    <n v="0.75194000000000005"/>
    <n v="0.91700000000000015"/>
    <n v="-0.82000000000000028"/>
    <n v="0.82000000000000028"/>
    <x v="0"/>
    <n v="22.238"/>
    <n v="0"/>
    <n v="1"/>
  </r>
  <r>
    <s v="AJEET KUMAR"/>
    <d v="2026-06-29T00:00:00"/>
    <s v="SR-RTN/26-27/45181"/>
    <s v="B-305189"/>
    <s v="B-GOLD-FILING"/>
    <s v="GOLD-FILLING-WK"/>
    <x v="0"/>
    <s v="G-NA-91.70-YG"/>
    <n v="15.03"/>
    <n v="13.78251"/>
    <n v="0.91700000000000004"/>
    <n v="14.21"/>
    <n v="13.030570000000001"/>
    <n v="13.030999999999999"/>
    <n v="0.91700000000000004"/>
    <n v="0"/>
    <n v="0"/>
    <n v="0"/>
    <n v="0"/>
    <n v="0"/>
    <n v="0"/>
    <n v="0"/>
    <n v="0"/>
    <n v="0"/>
    <n v="0.82"/>
    <n v="0.75194000000000005"/>
    <n v="0.91700000000000015"/>
    <n v="-0.81999999999999851"/>
    <n v="0.81999999999999851"/>
    <x v="0"/>
    <n v="13.030999999999999"/>
    <n v="0"/>
    <n v="1"/>
  </r>
  <r>
    <s v="AJEET KUMAR"/>
    <d v="2026-06-29T00:00:00"/>
    <s v="SR-RTN/26-27/45189"/>
    <s v="B-305232"/>
    <s v="B-GOLD-FILING"/>
    <s v="GOLD-FILLING-WK"/>
    <x v="0"/>
    <s v="G-NA-91.70-YG"/>
    <n v="32.92"/>
    <n v="30.187639999999998"/>
    <n v="0.91699999999999993"/>
    <n v="31.35"/>
    <n v="28.747949999999999"/>
    <n v="28.748000000000001"/>
    <n v="0.91699999999999993"/>
    <n v="0"/>
    <n v="0"/>
    <n v="0"/>
    <n v="0"/>
    <n v="0"/>
    <n v="0"/>
    <n v="0"/>
    <n v="0"/>
    <n v="0"/>
    <n v="1.57"/>
    <n v="1.4396899999999999"/>
    <n v="0.91699999999999993"/>
    <n v="-1.5700000000000003"/>
    <n v="1.5700000000000003"/>
    <x v="0"/>
    <n v="28.748000000000001"/>
    <n v="0"/>
    <n v="2"/>
  </r>
  <r>
    <s v="AJEET KUMAR"/>
    <d v="2026-06-30T00:00:00"/>
    <s v="RTN-8994194"/>
    <s v="SR-43010"/>
    <s v="CAST-FILLING"/>
    <s v="GOLD-FILLING-WK"/>
    <x v="0"/>
    <s v="G-NA-91.70-YG"/>
    <n v="173.04"/>
    <n v="158.67768000000001"/>
    <n v="0.91700000000000015"/>
    <n v="157.69"/>
    <n v="144.60173"/>
    <n v="144.602"/>
    <n v="0.91700000000000004"/>
    <n v="0"/>
    <n v="0"/>
    <n v="0"/>
    <n v="0"/>
    <n v="0"/>
    <n v="0"/>
    <n v="0"/>
    <n v="0"/>
    <n v="0"/>
    <n v="15.35"/>
    <n v="14.075950000000001"/>
    <n v="0.91700000000000004"/>
    <n v="-15.349999999999994"/>
    <n v="15.349999999999994"/>
    <x v="0"/>
    <n v="144.602"/>
    <n v="0"/>
    <n v="1"/>
  </r>
  <r>
    <s v="AJEET KUMAR"/>
    <d v="2026-06-30T00:00:00"/>
    <s v="RTN-8997104"/>
    <s v="SR-43066"/>
    <s v="CAST-FILLING"/>
    <s v="GOLD-FILLING-WK"/>
    <x v="0"/>
    <s v="G-NA-91.70-YG"/>
    <n v="108.55"/>
    <n v="99.540350000000004"/>
    <n v="0.91700000000000004"/>
    <n v="108.55"/>
    <n v="99.540350000000004"/>
    <n v="99.541000000000011"/>
    <n v="0.91700000000000004"/>
    <n v="0"/>
    <n v="0"/>
    <n v="0"/>
    <n v="0"/>
    <n v="0"/>
    <n v="0"/>
    <n v="0"/>
    <n v="0"/>
    <n v="0"/>
    <n v="0"/>
    <n v="0"/>
    <n v="0"/>
    <n v="0"/>
    <n v="0"/>
    <x v="0"/>
    <n v="99.541000000000011"/>
    <n v="0"/>
    <n v="1"/>
  </r>
  <r>
    <s v="AJEET KUMAR"/>
    <d v="2026-06-30T00:00:00"/>
    <s v="RTN-8997136"/>
    <s v="SR-43050"/>
    <s v="CAST-FILLING"/>
    <s v="GOLD-FILLING-WK"/>
    <x v="0"/>
    <s v="G-NA-91.70-YG"/>
    <n v="69.67"/>
    <n v="63.887390000000003"/>
    <n v="0.91700000000000004"/>
    <n v="67.010000000000005"/>
    <n v="61.448169999999998"/>
    <n v="61.448999999999998"/>
    <n v="0.91699999999999993"/>
    <n v="0"/>
    <n v="0"/>
    <n v="0"/>
    <n v="0"/>
    <n v="0"/>
    <n v="0"/>
    <n v="0"/>
    <n v="0"/>
    <n v="0"/>
    <n v="2.66"/>
    <n v="2.4392200000000002"/>
    <n v="0.91700000000000004"/>
    <n v="-2.6599999999999966"/>
    <n v="2.6599999999999966"/>
    <x v="0"/>
    <n v="61.448999999999998"/>
    <n v="0"/>
    <n v="2"/>
  </r>
  <r>
    <s v="AJEET KUMAR"/>
    <d v="2026-06-30T00:00:00"/>
    <s v="RTN-8997147"/>
    <s v="SR-43049"/>
    <s v="CAST-FILLING"/>
    <s v="GOLD-FILLING-WK"/>
    <x v="0"/>
    <s v="G-NA-91.70-YG"/>
    <n v="63.26"/>
    <n v="58.009419999999999"/>
    <n v="0.91700000000000004"/>
    <n v="59.82"/>
    <n v="54.854939999999999"/>
    <n v="54.854999999999997"/>
    <n v="0.91699999999999993"/>
    <n v="0"/>
    <n v="0"/>
    <n v="0"/>
    <n v="0"/>
    <n v="0"/>
    <n v="0"/>
    <n v="0"/>
    <n v="0"/>
    <n v="0"/>
    <n v="3.44"/>
    <n v="3.15448"/>
    <n v="0.91700000000000004"/>
    <n v="-3.4399999999999977"/>
    <n v="3.4399999999999977"/>
    <x v="0"/>
    <n v="54.854999999999997"/>
    <n v="0"/>
    <n v="1"/>
  </r>
  <r>
    <s v="AJEET KUMAR"/>
    <d v="2026-06-30T00:00:00"/>
    <s v="SR-ROA/26-27/1325"/>
    <s v="NONE"/>
    <s v="CAST-FILLING"/>
    <s v="GOLD-FILLING-WK"/>
    <x v="0"/>
    <s v="G-NA-91.70-YG"/>
    <n v="9.01"/>
    <n v="8.2621699999999993"/>
    <n v="0.91699999999999993"/>
    <n v="0"/>
    <n v="0"/>
    <n v="0"/>
    <n v="0"/>
    <n v="0"/>
    <n v="0"/>
    <n v="0"/>
    <n v="0"/>
    <n v="0"/>
    <n v="0"/>
    <n v="0"/>
    <n v="0"/>
    <n v="0"/>
    <n v="9.01"/>
    <n v="8.2621699999999993"/>
    <n v="0.91699999999999993"/>
    <n v="-9.01"/>
    <n v="9.01"/>
    <x v="1"/>
    <n v="0"/>
    <n v="0"/>
    <n v="67"/>
  </r>
  <r>
    <s v="AJEET KUMAR"/>
    <d v="2026-06-30T00:00:00"/>
    <s v="SR-ROA/26-27/1329"/>
    <s v="NONE"/>
    <s v="CAST-FILLING"/>
    <s v="GOLD-FILLING-WK"/>
    <x v="1"/>
    <s v="G-NA-75.00-RG"/>
    <n v="1.1000000000000001"/>
    <n v="0.82499999999999996"/>
    <n v="0.74999999999999989"/>
    <n v="1.1000000000000001"/>
    <n v="0.82499999999999996"/>
    <n v="0.82499999999999996"/>
    <n v="0.74999999999999989"/>
    <n v="0"/>
    <n v="0"/>
    <n v="0"/>
    <n v="0"/>
    <n v="0"/>
    <n v="0"/>
    <n v="0"/>
    <n v="0"/>
    <n v="0"/>
    <n v="0"/>
    <n v="0"/>
    <n v="0"/>
    <n v="0"/>
    <n v="0"/>
    <x v="1"/>
    <n v="0"/>
    <n v="0.82499999999999996"/>
    <n v="67"/>
  </r>
  <r>
    <s v="AJEET KUMAR"/>
    <d v="2026-06-30T00:00:00"/>
    <s v="SR-ROA/26-27/1329"/>
    <s v="NONE"/>
    <s v="CAST-FILLING"/>
    <s v="GOLD-FILLING-WK"/>
    <x v="1"/>
    <s v="G-NA-75.00-YG"/>
    <n v="12.67"/>
    <n v="9.5024999999999995"/>
    <n v="0.75"/>
    <n v="11.8"/>
    <n v="8.85"/>
    <n v="8.85"/>
    <n v="0.74999999999999989"/>
    <n v="0"/>
    <n v="0"/>
    <n v="0"/>
    <n v="0"/>
    <n v="0"/>
    <n v="0"/>
    <n v="0"/>
    <n v="0"/>
    <n v="0"/>
    <n v="0.87"/>
    <n v="0.65249999999999997"/>
    <n v="0.75"/>
    <n v="-0.86999999999999922"/>
    <n v="0.86999999999999922"/>
    <x v="1"/>
    <n v="0"/>
    <n v="8.85"/>
    <n v="67"/>
  </r>
  <r>
    <s v="AJEET KUMAR"/>
    <d v="2026-06-30T00:00:00"/>
    <s v="SR-RTN/26-27/45217"/>
    <s v="B-306438"/>
    <s v="B-GOLD-FILING"/>
    <s v="GOLD-FILLING-WK"/>
    <x v="0"/>
    <s v="G-NA-91.70-YG"/>
    <n v="116.42"/>
    <n v="106.75714000000001"/>
    <n v="0.91700000000000004"/>
    <n v="110.72"/>
    <n v="101.53024000000001"/>
    <n v="101.53100000000001"/>
    <n v="0.91700000000000004"/>
    <n v="0"/>
    <n v="0"/>
    <n v="0"/>
    <n v="0"/>
    <n v="0"/>
    <n v="0"/>
    <n v="0"/>
    <n v="0"/>
    <n v="0"/>
    <n v="5.7"/>
    <n v="5.2268999999999997"/>
    <n v="0.91699999999999993"/>
    <n v="-5.7000000000000028"/>
    <n v="5.7000000000000028"/>
    <x v="0"/>
    <n v="101.53100000000001"/>
    <n v="0"/>
    <n v="1"/>
  </r>
  <r>
    <s v="AJEET KUMAR"/>
    <d v="2026-06-30T00:00:00"/>
    <s v="SR-RTN/26-27/45218"/>
    <s v="B-305860"/>
    <s v="B-GOLD-FILING"/>
    <s v="GOLD-FILLING-WK"/>
    <x v="0"/>
    <s v="G-NA-91.70-YG"/>
    <n v="21.45"/>
    <n v="19.669650000000001"/>
    <n v="0.91700000000000004"/>
    <n v="19.559999999999999"/>
    <n v="17.936520000000002"/>
    <n v="17.937000000000001"/>
    <n v="0.91700000000000015"/>
    <n v="0"/>
    <n v="0"/>
    <n v="0"/>
    <n v="0"/>
    <n v="0"/>
    <n v="0"/>
    <n v="0"/>
    <n v="0"/>
    <n v="0"/>
    <n v="1.89"/>
    <n v="1.7331300000000001"/>
    <n v="0.91700000000000004"/>
    <n v="-1.8900000000000006"/>
    <n v="1.8900000000000006"/>
    <x v="0"/>
    <n v="17.937000000000001"/>
    <n v="0"/>
    <n v="1"/>
  </r>
  <r>
    <s v="AJEET KUMAR"/>
    <d v="2026-06-30T00:00:00"/>
    <s v="SR-RTN/26-27/45219"/>
    <s v="B-306307"/>
    <s v="B-GOLD-FILING"/>
    <s v="GOLD-FILLING-WK"/>
    <x v="1"/>
    <s v="G-NA-75.00-YG"/>
    <n v="21.63"/>
    <n v="16.2225"/>
    <n v="0.75"/>
    <n v="20.22"/>
    <n v="15.164999999999999"/>
    <n v="15.164999999999999"/>
    <n v="0.75"/>
    <n v="0"/>
    <n v="0"/>
    <n v="0"/>
    <n v="0"/>
    <n v="0"/>
    <n v="0"/>
    <n v="0"/>
    <n v="0"/>
    <n v="0"/>
    <n v="1.41"/>
    <n v="1.0575000000000001"/>
    <n v="0.75000000000000011"/>
    <n v="-1.41"/>
    <n v="1.41"/>
    <x v="0"/>
    <n v="15.164999999999999"/>
    <n v="0"/>
    <n v="1"/>
  </r>
  <r>
    <s v="AJEET KUMAR"/>
    <d v="2026-06-30T00:00:00"/>
    <s v="SR-RTN/26-27/45220"/>
    <s v="B-305368"/>
    <s v="B-GOLD-FILING"/>
    <s v="GOLD-FILLING-WK"/>
    <x v="0"/>
    <s v="G-NA-91.70-YG"/>
    <n v="24.19"/>
    <n v="22.182230000000001"/>
    <n v="0.91699999999999993"/>
    <n v="22.9"/>
    <n v="20.999300000000002"/>
    <n v="21"/>
    <n v="0.91700000000000015"/>
    <n v="0"/>
    <n v="0"/>
    <n v="0"/>
    <n v="0"/>
    <n v="0"/>
    <n v="0"/>
    <n v="0"/>
    <n v="0"/>
    <n v="0"/>
    <n v="1.29"/>
    <n v="1.18293"/>
    <n v="0.91700000000000004"/>
    <n v="-1.2900000000000027"/>
    <n v="1.2900000000000027"/>
    <x v="0"/>
    <n v="21"/>
    <n v="0"/>
    <n v="1"/>
  </r>
  <r>
    <s v="AJEET KUMAR"/>
    <d v="2026-06-30T00:00:00"/>
    <s v="SR-RTN/26-27/45222"/>
    <s v="B-305382"/>
    <s v="B-GOLD-FILING"/>
    <s v="GOLD-FILLING-WK"/>
    <x v="0"/>
    <s v="G-NA-91.70-YG"/>
    <n v="31.28"/>
    <n v="28.683759999999999"/>
    <n v="0.91699999999999993"/>
    <n v="29.21"/>
    <n v="26.78557"/>
    <n v="26.786000000000001"/>
    <n v="0.91699999999999993"/>
    <n v="0"/>
    <n v="0"/>
    <n v="0"/>
    <n v="0"/>
    <n v="0"/>
    <n v="0"/>
    <n v="0"/>
    <n v="0"/>
    <n v="0"/>
    <n v="2.0699999999999998"/>
    <n v="1.89819"/>
    <n v="0.91700000000000004"/>
    <n v="-2.0700000000000003"/>
    <n v="2.0700000000000003"/>
    <x v="0"/>
    <n v="26.786000000000001"/>
    <n v="0"/>
    <n v="1"/>
  </r>
  <r>
    <s v="AJEET KUMAR"/>
    <d v="2026-06-30T00:00:00"/>
    <s v="SR-RTN/26-27/45223"/>
    <s v="B-303947"/>
    <s v="B-GOLD-FILING"/>
    <s v="GOLD-FILLING-WK"/>
    <x v="0"/>
    <s v="G-NA-91.70-YG"/>
    <n v="10.69"/>
    <n v="9.8027300000000004"/>
    <n v="0.91700000000000004"/>
    <n v="10.69"/>
    <n v="9.8027300000000004"/>
    <n v="9.802999999999999"/>
    <n v="0.91700000000000004"/>
    <n v="0"/>
    <n v="0"/>
    <n v="0"/>
    <n v="0"/>
    <n v="0"/>
    <n v="0"/>
    <n v="0"/>
    <n v="0"/>
    <n v="0"/>
    <n v="0"/>
    <n v="0"/>
    <n v="0"/>
    <n v="0"/>
    <n v="0"/>
    <x v="0"/>
    <n v="9.802999999999999"/>
    <n v="0"/>
    <n v="2"/>
  </r>
  <r>
    <s v="AJEET KUMAR"/>
    <d v="2026-06-30T00:00:00"/>
    <s v="SR-RTN/26-27/45224"/>
    <s v="B-303948"/>
    <s v="B-GOLD-FILING"/>
    <s v="GOLD-FILLING-WK"/>
    <x v="0"/>
    <s v="G-NA-91.70-YG"/>
    <n v="8.6199999999999992"/>
    <n v="7.9045399999999999"/>
    <n v="0.91700000000000004"/>
    <n v="8.6199999999999992"/>
    <n v="7.9045399999999999"/>
    <n v="7.9050000000000002"/>
    <n v="0.91700000000000004"/>
    <n v="0"/>
    <n v="0"/>
    <n v="0"/>
    <n v="0"/>
    <n v="0"/>
    <n v="0"/>
    <n v="0"/>
    <n v="0"/>
    <n v="0"/>
    <n v="0"/>
    <n v="0"/>
    <n v="0"/>
    <n v="0"/>
    <n v="0"/>
    <x v="0"/>
    <n v="7.9050000000000002"/>
    <n v="0"/>
    <n v="2"/>
  </r>
  <r>
    <s v="AJEET KUMAR"/>
    <d v="2026-06-30T00:00:00"/>
    <s v="SR-RTN/26-27/45225"/>
    <s v="B-306003"/>
    <s v="B-GOLD-FILING"/>
    <s v="GOLD-FILLING-WK"/>
    <x v="0"/>
    <s v="G-NA-91.70-YG"/>
    <n v="6.03"/>
    <n v="5.5295100000000001"/>
    <n v="0.91700000000000004"/>
    <n v="5.77"/>
    <n v="5.2910899999999996"/>
    <n v="5.2920000000000007"/>
    <n v="0.91700000000000004"/>
    <n v="0"/>
    <n v="0"/>
    <n v="0"/>
    <n v="0"/>
    <n v="0"/>
    <n v="0"/>
    <n v="0"/>
    <n v="0"/>
    <n v="0"/>
    <n v="0.26"/>
    <n v="0.23841999999999999"/>
    <n v="0.91699999999999993"/>
    <n v="-0.26000000000000068"/>
    <n v="0.26000000000000068"/>
    <x v="0"/>
    <n v="5.2920000000000007"/>
    <n v="0"/>
    <n v="1"/>
  </r>
  <r>
    <s v="AJEET KUMAR"/>
    <d v="2026-06-30T00:00:00"/>
    <s v="SR-RTN/26-27/45238"/>
    <s v="B-305175"/>
    <s v="B-GOLD-FILING"/>
    <s v="GOLD-FILLING-WK"/>
    <x v="0"/>
    <s v="G-NA-91.70-YG"/>
    <n v="69.459999999999994"/>
    <n v="63.69482"/>
    <n v="0.91700000000000004"/>
    <n v="65.67"/>
    <n v="60.219389999999997"/>
    <n v="60.22"/>
    <n v="0.91699999999999993"/>
    <n v="0"/>
    <n v="0"/>
    <n v="0"/>
    <n v="0"/>
    <n v="0"/>
    <n v="0"/>
    <n v="0"/>
    <n v="0"/>
    <n v="0"/>
    <n v="3.79"/>
    <n v="3.4754299999999998"/>
    <n v="0.91699999999999993"/>
    <n v="-3.789999999999992"/>
    <n v="3.789999999999992"/>
    <x v="0"/>
    <n v="60.22"/>
    <n v="0"/>
    <n v="1"/>
  </r>
  <r>
    <s v="AJEET KUMAR"/>
    <d v="2026-06-30T00:00:00"/>
    <s v="SR-RTN/26-27/45274"/>
    <s v="B-306310"/>
    <s v="B-GOLD-FILING"/>
    <s v="GOLD-FILLING-WK"/>
    <x v="1"/>
    <s v="G-NA-75.00-RG"/>
    <n v="22.84"/>
    <n v="17.13"/>
    <n v="0.75"/>
    <n v="19.940000000000001"/>
    <n v="14.955"/>
    <n v="14.955"/>
    <n v="0.75"/>
    <n v="0"/>
    <n v="0"/>
    <n v="0"/>
    <n v="0"/>
    <n v="0"/>
    <n v="0"/>
    <n v="0"/>
    <n v="0"/>
    <n v="0"/>
    <n v="2.9"/>
    <n v="2.1749999999999998"/>
    <n v="0.75"/>
    <n v="-2.8999999999999986"/>
    <n v="2.8999999999999986"/>
    <x v="0"/>
    <n v="14.955"/>
    <n v="0"/>
    <n v="1"/>
  </r>
  <r>
    <s v="AJEET KUMAR"/>
    <d v="2026-06-30T00:00:00"/>
    <s v="SR-RTN/26-27/45280"/>
    <s v="B-306305"/>
    <s v="B-GOLD-FILING"/>
    <s v="GOLD-FILLING-WK"/>
    <x v="0"/>
    <s v="G-NA-91.70-YG"/>
    <n v="7.1879999999999997"/>
    <n v="6.5913959999999996"/>
    <n v="0.91699999999999993"/>
    <n v="6.9980000000000002"/>
    <n v="6.4171659999999999"/>
    <n v="6.4180000000000001"/>
    <n v="0.91699999999999993"/>
    <n v="0"/>
    <n v="0"/>
    <n v="0"/>
    <n v="0"/>
    <n v="0"/>
    <n v="0"/>
    <n v="0"/>
    <n v="0"/>
    <n v="0"/>
    <n v="0.19"/>
    <n v="0.17423"/>
    <n v="0.91699999999999993"/>
    <n v="-0.1899999999999995"/>
    <n v="0.1899999999999995"/>
    <x v="0"/>
    <n v="6.4180000000000001"/>
    <n v="0"/>
    <n v="1"/>
  </r>
  <r>
    <s v="AJEET KUMAR"/>
    <d v="2026-06-30T00:00:00"/>
    <s v="SR-RTN/26-27/45320"/>
    <s v="B-306315"/>
    <s v="B-GOLD-FILING"/>
    <s v="GOLD-FILLING-WK"/>
    <x v="1"/>
    <s v="G-NA-75.00-RG"/>
    <n v="31.17"/>
    <n v="23.377500000000001"/>
    <n v="0.75"/>
    <n v="29.6"/>
    <n v="22.2"/>
    <n v="22.2"/>
    <n v="0.74999999999999989"/>
    <n v="0"/>
    <n v="0"/>
    <n v="0"/>
    <n v="0"/>
    <n v="0"/>
    <n v="0"/>
    <n v="0"/>
    <n v="0"/>
    <n v="0"/>
    <n v="1.57"/>
    <n v="1.1775"/>
    <n v="0.75"/>
    <n v="-1.5700000000000003"/>
    <n v="1.5700000000000003"/>
    <x v="0"/>
    <n v="22.2"/>
    <n v="0"/>
    <n v="1"/>
  </r>
  <r>
    <s v="AJEET KUMAR"/>
    <d v="2026-06-30T00:00:00"/>
    <s v="SR-RTN/26-27/45322"/>
    <s v="B-306276"/>
    <s v="B-GOLD-FILING"/>
    <s v="GOLD-FILLING-WK"/>
    <x v="0"/>
    <s v="G-NA-91.70-YG"/>
    <n v="17.64"/>
    <n v="16.175879999999999"/>
    <n v="0.91699999999999993"/>
    <n v="16.190000000000001"/>
    <n v="14.84623"/>
    <n v="14.847"/>
    <n v="0.91699999999999993"/>
    <n v="0"/>
    <n v="0"/>
    <n v="0"/>
    <n v="0"/>
    <n v="0"/>
    <n v="0"/>
    <n v="0"/>
    <n v="0"/>
    <n v="0"/>
    <n v="1.45"/>
    <n v="1.32965"/>
    <n v="0.91700000000000004"/>
    <n v="-1.4499999999999993"/>
    <n v="1.4499999999999993"/>
    <x v="0"/>
    <n v="14.847"/>
    <n v="0"/>
    <n v="1"/>
  </r>
  <r>
    <s v="AJEET KUMAR"/>
    <d v="2026-06-30T00:00:00"/>
    <s v="SR-RTN/26-27/45373"/>
    <s v="B-305176"/>
    <s v="B-GOLD-FILING"/>
    <s v="GOLD-FILLING-WK"/>
    <x v="0"/>
    <s v="G-NA-91.70-YG"/>
    <n v="69.739999999999995"/>
    <n v="63.95158"/>
    <n v="0.91700000000000004"/>
    <n v="65.63"/>
    <n v="60.18271"/>
    <n v="60.183"/>
    <n v="0.91700000000000004"/>
    <n v="0"/>
    <n v="0"/>
    <n v="0"/>
    <n v="0"/>
    <n v="0"/>
    <n v="0"/>
    <n v="0"/>
    <n v="0"/>
    <n v="0"/>
    <n v="4.1100000000000003"/>
    <n v="3.7688700000000002"/>
    <n v="0.91699999999999993"/>
    <n v="-4.1099999999999994"/>
    <n v="4.1099999999999994"/>
    <x v="0"/>
    <n v="60.183"/>
    <n v="0"/>
    <n v="1"/>
  </r>
  <r>
    <s v="AJEET KUMAR"/>
    <d v="2026-06-30T00:00:00"/>
    <s v="SR-RTN/26-27/45376"/>
    <s v="B-303949"/>
    <s v="B-GOLD-FILING"/>
    <s v="GOLD-FILLING-WK"/>
    <x v="0"/>
    <s v="G-NA-91.70-YG"/>
    <n v="7.95"/>
    <n v="7.2901499999999997"/>
    <n v="0.91699999999999993"/>
    <n v="7.95"/>
    <n v="7.2901499999999997"/>
    <n v="7.2910000000000004"/>
    <n v="0.91699999999999993"/>
    <n v="0"/>
    <n v="0"/>
    <n v="0"/>
    <n v="0"/>
    <n v="0"/>
    <n v="0"/>
    <n v="0"/>
    <n v="0"/>
    <n v="0"/>
    <n v="0"/>
    <n v="0"/>
    <n v="0"/>
    <n v="0"/>
    <n v="0"/>
    <x v="0"/>
    <n v="7.2910000000000004"/>
    <n v="0"/>
    <n v="2"/>
  </r>
  <r>
    <s v="AJEET KUMAR"/>
    <d v="2026-06-30T00:00:00"/>
    <s v="SR-RTN/26-27/45376"/>
    <s v="B-305329"/>
    <s v="B-GOLD-FILING"/>
    <s v="GOLD-FILLING-WK"/>
    <x v="1"/>
    <s v="G-NA-75.00-YG"/>
    <n v="62.96"/>
    <n v="47.22"/>
    <n v="0.75"/>
    <n v="62.96"/>
    <n v="47.22"/>
    <n v="47.22"/>
    <n v="0.75"/>
    <n v="0"/>
    <n v="0"/>
    <n v="0"/>
    <n v="0"/>
    <n v="0"/>
    <n v="0"/>
    <n v="0"/>
    <n v="0"/>
    <n v="0"/>
    <n v="0"/>
    <n v="0"/>
    <n v="0"/>
    <n v="0"/>
    <n v="0"/>
    <x v="0"/>
    <n v="47.22"/>
    <n v="0"/>
    <n v="1"/>
  </r>
  <r>
    <s v="AJEET KUMAR"/>
    <d v="2026-06-30T00:00:00"/>
    <s v="SR-RTN/26-27/45376"/>
    <s v="B-306317"/>
    <s v="B-GOLD-FILING"/>
    <s v="GOLD-FILLING-WK"/>
    <x v="1"/>
    <s v="G-NA-75.00-RG"/>
    <n v="21.33"/>
    <n v="15.9975"/>
    <n v="0.75000000000000011"/>
    <n v="21.33"/>
    <n v="15.9975"/>
    <n v="15.997999999999999"/>
    <n v="0.75000000000000011"/>
    <n v="0"/>
    <n v="0"/>
    <n v="0"/>
    <n v="0"/>
    <n v="0"/>
    <n v="0"/>
    <n v="0"/>
    <n v="0"/>
    <n v="0"/>
    <n v="0"/>
    <n v="0"/>
    <n v="0"/>
    <n v="0"/>
    <n v="0"/>
    <x v="0"/>
    <n v="15.997999999999999"/>
    <n v="0"/>
    <n v="1"/>
  </r>
  <r>
    <s v="AJEET KUMAR"/>
    <d v="2026-06-30T00:00:00"/>
    <s v="SR-RTN/26-27/45380"/>
    <s v="B-304348"/>
    <s v="B-GOLD-FILING"/>
    <s v="GOLD-FILLING-WK"/>
    <x v="1"/>
    <s v="G-NA-75.00-YG"/>
    <n v="29.69"/>
    <n v="22.267499999999998"/>
    <n v="0.74999999999999989"/>
    <n v="28.03"/>
    <n v="21.022500000000001"/>
    <n v="21.023"/>
    <n v="0.75"/>
    <n v="0"/>
    <n v="0"/>
    <n v="0"/>
    <n v="0"/>
    <n v="0"/>
    <n v="0"/>
    <n v="0"/>
    <n v="0"/>
    <n v="0"/>
    <n v="1.66"/>
    <n v="1.2450000000000001"/>
    <n v="0.75000000000000011"/>
    <n v="-1.66"/>
    <n v="1.66"/>
    <x v="0"/>
    <n v="21.023"/>
    <n v="0"/>
    <n v="1"/>
  </r>
  <r>
    <s v="AJEET KUMAR"/>
    <d v="2026-06-30T00:00:00"/>
    <s v="SR-RTN/26-27/45380"/>
    <s v="B-305253"/>
    <s v="B-GOLD-FILING"/>
    <s v="GOLD-FILLING-WK"/>
    <x v="0"/>
    <s v="G-NA-91.70-YG"/>
    <n v="21.550999999999998"/>
    <n v="19.762267000000001"/>
    <n v="0.91700000000000015"/>
    <n v="21.541"/>
    <n v="19.753097"/>
    <n v="19.754000000000001"/>
    <n v="0.91700000000000004"/>
    <n v="0"/>
    <n v="0"/>
    <n v="0"/>
    <n v="0"/>
    <n v="0"/>
    <n v="0"/>
    <n v="0"/>
    <n v="0"/>
    <n v="0"/>
    <n v="0.01"/>
    <n v="9.1699999999999993E-3"/>
    <n v="0.91699999999999993"/>
    <n v="-9.9999999999980105E-3"/>
    <n v="9.9999999999980105E-3"/>
    <x v="0"/>
    <n v="19.754000000000001"/>
    <n v="0"/>
    <n v="1"/>
  </r>
  <r>
    <s v="AJEET KUMAR"/>
    <d v="2026-06-30T00:00:00"/>
    <s v="SR-RTN/26-27/45380"/>
    <s v="B-306312"/>
    <s v="B-GOLD-FILING"/>
    <s v="GOLD-FILLING-WK"/>
    <x v="1"/>
    <s v="G-NA-75.00-RG"/>
    <n v="15.26"/>
    <n v="11.445"/>
    <n v="0.75"/>
    <n v="15.26"/>
    <n v="11.445"/>
    <n v="11.445"/>
    <n v="0.75"/>
    <n v="0"/>
    <n v="0"/>
    <n v="0"/>
    <n v="0"/>
    <n v="0"/>
    <n v="0"/>
    <n v="0"/>
    <n v="0"/>
    <n v="0"/>
    <n v="0"/>
    <n v="0"/>
    <n v="0"/>
    <n v="0"/>
    <n v="0"/>
    <x v="0"/>
    <n v="11.445"/>
    <n v="0"/>
    <n v="1"/>
  </r>
  <r>
    <s v="AJEET KUMAR"/>
    <d v="2026-06-30T00:00:00"/>
    <s v="SR-RTN/26-27/45380"/>
    <s v="B-306313"/>
    <s v="B-GOLD-FILING"/>
    <s v="GOLD-FILLING-WK"/>
    <x v="1"/>
    <s v="G-NA-75.00-RG"/>
    <n v="21.37"/>
    <n v="16.0275"/>
    <n v="0.75"/>
    <n v="21.37"/>
    <n v="16.0275"/>
    <n v="16.028000000000002"/>
    <n v="0.75"/>
    <n v="0"/>
    <n v="0"/>
    <n v="0"/>
    <n v="0"/>
    <n v="0"/>
    <n v="0"/>
    <n v="0"/>
    <n v="0"/>
    <n v="0"/>
    <n v="0"/>
    <n v="0"/>
    <n v="0"/>
    <n v="0"/>
    <n v="0"/>
    <x v="0"/>
    <n v="16.028000000000002"/>
    <n v="0"/>
    <n v="1"/>
  </r>
  <r>
    <s v="AJEET KUMAR"/>
    <d v="2026-06-30T00:00:00"/>
    <s v="SR-RTN/26-27/45380"/>
    <s v="B-306314"/>
    <s v="B-GOLD-FILING"/>
    <s v="GOLD-FILLING-WK"/>
    <x v="1"/>
    <s v="G-NA-75.00-RG"/>
    <n v="15.23"/>
    <n v="11.422499999999999"/>
    <n v="0.74999999999999989"/>
    <n v="15.23"/>
    <n v="11.422499999999999"/>
    <n v="11.423"/>
    <n v="0.74999999999999989"/>
    <n v="0"/>
    <n v="0"/>
    <n v="0"/>
    <n v="0"/>
    <n v="0"/>
    <n v="0"/>
    <n v="0"/>
    <n v="0"/>
    <n v="0"/>
    <n v="0"/>
    <n v="0"/>
    <n v="0"/>
    <n v="0"/>
    <n v="0"/>
    <x v="0"/>
    <n v="11.423"/>
    <n v="0"/>
    <n v="1"/>
  </r>
  <r>
    <s v="AJEET KUMAR"/>
    <d v="2026-06-30T00:00:00"/>
    <s v="SR-RTN/26-27/45394"/>
    <s v="B-305180"/>
    <s v="B-GOLD-FILING"/>
    <s v="GOLD-FILLING-WK"/>
    <x v="0"/>
    <s v="G-NA-91.70-YG"/>
    <n v="102.27"/>
    <n v="93.781589999999994"/>
    <n v="0.91699999999999993"/>
    <n v="96.79"/>
    <n v="88.756429999999995"/>
    <n v="88.757000000000005"/>
    <n v="0.91699999999999993"/>
    <n v="0"/>
    <n v="0"/>
    <n v="0"/>
    <n v="0"/>
    <n v="0"/>
    <n v="0"/>
    <n v="0"/>
    <n v="0"/>
    <n v="0"/>
    <n v="5.48"/>
    <n v="5.0251599999999996"/>
    <n v="0.91699999999999982"/>
    <n v="-5.4799999999999898"/>
    <n v="5.4799999999999898"/>
    <x v="0"/>
    <n v="88.757000000000005"/>
    <n v="0"/>
    <n v="1"/>
  </r>
  <r>
    <s v="AJEET KUMAR"/>
    <d v="2026-06-30T00:00:00"/>
    <s v="SR-RTN/26-27/45395"/>
    <s v="B-305355"/>
    <s v="B-GOLD-FILING"/>
    <s v="GOLD-FILLING-WK"/>
    <x v="0"/>
    <s v="G-NA-91.70-YG"/>
    <n v="8.99"/>
    <n v="8.2438300000000009"/>
    <n v="0.91700000000000004"/>
    <n v="8.2899999999999991"/>
    <n v="7.6019300000000003"/>
    <n v="7.6020000000000003"/>
    <n v="0.91700000000000015"/>
    <n v="0"/>
    <n v="0"/>
    <n v="0"/>
    <n v="0"/>
    <n v="0"/>
    <n v="0"/>
    <n v="0"/>
    <n v="0"/>
    <n v="0"/>
    <n v="0.7"/>
    <n v="0.64190000000000003"/>
    <n v="0.91700000000000015"/>
    <n v="-0.70000000000000107"/>
    <n v="0.70000000000000107"/>
    <x v="0"/>
    <n v="7.6020000000000003"/>
    <n v="0"/>
    <n v="1"/>
  </r>
  <r>
    <s v="AJEET KUMAR"/>
    <d v="2026-06-30T00:00:00"/>
    <s v="SR-RTN/26-27/45428"/>
    <s v="B-306306"/>
    <s v="B-GOLD-FILING"/>
    <s v="GOLD-FILLING-WK"/>
    <x v="1"/>
    <s v="G-NA-75.00-YG"/>
    <n v="20.55"/>
    <n v="15.4125"/>
    <n v="0.75"/>
    <n v="19.350000000000001"/>
    <n v="14.512499999999999"/>
    <n v="14.513"/>
    <n v="0.74999999999999989"/>
    <n v="0"/>
    <n v="0"/>
    <n v="0"/>
    <n v="0"/>
    <n v="0"/>
    <n v="0"/>
    <n v="0"/>
    <n v="0"/>
    <n v="0"/>
    <n v="1.2"/>
    <n v="0.9"/>
    <n v="0.75"/>
    <n v="-1.1999999999999993"/>
    <n v="1.1999999999999993"/>
    <x v="0"/>
    <n v="14.513"/>
    <n v="0"/>
    <n v="1"/>
  </r>
  <r>
    <s v="AJEET KUMAR"/>
    <d v="2026-06-30T00:00:00"/>
    <s v="SR-RTN/26-27/45476"/>
    <s v="B-305346"/>
    <s v="B-GOLD-FILING"/>
    <s v="GOLD-FILLING-WK"/>
    <x v="0"/>
    <s v="G-NA-91.70-YG"/>
    <n v="25.16"/>
    <n v="23.071719999999999"/>
    <n v="0.91699999999999993"/>
    <n v="23.17"/>
    <n v="21.24689"/>
    <n v="21.247"/>
    <n v="0.91699999999999993"/>
    <n v="0"/>
    <n v="0"/>
    <n v="0"/>
    <n v="0"/>
    <n v="0"/>
    <n v="0"/>
    <n v="0"/>
    <n v="0"/>
    <n v="0"/>
    <n v="1.99"/>
    <n v="1.82483"/>
    <n v="0.91699999999999993"/>
    <n v="-1.9899999999999984"/>
    <n v="1.9899999999999984"/>
    <x v="0"/>
    <n v="21.247"/>
    <n v="0"/>
    <n v="1"/>
  </r>
  <r>
    <s v="AJEET KUMAR"/>
    <d v="2026-06-30T00:00:00"/>
    <s v="SR-W/O-RTN/26-27/3300"/>
    <s v="NONE"/>
    <s v="B-GOLD-FILING"/>
    <s v="GOLD-FILLING-WK"/>
    <x v="0"/>
    <s v="G-NA-91.70-YG"/>
    <n v="13.53"/>
    <n v="12.40701"/>
    <n v="0.91700000000000004"/>
    <n v="12.31"/>
    <n v="11.288270000000001"/>
    <n v="11.289"/>
    <n v="0.91700000000000004"/>
    <n v="0"/>
    <n v="0"/>
    <n v="0"/>
    <n v="0"/>
    <n v="0"/>
    <n v="0"/>
    <n v="0"/>
    <n v="0"/>
    <n v="0"/>
    <n v="1.22"/>
    <n v="1.1187400000000001"/>
    <n v="0.91700000000000004"/>
    <n v="-1.2199999999999989"/>
    <n v="1.2199999999999989"/>
    <x v="1"/>
    <n v="0"/>
    <n v="11.289"/>
    <n v="67"/>
  </r>
  <r>
    <s v="SURESH DEWASI"/>
    <d v="2026-06-06T00:00:00"/>
    <s v="SR-RTN/26-27/33429"/>
    <s v="B-291059/1"/>
    <s v="B-GOLD-FILING"/>
    <s v="REP-GOLD-FILLING-WK"/>
    <x v="0"/>
    <s v="G-NA-91.70-YG"/>
    <n v="125.59"/>
    <n v="115.16603000000001"/>
    <n v="0.91700000000000004"/>
    <n v="125.48"/>
    <n v="115.06516000000001"/>
    <n v="115.066"/>
    <n v="0.91700000000000004"/>
    <n v="0"/>
    <n v="0"/>
    <n v="0"/>
    <n v="0"/>
    <n v="0"/>
    <n v="0"/>
    <n v="0"/>
    <n v="0"/>
    <n v="0"/>
    <n v="0.11"/>
    <n v="0.10087"/>
    <n v="0.91700000000000004"/>
    <n v="-0.10999999999999943"/>
    <n v="0.10999999999999943"/>
    <x v="2"/>
    <n v="115.066"/>
    <n v="0"/>
    <n v="1"/>
  </r>
  <r>
    <s v="SURESH DEWASI"/>
    <d v="2026-06-12T00:00:00"/>
    <s v="SR-RTN/26-27/36560"/>
    <s v="PLAIN-WIRE-NA-18KT-YG-0.25 MM(8.08)/1"/>
    <s v="B-GOLD-FILING"/>
    <s v="GOLD-FILLING-WK"/>
    <x v="1"/>
    <s v="G-NA-75.00-YG"/>
    <n v="8.08"/>
    <n v="6.06"/>
    <n v="0.75"/>
    <n v="8.08"/>
    <n v="6.06"/>
    <n v="6.06"/>
    <n v="0.75"/>
    <n v="0"/>
    <n v="0"/>
    <n v="0"/>
    <n v="0"/>
    <n v="0"/>
    <n v="0"/>
    <n v="0"/>
    <n v="0"/>
    <n v="0"/>
    <n v="0"/>
    <n v="0"/>
    <n v="0"/>
    <n v="0"/>
    <n v="0"/>
    <x v="0"/>
    <n v="6.06"/>
    <n v="0"/>
    <n v="1"/>
  </r>
  <r>
    <s v="SURESH DEWASI"/>
    <d v="2026-06-12T00:00:00"/>
    <s v="SR-RTN/26-27/36561"/>
    <s v="3MM-FIU-0.10GM-18KT-YG-0.30 MM(.73)/1"/>
    <s v="B-GOLD-FILING"/>
    <s v="GOLD-FILLING-WK"/>
    <x v="1"/>
    <s v="G-NA-75.00-YG"/>
    <n v="0.73"/>
    <n v="0.54749999999999999"/>
    <n v="0.75"/>
    <n v="0.73"/>
    <n v="0.54749999999999999"/>
    <n v="0.54800000000000004"/>
    <n v="0.75"/>
    <n v="0"/>
    <n v="0"/>
    <n v="0"/>
    <n v="0"/>
    <n v="0"/>
    <n v="0"/>
    <n v="0"/>
    <n v="0"/>
    <n v="0"/>
    <n v="0"/>
    <n v="0"/>
    <n v="0"/>
    <n v="0"/>
    <n v="0"/>
    <x v="0"/>
    <n v="0.54800000000000004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8E98D-205D-4AAF-9D4C-D5F5B9F8D59F}" name="PivotTable3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N14" firstHeaderRow="1" firstDataRow="2" firstDataCol="2"/>
  <pivotFields count="33">
    <pivotField compact="0" outline="0" showAll="0" includeNewItemsInFilter="1"/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m="1" x="2"/>
        <item x="0"/>
        <item x="1"/>
        <item t="default"/>
      </items>
    </pivotField>
    <pivotField compact="0" outline="0" showAll="0" includeNewItemsInFilter="1"/>
    <pivotField dataField="1" compact="0" numFmtId="165" outline="0" showAll="0" includeNewItemsInFilter="1"/>
    <pivotField dataField="1" compact="0" numFmtId="165" outline="0" showAll="0" includeNewItemsInFilter="1"/>
    <pivotField compact="0" numFmtId="165" outline="0" showAll="0" includeNewItemsInFilter="1"/>
    <pivotField dataField="1" compact="0" numFmtId="165" outline="0" showAll="0" includeNewItemsInFilter="1"/>
    <pivotField dataField="1" compact="0" numFmtId="165" outline="0" showAll="0" includeNewItemsInFilter="1"/>
    <pivotField compact="0" numFmtId="165" outline="0" showAll="0" includeNewItemsInFilter="1"/>
    <pivotField compact="0" numFmtId="165" outline="0" showAll="0" includeNewItemsInFilter="1"/>
    <pivotField dataField="1" compact="0" numFmtId="165" outline="0" showAll="0" includeNewItemsInFilter="1"/>
    <pivotField dataField="1" compact="0" numFmtId="165" outline="0" showAll="0" includeNewItemsInFilter="1"/>
    <pivotField compact="0" numFmtId="165" outline="0" showAll="0" includeNewItemsInFilter="1"/>
    <pivotField dataField="1" compact="0" numFmtId="165" outline="0" showAll="0" includeNewItemsInFilter="1"/>
    <pivotField dataField="1" compact="0" numFmtId="165" outline="0" showAll="0" includeNewItemsInFilter="1"/>
    <pivotField compact="0" numFmtId="165" outline="0" showAll="0" includeNewItemsInFilter="1"/>
    <pivotField dataField="1" compact="0" numFmtId="165" outline="0" showAll="0" includeNewItemsInFilter="1"/>
    <pivotField dataField="1" compact="0" numFmtId="165" outline="0" showAll="0" includeNewItemsInFilter="1"/>
    <pivotField compact="0" numFmtId="165" outline="0" showAll="0" includeNewItemsInFilter="1"/>
    <pivotField dataField="1" compact="0" numFmtId="165" outline="0" showAll="0" includeNewItemsInFilter="1"/>
    <pivotField dataField="1" compact="0" numFmtId="165" outline="0" showAll="0" includeNewItemsInFilter="1"/>
    <pivotField compact="0" numFmtId="165" outline="0" showAll="0" includeNewItemsInFilter="1"/>
    <pivotField compact="0" numFmtId="165" outline="0" showAll="0" includeNewItemsInFilter="1"/>
    <pivotField compact="0" numFmtId="165" outline="0" showAll="0" includeNewItemsInFilter="1"/>
    <pivotField axis="axisRow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numFmtId="166" outline="0" showAll="0" includeNewItemsInFilter="1"/>
    <pivotField compact="0" outline="0" showAll="0" includeNewItemsInFilter="1"/>
  </pivotFields>
  <rowFields count="2">
    <field x="29"/>
    <field x="6"/>
  </rowFields>
  <rowItems count="10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 v="1"/>
    </i>
    <i r="1">
      <x v="2"/>
    </i>
    <i t="default"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Issue Gms Wt" fld="8" baseField="0" baseItem="0" numFmtId="165"/>
    <dataField name="Sum of Issue Pg" fld="9" baseField="0" baseItem="0" numFmtId="165"/>
    <dataField name="Sum of Return Gms Wt" fld="11" baseField="0" baseItem="0" numFmtId="165"/>
    <dataField name="Sum of Return Pg" fld="12" baseField="0" baseItem="0" numFmtId="165"/>
    <dataField name="Sum of Unutilized Gms Wt" fld="15" baseField="0" baseItem="0" numFmtId="165"/>
    <dataField name="Sum of Unutilized Pg" fld="16" baseField="0" baseItem="0" numFmtId="165"/>
    <dataField name="Sum of Unutilized Scrap" fld="18" baseField="0" baseItem="0" numFmtId="165"/>
    <dataField name="Sum of Unutilized Scrap Pg" fld="19" baseField="0" baseItem="0" numFmtId="165"/>
    <dataField name="Sum of Unutilized Sample" fld="21" baseField="0" baseItem="0" numFmtId="165"/>
    <dataField name="Sum of Unutilized Sample Pg" fld="22" baseField="0" baseItem="0" numFmtId="165"/>
    <dataField name="Sum of Loss Gms Wt" fld="24" baseField="0" baseItem="0" numFmtId="165"/>
    <dataField name="Sum of Loss Pg Wt" fld="25" baseField="0" baseItem="0" numFmtId="165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9AD3-8AD4-46F0-8CFE-28EF3C372AF2}">
  <dimension ref="B1:AE2004"/>
  <sheetViews>
    <sheetView showGridLines="0" workbookViewId="0">
      <pane ySplit="7" topLeftCell="A8" activePane="bottomLeft" state="frozenSplit"/>
      <selection pane="bottomLeft" activeCell="A3" sqref="A3"/>
    </sheetView>
  </sheetViews>
  <sheetFormatPr defaultRowHeight="12.5" x14ac:dyDescent="0.25"/>
  <cols>
    <col min="1" max="1" width="0" hidden="1" customWidth="1"/>
    <col min="2" max="3" width="6.81640625" customWidth="1"/>
    <col min="4" max="6" width="13.7265625" customWidth="1"/>
    <col min="7" max="7" width="20.54296875" customWidth="1"/>
    <col min="8" max="8" width="6.81640625" customWidth="1"/>
    <col min="9" max="9" width="9.54296875" customWidth="1"/>
    <col min="10" max="10" width="4" customWidth="1"/>
    <col min="11" max="11" width="2.7265625" customWidth="1"/>
    <col min="12" max="14" width="6.81640625" customWidth="1"/>
    <col min="15" max="15" width="4" customWidth="1"/>
    <col min="16" max="16" width="2.7265625" customWidth="1"/>
    <col min="17" max="31" width="6.81640625" customWidth="1"/>
  </cols>
  <sheetData>
    <row r="1" spans="2:31" ht="0.75" customHeight="1" x14ac:dyDescent="0.25"/>
    <row r="2" spans="2:31" ht="16.5" customHeight="1" x14ac:dyDescent="0.25"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2:31" ht="2.9" customHeight="1" x14ac:dyDescent="0.25"/>
    <row r="4" spans="2:31" ht="15.75" customHeight="1" x14ac:dyDescent="0.25">
      <c r="B4" s="59" t="s">
        <v>1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2:31" ht="2.9" customHeight="1" x14ac:dyDescent="0.25"/>
    <row r="6" spans="2:31" ht="15.75" customHeight="1" x14ac:dyDescent="0.25">
      <c r="B6" s="59" t="s">
        <v>2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</row>
    <row r="7" spans="2:31" ht="409.6" hidden="1" customHeight="1" x14ac:dyDescent="0.25"/>
    <row r="8" spans="2:31" ht="0.75" customHeight="1" x14ac:dyDescent="0.25"/>
    <row r="9" spans="2:31" ht="135.5" customHeight="1" x14ac:dyDescent="0.25">
      <c r="B9" s="59" t="s">
        <v>3</v>
      </c>
      <c r="C9" s="60"/>
      <c r="D9" s="60"/>
      <c r="E9" s="60"/>
      <c r="F9" s="60"/>
      <c r="G9" s="60"/>
      <c r="H9" s="60"/>
      <c r="I9" s="60"/>
      <c r="J9" s="60"/>
    </row>
    <row r="10" spans="2:31" ht="1.5" customHeight="1" x14ac:dyDescent="0.25"/>
    <row r="11" spans="2:31" ht="2.15" customHeight="1" x14ac:dyDescent="0.25">
      <c r="B11" s="1"/>
      <c r="C11" s="1"/>
      <c r="D11" s="1"/>
      <c r="E11" s="1"/>
      <c r="F11" s="1"/>
      <c r="G11" s="1"/>
      <c r="H11" s="1"/>
    </row>
    <row r="12" spans="2:31" x14ac:dyDescent="0.25">
      <c r="B12" s="2"/>
      <c r="C12" s="2"/>
      <c r="D12" s="2"/>
      <c r="E12" s="2"/>
      <c r="F12" s="2"/>
      <c r="G12" s="2"/>
      <c r="H12" s="61"/>
      <c r="I12" s="60"/>
      <c r="J12" s="62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</row>
    <row r="13" spans="2:31" ht="52.5" x14ac:dyDescent="0.25">
      <c r="B13" s="3" t="s">
        <v>4</v>
      </c>
      <c r="C13" s="3" t="s">
        <v>5</v>
      </c>
      <c r="D13" s="3" t="s">
        <v>6</v>
      </c>
      <c r="E13" s="3" t="s">
        <v>7</v>
      </c>
      <c r="F13" s="3" t="s">
        <v>8</v>
      </c>
      <c r="G13" s="3" t="s">
        <v>9</v>
      </c>
      <c r="H13" s="51" t="s">
        <v>10</v>
      </c>
      <c r="I13" s="52"/>
      <c r="J13" s="51" t="s">
        <v>11</v>
      </c>
      <c r="K13" s="52"/>
      <c r="L13" s="3" t="s">
        <v>12</v>
      </c>
      <c r="M13" s="3" t="s">
        <v>13</v>
      </c>
      <c r="N13" s="3" t="s">
        <v>14</v>
      </c>
      <c r="O13" s="51" t="s">
        <v>15</v>
      </c>
      <c r="P13" s="52"/>
      <c r="Q13" s="3" t="s">
        <v>16</v>
      </c>
      <c r="R13" s="3" t="s">
        <v>17</v>
      </c>
      <c r="S13" s="3" t="s">
        <v>18</v>
      </c>
      <c r="T13" s="3" t="s">
        <v>19</v>
      </c>
      <c r="U13" s="3" t="s">
        <v>20</v>
      </c>
      <c r="V13" s="3" t="s">
        <v>21</v>
      </c>
      <c r="W13" s="3" t="s">
        <v>22</v>
      </c>
      <c r="X13" s="3" t="s">
        <v>23</v>
      </c>
      <c r="Y13" s="3" t="s">
        <v>24</v>
      </c>
      <c r="Z13" s="3" t="s">
        <v>25</v>
      </c>
      <c r="AA13" s="3" t="s">
        <v>26</v>
      </c>
      <c r="AB13" s="3" t="s">
        <v>27</v>
      </c>
      <c r="AC13" s="3" t="s">
        <v>28</v>
      </c>
      <c r="AD13" s="3" t="s">
        <v>29</v>
      </c>
      <c r="AE13" s="3" t="s">
        <v>30</v>
      </c>
    </row>
    <row r="14" spans="2:31" x14ac:dyDescent="0.25">
      <c r="B14" s="54" t="s">
        <v>31</v>
      </c>
      <c r="C14" s="58">
        <v>46174</v>
      </c>
      <c r="D14" s="4" t="s">
        <v>32</v>
      </c>
      <c r="E14" s="4" t="s">
        <v>33</v>
      </c>
      <c r="F14" s="4" t="s">
        <v>34</v>
      </c>
      <c r="G14" s="4" t="s">
        <v>35</v>
      </c>
      <c r="H14" s="54" t="s">
        <v>36</v>
      </c>
      <c r="I14" s="52"/>
      <c r="J14" s="57">
        <v>84.87</v>
      </c>
      <c r="K14" s="52"/>
      <c r="L14" s="6">
        <v>77.825789999999998</v>
      </c>
      <c r="M14" s="6">
        <v>0.91699999999999993</v>
      </c>
      <c r="N14" s="6">
        <v>84.87</v>
      </c>
      <c r="O14" s="57">
        <v>77.825789999999998</v>
      </c>
      <c r="P14" s="52"/>
      <c r="Q14" s="6">
        <v>0.91699999999999993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</row>
    <row r="15" spans="2:31" x14ac:dyDescent="0.25">
      <c r="B15" s="55"/>
      <c r="C15" s="55"/>
      <c r="D15" s="4" t="s">
        <v>37</v>
      </c>
      <c r="E15" s="4" t="s">
        <v>38</v>
      </c>
      <c r="F15" s="4" t="s">
        <v>34</v>
      </c>
      <c r="G15" s="4" t="s">
        <v>35</v>
      </c>
      <c r="H15" s="54" t="s">
        <v>36</v>
      </c>
      <c r="I15" s="52"/>
      <c r="J15" s="57">
        <v>20.126000000000001</v>
      </c>
      <c r="K15" s="52"/>
      <c r="L15" s="6">
        <v>18.455542000000001</v>
      </c>
      <c r="M15" s="6">
        <v>0.91700000000000004</v>
      </c>
      <c r="N15" s="6">
        <v>20.126000000000001</v>
      </c>
      <c r="O15" s="57">
        <v>18.455542000000001</v>
      </c>
      <c r="P15" s="52"/>
      <c r="Q15" s="6">
        <v>0.91700000000000004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</row>
    <row r="16" spans="2:31" x14ac:dyDescent="0.25">
      <c r="B16" s="55"/>
      <c r="C16" s="55"/>
      <c r="D16" s="4" t="s">
        <v>39</v>
      </c>
      <c r="E16" s="4" t="s">
        <v>40</v>
      </c>
      <c r="F16" s="4" t="s">
        <v>34</v>
      </c>
      <c r="G16" s="4" t="s">
        <v>35</v>
      </c>
      <c r="H16" s="54" t="s">
        <v>41</v>
      </c>
      <c r="I16" s="52"/>
      <c r="J16" s="57">
        <v>95.38</v>
      </c>
      <c r="K16" s="52"/>
      <c r="L16" s="6">
        <v>71.534999999999997</v>
      </c>
      <c r="M16" s="6">
        <v>0.75</v>
      </c>
      <c r="N16" s="6">
        <v>94.92</v>
      </c>
      <c r="O16" s="57">
        <v>71.19</v>
      </c>
      <c r="P16" s="52"/>
      <c r="Q16" s="6">
        <v>0.75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0.46</v>
      </c>
      <c r="AB16" s="6">
        <v>0.34499999999999997</v>
      </c>
      <c r="AC16" s="6">
        <v>0.74999999999999989</v>
      </c>
      <c r="AD16" s="6">
        <v>-0.45999999999999375</v>
      </c>
      <c r="AE16" s="6">
        <v>0.45999999999999375</v>
      </c>
    </row>
    <row r="17" spans="2:31" x14ac:dyDescent="0.25">
      <c r="B17" s="55"/>
      <c r="C17" s="55"/>
      <c r="D17" s="4" t="s">
        <v>42</v>
      </c>
      <c r="E17" s="4" t="s">
        <v>43</v>
      </c>
      <c r="F17" s="4" t="s">
        <v>34</v>
      </c>
      <c r="G17" s="4" t="s">
        <v>35</v>
      </c>
      <c r="H17" s="54" t="s">
        <v>41</v>
      </c>
      <c r="I17" s="52"/>
      <c r="J17" s="57">
        <v>37.64</v>
      </c>
      <c r="K17" s="52"/>
      <c r="L17" s="6">
        <v>28.23</v>
      </c>
      <c r="M17" s="6">
        <v>0.75</v>
      </c>
      <c r="N17" s="6">
        <v>36.15</v>
      </c>
      <c r="O17" s="57">
        <v>27.112500000000001</v>
      </c>
      <c r="P17" s="52"/>
      <c r="Q17" s="6">
        <v>0.75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1.49</v>
      </c>
      <c r="AB17" s="6">
        <v>1.1174999999999999</v>
      </c>
      <c r="AC17" s="6">
        <v>0.75</v>
      </c>
      <c r="AD17" s="6">
        <v>-1.490000000000002</v>
      </c>
      <c r="AE17" s="6">
        <v>1.490000000000002</v>
      </c>
    </row>
    <row r="18" spans="2:31" x14ac:dyDescent="0.25">
      <c r="B18" s="55"/>
      <c r="C18" s="55"/>
      <c r="D18" s="4" t="s">
        <v>44</v>
      </c>
      <c r="E18" s="4" t="s">
        <v>45</v>
      </c>
      <c r="F18" s="4" t="s">
        <v>34</v>
      </c>
      <c r="G18" s="4" t="s">
        <v>35</v>
      </c>
      <c r="H18" s="54" t="s">
        <v>41</v>
      </c>
      <c r="I18" s="52"/>
      <c r="J18" s="57">
        <v>39.340000000000003</v>
      </c>
      <c r="K18" s="52"/>
      <c r="L18" s="6">
        <v>29.504999999999999</v>
      </c>
      <c r="M18" s="6">
        <v>0.74999999999999989</v>
      </c>
      <c r="N18" s="6">
        <v>35.61</v>
      </c>
      <c r="O18" s="57">
        <v>26.7075</v>
      </c>
      <c r="P18" s="52"/>
      <c r="Q18" s="6">
        <v>0.75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3.73</v>
      </c>
      <c r="AB18" s="6">
        <v>2.7974999999999999</v>
      </c>
      <c r="AC18" s="6">
        <v>0.75</v>
      </c>
      <c r="AD18" s="6">
        <v>-3.730000000000004</v>
      </c>
      <c r="AE18" s="6">
        <v>3.730000000000004</v>
      </c>
    </row>
    <row r="19" spans="2:31" x14ac:dyDescent="0.25">
      <c r="B19" s="55"/>
      <c r="C19" s="55"/>
      <c r="D19" s="4" t="s">
        <v>46</v>
      </c>
      <c r="E19" s="4" t="s">
        <v>47</v>
      </c>
      <c r="F19" s="4" t="s">
        <v>34</v>
      </c>
      <c r="G19" s="4" t="s">
        <v>35</v>
      </c>
      <c r="H19" s="54" t="s">
        <v>48</v>
      </c>
      <c r="I19" s="52"/>
      <c r="J19" s="57">
        <v>23.33</v>
      </c>
      <c r="K19" s="52"/>
      <c r="L19" s="6">
        <v>17.497499999999999</v>
      </c>
      <c r="M19" s="6">
        <v>0.75</v>
      </c>
      <c r="N19" s="6">
        <v>21.22</v>
      </c>
      <c r="O19" s="57">
        <v>15.914999999999999</v>
      </c>
      <c r="P19" s="52"/>
      <c r="Q19" s="6">
        <v>0.75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2.11</v>
      </c>
      <c r="AB19" s="6">
        <v>1.5825</v>
      </c>
      <c r="AC19" s="6">
        <v>0.75</v>
      </c>
      <c r="AD19" s="6">
        <v>-2.1099999999999994</v>
      </c>
      <c r="AE19" s="6">
        <v>2.1099999999999994</v>
      </c>
    </row>
    <row r="20" spans="2:31" x14ac:dyDescent="0.25">
      <c r="B20" s="55"/>
      <c r="C20" s="55"/>
      <c r="D20" s="54" t="s">
        <v>49</v>
      </c>
      <c r="E20" s="4" t="s">
        <v>50</v>
      </c>
      <c r="F20" s="4" t="s">
        <v>51</v>
      </c>
      <c r="G20" s="4" t="s">
        <v>35</v>
      </c>
      <c r="H20" s="54" t="s">
        <v>48</v>
      </c>
      <c r="I20" s="52"/>
      <c r="J20" s="57">
        <v>34.81</v>
      </c>
      <c r="K20" s="52"/>
      <c r="L20" s="6">
        <v>26.107500000000002</v>
      </c>
      <c r="M20" s="6">
        <v>0.75</v>
      </c>
      <c r="N20" s="6">
        <v>34.81</v>
      </c>
      <c r="O20" s="57">
        <v>26.107500000000002</v>
      </c>
      <c r="P20" s="52"/>
      <c r="Q20" s="6">
        <v>0.75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</row>
    <row r="21" spans="2:31" x14ac:dyDescent="0.25">
      <c r="B21" s="55"/>
      <c r="C21" s="55"/>
      <c r="D21" s="55"/>
      <c r="E21" s="4" t="s">
        <v>52</v>
      </c>
      <c r="F21" s="4" t="s">
        <v>51</v>
      </c>
      <c r="G21" s="4" t="s">
        <v>35</v>
      </c>
      <c r="H21" s="54" t="s">
        <v>36</v>
      </c>
      <c r="I21" s="52"/>
      <c r="J21" s="57">
        <v>28.38</v>
      </c>
      <c r="K21" s="52"/>
      <c r="L21" s="6">
        <v>26.024460000000001</v>
      </c>
      <c r="M21" s="6">
        <v>0.91700000000000004</v>
      </c>
      <c r="N21" s="6">
        <v>28.38</v>
      </c>
      <c r="O21" s="57">
        <v>26.024460000000001</v>
      </c>
      <c r="P21" s="52"/>
      <c r="Q21" s="6">
        <v>0.91700000000000004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</row>
    <row r="22" spans="2:31" x14ac:dyDescent="0.25">
      <c r="B22" s="55"/>
      <c r="C22" s="55"/>
      <c r="D22" s="55"/>
      <c r="E22" s="4" t="s">
        <v>53</v>
      </c>
      <c r="F22" s="4" t="s">
        <v>51</v>
      </c>
      <c r="G22" s="4" t="s">
        <v>35</v>
      </c>
      <c r="H22" s="54" t="s">
        <v>36</v>
      </c>
      <c r="I22" s="52"/>
      <c r="J22" s="57">
        <v>21.55</v>
      </c>
      <c r="K22" s="52"/>
      <c r="L22" s="6">
        <v>19.76135</v>
      </c>
      <c r="M22" s="6">
        <v>0.91699999999999993</v>
      </c>
      <c r="N22" s="6">
        <v>21.55</v>
      </c>
      <c r="O22" s="57">
        <v>19.76135</v>
      </c>
      <c r="P22" s="52"/>
      <c r="Q22" s="6">
        <v>0.91699999999999993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</row>
    <row r="23" spans="2:31" x14ac:dyDescent="0.25">
      <c r="B23" s="55"/>
      <c r="C23" s="55"/>
      <c r="D23" s="55"/>
      <c r="E23" s="4" t="s">
        <v>54</v>
      </c>
      <c r="F23" s="4" t="s">
        <v>51</v>
      </c>
      <c r="G23" s="4" t="s">
        <v>35</v>
      </c>
      <c r="H23" s="54" t="s">
        <v>48</v>
      </c>
      <c r="I23" s="52"/>
      <c r="J23" s="57">
        <v>15.44</v>
      </c>
      <c r="K23" s="52"/>
      <c r="L23" s="6">
        <v>11.58</v>
      </c>
      <c r="M23" s="6">
        <v>0.75</v>
      </c>
      <c r="N23" s="6">
        <v>15.44</v>
      </c>
      <c r="O23" s="57">
        <v>11.58</v>
      </c>
      <c r="P23" s="52"/>
      <c r="Q23" s="6">
        <v>0.75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</row>
    <row r="24" spans="2:31" x14ac:dyDescent="0.25">
      <c r="B24" s="55"/>
      <c r="C24" s="55"/>
      <c r="D24" s="55"/>
      <c r="E24" s="4" t="s">
        <v>55</v>
      </c>
      <c r="F24" s="4" t="s">
        <v>51</v>
      </c>
      <c r="G24" s="4" t="s">
        <v>35</v>
      </c>
      <c r="H24" s="54" t="s">
        <v>41</v>
      </c>
      <c r="I24" s="52"/>
      <c r="J24" s="57">
        <v>10.5</v>
      </c>
      <c r="K24" s="52"/>
      <c r="L24" s="6">
        <v>7.875</v>
      </c>
      <c r="M24" s="6">
        <v>0.75</v>
      </c>
      <c r="N24" s="6">
        <v>10.5</v>
      </c>
      <c r="O24" s="57">
        <v>7.875</v>
      </c>
      <c r="P24" s="52"/>
      <c r="Q24" s="6">
        <v>0.75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</row>
    <row r="25" spans="2:31" x14ac:dyDescent="0.25">
      <c r="B25" s="55"/>
      <c r="C25" s="55"/>
      <c r="D25" s="56"/>
      <c r="E25" s="4" t="s">
        <v>56</v>
      </c>
      <c r="F25" s="4" t="s">
        <v>51</v>
      </c>
      <c r="G25" s="4" t="s">
        <v>35</v>
      </c>
      <c r="H25" s="54" t="s">
        <v>41</v>
      </c>
      <c r="I25" s="52"/>
      <c r="J25" s="57">
        <v>12.38</v>
      </c>
      <c r="K25" s="52"/>
      <c r="L25" s="6">
        <v>9.2850000000000001</v>
      </c>
      <c r="M25" s="6">
        <v>0.75</v>
      </c>
      <c r="N25" s="6">
        <v>12.38</v>
      </c>
      <c r="O25" s="57">
        <v>9.2850000000000001</v>
      </c>
      <c r="P25" s="52"/>
      <c r="Q25" s="6">
        <v>0.75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</row>
    <row r="26" spans="2:31" x14ac:dyDescent="0.25">
      <c r="B26" s="55"/>
      <c r="C26" s="55"/>
      <c r="D26" s="54" t="s">
        <v>57</v>
      </c>
      <c r="E26" s="4" t="s">
        <v>58</v>
      </c>
      <c r="F26" s="4" t="s">
        <v>51</v>
      </c>
      <c r="G26" s="4" t="s">
        <v>35</v>
      </c>
      <c r="H26" s="54" t="s">
        <v>36</v>
      </c>
      <c r="I26" s="52"/>
      <c r="J26" s="57">
        <v>3.13</v>
      </c>
      <c r="K26" s="52"/>
      <c r="L26" s="6">
        <v>2.8702100000000002</v>
      </c>
      <c r="M26" s="6">
        <v>0.91700000000000004</v>
      </c>
      <c r="N26" s="6">
        <v>3.13</v>
      </c>
      <c r="O26" s="57">
        <v>2.8702100000000002</v>
      </c>
      <c r="P26" s="52"/>
      <c r="Q26" s="6">
        <v>0.91700000000000004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</row>
    <row r="27" spans="2:31" x14ac:dyDescent="0.25">
      <c r="B27" s="55"/>
      <c r="C27" s="55"/>
      <c r="D27" s="55"/>
      <c r="E27" s="4" t="s">
        <v>59</v>
      </c>
      <c r="F27" s="4" t="s">
        <v>51</v>
      </c>
      <c r="G27" s="4" t="s">
        <v>35</v>
      </c>
      <c r="H27" s="54" t="s">
        <v>48</v>
      </c>
      <c r="I27" s="52"/>
      <c r="J27" s="57">
        <v>14.49</v>
      </c>
      <c r="K27" s="52"/>
      <c r="L27" s="6">
        <v>10.8675</v>
      </c>
      <c r="M27" s="6">
        <v>0.75</v>
      </c>
      <c r="N27" s="6">
        <v>14.49</v>
      </c>
      <c r="O27" s="57">
        <v>10.8675</v>
      </c>
      <c r="P27" s="52"/>
      <c r="Q27" s="6">
        <v>0.75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</row>
    <row r="28" spans="2:31" x14ac:dyDescent="0.25">
      <c r="B28" s="55"/>
      <c r="C28" s="55"/>
      <c r="D28" s="55"/>
      <c r="E28" s="4" t="s">
        <v>60</v>
      </c>
      <c r="F28" s="4" t="s">
        <v>51</v>
      </c>
      <c r="G28" s="4" t="s">
        <v>35</v>
      </c>
      <c r="H28" s="54" t="s">
        <v>36</v>
      </c>
      <c r="I28" s="52"/>
      <c r="J28" s="57">
        <v>14.06</v>
      </c>
      <c r="K28" s="52"/>
      <c r="L28" s="6">
        <v>12.89302</v>
      </c>
      <c r="M28" s="6">
        <v>0.91699999999999993</v>
      </c>
      <c r="N28" s="6">
        <v>14.06</v>
      </c>
      <c r="O28" s="57">
        <v>12.89302</v>
      </c>
      <c r="P28" s="52"/>
      <c r="Q28" s="6">
        <v>0.91699999999999993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</row>
    <row r="29" spans="2:31" x14ac:dyDescent="0.25">
      <c r="B29" s="55"/>
      <c r="C29" s="55"/>
      <c r="D29" s="55"/>
      <c r="E29" s="4" t="s">
        <v>61</v>
      </c>
      <c r="F29" s="4" t="s">
        <v>51</v>
      </c>
      <c r="G29" s="4" t="s">
        <v>35</v>
      </c>
      <c r="H29" s="54" t="s">
        <v>36</v>
      </c>
      <c r="I29" s="52"/>
      <c r="J29" s="57">
        <v>8.44</v>
      </c>
      <c r="K29" s="52"/>
      <c r="L29" s="6">
        <v>7.7394800000000004</v>
      </c>
      <c r="M29" s="6">
        <v>0.91700000000000015</v>
      </c>
      <c r="N29" s="6">
        <v>8.44</v>
      </c>
      <c r="O29" s="57">
        <v>7.7394800000000004</v>
      </c>
      <c r="P29" s="52"/>
      <c r="Q29" s="6">
        <v>0.91700000000000015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</row>
    <row r="30" spans="2:31" x14ac:dyDescent="0.25">
      <c r="B30" s="55"/>
      <c r="C30" s="55"/>
      <c r="D30" s="55"/>
      <c r="E30" s="4" t="s">
        <v>62</v>
      </c>
      <c r="F30" s="4" t="s">
        <v>51</v>
      </c>
      <c r="G30" s="4" t="s">
        <v>35</v>
      </c>
      <c r="H30" s="54" t="s">
        <v>36</v>
      </c>
      <c r="I30" s="52"/>
      <c r="J30" s="57">
        <v>16.73</v>
      </c>
      <c r="K30" s="52"/>
      <c r="L30" s="6">
        <v>15.34141</v>
      </c>
      <c r="M30" s="6">
        <v>0.91699999999999993</v>
      </c>
      <c r="N30" s="6">
        <v>16.73</v>
      </c>
      <c r="O30" s="57">
        <v>15.34141</v>
      </c>
      <c r="P30" s="52"/>
      <c r="Q30" s="6">
        <v>0.91699999999999993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</row>
    <row r="31" spans="2:31" x14ac:dyDescent="0.25">
      <c r="B31" s="55"/>
      <c r="C31" s="55"/>
      <c r="D31" s="55"/>
      <c r="E31" s="4" t="s">
        <v>63</v>
      </c>
      <c r="F31" s="4" t="s">
        <v>51</v>
      </c>
      <c r="G31" s="4" t="s">
        <v>35</v>
      </c>
      <c r="H31" s="54" t="s">
        <v>48</v>
      </c>
      <c r="I31" s="52"/>
      <c r="J31" s="57">
        <v>6.9240000000000004</v>
      </c>
      <c r="K31" s="52"/>
      <c r="L31" s="6">
        <v>5.1929999999999996</v>
      </c>
      <c r="M31" s="6">
        <v>0.74999999999999989</v>
      </c>
      <c r="N31" s="6">
        <v>6.9240000000000004</v>
      </c>
      <c r="O31" s="57">
        <v>5.1929999999999996</v>
      </c>
      <c r="P31" s="52"/>
      <c r="Q31" s="6">
        <v>0.74999999999999989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</row>
    <row r="32" spans="2:31" x14ac:dyDescent="0.25">
      <c r="B32" s="55"/>
      <c r="C32" s="55"/>
      <c r="D32" s="55"/>
      <c r="E32" s="4" t="s">
        <v>64</v>
      </c>
      <c r="F32" s="4" t="s">
        <v>51</v>
      </c>
      <c r="G32" s="4" t="s">
        <v>35</v>
      </c>
      <c r="H32" s="54" t="s">
        <v>48</v>
      </c>
      <c r="I32" s="52"/>
      <c r="J32" s="57">
        <v>5.819</v>
      </c>
      <c r="K32" s="52"/>
      <c r="L32" s="6">
        <v>4.3642500000000002</v>
      </c>
      <c r="M32" s="6">
        <v>0.75</v>
      </c>
      <c r="N32" s="6">
        <v>5.819</v>
      </c>
      <c r="O32" s="57">
        <v>4.3642500000000002</v>
      </c>
      <c r="P32" s="52"/>
      <c r="Q32" s="6">
        <v>0.75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</row>
    <row r="33" spans="2:31" x14ac:dyDescent="0.25">
      <c r="B33" s="55"/>
      <c r="C33" s="55"/>
      <c r="D33" s="55"/>
      <c r="E33" s="4" t="s">
        <v>65</v>
      </c>
      <c r="F33" s="4" t="s">
        <v>51</v>
      </c>
      <c r="G33" s="4" t="s">
        <v>35</v>
      </c>
      <c r="H33" s="54" t="s">
        <v>48</v>
      </c>
      <c r="I33" s="52"/>
      <c r="J33" s="57">
        <v>7.359</v>
      </c>
      <c r="K33" s="52"/>
      <c r="L33" s="6">
        <v>5.5192500000000004</v>
      </c>
      <c r="M33" s="6">
        <v>0.75000000000000011</v>
      </c>
      <c r="N33" s="6">
        <v>7.359</v>
      </c>
      <c r="O33" s="57">
        <v>5.5192500000000004</v>
      </c>
      <c r="P33" s="52"/>
      <c r="Q33" s="6">
        <v>0.75000000000000011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</row>
    <row r="34" spans="2:31" x14ac:dyDescent="0.25">
      <c r="B34" s="55"/>
      <c r="C34" s="55"/>
      <c r="D34" s="55"/>
      <c r="E34" s="4" t="s">
        <v>66</v>
      </c>
      <c r="F34" s="4" t="s">
        <v>51</v>
      </c>
      <c r="G34" s="4" t="s">
        <v>35</v>
      </c>
      <c r="H34" s="54" t="s">
        <v>48</v>
      </c>
      <c r="I34" s="52"/>
      <c r="J34" s="57">
        <v>5.63</v>
      </c>
      <c r="K34" s="52"/>
      <c r="L34" s="6">
        <v>4.2225000000000001</v>
      </c>
      <c r="M34" s="6">
        <v>0.75</v>
      </c>
      <c r="N34" s="6">
        <v>5.63</v>
      </c>
      <c r="O34" s="57">
        <v>4.2225000000000001</v>
      </c>
      <c r="P34" s="52"/>
      <c r="Q34" s="6">
        <v>0.75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</row>
    <row r="35" spans="2:31" x14ac:dyDescent="0.25">
      <c r="B35" s="55"/>
      <c r="C35" s="55"/>
      <c r="D35" s="56"/>
      <c r="E35" s="4" t="s">
        <v>67</v>
      </c>
      <c r="F35" s="4" t="s">
        <v>51</v>
      </c>
      <c r="G35" s="4" t="s">
        <v>35</v>
      </c>
      <c r="H35" s="54" t="s">
        <v>48</v>
      </c>
      <c r="I35" s="52"/>
      <c r="J35" s="57">
        <v>6.1580000000000004</v>
      </c>
      <c r="K35" s="52"/>
      <c r="L35" s="6">
        <v>4.6185</v>
      </c>
      <c r="M35" s="6">
        <v>0.75</v>
      </c>
      <c r="N35" s="6">
        <v>6.1580000000000004</v>
      </c>
      <c r="O35" s="57">
        <v>4.6185</v>
      </c>
      <c r="P35" s="52"/>
      <c r="Q35" s="6">
        <v>0.75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</row>
    <row r="36" spans="2:31" ht="20" x14ac:dyDescent="0.25">
      <c r="B36" s="55"/>
      <c r="C36" s="55"/>
      <c r="D36" s="4" t="s">
        <v>68</v>
      </c>
      <c r="E36" s="4" t="s">
        <v>69</v>
      </c>
      <c r="F36" s="4" t="s">
        <v>51</v>
      </c>
      <c r="G36" s="4" t="s">
        <v>35</v>
      </c>
      <c r="H36" s="54" t="s">
        <v>41</v>
      </c>
      <c r="I36" s="52"/>
      <c r="J36" s="57">
        <v>13.86</v>
      </c>
      <c r="K36" s="52"/>
      <c r="L36" s="6">
        <v>10.395</v>
      </c>
      <c r="M36" s="6">
        <v>0.75</v>
      </c>
      <c r="N36" s="6">
        <v>13.05</v>
      </c>
      <c r="O36" s="57">
        <v>9.7874999999999996</v>
      </c>
      <c r="P36" s="52"/>
      <c r="Q36" s="6">
        <v>0.74999999999999989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0.81</v>
      </c>
      <c r="AB36" s="6">
        <v>0.60750000000000004</v>
      </c>
      <c r="AC36" s="6">
        <v>0.75</v>
      </c>
      <c r="AD36" s="6">
        <v>-0.80999999999999872</v>
      </c>
      <c r="AE36" s="6">
        <v>0.80999999999999872</v>
      </c>
    </row>
    <row r="37" spans="2:31" x14ac:dyDescent="0.25">
      <c r="B37" s="55"/>
      <c r="C37" s="55"/>
      <c r="D37" s="54" t="s">
        <v>70</v>
      </c>
      <c r="E37" s="4" t="s">
        <v>71</v>
      </c>
      <c r="F37" s="4" t="s">
        <v>51</v>
      </c>
      <c r="G37" s="4" t="s">
        <v>35</v>
      </c>
      <c r="H37" s="54" t="s">
        <v>36</v>
      </c>
      <c r="I37" s="52"/>
      <c r="J37" s="57">
        <v>40.54</v>
      </c>
      <c r="K37" s="52"/>
      <c r="L37" s="6">
        <v>37.175179999999997</v>
      </c>
      <c r="M37" s="6">
        <v>0.91699999999999993</v>
      </c>
      <c r="N37" s="6">
        <v>40.5</v>
      </c>
      <c r="O37" s="57">
        <v>37.138500000000001</v>
      </c>
      <c r="P37" s="52"/>
      <c r="Q37" s="6">
        <v>0.91700000000000004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0.04</v>
      </c>
      <c r="AB37" s="6">
        <v>3.6679999999999997E-2</v>
      </c>
      <c r="AC37" s="6">
        <v>0.91699999999999993</v>
      </c>
      <c r="AD37" s="6">
        <v>-3.9999999999999147E-2</v>
      </c>
      <c r="AE37" s="6">
        <v>3.9999999999999147E-2</v>
      </c>
    </row>
    <row r="38" spans="2:31" x14ac:dyDescent="0.25">
      <c r="B38" s="55"/>
      <c r="C38" s="55"/>
      <c r="D38" s="55"/>
      <c r="E38" s="4" t="s">
        <v>72</v>
      </c>
      <c r="F38" s="4" t="s">
        <v>51</v>
      </c>
      <c r="G38" s="4" t="s">
        <v>35</v>
      </c>
      <c r="H38" s="54" t="s">
        <v>36</v>
      </c>
      <c r="I38" s="52"/>
      <c r="J38" s="57">
        <v>6.72</v>
      </c>
      <c r="K38" s="52"/>
      <c r="L38" s="6">
        <v>6.1622399999999997</v>
      </c>
      <c r="M38" s="6">
        <v>0.91700000000000004</v>
      </c>
      <c r="N38" s="6">
        <v>6.5</v>
      </c>
      <c r="O38" s="57">
        <v>5.9604999999999997</v>
      </c>
      <c r="P38" s="52"/>
      <c r="Q38" s="6">
        <v>0.91699999999999993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0.22</v>
      </c>
      <c r="AB38" s="6">
        <v>0.20174</v>
      </c>
      <c r="AC38" s="6">
        <v>0.91700000000000004</v>
      </c>
      <c r="AD38" s="6">
        <v>-0.21999999999999975</v>
      </c>
      <c r="AE38" s="6">
        <v>0.21999999999999975</v>
      </c>
    </row>
    <row r="39" spans="2:31" x14ac:dyDescent="0.25">
      <c r="B39" s="55"/>
      <c r="C39" s="55"/>
      <c r="D39" s="55"/>
      <c r="E39" s="4" t="s">
        <v>73</v>
      </c>
      <c r="F39" s="4" t="s">
        <v>51</v>
      </c>
      <c r="G39" s="4" t="s">
        <v>35</v>
      </c>
      <c r="H39" s="54" t="s">
        <v>36</v>
      </c>
      <c r="I39" s="52"/>
      <c r="J39" s="57">
        <v>27.09</v>
      </c>
      <c r="K39" s="52"/>
      <c r="L39" s="6">
        <v>24.841529999999999</v>
      </c>
      <c r="M39" s="6">
        <v>0.91699999999999993</v>
      </c>
      <c r="N39" s="6">
        <v>26.79</v>
      </c>
      <c r="O39" s="57">
        <v>24.56643</v>
      </c>
      <c r="P39" s="52"/>
      <c r="Q39" s="6">
        <v>0.91700000000000004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0.3</v>
      </c>
      <c r="AB39" s="6">
        <v>0.27510000000000001</v>
      </c>
      <c r="AC39" s="6">
        <v>0.91700000000000004</v>
      </c>
      <c r="AD39" s="6">
        <v>-0.30000000000000071</v>
      </c>
      <c r="AE39" s="6">
        <v>0.30000000000000071</v>
      </c>
    </row>
    <row r="40" spans="2:31" x14ac:dyDescent="0.25">
      <c r="B40" s="55"/>
      <c r="C40" s="55"/>
      <c r="D40" s="56"/>
      <c r="E40" s="4" t="s">
        <v>74</v>
      </c>
      <c r="F40" s="4" t="s">
        <v>51</v>
      </c>
      <c r="G40" s="4" t="s">
        <v>35</v>
      </c>
      <c r="H40" s="54" t="s">
        <v>48</v>
      </c>
      <c r="I40" s="52"/>
      <c r="J40" s="57">
        <v>50.58</v>
      </c>
      <c r="K40" s="52"/>
      <c r="L40" s="6">
        <v>37.935000000000002</v>
      </c>
      <c r="M40" s="6">
        <v>0.75000000000000011</v>
      </c>
      <c r="N40" s="6">
        <v>46.54</v>
      </c>
      <c r="O40" s="57">
        <v>34.905000000000001</v>
      </c>
      <c r="P40" s="52"/>
      <c r="Q40" s="6">
        <v>0.75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4.04</v>
      </c>
      <c r="AB40" s="6">
        <v>3.03</v>
      </c>
      <c r="AC40" s="6">
        <v>0.75</v>
      </c>
      <c r="AD40" s="6">
        <v>-4.0399999999999991</v>
      </c>
      <c r="AE40" s="6">
        <v>4.0399999999999991</v>
      </c>
    </row>
    <row r="41" spans="2:31" ht="20" x14ac:dyDescent="0.25">
      <c r="B41" s="55"/>
      <c r="C41" s="55"/>
      <c r="D41" s="4" t="s">
        <v>75</v>
      </c>
      <c r="E41" s="4" t="s">
        <v>76</v>
      </c>
      <c r="F41" s="4" t="s">
        <v>51</v>
      </c>
      <c r="G41" s="4" t="s">
        <v>35</v>
      </c>
      <c r="H41" s="54" t="s">
        <v>36</v>
      </c>
      <c r="I41" s="52"/>
      <c r="J41" s="57">
        <v>45.57</v>
      </c>
      <c r="K41" s="52"/>
      <c r="L41" s="6">
        <v>41.787689999999998</v>
      </c>
      <c r="M41" s="6">
        <v>0.91699999999999993</v>
      </c>
      <c r="N41" s="6">
        <v>44.11</v>
      </c>
      <c r="O41" s="57">
        <v>40.448869999999999</v>
      </c>
      <c r="P41" s="52"/>
      <c r="Q41" s="6">
        <v>0.91700000000000004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1.46</v>
      </c>
      <c r="AB41" s="6">
        <v>1.3388199999999999</v>
      </c>
      <c r="AC41" s="6">
        <v>0.91699999999999993</v>
      </c>
      <c r="AD41" s="6">
        <v>-1.4600000000000009</v>
      </c>
      <c r="AE41" s="6">
        <v>1.4600000000000009</v>
      </c>
    </row>
    <row r="42" spans="2:31" ht="20" x14ac:dyDescent="0.25">
      <c r="B42" s="55"/>
      <c r="C42" s="55"/>
      <c r="D42" s="4" t="s">
        <v>77</v>
      </c>
      <c r="E42" s="4" t="s">
        <v>78</v>
      </c>
      <c r="F42" s="4" t="s">
        <v>51</v>
      </c>
      <c r="G42" s="4" t="s">
        <v>35</v>
      </c>
      <c r="H42" s="54" t="s">
        <v>48</v>
      </c>
      <c r="I42" s="52"/>
      <c r="J42" s="57">
        <v>20.57</v>
      </c>
      <c r="K42" s="52"/>
      <c r="L42" s="6">
        <v>15.4275</v>
      </c>
      <c r="M42" s="6">
        <v>0.75</v>
      </c>
      <c r="N42" s="6">
        <v>20.47</v>
      </c>
      <c r="O42" s="57">
        <v>15.352499999999999</v>
      </c>
      <c r="P42" s="52"/>
      <c r="Q42" s="6">
        <v>0.75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0.1</v>
      </c>
      <c r="AB42" s="6">
        <v>7.4999999999999997E-2</v>
      </c>
      <c r="AC42" s="6">
        <v>0.74999999999999989</v>
      </c>
      <c r="AD42" s="6">
        <v>-0.10000000000000142</v>
      </c>
      <c r="AE42" s="6">
        <v>0.10000000000000142</v>
      </c>
    </row>
    <row r="43" spans="2:31" ht="20" x14ac:dyDescent="0.25">
      <c r="B43" s="55"/>
      <c r="C43" s="55"/>
      <c r="D43" s="4" t="s">
        <v>79</v>
      </c>
      <c r="E43" s="4" t="s">
        <v>80</v>
      </c>
      <c r="F43" s="4" t="s">
        <v>51</v>
      </c>
      <c r="G43" s="4" t="s">
        <v>35</v>
      </c>
      <c r="H43" s="54" t="s">
        <v>36</v>
      </c>
      <c r="I43" s="52"/>
      <c r="J43" s="57">
        <v>28.515999999999998</v>
      </c>
      <c r="K43" s="52"/>
      <c r="L43" s="6">
        <v>26.149172</v>
      </c>
      <c r="M43" s="6">
        <v>0.91700000000000004</v>
      </c>
      <c r="N43" s="6">
        <v>26.626000000000001</v>
      </c>
      <c r="O43" s="57">
        <v>24.416042000000001</v>
      </c>
      <c r="P43" s="52"/>
      <c r="Q43" s="6">
        <v>0.91700000000000004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1.89</v>
      </c>
      <c r="AB43" s="6">
        <v>1.7331300000000001</v>
      </c>
      <c r="AC43" s="6">
        <v>0.91700000000000004</v>
      </c>
      <c r="AD43" s="6">
        <v>-1.889999999999997</v>
      </c>
      <c r="AE43" s="6">
        <v>1.889999999999997</v>
      </c>
    </row>
    <row r="44" spans="2:31" ht="20" x14ac:dyDescent="0.25">
      <c r="B44" s="55"/>
      <c r="C44" s="55"/>
      <c r="D44" s="4" t="s">
        <v>81</v>
      </c>
      <c r="E44" s="4" t="s">
        <v>82</v>
      </c>
      <c r="F44" s="4" t="s">
        <v>51</v>
      </c>
      <c r="G44" s="4" t="s">
        <v>35</v>
      </c>
      <c r="H44" s="54" t="s">
        <v>48</v>
      </c>
      <c r="I44" s="52"/>
      <c r="J44" s="57">
        <v>19.02</v>
      </c>
      <c r="K44" s="52"/>
      <c r="L44" s="6">
        <v>14.265000000000001</v>
      </c>
      <c r="M44" s="6">
        <v>0.75</v>
      </c>
      <c r="N44" s="6">
        <v>17.72</v>
      </c>
      <c r="O44" s="57">
        <v>13.29</v>
      </c>
      <c r="P44" s="52"/>
      <c r="Q44" s="6">
        <v>0.75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1.3</v>
      </c>
      <c r="AB44" s="6">
        <v>0.97499999999999998</v>
      </c>
      <c r="AC44" s="6">
        <v>0.75</v>
      </c>
      <c r="AD44" s="6">
        <v>-1.3000000000000007</v>
      </c>
      <c r="AE44" s="6">
        <v>1.3000000000000007</v>
      </c>
    </row>
    <row r="45" spans="2:31" ht="20" x14ac:dyDescent="0.25">
      <c r="B45" s="55"/>
      <c r="C45" s="55"/>
      <c r="D45" s="4" t="s">
        <v>83</v>
      </c>
      <c r="E45" s="4" t="s">
        <v>84</v>
      </c>
      <c r="F45" s="4" t="s">
        <v>51</v>
      </c>
      <c r="G45" s="4" t="s">
        <v>35</v>
      </c>
      <c r="H45" s="54" t="s">
        <v>48</v>
      </c>
      <c r="I45" s="52"/>
      <c r="J45" s="57">
        <v>22.8</v>
      </c>
      <c r="K45" s="52"/>
      <c r="L45" s="6">
        <v>17.100000000000001</v>
      </c>
      <c r="M45" s="6">
        <v>0.75</v>
      </c>
      <c r="N45" s="6">
        <v>20.86</v>
      </c>
      <c r="O45" s="57">
        <v>15.645</v>
      </c>
      <c r="P45" s="52"/>
      <c r="Q45" s="6">
        <v>0.75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1.94</v>
      </c>
      <c r="AB45" s="6">
        <v>1.4550000000000001</v>
      </c>
      <c r="AC45" s="6">
        <v>0.75000000000000011</v>
      </c>
      <c r="AD45" s="6">
        <v>-1.9400000000000013</v>
      </c>
      <c r="AE45" s="6">
        <v>1.9400000000000013</v>
      </c>
    </row>
    <row r="46" spans="2:31" ht="20" x14ac:dyDescent="0.25">
      <c r="B46" s="55"/>
      <c r="C46" s="55"/>
      <c r="D46" s="4" t="s">
        <v>85</v>
      </c>
      <c r="E46" s="4" t="s">
        <v>86</v>
      </c>
      <c r="F46" s="4" t="s">
        <v>51</v>
      </c>
      <c r="G46" s="4" t="s">
        <v>35</v>
      </c>
      <c r="H46" s="54" t="s">
        <v>48</v>
      </c>
      <c r="I46" s="52"/>
      <c r="J46" s="57">
        <v>14.37</v>
      </c>
      <c r="K46" s="52"/>
      <c r="L46" s="6">
        <v>10.7775</v>
      </c>
      <c r="M46" s="6">
        <v>0.75</v>
      </c>
      <c r="N46" s="6">
        <v>14.35</v>
      </c>
      <c r="O46" s="57">
        <v>10.762499999999999</v>
      </c>
      <c r="P46" s="52"/>
      <c r="Q46" s="6">
        <v>0.75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0.02</v>
      </c>
      <c r="AB46" s="6">
        <v>1.4999999999999999E-2</v>
      </c>
      <c r="AC46" s="6">
        <v>0.75</v>
      </c>
      <c r="AD46" s="6">
        <v>-1.9999999999999574E-2</v>
      </c>
      <c r="AE46" s="6">
        <v>1.9999999999999574E-2</v>
      </c>
    </row>
    <row r="47" spans="2:31" ht="20" x14ac:dyDescent="0.25">
      <c r="B47" s="55"/>
      <c r="C47" s="55"/>
      <c r="D47" s="4" t="s">
        <v>87</v>
      </c>
      <c r="E47" s="4" t="s">
        <v>88</v>
      </c>
      <c r="F47" s="4" t="s">
        <v>51</v>
      </c>
      <c r="G47" s="4" t="s">
        <v>35</v>
      </c>
      <c r="H47" s="54" t="s">
        <v>36</v>
      </c>
      <c r="I47" s="52"/>
      <c r="J47" s="57">
        <v>26</v>
      </c>
      <c r="K47" s="52"/>
      <c r="L47" s="6">
        <v>23.841999999999999</v>
      </c>
      <c r="M47" s="6">
        <v>0.91699999999999993</v>
      </c>
      <c r="N47" s="6">
        <v>24.2</v>
      </c>
      <c r="O47" s="57">
        <v>22.191400000000002</v>
      </c>
      <c r="P47" s="52"/>
      <c r="Q47" s="6">
        <v>0.91700000000000004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1.8</v>
      </c>
      <c r="AB47" s="6">
        <v>1.6506000000000001</v>
      </c>
      <c r="AC47" s="6">
        <v>0.91700000000000004</v>
      </c>
      <c r="AD47" s="6">
        <v>-1.8000000000000007</v>
      </c>
      <c r="AE47" s="6">
        <v>1.8000000000000007</v>
      </c>
    </row>
    <row r="48" spans="2:31" ht="20" x14ac:dyDescent="0.25">
      <c r="B48" s="55"/>
      <c r="C48" s="55"/>
      <c r="D48" s="4" t="s">
        <v>89</v>
      </c>
      <c r="E48" s="4" t="s">
        <v>90</v>
      </c>
      <c r="F48" s="4" t="s">
        <v>51</v>
      </c>
      <c r="G48" s="4" t="s">
        <v>35</v>
      </c>
      <c r="H48" s="54" t="s">
        <v>48</v>
      </c>
      <c r="I48" s="52"/>
      <c r="J48" s="57">
        <v>24.33</v>
      </c>
      <c r="K48" s="52"/>
      <c r="L48" s="6">
        <v>18.247499999999999</v>
      </c>
      <c r="M48" s="6">
        <v>0.75</v>
      </c>
      <c r="N48" s="6">
        <v>21.55</v>
      </c>
      <c r="O48" s="57">
        <v>16.162500000000001</v>
      </c>
      <c r="P48" s="52"/>
      <c r="Q48" s="6">
        <v>0.75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2.78</v>
      </c>
      <c r="AB48" s="6">
        <v>2.085</v>
      </c>
      <c r="AC48" s="6">
        <v>0.75</v>
      </c>
      <c r="AD48" s="6">
        <v>-2.7799999999999976</v>
      </c>
      <c r="AE48" s="6">
        <v>2.7799999999999976</v>
      </c>
    </row>
    <row r="49" spans="2:31" ht="20" x14ac:dyDescent="0.25">
      <c r="B49" s="55"/>
      <c r="C49" s="55"/>
      <c r="D49" s="4" t="s">
        <v>91</v>
      </c>
      <c r="E49" s="4" t="s">
        <v>92</v>
      </c>
      <c r="F49" s="4" t="s">
        <v>51</v>
      </c>
      <c r="G49" s="4" t="s">
        <v>35</v>
      </c>
      <c r="H49" s="54" t="s">
        <v>36</v>
      </c>
      <c r="I49" s="52"/>
      <c r="J49" s="57">
        <v>44.7</v>
      </c>
      <c r="K49" s="52"/>
      <c r="L49" s="6">
        <v>40.989899999999999</v>
      </c>
      <c r="M49" s="6">
        <v>0.91699999999999993</v>
      </c>
      <c r="N49" s="6">
        <v>44.37</v>
      </c>
      <c r="O49" s="57">
        <v>40.687289999999997</v>
      </c>
      <c r="P49" s="52"/>
      <c r="Q49" s="6">
        <v>0.91700000000000004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0.33</v>
      </c>
      <c r="AB49" s="6">
        <v>0.30260999999999999</v>
      </c>
      <c r="AC49" s="6">
        <v>0.91699999999999993</v>
      </c>
      <c r="AD49" s="6">
        <v>-0.3300000000000054</v>
      </c>
      <c r="AE49" s="6">
        <v>0.3300000000000054</v>
      </c>
    </row>
    <row r="50" spans="2:31" ht="20" x14ac:dyDescent="0.25">
      <c r="B50" s="55"/>
      <c r="C50" s="55"/>
      <c r="D50" s="4" t="s">
        <v>93</v>
      </c>
      <c r="E50" s="4" t="s">
        <v>94</v>
      </c>
      <c r="F50" s="4" t="s">
        <v>51</v>
      </c>
      <c r="G50" s="4" t="s">
        <v>35</v>
      </c>
      <c r="H50" s="54" t="s">
        <v>36</v>
      </c>
      <c r="I50" s="52"/>
      <c r="J50" s="57">
        <v>33.78</v>
      </c>
      <c r="K50" s="52"/>
      <c r="L50" s="6">
        <v>30.97626</v>
      </c>
      <c r="M50" s="6">
        <v>0.91699999999999993</v>
      </c>
      <c r="N50" s="6">
        <v>32.9</v>
      </c>
      <c r="O50" s="57">
        <v>30.1693</v>
      </c>
      <c r="P50" s="52"/>
      <c r="Q50" s="6">
        <v>0.91700000000000004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0.88</v>
      </c>
      <c r="AB50" s="6">
        <v>0.80696000000000001</v>
      </c>
      <c r="AC50" s="6">
        <v>0.91700000000000004</v>
      </c>
      <c r="AD50" s="6">
        <v>-0.88000000000000256</v>
      </c>
      <c r="AE50" s="6">
        <v>0.88000000000000256</v>
      </c>
    </row>
    <row r="51" spans="2:31" ht="20" x14ac:dyDescent="0.25">
      <c r="B51" s="55"/>
      <c r="C51" s="55"/>
      <c r="D51" s="4" t="s">
        <v>95</v>
      </c>
      <c r="E51" s="4" t="s">
        <v>96</v>
      </c>
      <c r="F51" s="4" t="s">
        <v>51</v>
      </c>
      <c r="G51" s="4" t="s">
        <v>35</v>
      </c>
      <c r="H51" s="54" t="s">
        <v>36</v>
      </c>
      <c r="I51" s="52"/>
      <c r="J51" s="57">
        <v>35.235999999999997</v>
      </c>
      <c r="K51" s="52"/>
      <c r="L51" s="6">
        <v>32.311411999999997</v>
      </c>
      <c r="M51" s="6">
        <v>0.91700000000000004</v>
      </c>
      <c r="N51" s="6">
        <v>33.695999999999998</v>
      </c>
      <c r="O51" s="57">
        <v>30.899232000000001</v>
      </c>
      <c r="P51" s="52"/>
      <c r="Q51" s="6">
        <v>0.91700000000000015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1.54</v>
      </c>
      <c r="AB51" s="6">
        <v>1.41218</v>
      </c>
      <c r="AC51" s="6">
        <v>0.91699999999999993</v>
      </c>
      <c r="AD51" s="6">
        <v>-1.5399999999999991</v>
      </c>
      <c r="AE51" s="6">
        <v>1.5399999999999991</v>
      </c>
    </row>
    <row r="52" spans="2:31" x14ac:dyDescent="0.25">
      <c r="B52" s="55"/>
      <c r="C52" s="55"/>
      <c r="D52" s="54" t="s">
        <v>97</v>
      </c>
      <c r="E52" s="4" t="s">
        <v>98</v>
      </c>
      <c r="F52" s="4" t="s">
        <v>51</v>
      </c>
      <c r="G52" s="4" t="s">
        <v>35</v>
      </c>
      <c r="H52" s="54" t="s">
        <v>36</v>
      </c>
      <c r="I52" s="52"/>
      <c r="J52" s="57">
        <v>254.17</v>
      </c>
      <c r="K52" s="52"/>
      <c r="L52" s="6">
        <v>233.07389000000001</v>
      </c>
      <c r="M52" s="6">
        <v>0.91700000000000004</v>
      </c>
      <c r="N52" s="6">
        <v>254.17</v>
      </c>
      <c r="O52" s="57">
        <v>233.07389000000001</v>
      </c>
      <c r="P52" s="52"/>
      <c r="Q52" s="6">
        <v>0.91700000000000004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</row>
    <row r="53" spans="2:31" x14ac:dyDescent="0.25">
      <c r="B53" s="55"/>
      <c r="C53" s="55"/>
      <c r="D53" s="56"/>
      <c r="E53" s="4" t="s">
        <v>99</v>
      </c>
      <c r="F53" s="4" t="s">
        <v>51</v>
      </c>
      <c r="G53" s="4" t="s">
        <v>35</v>
      </c>
      <c r="H53" s="54" t="s">
        <v>36</v>
      </c>
      <c r="I53" s="52"/>
      <c r="J53" s="57">
        <v>30.13</v>
      </c>
      <c r="K53" s="52"/>
      <c r="L53" s="6">
        <v>27.62921</v>
      </c>
      <c r="M53" s="6">
        <v>0.91700000000000004</v>
      </c>
      <c r="N53" s="6">
        <v>30.13</v>
      </c>
      <c r="O53" s="57">
        <v>27.62921</v>
      </c>
      <c r="P53" s="52"/>
      <c r="Q53" s="6">
        <v>0.91700000000000004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</row>
    <row r="54" spans="2:31" ht="20" x14ac:dyDescent="0.25">
      <c r="B54" s="55"/>
      <c r="C54" s="55"/>
      <c r="D54" s="4" t="s">
        <v>100</v>
      </c>
      <c r="E54" s="4" t="s">
        <v>101</v>
      </c>
      <c r="F54" s="4" t="s">
        <v>51</v>
      </c>
      <c r="G54" s="4" t="s">
        <v>35</v>
      </c>
      <c r="H54" s="54" t="s">
        <v>48</v>
      </c>
      <c r="I54" s="52"/>
      <c r="J54" s="57">
        <v>19.329999999999998</v>
      </c>
      <c r="K54" s="52"/>
      <c r="L54" s="6">
        <v>14.4975</v>
      </c>
      <c r="M54" s="6">
        <v>0.75000000000000011</v>
      </c>
      <c r="N54" s="6">
        <v>17.940000000000001</v>
      </c>
      <c r="O54" s="57">
        <v>13.455</v>
      </c>
      <c r="P54" s="52"/>
      <c r="Q54" s="6">
        <v>0.75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1.39</v>
      </c>
      <c r="AB54" s="6">
        <v>1.0425</v>
      </c>
      <c r="AC54" s="6">
        <v>0.75</v>
      </c>
      <c r="AD54" s="6">
        <v>-1.389999999999997</v>
      </c>
      <c r="AE54" s="6">
        <v>1.389999999999997</v>
      </c>
    </row>
    <row r="55" spans="2:31" ht="20" x14ac:dyDescent="0.25">
      <c r="B55" s="55"/>
      <c r="C55" s="55"/>
      <c r="D55" s="4" t="s">
        <v>102</v>
      </c>
      <c r="E55" s="4" t="s">
        <v>103</v>
      </c>
      <c r="F55" s="4" t="s">
        <v>51</v>
      </c>
      <c r="G55" s="4" t="s">
        <v>35</v>
      </c>
      <c r="H55" s="54" t="s">
        <v>48</v>
      </c>
      <c r="I55" s="52"/>
      <c r="J55" s="57">
        <v>6.12</v>
      </c>
      <c r="K55" s="52"/>
      <c r="L55" s="6">
        <v>4.59</v>
      </c>
      <c r="M55" s="6">
        <v>0.75</v>
      </c>
      <c r="N55" s="6">
        <v>5.89</v>
      </c>
      <c r="O55" s="57">
        <v>4.4175000000000004</v>
      </c>
      <c r="P55" s="52"/>
      <c r="Q55" s="6">
        <v>0.75000000000000011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0.23</v>
      </c>
      <c r="AB55" s="6">
        <v>0.17249999999999999</v>
      </c>
      <c r="AC55" s="6">
        <v>0.74999999999999989</v>
      </c>
      <c r="AD55" s="6">
        <v>-0.23000000000000043</v>
      </c>
      <c r="AE55" s="6">
        <v>0.23000000000000043</v>
      </c>
    </row>
    <row r="56" spans="2:31" ht="20" x14ac:dyDescent="0.25">
      <c r="B56" s="55"/>
      <c r="C56" s="55"/>
      <c r="D56" s="4" t="s">
        <v>104</v>
      </c>
      <c r="E56" s="4" t="s">
        <v>105</v>
      </c>
      <c r="F56" s="4" t="s">
        <v>51</v>
      </c>
      <c r="G56" s="4" t="s">
        <v>35</v>
      </c>
      <c r="H56" s="54" t="s">
        <v>36</v>
      </c>
      <c r="I56" s="52"/>
      <c r="J56" s="57">
        <v>27.68</v>
      </c>
      <c r="K56" s="52"/>
      <c r="L56" s="6">
        <v>25.382560000000002</v>
      </c>
      <c r="M56" s="6">
        <v>0.91700000000000004</v>
      </c>
      <c r="N56" s="6">
        <v>26.04</v>
      </c>
      <c r="O56" s="57">
        <v>23.878679999999999</v>
      </c>
      <c r="P56" s="52"/>
      <c r="Q56" s="6">
        <v>0.91700000000000004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1.64</v>
      </c>
      <c r="AB56" s="6">
        <v>1.5038800000000001</v>
      </c>
      <c r="AC56" s="6">
        <v>0.91700000000000015</v>
      </c>
      <c r="AD56" s="6">
        <v>-1.6400000000000006</v>
      </c>
      <c r="AE56" s="6">
        <v>1.6400000000000006</v>
      </c>
    </row>
    <row r="57" spans="2:31" x14ac:dyDescent="0.25">
      <c r="B57" s="55"/>
      <c r="C57" s="55"/>
      <c r="D57" s="54" t="s">
        <v>106</v>
      </c>
      <c r="E57" s="4" t="s">
        <v>107</v>
      </c>
      <c r="F57" s="4" t="s">
        <v>51</v>
      </c>
      <c r="G57" s="4" t="s">
        <v>35</v>
      </c>
      <c r="H57" s="54" t="s">
        <v>48</v>
      </c>
      <c r="I57" s="52"/>
      <c r="J57" s="57">
        <v>17.59</v>
      </c>
      <c r="K57" s="52"/>
      <c r="L57" s="6">
        <v>13.192500000000001</v>
      </c>
      <c r="M57" s="6">
        <v>0.75</v>
      </c>
      <c r="N57" s="6">
        <v>16.09</v>
      </c>
      <c r="O57" s="57">
        <v>12.067500000000001</v>
      </c>
      <c r="P57" s="52"/>
      <c r="Q57" s="6">
        <v>0.75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1.5</v>
      </c>
      <c r="AB57" s="6">
        <v>1.125</v>
      </c>
      <c r="AC57" s="6">
        <v>0.75</v>
      </c>
      <c r="AD57" s="6">
        <v>-1.5</v>
      </c>
      <c r="AE57" s="6">
        <v>1.5</v>
      </c>
    </row>
    <row r="58" spans="2:31" x14ac:dyDescent="0.25">
      <c r="B58" s="55"/>
      <c r="C58" s="55"/>
      <c r="D58" s="56"/>
      <c r="E58" s="4" t="s">
        <v>108</v>
      </c>
      <c r="F58" s="4" t="s">
        <v>51</v>
      </c>
      <c r="G58" s="4" t="s">
        <v>35</v>
      </c>
      <c r="H58" s="54" t="s">
        <v>48</v>
      </c>
      <c r="I58" s="52"/>
      <c r="J58" s="57">
        <v>6.58</v>
      </c>
      <c r="K58" s="52"/>
      <c r="L58" s="6">
        <v>4.9349999999999996</v>
      </c>
      <c r="M58" s="6">
        <v>0.74999999999999989</v>
      </c>
      <c r="N58" s="6">
        <v>6.55</v>
      </c>
      <c r="O58" s="57">
        <v>4.9124999999999996</v>
      </c>
      <c r="P58" s="52"/>
      <c r="Q58" s="6">
        <v>0.75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0.03</v>
      </c>
      <c r="AB58" s="6">
        <v>2.2499999999999999E-2</v>
      </c>
      <c r="AC58" s="6">
        <v>0.75</v>
      </c>
      <c r="AD58" s="6">
        <v>-3.0000000000000249E-2</v>
      </c>
      <c r="AE58" s="6">
        <v>3.0000000000000249E-2</v>
      </c>
    </row>
    <row r="59" spans="2:31" ht="20" x14ac:dyDescent="0.25">
      <c r="B59" s="55"/>
      <c r="C59" s="55"/>
      <c r="D59" s="4" t="s">
        <v>109</v>
      </c>
      <c r="E59" s="4" t="s">
        <v>110</v>
      </c>
      <c r="F59" s="4" t="s">
        <v>51</v>
      </c>
      <c r="G59" s="4" t="s">
        <v>35</v>
      </c>
      <c r="H59" s="54" t="s">
        <v>36</v>
      </c>
      <c r="I59" s="52"/>
      <c r="J59" s="57">
        <v>24.54</v>
      </c>
      <c r="K59" s="52"/>
      <c r="L59" s="6">
        <v>22.50318</v>
      </c>
      <c r="M59" s="6">
        <v>0.91700000000000004</v>
      </c>
      <c r="N59" s="6">
        <v>22.82</v>
      </c>
      <c r="O59" s="57">
        <v>20.925940000000001</v>
      </c>
      <c r="P59" s="52"/>
      <c r="Q59" s="6">
        <v>0.91700000000000004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1.72</v>
      </c>
      <c r="AB59" s="6">
        <v>1.57724</v>
      </c>
      <c r="AC59" s="6">
        <v>0.91700000000000004</v>
      </c>
      <c r="AD59" s="6">
        <v>-1.7199999999999989</v>
      </c>
      <c r="AE59" s="6">
        <v>1.7199999999999989</v>
      </c>
    </row>
    <row r="60" spans="2:31" ht="20" x14ac:dyDescent="0.25">
      <c r="B60" s="55"/>
      <c r="C60" s="55"/>
      <c r="D60" s="4" t="s">
        <v>111</v>
      </c>
      <c r="E60" s="4" t="s">
        <v>112</v>
      </c>
      <c r="F60" s="4" t="s">
        <v>51</v>
      </c>
      <c r="G60" s="4" t="s">
        <v>35</v>
      </c>
      <c r="H60" s="54" t="s">
        <v>48</v>
      </c>
      <c r="I60" s="52"/>
      <c r="J60" s="57">
        <v>22.15</v>
      </c>
      <c r="K60" s="52"/>
      <c r="L60" s="6">
        <v>16.612500000000001</v>
      </c>
      <c r="M60" s="6">
        <v>0.75000000000000011</v>
      </c>
      <c r="N60" s="6">
        <v>18.760000000000002</v>
      </c>
      <c r="O60" s="57">
        <v>14.07</v>
      </c>
      <c r="P60" s="52"/>
      <c r="Q60" s="6">
        <v>0.75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3.39</v>
      </c>
      <c r="AB60" s="6">
        <v>2.5425</v>
      </c>
      <c r="AC60" s="6">
        <v>0.75</v>
      </c>
      <c r="AD60" s="6">
        <v>-3.389999999999997</v>
      </c>
      <c r="AE60" s="6">
        <v>3.389999999999997</v>
      </c>
    </row>
    <row r="61" spans="2:31" ht="20" x14ac:dyDescent="0.25">
      <c r="B61" s="55"/>
      <c r="C61" s="55"/>
      <c r="D61" s="4" t="s">
        <v>113</v>
      </c>
      <c r="E61" s="4" t="s">
        <v>114</v>
      </c>
      <c r="F61" s="4" t="s">
        <v>51</v>
      </c>
      <c r="G61" s="4" t="s">
        <v>35</v>
      </c>
      <c r="H61" s="54" t="s">
        <v>36</v>
      </c>
      <c r="I61" s="52"/>
      <c r="J61" s="57">
        <v>46.6</v>
      </c>
      <c r="K61" s="52"/>
      <c r="L61" s="6">
        <v>42.732199999999999</v>
      </c>
      <c r="M61" s="6">
        <v>0.91699999999999993</v>
      </c>
      <c r="N61" s="6">
        <v>43.64</v>
      </c>
      <c r="O61" s="57">
        <v>40.017879999999998</v>
      </c>
      <c r="P61" s="52"/>
      <c r="Q61" s="6">
        <v>0.91699999999999993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2.96</v>
      </c>
      <c r="AB61" s="6">
        <v>2.7143199999999998</v>
      </c>
      <c r="AC61" s="6">
        <v>0.91699999999999993</v>
      </c>
      <c r="AD61" s="6">
        <v>-2.9600000000000009</v>
      </c>
      <c r="AE61" s="6">
        <v>2.9600000000000009</v>
      </c>
    </row>
    <row r="62" spans="2:31" ht="20" x14ac:dyDescent="0.25">
      <c r="B62" s="55"/>
      <c r="C62" s="55"/>
      <c r="D62" s="4" t="s">
        <v>115</v>
      </c>
      <c r="E62" s="4" t="s">
        <v>116</v>
      </c>
      <c r="F62" s="4" t="s">
        <v>51</v>
      </c>
      <c r="G62" s="4" t="s">
        <v>35</v>
      </c>
      <c r="H62" s="54" t="s">
        <v>48</v>
      </c>
      <c r="I62" s="52"/>
      <c r="J62" s="57">
        <v>14.12</v>
      </c>
      <c r="K62" s="52"/>
      <c r="L62" s="6">
        <v>10.59</v>
      </c>
      <c r="M62" s="6">
        <v>0.75</v>
      </c>
      <c r="N62" s="6">
        <v>12.6</v>
      </c>
      <c r="O62" s="57">
        <v>9.4499999999999993</v>
      </c>
      <c r="P62" s="52"/>
      <c r="Q62" s="6">
        <v>0.75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1.52</v>
      </c>
      <c r="AB62" s="6">
        <v>1.1399999999999999</v>
      </c>
      <c r="AC62" s="6">
        <v>0.74999999999999989</v>
      </c>
      <c r="AD62" s="6">
        <v>-1.5199999999999996</v>
      </c>
      <c r="AE62" s="6">
        <v>1.5199999999999996</v>
      </c>
    </row>
    <row r="63" spans="2:31" ht="20" x14ac:dyDescent="0.25">
      <c r="B63" s="55"/>
      <c r="C63" s="55"/>
      <c r="D63" s="4" t="s">
        <v>117</v>
      </c>
      <c r="E63" s="4" t="s">
        <v>118</v>
      </c>
      <c r="F63" s="4" t="s">
        <v>51</v>
      </c>
      <c r="G63" s="4" t="s">
        <v>35</v>
      </c>
      <c r="H63" s="54" t="s">
        <v>36</v>
      </c>
      <c r="I63" s="52"/>
      <c r="J63" s="57">
        <v>26.15</v>
      </c>
      <c r="K63" s="52"/>
      <c r="L63" s="6">
        <v>23.97955</v>
      </c>
      <c r="M63" s="6">
        <v>0.91700000000000004</v>
      </c>
      <c r="N63" s="6">
        <v>25.35</v>
      </c>
      <c r="O63" s="57">
        <v>23.245950000000001</v>
      </c>
      <c r="P63" s="52"/>
      <c r="Q63" s="6">
        <v>0.91699999999999993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0.8</v>
      </c>
      <c r="AB63" s="6">
        <v>0.73360000000000003</v>
      </c>
      <c r="AC63" s="6">
        <v>0.91700000000000004</v>
      </c>
      <c r="AD63" s="6">
        <v>-0.79999999999999716</v>
      </c>
      <c r="AE63" s="6">
        <v>0.79999999999999716</v>
      </c>
    </row>
    <row r="64" spans="2:31" ht="20" x14ac:dyDescent="0.25">
      <c r="B64" s="55"/>
      <c r="C64" s="55"/>
      <c r="D64" s="4" t="s">
        <v>119</v>
      </c>
      <c r="E64" s="4" t="s">
        <v>120</v>
      </c>
      <c r="F64" s="4" t="s">
        <v>51</v>
      </c>
      <c r="G64" s="4" t="s">
        <v>35</v>
      </c>
      <c r="H64" s="54" t="s">
        <v>36</v>
      </c>
      <c r="I64" s="52"/>
      <c r="J64" s="57">
        <v>59.65</v>
      </c>
      <c r="K64" s="52"/>
      <c r="L64" s="6">
        <v>54.69905</v>
      </c>
      <c r="M64" s="6">
        <v>0.91700000000000004</v>
      </c>
      <c r="N64" s="6">
        <v>54.02</v>
      </c>
      <c r="O64" s="57">
        <v>49.536340000000003</v>
      </c>
      <c r="P64" s="52"/>
      <c r="Q64" s="6">
        <v>0.91700000000000004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5.63</v>
      </c>
      <c r="AB64" s="6">
        <v>5.1627099999999997</v>
      </c>
      <c r="AC64" s="6">
        <v>0.91699999999999993</v>
      </c>
      <c r="AD64" s="6">
        <v>-5.6299999999999955</v>
      </c>
      <c r="AE64" s="6">
        <v>5.6299999999999955</v>
      </c>
    </row>
    <row r="65" spans="2:31" ht="20" x14ac:dyDescent="0.25">
      <c r="B65" s="55"/>
      <c r="C65" s="55"/>
      <c r="D65" s="4" t="s">
        <v>121</v>
      </c>
      <c r="E65" s="4" t="s">
        <v>122</v>
      </c>
      <c r="F65" s="4" t="s">
        <v>51</v>
      </c>
      <c r="G65" s="4" t="s">
        <v>35</v>
      </c>
      <c r="H65" s="54" t="s">
        <v>48</v>
      </c>
      <c r="I65" s="52"/>
      <c r="J65" s="57">
        <v>24.97</v>
      </c>
      <c r="K65" s="52"/>
      <c r="L65" s="6">
        <v>18.727499999999999</v>
      </c>
      <c r="M65" s="6">
        <v>0.75</v>
      </c>
      <c r="N65" s="6">
        <v>22.34</v>
      </c>
      <c r="O65" s="57">
        <v>16.754999999999999</v>
      </c>
      <c r="P65" s="52"/>
      <c r="Q65" s="6">
        <v>0.75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2.63</v>
      </c>
      <c r="AB65" s="6">
        <v>1.9724999999999999</v>
      </c>
      <c r="AC65" s="6">
        <v>0.75</v>
      </c>
      <c r="AD65" s="6">
        <v>-2.629999999999999</v>
      </c>
      <c r="AE65" s="6">
        <v>2.629999999999999</v>
      </c>
    </row>
    <row r="66" spans="2:31" ht="20" x14ac:dyDescent="0.25">
      <c r="B66" s="55"/>
      <c r="C66" s="55"/>
      <c r="D66" s="4" t="s">
        <v>123</v>
      </c>
      <c r="E66" s="4" t="s">
        <v>124</v>
      </c>
      <c r="F66" s="4" t="s">
        <v>51</v>
      </c>
      <c r="G66" s="4" t="s">
        <v>35</v>
      </c>
      <c r="H66" s="54" t="s">
        <v>36</v>
      </c>
      <c r="I66" s="52"/>
      <c r="J66" s="57">
        <v>29.81</v>
      </c>
      <c r="K66" s="52"/>
      <c r="L66" s="6">
        <v>27.33577</v>
      </c>
      <c r="M66" s="6">
        <v>0.91700000000000004</v>
      </c>
      <c r="N66" s="6">
        <v>28.14</v>
      </c>
      <c r="O66" s="57">
        <v>25.804379999999998</v>
      </c>
      <c r="P66" s="52"/>
      <c r="Q66" s="6">
        <v>0.91699999999999993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1.67</v>
      </c>
      <c r="AB66" s="6">
        <v>1.53139</v>
      </c>
      <c r="AC66" s="6">
        <v>0.91700000000000004</v>
      </c>
      <c r="AD66" s="6">
        <v>-1.6699999999999982</v>
      </c>
      <c r="AE66" s="6">
        <v>1.6699999999999982</v>
      </c>
    </row>
    <row r="67" spans="2:31" ht="20" x14ac:dyDescent="0.25">
      <c r="B67" s="55"/>
      <c r="C67" s="55"/>
      <c r="D67" s="4" t="s">
        <v>125</v>
      </c>
      <c r="E67" s="4" t="s">
        <v>126</v>
      </c>
      <c r="F67" s="4" t="s">
        <v>51</v>
      </c>
      <c r="G67" s="4" t="s">
        <v>35</v>
      </c>
      <c r="H67" s="54" t="s">
        <v>36</v>
      </c>
      <c r="I67" s="52"/>
      <c r="J67" s="57">
        <v>32.74</v>
      </c>
      <c r="K67" s="52"/>
      <c r="L67" s="6">
        <v>30.022580000000001</v>
      </c>
      <c r="M67" s="6">
        <v>0.91700000000000004</v>
      </c>
      <c r="N67" s="6">
        <v>29.45</v>
      </c>
      <c r="O67" s="57">
        <v>27.005649999999999</v>
      </c>
      <c r="P67" s="52"/>
      <c r="Q67" s="6">
        <v>0.91700000000000004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3.29</v>
      </c>
      <c r="AB67" s="6">
        <v>3.0169299999999999</v>
      </c>
      <c r="AC67" s="6">
        <v>0.91699999999999993</v>
      </c>
      <c r="AD67" s="6">
        <v>-3.2900000000000027</v>
      </c>
      <c r="AE67" s="6">
        <v>3.2900000000000027</v>
      </c>
    </row>
    <row r="68" spans="2:31" ht="20" x14ac:dyDescent="0.25">
      <c r="B68" s="55"/>
      <c r="C68" s="55"/>
      <c r="D68" s="4" t="s">
        <v>127</v>
      </c>
      <c r="E68" s="4" t="s">
        <v>128</v>
      </c>
      <c r="F68" s="4" t="s">
        <v>51</v>
      </c>
      <c r="G68" s="4" t="s">
        <v>35</v>
      </c>
      <c r="H68" s="54" t="s">
        <v>36</v>
      </c>
      <c r="I68" s="52"/>
      <c r="J68" s="57">
        <v>25.74</v>
      </c>
      <c r="K68" s="52"/>
      <c r="L68" s="6">
        <v>23.603580000000001</v>
      </c>
      <c r="M68" s="6">
        <v>0.91700000000000004</v>
      </c>
      <c r="N68" s="6">
        <v>24.15</v>
      </c>
      <c r="O68" s="57">
        <v>22.14555</v>
      </c>
      <c r="P68" s="52"/>
      <c r="Q68" s="6">
        <v>0.91700000000000004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1.59</v>
      </c>
      <c r="AB68" s="6">
        <v>1.4580299999999999</v>
      </c>
      <c r="AC68" s="6">
        <v>0.91699999999999993</v>
      </c>
      <c r="AD68" s="6">
        <v>-1.59</v>
      </c>
      <c r="AE68" s="6">
        <v>1.59</v>
      </c>
    </row>
    <row r="69" spans="2:31" ht="20" x14ac:dyDescent="0.25">
      <c r="B69" s="55"/>
      <c r="C69" s="55"/>
      <c r="D69" s="4" t="s">
        <v>129</v>
      </c>
      <c r="E69" s="4" t="s">
        <v>130</v>
      </c>
      <c r="F69" s="4" t="s">
        <v>51</v>
      </c>
      <c r="G69" s="4" t="s">
        <v>35</v>
      </c>
      <c r="H69" s="54" t="s">
        <v>41</v>
      </c>
      <c r="I69" s="52"/>
      <c r="J69" s="57">
        <v>59.08</v>
      </c>
      <c r="K69" s="52"/>
      <c r="L69" s="6">
        <v>44.31</v>
      </c>
      <c r="M69" s="6">
        <v>0.75000000000000011</v>
      </c>
      <c r="N69" s="6">
        <v>55.41</v>
      </c>
      <c r="O69" s="57">
        <v>41.557499999999997</v>
      </c>
      <c r="P69" s="52"/>
      <c r="Q69" s="6">
        <v>0.75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3.67</v>
      </c>
      <c r="AB69" s="6">
        <v>2.7524999999999999</v>
      </c>
      <c r="AC69" s="6">
        <v>0.75</v>
      </c>
      <c r="AD69" s="6">
        <v>-3.6700000000000017</v>
      </c>
      <c r="AE69" s="6">
        <v>3.6700000000000017</v>
      </c>
    </row>
    <row r="70" spans="2:31" ht="20" x14ac:dyDescent="0.25">
      <c r="B70" s="55"/>
      <c r="C70" s="55"/>
      <c r="D70" s="4" t="s">
        <v>131</v>
      </c>
      <c r="E70" s="4" t="s">
        <v>132</v>
      </c>
      <c r="F70" s="4" t="s">
        <v>51</v>
      </c>
      <c r="G70" s="4" t="s">
        <v>133</v>
      </c>
      <c r="H70" s="54" t="s">
        <v>36</v>
      </c>
      <c r="I70" s="52"/>
      <c r="J70" s="57">
        <v>16.45</v>
      </c>
      <c r="K70" s="52"/>
      <c r="L70" s="6">
        <v>15.08465</v>
      </c>
      <c r="M70" s="6">
        <v>0.91700000000000004</v>
      </c>
      <c r="N70" s="6">
        <v>16.45</v>
      </c>
      <c r="O70" s="57">
        <v>15.08465</v>
      </c>
      <c r="P70" s="52"/>
      <c r="Q70" s="6">
        <v>0.91700000000000004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</row>
    <row r="71" spans="2:31" ht="20" x14ac:dyDescent="0.25">
      <c r="B71" s="55"/>
      <c r="C71" s="55"/>
      <c r="D71" s="4" t="s">
        <v>134</v>
      </c>
      <c r="E71" s="4" t="s">
        <v>135</v>
      </c>
      <c r="F71" s="4" t="s">
        <v>51</v>
      </c>
      <c r="G71" s="4" t="s">
        <v>133</v>
      </c>
      <c r="H71" s="54" t="s">
        <v>36</v>
      </c>
      <c r="I71" s="52"/>
      <c r="J71" s="57">
        <v>51.98</v>
      </c>
      <c r="K71" s="52"/>
      <c r="L71" s="6">
        <v>47.665660000000003</v>
      </c>
      <c r="M71" s="6">
        <v>0.91700000000000015</v>
      </c>
      <c r="N71" s="6">
        <v>51.98</v>
      </c>
      <c r="O71" s="57">
        <v>47.665660000000003</v>
      </c>
      <c r="P71" s="52"/>
      <c r="Q71" s="6">
        <v>0.91700000000000015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</row>
    <row r="72" spans="2:31" ht="20" x14ac:dyDescent="0.25">
      <c r="B72" s="55"/>
      <c r="C72" s="55"/>
      <c r="D72" s="4" t="s">
        <v>136</v>
      </c>
      <c r="E72" s="4" t="s">
        <v>137</v>
      </c>
      <c r="F72" s="4" t="s">
        <v>51</v>
      </c>
      <c r="G72" s="4" t="s">
        <v>35</v>
      </c>
      <c r="H72" s="54" t="s">
        <v>36</v>
      </c>
      <c r="I72" s="52"/>
      <c r="J72" s="57">
        <v>46.18</v>
      </c>
      <c r="K72" s="52"/>
      <c r="L72" s="6">
        <v>42.347059999999999</v>
      </c>
      <c r="M72" s="6">
        <v>0.91700000000000004</v>
      </c>
      <c r="N72" s="6">
        <v>44.55</v>
      </c>
      <c r="O72" s="57">
        <v>40.852350000000001</v>
      </c>
      <c r="P72" s="52"/>
      <c r="Q72" s="6">
        <v>0.91700000000000004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1.63</v>
      </c>
      <c r="AB72" s="6">
        <v>1.49471</v>
      </c>
      <c r="AC72" s="6">
        <v>0.91700000000000004</v>
      </c>
      <c r="AD72" s="6">
        <v>-1.6300000000000026</v>
      </c>
      <c r="AE72" s="6">
        <v>1.6300000000000026</v>
      </c>
    </row>
    <row r="73" spans="2:31" ht="20" x14ac:dyDescent="0.25">
      <c r="B73" s="55"/>
      <c r="C73" s="55"/>
      <c r="D73" s="4" t="s">
        <v>138</v>
      </c>
      <c r="E73" s="4" t="s">
        <v>139</v>
      </c>
      <c r="F73" s="4" t="s">
        <v>51</v>
      </c>
      <c r="G73" s="4" t="s">
        <v>35</v>
      </c>
      <c r="H73" s="54" t="s">
        <v>36</v>
      </c>
      <c r="I73" s="52"/>
      <c r="J73" s="57">
        <v>21.53</v>
      </c>
      <c r="K73" s="52"/>
      <c r="L73" s="6">
        <v>19.743010000000002</v>
      </c>
      <c r="M73" s="6">
        <v>0.91700000000000004</v>
      </c>
      <c r="N73" s="6">
        <v>20.43</v>
      </c>
      <c r="O73" s="57">
        <v>18.734310000000001</v>
      </c>
      <c r="P73" s="52"/>
      <c r="Q73" s="6">
        <v>0.91700000000000004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1.1000000000000001</v>
      </c>
      <c r="AB73" s="6">
        <v>1.0086999999999999</v>
      </c>
      <c r="AC73" s="6">
        <v>0.91699999999999982</v>
      </c>
      <c r="AD73" s="6">
        <v>-1.1000000000000014</v>
      </c>
      <c r="AE73" s="6">
        <v>1.1000000000000014</v>
      </c>
    </row>
    <row r="74" spans="2:31" ht="20" x14ac:dyDescent="0.25">
      <c r="B74" s="55"/>
      <c r="C74" s="55"/>
      <c r="D74" s="4" t="s">
        <v>140</v>
      </c>
      <c r="E74" s="4" t="s">
        <v>141</v>
      </c>
      <c r="F74" s="4" t="s">
        <v>51</v>
      </c>
      <c r="G74" s="4" t="s">
        <v>35</v>
      </c>
      <c r="H74" s="54" t="s">
        <v>36</v>
      </c>
      <c r="I74" s="52"/>
      <c r="J74" s="57">
        <v>39.21</v>
      </c>
      <c r="K74" s="52"/>
      <c r="L74" s="6">
        <v>35.955570000000002</v>
      </c>
      <c r="M74" s="6">
        <v>0.91700000000000004</v>
      </c>
      <c r="N74" s="6">
        <v>37.64</v>
      </c>
      <c r="O74" s="57">
        <v>34.515880000000003</v>
      </c>
      <c r="P74" s="52"/>
      <c r="Q74" s="6">
        <v>0.91700000000000004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1.57</v>
      </c>
      <c r="AB74" s="6">
        <v>1.4396899999999999</v>
      </c>
      <c r="AC74" s="6">
        <v>0.91699999999999993</v>
      </c>
      <c r="AD74" s="6">
        <v>-1.5700000000000003</v>
      </c>
      <c r="AE74" s="6">
        <v>1.5700000000000003</v>
      </c>
    </row>
    <row r="75" spans="2:31" ht="20" x14ac:dyDescent="0.25">
      <c r="B75" s="55"/>
      <c r="C75" s="55"/>
      <c r="D75" s="4" t="s">
        <v>142</v>
      </c>
      <c r="E75" s="4" t="s">
        <v>143</v>
      </c>
      <c r="F75" s="4" t="s">
        <v>51</v>
      </c>
      <c r="G75" s="4" t="s">
        <v>35</v>
      </c>
      <c r="H75" s="54" t="s">
        <v>48</v>
      </c>
      <c r="I75" s="52"/>
      <c r="J75" s="57">
        <v>20.23</v>
      </c>
      <c r="K75" s="52"/>
      <c r="L75" s="6">
        <v>15.172499999999999</v>
      </c>
      <c r="M75" s="6">
        <v>0.75</v>
      </c>
      <c r="N75" s="6">
        <v>17.57</v>
      </c>
      <c r="O75" s="57">
        <v>13.1775</v>
      </c>
      <c r="P75" s="52"/>
      <c r="Q75" s="6">
        <v>0.75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2.66</v>
      </c>
      <c r="AB75" s="6">
        <v>1.9950000000000001</v>
      </c>
      <c r="AC75" s="6">
        <v>0.75</v>
      </c>
      <c r="AD75" s="6">
        <v>-2.66</v>
      </c>
      <c r="AE75" s="6">
        <v>2.66</v>
      </c>
    </row>
    <row r="76" spans="2:31" ht="20" x14ac:dyDescent="0.25">
      <c r="B76" s="55"/>
      <c r="C76" s="55"/>
      <c r="D76" s="4" t="s">
        <v>144</v>
      </c>
      <c r="E76" s="4" t="s">
        <v>145</v>
      </c>
      <c r="F76" s="4" t="s">
        <v>51</v>
      </c>
      <c r="G76" s="4" t="s">
        <v>35</v>
      </c>
      <c r="H76" s="54" t="s">
        <v>36</v>
      </c>
      <c r="I76" s="52"/>
      <c r="J76" s="57">
        <v>56.72</v>
      </c>
      <c r="K76" s="52"/>
      <c r="L76" s="6">
        <v>52.012239999999998</v>
      </c>
      <c r="M76" s="6">
        <v>0.91700000000000004</v>
      </c>
      <c r="N76" s="6">
        <v>52.57</v>
      </c>
      <c r="O76" s="57">
        <v>48.206690000000002</v>
      </c>
      <c r="P76" s="52"/>
      <c r="Q76" s="6">
        <v>0.91700000000000004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4.1500000000000004</v>
      </c>
      <c r="AB76" s="6">
        <v>3.8055500000000002</v>
      </c>
      <c r="AC76" s="6">
        <v>0.91699999999999993</v>
      </c>
      <c r="AD76" s="6">
        <v>-4.1499999999999986</v>
      </c>
      <c r="AE76" s="6">
        <v>4.1499999999999986</v>
      </c>
    </row>
    <row r="77" spans="2:31" ht="20" x14ac:dyDescent="0.25">
      <c r="B77" s="55"/>
      <c r="C77" s="55"/>
      <c r="D77" s="4" t="s">
        <v>146</v>
      </c>
      <c r="E77" s="4" t="s">
        <v>147</v>
      </c>
      <c r="F77" s="4" t="s">
        <v>51</v>
      </c>
      <c r="G77" s="4" t="s">
        <v>35</v>
      </c>
      <c r="H77" s="54" t="s">
        <v>36</v>
      </c>
      <c r="I77" s="52"/>
      <c r="J77" s="57">
        <v>33.32</v>
      </c>
      <c r="K77" s="52"/>
      <c r="L77" s="6">
        <v>30.55444</v>
      </c>
      <c r="M77" s="6">
        <v>0.91699999999999993</v>
      </c>
      <c r="N77" s="6">
        <v>32.08</v>
      </c>
      <c r="O77" s="57">
        <v>29.417359999999999</v>
      </c>
      <c r="P77" s="52"/>
      <c r="Q77" s="6">
        <v>0.91700000000000004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1.24</v>
      </c>
      <c r="AB77" s="6">
        <v>1.1370800000000001</v>
      </c>
      <c r="AC77" s="6">
        <v>0.91700000000000004</v>
      </c>
      <c r="AD77" s="6">
        <v>-1.240000000000002</v>
      </c>
      <c r="AE77" s="6">
        <v>1.240000000000002</v>
      </c>
    </row>
    <row r="78" spans="2:31" ht="20" x14ac:dyDescent="0.25">
      <c r="B78" s="55"/>
      <c r="C78" s="55"/>
      <c r="D78" s="4" t="s">
        <v>148</v>
      </c>
      <c r="E78" s="4" t="s">
        <v>149</v>
      </c>
      <c r="F78" s="4" t="s">
        <v>51</v>
      </c>
      <c r="G78" s="4" t="s">
        <v>35</v>
      </c>
      <c r="H78" s="54" t="s">
        <v>36</v>
      </c>
      <c r="I78" s="52"/>
      <c r="J78" s="57">
        <v>37.17</v>
      </c>
      <c r="K78" s="52"/>
      <c r="L78" s="6">
        <v>34.084890000000001</v>
      </c>
      <c r="M78" s="6">
        <v>0.91700000000000004</v>
      </c>
      <c r="N78" s="6">
        <v>35.18</v>
      </c>
      <c r="O78" s="57">
        <v>32.260060000000003</v>
      </c>
      <c r="P78" s="52"/>
      <c r="Q78" s="6">
        <v>0.91700000000000004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1.99</v>
      </c>
      <c r="AB78" s="6">
        <v>1.82483</v>
      </c>
      <c r="AC78" s="6">
        <v>0.91699999999999993</v>
      </c>
      <c r="AD78" s="6">
        <v>-1.990000000000002</v>
      </c>
      <c r="AE78" s="6">
        <v>1.990000000000002</v>
      </c>
    </row>
    <row r="79" spans="2:31" ht="20" x14ac:dyDescent="0.25">
      <c r="B79" s="55"/>
      <c r="C79" s="55"/>
      <c r="D79" s="4" t="s">
        <v>150</v>
      </c>
      <c r="E79" s="4" t="s">
        <v>151</v>
      </c>
      <c r="F79" s="4" t="s">
        <v>51</v>
      </c>
      <c r="G79" s="4" t="s">
        <v>35</v>
      </c>
      <c r="H79" s="54" t="s">
        <v>36</v>
      </c>
      <c r="I79" s="52"/>
      <c r="J79" s="57">
        <v>25.4</v>
      </c>
      <c r="K79" s="52"/>
      <c r="L79" s="6">
        <v>23.291799999999999</v>
      </c>
      <c r="M79" s="6">
        <v>0.91700000000000004</v>
      </c>
      <c r="N79" s="6">
        <v>24.42</v>
      </c>
      <c r="O79" s="57">
        <v>22.393139999999999</v>
      </c>
      <c r="P79" s="52"/>
      <c r="Q79" s="6">
        <v>0.91699999999999993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0.98</v>
      </c>
      <c r="AB79" s="6">
        <v>0.89866000000000001</v>
      </c>
      <c r="AC79" s="6">
        <v>0.91700000000000004</v>
      </c>
      <c r="AD79" s="6">
        <v>-0.97999999999999687</v>
      </c>
      <c r="AE79" s="6">
        <v>0.97999999999999687</v>
      </c>
    </row>
    <row r="80" spans="2:31" ht="20" x14ac:dyDescent="0.25">
      <c r="B80" s="55"/>
      <c r="C80" s="55"/>
      <c r="D80" s="4" t="s">
        <v>152</v>
      </c>
      <c r="E80" s="4" t="s">
        <v>153</v>
      </c>
      <c r="F80" s="4" t="s">
        <v>51</v>
      </c>
      <c r="G80" s="4" t="s">
        <v>35</v>
      </c>
      <c r="H80" s="54" t="s">
        <v>48</v>
      </c>
      <c r="I80" s="52"/>
      <c r="J80" s="57">
        <v>36.36</v>
      </c>
      <c r="K80" s="52"/>
      <c r="L80" s="6">
        <v>27.27</v>
      </c>
      <c r="M80" s="6">
        <v>0.75</v>
      </c>
      <c r="N80" s="6">
        <v>35.9</v>
      </c>
      <c r="O80" s="57">
        <v>26.925000000000001</v>
      </c>
      <c r="P80" s="52"/>
      <c r="Q80" s="6">
        <v>0.75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0.46</v>
      </c>
      <c r="AB80" s="6">
        <v>0.34499999999999997</v>
      </c>
      <c r="AC80" s="6">
        <v>0.74999999999999989</v>
      </c>
      <c r="AD80" s="6">
        <v>-0.46000000000000085</v>
      </c>
      <c r="AE80" s="6">
        <v>0.46000000000000085</v>
      </c>
    </row>
    <row r="81" spans="2:31" ht="20" x14ac:dyDescent="0.25">
      <c r="B81" s="55"/>
      <c r="C81" s="55"/>
      <c r="D81" s="4" t="s">
        <v>154</v>
      </c>
      <c r="E81" s="4" t="s">
        <v>155</v>
      </c>
      <c r="F81" s="4" t="s">
        <v>51</v>
      </c>
      <c r="G81" s="4" t="s">
        <v>35</v>
      </c>
      <c r="H81" s="54" t="s">
        <v>36</v>
      </c>
      <c r="I81" s="52"/>
      <c r="J81" s="57">
        <v>39.82</v>
      </c>
      <c r="K81" s="52"/>
      <c r="L81" s="6">
        <v>36.514940000000003</v>
      </c>
      <c r="M81" s="6">
        <v>0.91700000000000004</v>
      </c>
      <c r="N81" s="6">
        <v>37.299999999999997</v>
      </c>
      <c r="O81" s="57">
        <v>34.204099999999997</v>
      </c>
      <c r="P81" s="52"/>
      <c r="Q81" s="6">
        <v>0.91700000000000004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2.52</v>
      </c>
      <c r="AB81" s="6">
        <v>2.3108399999999998</v>
      </c>
      <c r="AC81" s="6">
        <v>0.91699999999999993</v>
      </c>
      <c r="AD81" s="6">
        <v>-2.5200000000000031</v>
      </c>
      <c r="AE81" s="6">
        <v>2.5200000000000031</v>
      </c>
    </row>
    <row r="82" spans="2:31" ht="20" x14ac:dyDescent="0.25">
      <c r="B82" s="55"/>
      <c r="C82" s="55"/>
      <c r="D82" s="4" t="s">
        <v>156</v>
      </c>
      <c r="E82" s="4" t="s">
        <v>157</v>
      </c>
      <c r="F82" s="4" t="s">
        <v>51</v>
      </c>
      <c r="G82" s="4" t="s">
        <v>35</v>
      </c>
      <c r="H82" s="54" t="s">
        <v>36</v>
      </c>
      <c r="I82" s="52"/>
      <c r="J82" s="57">
        <v>74.48</v>
      </c>
      <c r="K82" s="52"/>
      <c r="L82" s="6">
        <v>68.298159999999996</v>
      </c>
      <c r="M82" s="6">
        <v>0.91699999999999993</v>
      </c>
      <c r="N82" s="6">
        <v>68.95</v>
      </c>
      <c r="O82" s="57">
        <v>63.227150000000002</v>
      </c>
      <c r="P82" s="52"/>
      <c r="Q82" s="6">
        <v>0.91700000000000004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5.53</v>
      </c>
      <c r="AB82" s="6">
        <v>5.0710100000000002</v>
      </c>
      <c r="AC82" s="6">
        <v>0.91700000000000004</v>
      </c>
      <c r="AD82" s="6">
        <v>-5.5300000000000011</v>
      </c>
      <c r="AE82" s="6">
        <v>5.5300000000000011</v>
      </c>
    </row>
    <row r="83" spans="2:31" x14ac:dyDescent="0.25">
      <c r="B83" s="55"/>
      <c r="C83" s="55"/>
      <c r="D83" s="54" t="s">
        <v>158</v>
      </c>
      <c r="E83" s="4" t="s">
        <v>159</v>
      </c>
      <c r="F83" s="4" t="s">
        <v>51</v>
      </c>
      <c r="G83" s="4" t="s">
        <v>35</v>
      </c>
      <c r="H83" s="54" t="s">
        <v>48</v>
      </c>
      <c r="I83" s="52"/>
      <c r="J83" s="57">
        <v>20.54</v>
      </c>
      <c r="K83" s="52"/>
      <c r="L83" s="6">
        <v>15.404999999999999</v>
      </c>
      <c r="M83" s="6">
        <v>0.75</v>
      </c>
      <c r="N83" s="6">
        <v>16.079999999999998</v>
      </c>
      <c r="O83" s="57">
        <v>12.06</v>
      </c>
      <c r="P83" s="52"/>
      <c r="Q83" s="6">
        <v>0.75000000000000011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4.46</v>
      </c>
      <c r="AB83" s="6">
        <v>3.3450000000000002</v>
      </c>
      <c r="AC83" s="6">
        <v>0.75</v>
      </c>
      <c r="AD83" s="6">
        <v>-4.4600000000000009</v>
      </c>
      <c r="AE83" s="6">
        <v>4.4600000000000009</v>
      </c>
    </row>
    <row r="84" spans="2:31" x14ac:dyDescent="0.25">
      <c r="B84" s="55"/>
      <c r="C84" s="55"/>
      <c r="D84" s="55"/>
      <c r="E84" s="4" t="s">
        <v>160</v>
      </c>
      <c r="F84" s="4" t="s">
        <v>51</v>
      </c>
      <c r="G84" s="4" t="s">
        <v>35</v>
      </c>
      <c r="H84" s="54" t="s">
        <v>48</v>
      </c>
      <c r="I84" s="52"/>
      <c r="J84" s="57">
        <v>14.28</v>
      </c>
      <c r="K84" s="52"/>
      <c r="L84" s="6">
        <v>10.71</v>
      </c>
      <c r="M84" s="6">
        <v>0.75000000000000011</v>
      </c>
      <c r="N84" s="6">
        <v>13.15</v>
      </c>
      <c r="O84" s="57">
        <v>9.8625000000000007</v>
      </c>
      <c r="P84" s="52"/>
      <c r="Q84" s="6">
        <v>0.75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1.1299999999999999</v>
      </c>
      <c r="AB84" s="6">
        <v>0.84750000000000003</v>
      </c>
      <c r="AC84" s="6">
        <v>0.75000000000000011</v>
      </c>
      <c r="AD84" s="6">
        <v>-1.129999999999999</v>
      </c>
      <c r="AE84" s="6">
        <v>1.129999999999999</v>
      </c>
    </row>
    <row r="85" spans="2:31" x14ac:dyDescent="0.25">
      <c r="B85" s="55"/>
      <c r="C85" s="55"/>
      <c r="D85" s="55"/>
      <c r="E85" s="4" t="s">
        <v>161</v>
      </c>
      <c r="F85" s="4" t="s">
        <v>51</v>
      </c>
      <c r="G85" s="4" t="s">
        <v>35</v>
      </c>
      <c r="H85" s="54" t="s">
        <v>36</v>
      </c>
      <c r="I85" s="52"/>
      <c r="J85" s="57">
        <v>48.23</v>
      </c>
      <c r="K85" s="52"/>
      <c r="L85" s="6">
        <v>44.226909999999997</v>
      </c>
      <c r="M85" s="6">
        <v>0.91700000000000004</v>
      </c>
      <c r="N85" s="6">
        <v>45.61</v>
      </c>
      <c r="O85" s="57">
        <v>41.824370000000002</v>
      </c>
      <c r="P85" s="52"/>
      <c r="Q85" s="6">
        <v>0.91700000000000004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2.62</v>
      </c>
      <c r="AB85" s="6">
        <v>2.4025400000000001</v>
      </c>
      <c r="AC85" s="6">
        <v>0.91700000000000004</v>
      </c>
      <c r="AD85" s="6">
        <v>-2.6199999999999974</v>
      </c>
      <c r="AE85" s="6">
        <v>2.6199999999999974</v>
      </c>
    </row>
    <row r="86" spans="2:31" x14ac:dyDescent="0.25">
      <c r="B86" s="55"/>
      <c r="C86" s="55"/>
      <c r="D86" s="55"/>
      <c r="E86" s="4" t="s">
        <v>162</v>
      </c>
      <c r="F86" s="4" t="s">
        <v>51</v>
      </c>
      <c r="G86" s="4" t="s">
        <v>35</v>
      </c>
      <c r="H86" s="54" t="s">
        <v>36</v>
      </c>
      <c r="I86" s="52"/>
      <c r="J86" s="57">
        <v>42.13</v>
      </c>
      <c r="K86" s="52"/>
      <c r="L86" s="6">
        <v>38.633209999999998</v>
      </c>
      <c r="M86" s="6">
        <v>0.91699999999999993</v>
      </c>
      <c r="N86" s="6">
        <v>39.43</v>
      </c>
      <c r="O86" s="57">
        <v>36.157310000000003</v>
      </c>
      <c r="P86" s="52"/>
      <c r="Q86" s="6">
        <v>0.91700000000000004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2.7</v>
      </c>
      <c r="AB86" s="6">
        <v>2.4759000000000002</v>
      </c>
      <c r="AC86" s="6">
        <v>0.91700000000000004</v>
      </c>
      <c r="AD86" s="6">
        <v>-2.7000000000000028</v>
      </c>
      <c r="AE86" s="6">
        <v>2.7000000000000028</v>
      </c>
    </row>
    <row r="87" spans="2:31" x14ac:dyDescent="0.25">
      <c r="B87" s="55"/>
      <c r="C87" s="55"/>
      <c r="D87" s="55"/>
      <c r="E87" s="4" t="s">
        <v>163</v>
      </c>
      <c r="F87" s="4" t="s">
        <v>51</v>
      </c>
      <c r="G87" s="4" t="s">
        <v>35</v>
      </c>
      <c r="H87" s="54" t="s">
        <v>36</v>
      </c>
      <c r="I87" s="52"/>
      <c r="J87" s="57">
        <v>37.450000000000003</v>
      </c>
      <c r="K87" s="52"/>
      <c r="L87" s="6">
        <v>34.341650000000001</v>
      </c>
      <c r="M87" s="6">
        <v>0.91699999999999993</v>
      </c>
      <c r="N87" s="6">
        <v>35.83</v>
      </c>
      <c r="O87" s="57">
        <v>32.856110000000001</v>
      </c>
      <c r="P87" s="52"/>
      <c r="Q87" s="6">
        <v>0.91700000000000004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1.62</v>
      </c>
      <c r="AB87" s="6">
        <v>1.4855400000000001</v>
      </c>
      <c r="AC87" s="6">
        <v>0.91700000000000004</v>
      </c>
      <c r="AD87" s="6">
        <v>-1.6200000000000045</v>
      </c>
      <c r="AE87" s="6">
        <v>1.6200000000000045</v>
      </c>
    </row>
    <row r="88" spans="2:31" x14ac:dyDescent="0.25">
      <c r="B88" s="55"/>
      <c r="C88" s="55"/>
      <c r="D88" s="55"/>
      <c r="E88" s="4" t="s">
        <v>164</v>
      </c>
      <c r="F88" s="4" t="s">
        <v>51</v>
      </c>
      <c r="G88" s="4" t="s">
        <v>35</v>
      </c>
      <c r="H88" s="54" t="s">
        <v>36</v>
      </c>
      <c r="I88" s="52"/>
      <c r="J88" s="57">
        <v>41.8</v>
      </c>
      <c r="K88" s="52"/>
      <c r="L88" s="6">
        <v>38.330599999999997</v>
      </c>
      <c r="M88" s="6">
        <v>0.91700000000000004</v>
      </c>
      <c r="N88" s="6">
        <v>40.57</v>
      </c>
      <c r="O88" s="57">
        <v>37.202689999999997</v>
      </c>
      <c r="P88" s="52"/>
      <c r="Q88" s="6">
        <v>0.91699999999999993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1.23</v>
      </c>
      <c r="AB88" s="6">
        <v>1.12791</v>
      </c>
      <c r="AC88" s="6">
        <v>0.91700000000000004</v>
      </c>
      <c r="AD88" s="6">
        <v>-1.2299999999999969</v>
      </c>
      <c r="AE88" s="6">
        <v>1.2299999999999969</v>
      </c>
    </row>
    <row r="89" spans="2:31" x14ac:dyDescent="0.25">
      <c r="B89" s="55"/>
      <c r="C89" s="55"/>
      <c r="D89" s="55"/>
      <c r="E89" s="4" t="s">
        <v>165</v>
      </c>
      <c r="F89" s="4" t="s">
        <v>51</v>
      </c>
      <c r="G89" s="4" t="s">
        <v>35</v>
      </c>
      <c r="H89" s="54" t="s">
        <v>36</v>
      </c>
      <c r="I89" s="52"/>
      <c r="J89" s="57">
        <v>21.33</v>
      </c>
      <c r="K89" s="52"/>
      <c r="L89" s="6">
        <v>19.559609999999999</v>
      </c>
      <c r="M89" s="6">
        <v>0.91700000000000004</v>
      </c>
      <c r="N89" s="6">
        <v>20.68</v>
      </c>
      <c r="O89" s="57">
        <v>18.963560000000001</v>
      </c>
      <c r="P89" s="52"/>
      <c r="Q89" s="6">
        <v>0.91700000000000004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0.65</v>
      </c>
      <c r="AB89" s="6">
        <v>0.59604999999999997</v>
      </c>
      <c r="AC89" s="6">
        <v>0.91699999999999993</v>
      </c>
      <c r="AD89" s="6">
        <v>-0.64999999999999858</v>
      </c>
      <c r="AE89" s="6">
        <v>0.64999999999999858</v>
      </c>
    </row>
    <row r="90" spans="2:31" x14ac:dyDescent="0.25">
      <c r="B90" s="55"/>
      <c r="C90" s="55"/>
      <c r="D90" s="55"/>
      <c r="E90" s="4" t="s">
        <v>166</v>
      </c>
      <c r="F90" s="4" t="s">
        <v>51</v>
      </c>
      <c r="G90" s="4" t="s">
        <v>35</v>
      </c>
      <c r="H90" s="54" t="s">
        <v>36</v>
      </c>
      <c r="I90" s="52"/>
      <c r="J90" s="57">
        <v>33.44</v>
      </c>
      <c r="K90" s="52"/>
      <c r="L90" s="6">
        <v>30.664480000000001</v>
      </c>
      <c r="M90" s="6">
        <v>0.91700000000000015</v>
      </c>
      <c r="N90" s="6">
        <v>31.1</v>
      </c>
      <c r="O90" s="57">
        <v>28.518699999999999</v>
      </c>
      <c r="P90" s="52"/>
      <c r="Q90" s="6">
        <v>0.91699999999999993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2.34</v>
      </c>
      <c r="AB90" s="6">
        <v>2.1457799999999998</v>
      </c>
      <c r="AC90" s="6">
        <v>0.91699999999999993</v>
      </c>
      <c r="AD90" s="6">
        <v>-2.3399999999999963</v>
      </c>
      <c r="AE90" s="6">
        <v>2.3399999999999963</v>
      </c>
    </row>
    <row r="91" spans="2:31" x14ac:dyDescent="0.25">
      <c r="B91" s="55"/>
      <c r="C91" s="55"/>
      <c r="D91" s="56"/>
      <c r="E91" s="4" t="s">
        <v>167</v>
      </c>
      <c r="F91" s="4" t="s">
        <v>51</v>
      </c>
      <c r="G91" s="4" t="s">
        <v>35</v>
      </c>
      <c r="H91" s="54" t="s">
        <v>41</v>
      </c>
      <c r="I91" s="52"/>
      <c r="J91" s="57">
        <v>32.75</v>
      </c>
      <c r="K91" s="52"/>
      <c r="L91" s="6">
        <v>24.5625</v>
      </c>
      <c r="M91" s="6">
        <v>0.75</v>
      </c>
      <c r="N91" s="6">
        <v>30.9</v>
      </c>
      <c r="O91" s="57">
        <v>23.175000000000001</v>
      </c>
      <c r="P91" s="52"/>
      <c r="Q91" s="6">
        <v>0.75000000000000011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1.85</v>
      </c>
      <c r="AB91" s="6">
        <v>1.3875</v>
      </c>
      <c r="AC91" s="6">
        <v>0.74999999999999989</v>
      </c>
      <c r="AD91" s="6">
        <v>-1.8500000000000014</v>
      </c>
      <c r="AE91" s="6">
        <v>1.8500000000000014</v>
      </c>
    </row>
    <row r="92" spans="2:31" ht="20" x14ac:dyDescent="0.25">
      <c r="B92" s="55"/>
      <c r="C92" s="55"/>
      <c r="D92" s="4" t="s">
        <v>168</v>
      </c>
      <c r="E92" s="4" t="s">
        <v>169</v>
      </c>
      <c r="F92" s="4" t="s">
        <v>51</v>
      </c>
      <c r="G92" s="4" t="s">
        <v>35</v>
      </c>
      <c r="H92" s="54" t="s">
        <v>36</v>
      </c>
      <c r="I92" s="52"/>
      <c r="J92" s="57">
        <v>30.94</v>
      </c>
      <c r="K92" s="52"/>
      <c r="L92" s="6">
        <v>28.371980000000001</v>
      </c>
      <c r="M92" s="6">
        <v>0.91700000000000004</v>
      </c>
      <c r="N92" s="6">
        <v>29.85</v>
      </c>
      <c r="O92" s="57">
        <v>27.372450000000001</v>
      </c>
      <c r="P92" s="52"/>
      <c r="Q92" s="6">
        <v>0.91699999999999993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1.0900000000000001</v>
      </c>
      <c r="AB92" s="6">
        <v>0.99953000000000003</v>
      </c>
      <c r="AC92" s="6">
        <v>0.91699999999999993</v>
      </c>
      <c r="AD92" s="6">
        <v>-1.0899999999999999</v>
      </c>
      <c r="AE92" s="6">
        <v>1.0899999999999999</v>
      </c>
    </row>
    <row r="93" spans="2:31" x14ac:dyDescent="0.25">
      <c r="B93" s="55"/>
      <c r="C93" s="55"/>
      <c r="D93" s="54" t="s">
        <v>170</v>
      </c>
      <c r="E93" s="4" t="s">
        <v>171</v>
      </c>
      <c r="F93" s="4" t="s">
        <v>51</v>
      </c>
      <c r="G93" s="4" t="s">
        <v>35</v>
      </c>
      <c r="H93" s="54" t="s">
        <v>36</v>
      </c>
      <c r="I93" s="52"/>
      <c r="J93" s="57">
        <v>46.72</v>
      </c>
      <c r="K93" s="52"/>
      <c r="L93" s="6">
        <v>42.842239999999997</v>
      </c>
      <c r="M93" s="6">
        <v>0.91699999999999993</v>
      </c>
      <c r="N93" s="6">
        <v>45.31</v>
      </c>
      <c r="O93" s="57">
        <v>41.54927</v>
      </c>
      <c r="P93" s="52"/>
      <c r="Q93" s="6">
        <v>0.91699999999999993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1.41</v>
      </c>
      <c r="AB93" s="6">
        <v>1.29297</v>
      </c>
      <c r="AC93" s="6">
        <v>0.91700000000000004</v>
      </c>
      <c r="AD93" s="6">
        <v>-1.4099999999999966</v>
      </c>
      <c r="AE93" s="6">
        <v>1.4099999999999966</v>
      </c>
    </row>
    <row r="94" spans="2:31" x14ac:dyDescent="0.25">
      <c r="B94" s="55"/>
      <c r="C94" s="55"/>
      <c r="D94" s="55"/>
      <c r="E94" s="4" t="s">
        <v>172</v>
      </c>
      <c r="F94" s="4" t="s">
        <v>51</v>
      </c>
      <c r="G94" s="4" t="s">
        <v>35</v>
      </c>
      <c r="H94" s="54" t="s">
        <v>41</v>
      </c>
      <c r="I94" s="52"/>
      <c r="J94" s="57">
        <v>15.4</v>
      </c>
      <c r="K94" s="52"/>
      <c r="L94" s="6">
        <v>11.55</v>
      </c>
      <c r="M94" s="6">
        <v>0.75</v>
      </c>
      <c r="N94" s="6">
        <v>14.12</v>
      </c>
      <c r="O94" s="57">
        <v>10.59</v>
      </c>
      <c r="P94" s="52"/>
      <c r="Q94" s="6">
        <v>0.75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1.28</v>
      </c>
      <c r="AB94" s="6">
        <v>0.96</v>
      </c>
      <c r="AC94" s="6">
        <v>0.75</v>
      </c>
      <c r="AD94" s="6">
        <v>-1.2800000000000011</v>
      </c>
      <c r="AE94" s="6">
        <v>1.2800000000000011</v>
      </c>
    </row>
    <row r="95" spans="2:31" x14ac:dyDescent="0.25">
      <c r="B95" s="55"/>
      <c r="C95" s="55"/>
      <c r="D95" s="55"/>
      <c r="E95" s="4" t="s">
        <v>173</v>
      </c>
      <c r="F95" s="4" t="s">
        <v>51</v>
      </c>
      <c r="G95" s="4" t="s">
        <v>35</v>
      </c>
      <c r="H95" s="54" t="s">
        <v>36</v>
      </c>
      <c r="I95" s="52"/>
      <c r="J95" s="57">
        <v>2.93</v>
      </c>
      <c r="K95" s="52"/>
      <c r="L95" s="6">
        <v>2.6868099999999999</v>
      </c>
      <c r="M95" s="6">
        <v>0.91699999999999993</v>
      </c>
      <c r="N95" s="6">
        <v>2.9</v>
      </c>
      <c r="O95" s="57">
        <v>2.6593</v>
      </c>
      <c r="P95" s="52"/>
      <c r="Q95" s="6">
        <v>0.91700000000000004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0.03</v>
      </c>
      <c r="AB95" s="6">
        <v>2.751E-2</v>
      </c>
      <c r="AC95" s="6">
        <v>0.91700000000000004</v>
      </c>
      <c r="AD95" s="6">
        <v>-3.0000000000000249E-2</v>
      </c>
      <c r="AE95" s="6">
        <v>3.0000000000000249E-2</v>
      </c>
    </row>
    <row r="96" spans="2:31" x14ac:dyDescent="0.25">
      <c r="B96" s="55"/>
      <c r="C96" s="55"/>
      <c r="D96" s="56"/>
      <c r="E96" s="4" t="s">
        <v>174</v>
      </c>
      <c r="F96" s="4" t="s">
        <v>51</v>
      </c>
      <c r="G96" s="4" t="s">
        <v>35</v>
      </c>
      <c r="H96" s="54" t="s">
        <v>36</v>
      </c>
      <c r="I96" s="52"/>
      <c r="J96" s="57">
        <v>1.921</v>
      </c>
      <c r="K96" s="52"/>
      <c r="L96" s="6">
        <v>1.761557</v>
      </c>
      <c r="M96" s="6">
        <v>0.91700000000000004</v>
      </c>
      <c r="N96" s="6">
        <v>1.861</v>
      </c>
      <c r="O96" s="57">
        <v>1.706537</v>
      </c>
      <c r="P96" s="52"/>
      <c r="Q96" s="6">
        <v>0.91700000000000004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0.06</v>
      </c>
      <c r="AB96" s="6">
        <v>5.5019999999999999E-2</v>
      </c>
      <c r="AC96" s="6">
        <v>0.91700000000000004</v>
      </c>
      <c r="AD96" s="6">
        <v>-6.0000000000000053E-2</v>
      </c>
      <c r="AE96" s="6">
        <v>6.0000000000000053E-2</v>
      </c>
    </row>
    <row r="97" spans="2:31" ht="20" x14ac:dyDescent="0.25">
      <c r="B97" s="55"/>
      <c r="C97" s="55"/>
      <c r="D97" s="4" t="s">
        <v>175</v>
      </c>
      <c r="E97" s="4" t="s">
        <v>176</v>
      </c>
      <c r="F97" s="4" t="s">
        <v>51</v>
      </c>
      <c r="G97" s="4" t="s">
        <v>35</v>
      </c>
      <c r="H97" s="54" t="s">
        <v>36</v>
      </c>
      <c r="I97" s="52"/>
      <c r="J97" s="57">
        <v>25.18</v>
      </c>
      <c r="K97" s="52"/>
      <c r="L97" s="6">
        <v>23.090060000000001</v>
      </c>
      <c r="M97" s="6">
        <v>0.91700000000000004</v>
      </c>
      <c r="N97" s="6">
        <v>23.24</v>
      </c>
      <c r="O97" s="57">
        <v>21.31108</v>
      </c>
      <c r="P97" s="52"/>
      <c r="Q97" s="6">
        <v>0.91700000000000004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1.94</v>
      </c>
      <c r="AB97" s="6">
        <v>1.77898</v>
      </c>
      <c r="AC97" s="6">
        <v>0.91700000000000004</v>
      </c>
      <c r="AD97" s="6">
        <v>-1.9400000000000013</v>
      </c>
      <c r="AE97" s="6">
        <v>1.9400000000000013</v>
      </c>
    </row>
    <row r="98" spans="2:31" ht="20" x14ac:dyDescent="0.25">
      <c r="B98" s="55"/>
      <c r="C98" s="56"/>
      <c r="D98" s="4" t="s">
        <v>177</v>
      </c>
      <c r="E98" s="4" t="s">
        <v>178</v>
      </c>
      <c r="F98" s="4" t="s">
        <v>51</v>
      </c>
      <c r="G98" s="4" t="s">
        <v>35</v>
      </c>
      <c r="H98" s="54" t="s">
        <v>36</v>
      </c>
      <c r="I98" s="52"/>
      <c r="J98" s="57">
        <v>40.68</v>
      </c>
      <c r="K98" s="52"/>
      <c r="L98" s="6">
        <v>37.303559999999997</v>
      </c>
      <c r="M98" s="6">
        <v>0.91699999999999993</v>
      </c>
      <c r="N98" s="6">
        <v>38.89</v>
      </c>
      <c r="O98" s="57">
        <v>35.662129999999998</v>
      </c>
      <c r="P98" s="52"/>
      <c r="Q98" s="6">
        <v>0.91699999999999993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1.79</v>
      </c>
      <c r="AB98" s="6">
        <v>1.6414299999999999</v>
      </c>
      <c r="AC98" s="6">
        <v>0.91699999999999993</v>
      </c>
      <c r="AD98" s="6">
        <v>-1.7899999999999991</v>
      </c>
      <c r="AE98" s="6">
        <v>1.7899999999999991</v>
      </c>
    </row>
    <row r="99" spans="2:31" x14ac:dyDescent="0.25">
      <c r="B99" s="55"/>
      <c r="C99" s="58">
        <v>46175</v>
      </c>
      <c r="D99" s="4" t="s">
        <v>179</v>
      </c>
      <c r="E99" s="4" t="s">
        <v>180</v>
      </c>
      <c r="F99" s="4" t="s">
        <v>34</v>
      </c>
      <c r="G99" s="4" t="s">
        <v>35</v>
      </c>
      <c r="H99" s="54" t="s">
        <v>41</v>
      </c>
      <c r="I99" s="52"/>
      <c r="J99" s="57">
        <v>13.84</v>
      </c>
      <c r="K99" s="52"/>
      <c r="L99" s="6">
        <v>10.38</v>
      </c>
      <c r="M99" s="6">
        <v>0.75000000000000011</v>
      </c>
      <c r="N99" s="6">
        <v>13.08</v>
      </c>
      <c r="O99" s="57">
        <v>9.81</v>
      </c>
      <c r="P99" s="52"/>
      <c r="Q99" s="6">
        <v>0.75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0.76</v>
      </c>
      <c r="AB99" s="6">
        <v>0.56999999999999995</v>
      </c>
      <c r="AC99" s="6">
        <v>0.74999999999999989</v>
      </c>
      <c r="AD99" s="6">
        <v>-0.75999999999999979</v>
      </c>
      <c r="AE99" s="6">
        <v>0.75999999999999979</v>
      </c>
    </row>
    <row r="100" spans="2:31" x14ac:dyDescent="0.25">
      <c r="B100" s="55"/>
      <c r="C100" s="55"/>
      <c r="D100" s="4" t="s">
        <v>181</v>
      </c>
      <c r="E100" s="4" t="s">
        <v>182</v>
      </c>
      <c r="F100" s="4" t="s">
        <v>34</v>
      </c>
      <c r="G100" s="4" t="s">
        <v>35</v>
      </c>
      <c r="H100" s="54" t="s">
        <v>41</v>
      </c>
      <c r="I100" s="52"/>
      <c r="J100" s="57">
        <v>33.69</v>
      </c>
      <c r="K100" s="52"/>
      <c r="L100" s="6">
        <v>25.267499999999998</v>
      </c>
      <c r="M100" s="6">
        <v>0.75</v>
      </c>
      <c r="N100" s="6">
        <v>31.18</v>
      </c>
      <c r="O100" s="57">
        <v>23.385000000000002</v>
      </c>
      <c r="P100" s="52"/>
      <c r="Q100" s="6">
        <v>0.75000000000000011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2.5099999999999998</v>
      </c>
      <c r="AB100" s="6">
        <v>1.8825000000000001</v>
      </c>
      <c r="AC100" s="6">
        <v>0.75000000000000011</v>
      </c>
      <c r="AD100" s="6">
        <v>-2.509999999999998</v>
      </c>
      <c r="AE100" s="6">
        <v>2.509999999999998</v>
      </c>
    </row>
    <row r="101" spans="2:31" x14ac:dyDescent="0.25">
      <c r="B101" s="55"/>
      <c r="C101" s="55"/>
      <c r="D101" s="4" t="s">
        <v>183</v>
      </c>
      <c r="E101" s="4" t="s">
        <v>184</v>
      </c>
      <c r="F101" s="4" t="s">
        <v>34</v>
      </c>
      <c r="G101" s="4" t="s">
        <v>35</v>
      </c>
      <c r="H101" s="54" t="s">
        <v>48</v>
      </c>
      <c r="I101" s="52"/>
      <c r="J101" s="57">
        <v>188.61</v>
      </c>
      <c r="K101" s="52"/>
      <c r="L101" s="6">
        <v>141.45750000000001</v>
      </c>
      <c r="M101" s="6">
        <v>0.75</v>
      </c>
      <c r="N101" s="6">
        <v>188.61</v>
      </c>
      <c r="O101" s="57">
        <v>141.45750000000001</v>
      </c>
      <c r="P101" s="52"/>
      <c r="Q101" s="6">
        <v>0.75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</row>
    <row r="102" spans="2:31" x14ac:dyDescent="0.25">
      <c r="B102" s="55"/>
      <c r="C102" s="55"/>
      <c r="D102" s="4" t="s">
        <v>185</v>
      </c>
      <c r="E102" s="4" t="s">
        <v>186</v>
      </c>
      <c r="F102" s="4" t="s">
        <v>34</v>
      </c>
      <c r="G102" s="4" t="s">
        <v>35</v>
      </c>
      <c r="H102" s="54" t="s">
        <v>36</v>
      </c>
      <c r="I102" s="52"/>
      <c r="J102" s="57">
        <v>87.72</v>
      </c>
      <c r="K102" s="52"/>
      <c r="L102" s="6">
        <v>80.439239999999998</v>
      </c>
      <c r="M102" s="6">
        <v>0.91700000000000004</v>
      </c>
      <c r="N102" s="6">
        <v>82.82</v>
      </c>
      <c r="O102" s="57">
        <v>75.945939999999993</v>
      </c>
      <c r="P102" s="52"/>
      <c r="Q102" s="6">
        <v>0.91700000000000004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4.9000000000000004</v>
      </c>
      <c r="AB102" s="6">
        <v>4.4932999999999996</v>
      </c>
      <c r="AC102" s="6">
        <v>0.91699999999999982</v>
      </c>
      <c r="AD102" s="6">
        <v>-4.9000000000000057</v>
      </c>
      <c r="AE102" s="6">
        <v>4.9000000000000057</v>
      </c>
    </row>
    <row r="103" spans="2:31" x14ac:dyDescent="0.25">
      <c r="B103" s="55"/>
      <c r="C103" s="55"/>
      <c r="D103" s="4" t="s">
        <v>187</v>
      </c>
      <c r="E103" s="4" t="s">
        <v>188</v>
      </c>
      <c r="F103" s="4" t="s">
        <v>34</v>
      </c>
      <c r="G103" s="4" t="s">
        <v>35</v>
      </c>
      <c r="H103" s="54" t="s">
        <v>36</v>
      </c>
      <c r="I103" s="52"/>
      <c r="J103" s="57">
        <v>89.98</v>
      </c>
      <c r="K103" s="52"/>
      <c r="L103" s="6">
        <v>82.511660000000006</v>
      </c>
      <c r="M103" s="6">
        <v>0.91700000000000004</v>
      </c>
      <c r="N103" s="6">
        <v>84.9</v>
      </c>
      <c r="O103" s="57">
        <v>77.853300000000004</v>
      </c>
      <c r="P103" s="52"/>
      <c r="Q103" s="6">
        <v>0.91700000000000004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5.08</v>
      </c>
      <c r="AB103" s="6">
        <v>4.6583600000000001</v>
      </c>
      <c r="AC103" s="6">
        <v>0.91700000000000004</v>
      </c>
      <c r="AD103" s="6">
        <v>-5.0799999999999983</v>
      </c>
      <c r="AE103" s="6">
        <v>5.0799999999999983</v>
      </c>
    </row>
    <row r="104" spans="2:31" ht="20" x14ac:dyDescent="0.25">
      <c r="B104" s="55"/>
      <c r="C104" s="55"/>
      <c r="D104" s="4" t="s">
        <v>189</v>
      </c>
      <c r="E104" s="4" t="s">
        <v>190</v>
      </c>
      <c r="F104" s="4" t="s">
        <v>51</v>
      </c>
      <c r="G104" s="4" t="s">
        <v>35</v>
      </c>
      <c r="H104" s="54" t="s">
        <v>36</v>
      </c>
      <c r="I104" s="52"/>
      <c r="J104" s="57">
        <v>39.9</v>
      </c>
      <c r="K104" s="52"/>
      <c r="L104" s="6">
        <v>36.588299999999997</v>
      </c>
      <c r="M104" s="6">
        <v>0.91699999999999993</v>
      </c>
      <c r="N104" s="6">
        <v>38.78</v>
      </c>
      <c r="O104" s="57">
        <v>35.561259999999997</v>
      </c>
      <c r="P104" s="52"/>
      <c r="Q104" s="6">
        <v>0.91699999999999993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1.1200000000000001</v>
      </c>
      <c r="AB104" s="6">
        <v>1.02704</v>
      </c>
      <c r="AC104" s="6">
        <v>0.91699999999999982</v>
      </c>
      <c r="AD104" s="6">
        <v>-1.1199999999999974</v>
      </c>
      <c r="AE104" s="6">
        <v>1.1199999999999974</v>
      </c>
    </row>
    <row r="105" spans="2:31" ht="20" x14ac:dyDescent="0.25">
      <c r="B105" s="55"/>
      <c r="C105" s="55"/>
      <c r="D105" s="4" t="s">
        <v>191</v>
      </c>
      <c r="E105" s="4" t="s">
        <v>192</v>
      </c>
      <c r="F105" s="4" t="s">
        <v>51</v>
      </c>
      <c r="G105" s="4" t="s">
        <v>35</v>
      </c>
      <c r="H105" s="54" t="s">
        <v>36</v>
      </c>
      <c r="I105" s="52"/>
      <c r="J105" s="57">
        <v>40.520000000000003</v>
      </c>
      <c r="K105" s="52"/>
      <c r="L105" s="6">
        <v>37.156840000000003</v>
      </c>
      <c r="M105" s="6">
        <v>0.91700000000000004</v>
      </c>
      <c r="N105" s="6">
        <v>37.65</v>
      </c>
      <c r="O105" s="57">
        <v>34.52505</v>
      </c>
      <c r="P105" s="52"/>
      <c r="Q105" s="6">
        <v>0.91700000000000004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2.87</v>
      </c>
      <c r="AB105" s="6">
        <v>2.6317900000000001</v>
      </c>
      <c r="AC105" s="6">
        <v>0.91700000000000004</v>
      </c>
      <c r="AD105" s="6">
        <v>-2.8700000000000045</v>
      </c>
      <c r="AE105" s="6">
        <v>2.8700000000000045</v>
      </c>
    </row>
    <row r="106" spans="2:31" ht="20" x14ac:dyDescent="0.25">
      <c r="B106" s="55"/>
      <c r="C106" s="55"/>
      <c r="D106" s="4" t="s">
        <v>193</v>
      </c>
      <c r="E106" s="4" t="s">
        <v>194</v>
      </c>
      <c r="F106" s="4" t="s">
        <v>51</v>
      </c>
      <c r="G106" s="4" t="s">
        <v>35</v>
      </c>
      <c r="H106" s="54" t="s">
        <v>36</v>
      </c>
      <c r="I106" s="52"/>
      <c r="J106" s="57">
        <v>19.88</v>
      </c>
      <c r="K106" s="52"/>
      <c r="L106" s="6">
        <v>18.229959999999998</v>
      </c>
      <c r="M106" s="6">
        <v>0.91699999999999993</v>
      </c>
      <c r="N106" s="6">
        <v>18.78</v>
      </c>
      <c r="O106" s="57">
        <v>17.221260000000001</v>
      </c>
      <c r="P106" s="52"/>
      <c r="Q106" s="6">
        <v>0.91700000000000004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1.1000000000000001</v>
      </c>
      <c r="AB106" s="6">
        <v>1.0086999999999999</v>
      </c>
      <c r="AC106" s="6">
        <v>0.91699999999999982</v>
      </c>
      <c r="AD106" s="6">
        <v>-1.0999999999999979</v>
      </c>
      <c r="AE106" s="6">
        <v>1.0999999999999979</v>
      </c>
    </row>
    <row r="107" spans="2:31" ht="20" x14ac:dyDescent="0.25">
      <c r="B107" s="55"/>
      <c r="C107" s="55"/>
      <c r="D107" s="4" t="s">
        <v>195</v>
      </c>
      <c r="E107" s="4" t="s">
        <v>196</v>
      </c>
      <c r="F107" s="4" t="s">
        <v>51</v>
      </c>
      <c r="G107" s="4" t="s">
        <v>35</v>
      </c>
      <c r="H107" s="54" t="s">
        <v>36</v>
      </c>
      <c r="I107" s="52"/>
      <c r="J107" s="57">
        <v>27.57</v>
      </c>
      <c r="K107" s="52"/>
      <c r="L107" s="6">
        <v>25.281690000000001</v>
      </c>
      <c r="M107" s="6">
        <v>0.91700000000000004</v>
      </c>
      <c r="N107" s="6">
        <v>25.73</v>
      </c>
      <c r="O107" s="57">
        <v>23.59441</v>
      </c>
      <c r="P107" s="52"/>
      <c r="Q107" s="6">
        <v>0.91699999999999993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1.84</v>
      </c>
      <c r="AB107" s="6">
        <v>1.6872799999999999</v>
      </c>
      <c r="AC107" s="6">
        <v>0.91699999999999993</v>
      </c>
      <c r="AD107" s="6">
        <v>-1.84</v>
      </c>
      <c r="AE107" s="6">
        <v>1.84</v>
      </c>
    </row>
    <row r="108" spans="2:31" ht="20" x14ac:dyDescent="0.25">
      <c r="B108" s="55"/>
      <c r="C108" s="55"/>
      <c r="D108" s="4" t="s">
        <v>197</v>
      </c>
      <c r="E108" s="4" t="s">
        <v>198</v>
      </c>
      <c r="F108" s="4" t="s">
        <v>51</v>
      </c>
      <c r="G108" s="4" t="s">
        <v>35</v>
      </c>
      <c r="H108" s="54" t="s">
        <v>36</v>
      </c>
      <c r="I108" s="52"/>
      <c r="J108" s="57">
        <v>1.41</v>
      </c>
      <c r="K108" s="52"/>
      <c r="L108" s="6">
        <v>1.29297</v>
      </c>
      <c r="M108" s="6">
        <v>0.91700000000000004</v>
      </c>
      <c r="N108" s="6">
        <v>1.27</v>
      </c>
      <c r="O108" s="57">
        <v>1.16459</v>
      </c>
      <c r="P108" s="52"/>
      <c r="Q108" s="6">
        <v>0.91700000000000004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0.14000000000000001</v>
      </c>
      <c r="AB108" s="6">
        <v>0.12837999999999999</v>
      </c>
      <c r="AC108" s="6">
        <v>0.91699999999999982</v>
      </c>
      <c r="AD108" s="6">
        <v>-0.1399999999999999</v>
      </c>
      <c r="AE108" s="6">
        <v>0.1399999999999999</v>
      </c>
    </row>
    <row r="109" spans="2:31" ht="20" x14ac:dyDescent="0.25">
      <c r="B109" s="55"/>
      <c r="C109" s="55"/>
      <c r="D109" s="4" t="s">
        <v>199</v>
      </c>
      <c r="E109" s="4" t="s">
        <v>200</v>
      </c>
      <c r="F109" s="4" t="s">
        <v>51</v>
      </c>
      <c r="G109" s="4" t="s">
        <v>35</v>
      </c>
      <c r="H109" s="54" t="s">
        <v>36</v>
      </c>
      <c r="I109" s="52"/>
      <c r="J109" s="57">
        <v>40.28</v>
      </c>
      <c r="K109" s="52"/>
      <c r="L109" s="6">
        <v>36.93676</v>
      </c>
      <c r="M109" s="6">
        <v>0.91699999999999993</v>
      </c>
      <c r="N109" s="6">
        <v>37.67</v>
      </c>
      <c r="O109" s="57">
        <v>34.543390000000002</v>
      </c>
      <c r="P109" s="52"/>
      <c r="Q109" s="6">
        <v>0.91700000000000004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2.61</v>
      </c>
      <c r="AB109" s="6">
        <v>2.39337</v>
      </c>
      <c r="AC109" s="6">
        <v>0.91700000000000004</v>
      </c>
      <c r="AD109" s="6">
        <v>-2.6099999999999994</v>
      </c>
      <c r="AE109" s="6">
        <v>2.6099999999999994</v>
      </c>
    </row>
    <row r="110" spans="2:31" ht="20" x14ac:dyDescent="0.25">
      <c r="B110" s="55"/>
      <c r="C110" s="55"/>
      <c r="D110" s="4" t="s">
        <v>201</v>
      </c>
      <c r="E110" s="4" t="s">
        <v>202</v>
      </c>
      <c r="F110" s="4" t="s">
        <v>51</v>
      </c>
      <c r="G110" s="4" t="s">
        <v>35</v>
      </c>
      <c r="H110" s="54" t="s">
        <v>36</v>
      </c>
      <c r="I110" s="52"/>
      <c r="J110" s="57">
        <v>40.29</v>
      </c>
      <c r="K110" s="52"/>
      <c r="L110" s="6">
        <v>36.945929999999997</v>
      </c>
      <c r="M110" s="6">
        <v>0.91699999999999993</v>
      </c>
      <c r="N110" s="6">
        <v>37.729999999999997</v>
      </c>
      <c r="O110" s="57">
        <v>34.598410000000001</v>
      </c>
      <c r="P110" s="52"/>
      <c r="Q110" s="6">
        <v>0.91700000000000015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2.56</v>
      </c>
      <c r="AB110" s="6">
        <v>2.3475199999999998</v>
      </c>
      <c r="AC110" s="6">
        <v>0.91699999999999993</v>
      </c>
      <c r="AD110" s="6">
        <v>-2.5600000000000023</v>
      </c>
      <c r="AE110" s="6">
        <v>2.5600000000000023</v>
      </c>
    </row>
    <row r="111" spans="2:31" ht="20" x14ac:dyDescent="0.25">
      <c r="B111" s="55"/>
      <c r="C111" s="55"/>
      <c r="D111" s="4" t="s">
        <v>203</v>
      </c>
      <c r="E111" s="4" t="s">
        <v>204</v>
      </c>
      <c r="F111" s="4" t="s">
        <v>51</v>
      </c>
      <c r="G111" s="4" t="s">
        <v>35</v>
      </c>
      <c r="H111" s="54" t="s">
        <v>36</v>
      </c>
      <c r="I111" s="52"/>
      <c r="J111" s="57">
        <v>32.43</v>
      </c>
      <c r="K111" s="52"/>
      <c r="L111" s="6">
        <v>29.738309999999998</v>
      </c>
      <c r="M111" s="6">
        <v>0.91699999999999993</v>
      </c>
      <c r="N111" s="6">
        <v>31.21</v>
      </c>
      <c r="O111" s="57">
        <v>28.61957</v>
      </c>
      <c r="P111" s="52"/>
      <c r="Q111" s="6">
        <v>0.91699999999999993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1.22</v>
      </c>
      <c r="AB111" s="6">
        <v>1.1187400000000001</v>
      </c>
      <c r="AC111" s="6">
        <v>0.91700000000000004</v>
      </c>
      <c r="AD111" s="6">
        <v>-1.2199999999999989</v>
      </c>
      <c r="AE111" s="6">
        <v>1.2199999999999989</v>
      </c>
    </row>
    <row r="112" spans="2:31" ht="20" x14ac:dyDescent="0.25">
      <c r="B112" s="55"/>
      <c r="C112" s="55"/>
      <c r="D112" s="4" t="s">
        <v>205</v>
      </c>
      <c r="E112" s="4" t="s">
        <v>206</v>
      </c>
      <c r="F112" s="4" t="s">
        <v>51</v>
      </c>
      <c r="G112" s="4" t="s">
        <v>35</v>
      </c>
      <c r="H112" s="54" t="s">
        <v>36</v>
      </c>
      <c r="I112" s="52"/>
      <c r="J112" s="57">
        <v>34.74</v>
      </c>
      <c r="K112" s="52"/>
      <c r="L112" s="6">
        <v>31.856580000000001</v>
      </c>
      <c r="M112" s="6">
        <v>0.91699999999999993</v>
      </c>
      <c r="N112" s="6">
        <v>32.89</v>
      </c>
      <c r="O112" s="57">
        <v>30.160129999999999</v>
      </c>
      <c r="P112" s="52"/>
      <c r="Q112" s="6">
        <v>0.91699999999999993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1.85</v>
      </c>
      <c r="AB112" s="6">
        <v>1.69645</v>
      </c>
      <c r="AC112" s="6">
        <v>0.91699999999999993</v>
      </c>
      <c r="AD112" s="6">
        <v>-1.8500000000000014</v>
      </c>
      <c r="AE112" s="6">
        <v>1.8500000000000014</v>
      </c>
    </row>
    <row r="113" spans="2:31" ht="20" x14ac:dyDescent="0.25">
      <c r="B113" s="55"/>
      <c r="C113" s="55"/>
      <c r="D113" s="4" t="s">
        <v>207</v>
      </c>
      <c r="E113" s="4" t="s">
        <v>208</v>
      </c>
      <c r="F113" s="4" t="s">
        <v>51</v>
      </c>
      <c r="G113" s="4" t="s">
        <v>35</v>
      </c>
      <c r="H113" s="54" t="s">
        <v>36</v>
      </c>
      <c r="I113" s="52"/>
      <c r="J113" s="57">
        <v>11.42</v>
      </c>
      <c r="K113" s="52"/>
      <c r="L113" s="6">
        <v>10.47214</v>
      </c>
      <c r="M113" s="6">
        <v>0.91699999999999993</v>
      </c>
      <c r="N113" s="6">
        <v>11.27</v>
      </c>
      <c r="O113" s="57">
        <v>10.33459</v>
      </c>
      <c r="P113" s="52"/>
      <c r="Q113" s="6">
        <v>0.91700000000000004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0.15</v>
      </c>
      <c r="AB113" s="6">
        <v>0.13755000000000001</v>
      </c>
      <c r="AC113" s="6">
        <v>0.91700000000000004</v>
      </c>
      <c r="AD113" s="6">
        <v>-0.15000000000000036</v>
      </c>
      <c r="AE113" s="6">
        <v>0.15000000000000036</v>
      </c>
    </row>
    <row r="114" spans="2:31" ht="20" x14ac:dyDescent="0.25">
      <c r="B114" s="55"/>
      <c r="C114" s="55"/>
      <c r="D114" s="4" t="s">
        <v>209</v>
      </c>
      <c r="E114" s="4" t="s">
        <v>210</v>
      </c>
      <c r="F114" s="4" t="s">
        <v>51</v>
      </c>
      <c r="G114" s="4" t="s">
        <v>35</v>
      </c>
      <c r="H114" s="54" t="s">
        <v>48</v>
      </c>
      <c r="I114" s="52"/>
      <c r="J114" s="57">
        <v>14.86</v>
      </c>
      <c r="K114" s="52"/>
      <c r="L114" s="6">
        <v>11.145</v>
      </c>
      <c r="M114" s="6">
        <v>0.75</v>
      </c>
      <c r="N114" s="6">
        <v>13.28</v>
      </c>
      <c r="O114" s="57">
        <v>9.9600000000000009</v>
      </c>
      <c r="P114" s="52"/>
      <c r="Q114" s="6">
        <v>0.75000000000000011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1.58</v>
      </c>
      <c r="AB114" s="6">
        <v>1.1850000000000001</v>
      </c>
      <c r="AC114" s="6">
        <v>0.75</v>
      </c>
      <c r="AD114" s="6">
        <v>-1.58</v>
      </c>
      <c r="AE114" s="6">
        <v>1.58</v>
      </c>
    </row>
    <row r="115" spans="2:31" x14ac:dyDescent="0.25">
      <c r="B115" s="55"/>
      <c r="C115" s="55"/>
      <c r="D115" s="54" t="s">
        <v>211</v>
      </c>
      <c r="E115" s="4" t="s">
        <v>212</v>
      </c>
      <c r="F115" s="4" t="s">
        <v>51</v>
      </c>
      <c r="G115" s="4" t="s">
        <v>35</v>
      </c>
      <c r="H115" s="54" t="s">
        <v>36</v>
      </c>
      <c r="I115" s="52"/>
      <c r="J115" s="57">
        <v>31.63</v>
      </c>
      <c r="K115" s="52"/>
      <c r="L115" s="6">
        <v>29.004709999999999</v>
      </c>
      <c r="M115" s="6">
        <v>0.91700000000000004</v>
      </c>
      <c r="N115" s="6">
        <v>30.48</v>
      </c>
      <c r="O115" s="57">
        <v>27.95016</v>
      </c>
      <c r="P115" s="52"/>
      <c r="Q115" s="6">
        <v>0.91700000000000004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1.1499999999999999</v>
      </c>
      <c r="AB115" s="6">
        <v>1.0545500000000001</v>
      </c>
      <c r="AC115" s="6">
        <v>0.91700000000000015</v>
      </c>
      <c r="AD115" s="6">
        <v>-1.1499999999999986</v>
      </c>
      <c r="AE115" s="6">
        <v>1.1499999999999986</v>
      </c>
    </row>
    <row r="116" spans="2:31" x14ac:dyDescent="0.25">
      <c r="B116" s="55"/>
      <c r="C116" s="55"/>
      <c r="D116" s="55"/>
      <c r="E116" s="4" t="s">
        <v>213</v>
      </c>
      <c r="F116" s="4" t="s">
        <v>51</v>
      </c>
      <c r="G116" s="4" t="s">
        <v>35</v>
      </c>
      <c r="H116" s="54" t="s">
        <v>36</v>
      </c>
      <c r="I116" s="52"/>
      <c r="J116" s="57">
        <v>8.82</v>
      </c>
      <c r="K116" s="52"/>
      <c r="L116" s="6">
        <v>8.0879399999999997</v>
      </c>
      <c r="M116" s="6">
        <v>0.91699999999999993</v>
      </c>
      <c r="N116" s="6">
        <v>8.4600000000000009</v>
      </c>
      <c r="O116" s="57">
        <v>7.7578199999999997</v>
      </c>
      <c r="P116" s="52"/>
      <c r="Q116" s="6">
        <v>0.91699999999999993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0.36</v>
      </c>
      <c r="AB116" s="6">
        <v>0.33012000000000002</v>
      </c>
      <c r="AC116" s="6">
        <v>0.91700000000000015</v>
      </c>
      <c r="AD116" s="6">
        <v>-0.35999999999999943</v>
      </c>
      <c r="AE116" s="6">
        <v>0.35999999999999943</v>
      </c>
    </row>
    <row r="117" spans="2:31" x14ac:dyDescent="0.25">
      <c r="B117" s="55"/>
      <c r="C117" s="55"/>
      <c r="D117" s="56"/>
      <c r="E117" s="4" t="s">
        <v>214</v>
      </c>
      <c r="F117" s="4" t="s">
        <v>51</v>
      </c>
      <c r="G117" s="4" t="s">
        <v>35</v>
      </c>
      <c r="H117" s="54" t="s">
        <v>36</v>
      </c>
      <c r="I117" s="52"/>
      <c r="J117" s="57">
        <v>10.86</v>
      </c>
      <c r="K117" s="52"/>
      <c r="L117" s="6">
        <v>9.9586199999999998</v>
      </c>
      <c r="M117" s="6">
        <v>0.91700000000000004</v>
      </c>
      <c r="N117" s="6">
        <v>10.57</v>
      </c>
      <c r="O117" s="57">
        <v>9.6926900000000007</v>
      </c>
      <c r="P117" s="52"/>
      <c r="Q117" s="6">
        <v>0.91700000000000004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0.28999999999999998</v>
      </c>
      <c r="AB117" s="6">
        <v>0.26593</v>
      </c>
      <c r="AC117" s="6">
        <v>0.91700000000000004</v>
      </c>
      <c r="AD117" s="6">
        <v>-0.28999999999999915</v>
      </c>
      <c r="AE117" s="6">
        <v>0.28999999999999915</v>
      </c>
    </row>
    <row r="118" spans="2:31" x14ac:dyDescent="0.25">
      <c r="B118" s="55"/>
      <c r="C118" s="55"/>
      <c r="D118" s="54" t="s">
        <v>215</v>
      </c>
      <c r="E118" s="4" t="s">
        <v>216</v>
      </c>
      <c r="F118" s="4" t="s">
        <v>51</v>
      </c>
      <c r="G118" s="4" t="s">
        <v>35</v>
      </c>
      <c r="H118" s="54" t="s">
        <v>36</v>
      </c>
      <c r="I118" s="52"/>
      <c r="J118" s="57">
        <v>47.45</v>
      </c>
      <c r="K118" s="52"/>
      <c r="L118" s="6">
        <v>43.511650000000003</v>
      </c>
      <c r="M118" s="6">
        <v>0.91700000000000004</v>
      </c>
      <c r="N118" s="6">
        <v>45.48</v>
      </c>
      <c r="O118" s="57">
        <v>41.705159999999999</v>
      </c>
      <c r="P118" s="52"/>
      <c r="Q118" s="6">
        <v>0.91700000000000004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1.97</v>
      </c>
      <c r="AB118" s="6">
        <v>1.8064899999999999</v>
      </c>
      <c r="AC118" s="6">
        <v>0.91699999999999993</v>
      </c>
      <c r="AD118" s="6">
        <v>-1.970000000000006</v>
      </c>
      <c r="AE118" s="6">
        <v>1.970000000000006</v>
      </c>
    </row>
    <row r="119" spans="2:31" x14ac:dyDescent="0.25">
      <c r="B119" s="55"/>
      <c r="C119" s="55"/>
      <c r="D119" s="56"/>
      <c r="E119" s="4" t="s">
        <v>217</v>
      </c>
      <c r="F119" s="4" t="s">
        <v>51</v>
      </c>
      <c r="G119" s="4" t="s">
        <v>35</v>
      </c>
      <c r="H119" s="54" t="s">
        <v>36</v>
      </c>
      <c r="I119" s="52"/>
      <c r="J119" s="57">
        <v>33.71</v>
      </c>
      <c r="K119" s="52"/>
      <c r="L119" s="6">
        <v>30.91207</v>
      </c>
      <c r="M119" s="6">
        <v>0.91699999999999993</v>
      </c>
      <c r="N119" s="6">
        <v>31.03</v>
      </c>
      <c r="O119" s="57">
        <v>28.454509999999999</v>
      </c>
      <c r="P119" s="52"/>
      <c r="Q119" s="6">
        <v>0.91699999999999993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2.68</v>
      </c>
      <c r="AB119" s="6">
        <v>2.45756</v>
      </c>
      <c r="AC119" s="6">
        <v>0.91699999999999993</v>
      </c>
      <c r="AD119" s="6">
        <v>-2.68</v>
      </c>
      <c r="AE119" s="6">
        <v>2.68</v>
      </c>
    </row>
    <row r="120" spans="2:31" ht="20" x14ac:dyDescent="0.25">
      <c r="B120" s="55"/>
      <c r="C120" s="55"/>
      <c r="D120" s="4" t="s">
        <v>218</v>
      </c>
      <c r="E120" s="4" t="s">
        <v>219</v>
      </c>
      <c r="F120" s="4" t="s">
        <v>51</v>
      </c>
      <c r="G120" s="4" t="s">
        <v>35</v>
      </c>
      <c r="H120" s="54" t="s">
        <v>36</v>
      </c>
      <c r="I120" s="52"/>
      <c r="J120" s="57">
        <v>24.74</v>
      </c>
      <c r="K120" s="52"/>
      <c r="L120" s="6">
        <v>22.686579999999999</v>
      </c>
      <c r="M120" s="6">
        <v>0.91700000000000004</v>
      </c>
      <c r="N120" s="6">
        <v>23.32</v>
      </c>
      <c r="O120" s="57">
        <v>21.384440000000001</v>
      </c>
      <c r="P120" s="52"/>
      <c r="Q120" s="6">
        <v>0.91700000000000004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1.42</v>
      </c>
      <c r="AB120" s="6">
        <v>1.3021400000000001</v>
      </c>
      <c r="AC120" s="6">
        <v>0.91700000000000015</v>
      </c>
      <c r="AD120" s="6">
        <v>-1.4199999999999982</v>
      </c>
      <c r="AE120" s="6">
        <v>1.4199999999999982</v>
      </c>
    </row>
    <row r="121" spans="2:31" ht="20" x14ac:dyDescent="0.25">
      <c r="B121" s="55"/>
      <c r="C121" s="55"/>
      <c r="D121" s="4" t="s">
        <v>220</v>
      </c>
      <c r="E121" s="4" t="s">
        <v>221</v>
      </c>
      <c r="F121" s="4" t="s">
        <v>51</v>
      </c>
      <c r="G121" s="4" t="s">
        <v>35</v>
      </c>
      <c r="H121" s="54" t="s">
        <v>41</v>
      </c>
      <c r="I121" s="52"/>
      <c r="J121" s="57">
        <v>26.77</v>
      </c>
      <c r="K121" s="52"/>
      <c r="L121" s="6">
        <v>20.077500000000001</v>
      </c>
      <c r="M121" s="6">
        <v>0.75</v>
      </c>
      <c r="N121" s="6">
        <v>25.12</v>
      </c>
      <c r="O121" s="57">
        <v>18.84</v>
      </c>
      <c r="P121" s="52"/>
      <c r="Q121" s="6">
        <v>0.75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1.65</v>
      </c>
      <c r="AB121" s="6">
        <v>1.2375</v>
      </c>
      <c r="AC121" s="6">
        <v>0.75000000000000011</v>
      </c>
      <c r="AD121" s="6">
        <v>-1.6499999999999986</v>
      </c>
      <c r="AE121" s="6">
        <v>1.6499999999999986</v>
      </c>
    </row>
    <row r="122" spans="2:31" ht="20" x14ac:dyDescent="0.25">
      <c r="B122" s="55"/>
      <c r="C122" s="55"/>
      <c r="D122" s="4" t="s">
        <v>222</v>
      </c>
      <c r="E122" s="4" t="s">
        <v>223</v>
      </c>
      <c r="F122" s="4" t="s">
        <v>51</v>
      </c>
      <c r="G122" s="4" t="s">
        <v>35</v>
      </c>
      <c r="H122" s="54" t="s">
        <v>36</v>
      </c>
      <c r="I122" s="52"/>
      <c r="J122" s="57">
        <v>6.61</v>
      </c>
      <c r="K122" s="52"/>
      <c r="L122" s="6">
        <v>6.0613700000000001</v>
      </c>
      <c r="M122" s="6">
        <v>0.91699999999999993</v>
      </c>
      <c r="N122" s="6">
        <v>6.42</v>
      </c>
      <c r="O122" s="57">
        <v>5.8871399999999996</v>
      </c>
      <c r="P122" s="52"/>
      <c r="Q122" s="6">
        <v>0.91699999999999993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0.19</v>
      </c>
      <c r="AB122" s="6">
        <v>0.17423</v>
      </c>
      <c r="AC122" s="6">
        <v>0.91699999999999993</v>
      </c>
      <c r="AD122" s="6">
        <v>-0.19000000000000039</v>
      </c>
      <c r="AE122" s="6">
        <v>0.19000000000000039</v>
      </c>
    </row>
    <row r="123" spans="2:31" ht="20" x14ac:dyDescent="0.25">
      <c r="B123" s="55"/>
      <c r="C123" s="55"/>
      <c r="D123" s="4" t="s">
        <v>224</v>
      </c>
      <c r="E123" s="4" t="s">
        <v>225</v>
      </c>
      <c r="F123" s="4" t="s">
        <v>51</v>
      </c>
      <c r="G123" s="4" t="s">
        <v>35</v>
      </c>
      <c r="H123" s="54" t="s">
        <v>36</v>
      </c>
      <c r="I123" s="52"/>
      <c r="J123" s="57">
        <v>4.05</v>
      </c>
      <c r="K123" s="52"/>
      <c r="L123" s="6">
        <v>3.7138499999999999</v>
      </c>
      <c r="M123" s="6">
        <v>0.91700000000000004</v>
      </c>
      <c r="N123" s="6">
        <v>4.05</v>
      </c>
      <c r="O123" s="57">
        <v>3.7138499999999999</v>
      </c>
      <c r="P123" s="52"/>
      <c r="Q123" s="6">
        <v>0.91700000000000004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</row>
    <row r="124" spans="2:31" ht="20" x14ac:dyDescent="0.25">
      <c r="B124" s="55"/>
      <c r="C124" s="55"/>
      <c r="D124" s="4" t="s">
        <v>226</v>
      </c>
      <c r="E124" s="4" t="s">
        <v>225</v>
      </c>
      <c r="F124" s="4" t="s">
        <v>51</v>
      </c>
      <c r="G124" s="4" t="s">
        <v>133</v>
      </c>
      <c r="H124" s="54" t="s">
        <v>36</v>
      </c>
      <c r="I124" s="52"/>
      <c r="J124" s="57">
        <v>4.09</v>
      </c>
      <c r="K124" s="52"/>
      <c r="L124" s="6">
        <v>3.7505299999999999</v>
      </c>
      <c r="M124" s="6">
        <v>0.91700000000000004</v>
      </c>
      <c r="N124" s="6">
        <v>4.09</v>
      </c>
      <c r="O124" s="57">
        <v>3.7505299999999999</v>
      </c>
      <c r="P124" s="52"/>
      <c r="Q124" s="6">
        <v>0.91700000000000004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</row>
    <row r="125" spans="2:31" ht="20" x14ac:dyDescent="0.25">
      <c r="B125" s="55"/>
      <c r="C125" s="55"/>
      <c r="D125" s="4" t="s">
        <v>227</v>
      </c>
      <c r="E125" s="4" t="s">
        <v>228</v>
      </c>
      <c r="F125" s="4" t="s">
        <v>51</v>
      </c>
      <c r="G125" s="4" t="s">
        <v>35</v>
      </c>
      <c r="H125" s="54" t="s">
        <v>36</v>
      </c>
      <c r="I125" s="52"/>
      <c r="J125" s="57">
        <v>27.76</v>
      </c>
      <c r="K125" s="52"/>
      <c r="L125" s="6">
        <v>25.455919999999999</v>
      </c>
      <c r="M125" s="6">
        <v>0.91699999999999993</v>
      </c>
      <c r="N125" s="6">
        <v>26.33</v>
      </c>
      <c r="O125" s="57">
        <v>24.14461</v>
      </c>
      <c r="P125" s="52"/>
      <c r="Q125" s="6">
        <v>0.91700000000000004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1.43</v>
      </c>
      <c r="AB125" s="6">
        <v>1.31131</v>
      </c>
      <c r="AC125" s="6">
        <v>0.91700000000000004</v>
      </c>
      <c r="AD125" s="6">
        <v>-1.4300000000000033</v>
      </c>
      <c r="AE125" s="6">
        <v>1.4300000000000033</v>
      </c>
    </row>
    <row r="126" spans="2:31" x14ac:dyDescent="0.25">
      <c r="B126" s="55"/>
      <c r="C126" s="55"/>
      <c r="D126" s="54" t="s">
        <v>229</v>
      </c>
      <c r="E126" s="4" t="s">
        <v>230</v>
      </c>
      <c r="F126" s="4" t="s">
        <v>51</v>
      </c>
      <c r="G126" s="4" t="s">
        <v>35</v>
      </c>
      <c r="H126" s="54" t="s">
        <v>36</v>
      </c>
      <c r="I126" s="52"/>
      <c r="J126" s="57">
        <v>40.94</v>
      </c>
      <c r="K126" s="52"/>
      <c r="L126" s="6">
        <v>37.541980000000002</v>
      </c>
      <c r="M126" s="6">
        <v>0.91700000000000015</v>
      </c>
      <c r="N126" s="6">
        <v>39.67</v>
      </c>
      <c r="O126" s="57">
        <v>36.377389999999998</v>
      </c>
      <c r="P126" s="52"/>
      <c r="Q126" s="6">
        <v>0.91699999999999993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1.27</v>
      </c>
      <c r="AB126" s="6">
        <v>1.16459</v>
      </c>
      <c r="AC126" s="6">
        <v>0.91700000000000004</v>
      </c>
      <c r="AD126" s="6">
        <v>-1.269999999999996</v>
      </c>
      <c r="AE126" s="6">
        <v>1.269999999999996</v>
      </c>
    </row>
    <row r="127" spans="2:31" x14ac:dyDescent="0.25">
      <c r="B127" s="55"/>
      <c r="C127" s="55"/>
      <c r="D127" s="55"/>
      <c r="E127" s="4" t="s">
        <v>231</v>
      </c>
      <c r="F127" s="4" t="s">
        <v>51</v>
      </c>
      <c r="G127" s="4" t="s">
        <v>35</v>
      </c>
      <c r="H127" s="54" t="s">
        <v>36</v>
      </c>
      <c r="I127" s="52"/>
      <c r="J127" s="57">
        <v>10.08</v>
      </c>
      <c r="K127" s="52"/>
      <c r="L127" s="6">
        <v>9.2433599999999991</v>
      </c>
      <c r="M127" s="6">
        <v>0.91699999999999993</v>
      </c>
      <c r="N127" s="6">
        <v>9.77</v>
      </c>
      <c r="O127" s="57">
        <v>8.9590899999999998</v>
      </c>
      <c r="P127" s="52"/>
      <c r="Q127" s="6">
        <v>0.91700000000000004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0.31</v>
      </c>
      <c r="AB127" s="6">
        <v>0.28427000000000002</v>
      </c>
      <c r="AC127" s="6">
        <v>0.91700000000000004</v>
      </c>
      <c r="AD127" s="6">
        <v>-0.3100000000000005</v>
      </c>
      <c r="AE127" s="6">
        <v>0.3100000000000005</v>
      </c>
    </row>
    <row r="128" spans="2:31" x14ac:dyDescent="0.25">
      <c r="B128" s="55"/>
      <c r="C128" s="55"/>
      <c r="D128" s="56"/>
      <c r="E128" s="4" t="s">
        <v>232</v>
      </c>
      <c r="F128" s="4" t="s">
        <v>51</v>
      </c>
      <c r="G128" s="4" t="s">
        <v>35</v>
      </c>
      <c r="H128" s="54" t="s">
        <v>48</v>
      </c>
      <c r="I128" s="52"/>
      <c r="J128" s="57">
        <v>42.2</v>
      </c>
      <c r="K128" s="52"/>
      <c r="L128" s="6">
        <v>31.65</v>
      </c>
      <c r="M128" s="6">
        <v>0.74999999999999989</v>
      </c>
      <c r="N128" s="6">
        <v>37.549999999999997</v>
      </c>
      <c r="O128" s="57">
        <v>28.162500000000001</v>
      </c>
      <c r="P128" s="52"/>
      <c r="Q128" s="6">
        <v>0.75000000000000011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4.6500000000000004</v>
      </c>
      <c r="AB128" s="6">
        <v>3.4874999999999998</v>
      </c>
      <c r="AC128" s="6">
        <v>0.74999999999999989</v>
      </c>
      <c r="AD128" s="6">
        <v>-4.6500000000000057</v>
      </c>
      <c r="AE128" s="6">
        <v>4.6500000000000057</v>
      </c>
    </row>
    <row r="129" spans="2:31" x14ac:dyDescent="0.25">
      <c r="B129" s="55"/>
      <c r="C129" s="55"/>
      <c r="D129" s="54" t="s">
        <v>233</v>
      </c>
      <c r="E129" s="4" t="s">
        <v>234</v>
      </c>
      <c r="F129" s="4" t="s">
        <v>51</v>
      </c>
      <c r="G129" s="4" t="s">
        <v>35</v>
      </c>
      <c r="H129" s="54" t="s">
        <v>36</v>
      </c>
      <c r="I129" s="52"/>
      <c r="J129" s="57">
        <v>8.67</v>
      </c>
      <c r="K129" s="52"/>
      <c r="L129" s="6">
        <v>7.9503899999999996</v>
      </c>
      <c r="M129" s="6">
        <v>0.91699999999999993</v>
      </c>
      <c r="N129" s="6">
        <v>8.48</v>
      </c>
      <c r="O129" s="57">
        <v>7.77616</v>
      </c>
      <c r="P129" s="52"/>
      <c r="Q129" s="6">
        <v>0.91699999999999993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0.19</v>
      </c>
      <c r="AB129" s="6">
        <v>0.17423</v>
      </c>
      <c r="AC129" s="6">
        <v>0.91699999999999993</v>
      </c>
      <c r="AD129" s="6">
        <v>-0.1899999999999995</v>
      </c>
      <c r="AE129" s="6">
        <v>0.1899999999999995</v>
      </c>
    </row>
    <row r="130" spans="2:31" x14ac:dyDescent="0.25">
      <c r="B130" s="55"/>
      <c r="C130" s="55"/>
      <c r="D130" s="55"/>
      <c r="E130" s="4" t="s">
        <v>235</v>
      </c>
      <c r="F130" s="4" t="s">
        <v>51</v>
      </c>
      <c r="G130" s="4" t="s">
        <v>35</v>
      </c>
      <c r="H130" s="54" t="s">
        <v>36</v>
      </c>
      <c r="I130" s="52"/>
      <c r="J130" s="57">
        <v>14.3</v>
      </c>
      <c r="K130" s="52"/>
      <c r="L130" s="6">
        <v>13.113099999999999</v>
      </c>
      <c r="M130" s="6">
        <v>0.91699999999999993</v>
      </c>
      <c r="N130" s="6">
        <v>13.96</v>
      </c>
      <c r="O130" s="57">
        <v>12.80132</v>
      </c>
      <c r="P130" s="52"/>
      <c r="Q130" s="6">
        <v>0.91699999999999993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0.34</v>
      </c>
      <c r="AB130" s="6">
        <v>0.31178</v>
      </c>
      <c r="AC130" s="6">
        <v>0.91699999999999993</v>
      </c>
      <c r="AD130" s="6">
        <v>-0.33999999999999986</v>
      </c>
      <c r="AE130" s="6">
        <v>0.33999999999999986</v>
      </c>
    </row>
    <row r="131" spans="2:31" x14ac:dyDescent="0.25">
      <c r="B131" s="55"/>
      <c r="C131" s="55"/>
      <c r="D131" s="56"/>
      <c r="E131" s="4" t="s">
        <v>236</v>
      </c>
      <c r="F131" s="4" t="s">
        <v>51</v>
      </c>
      <c r="G131" s="4" t="s">
        <v>35</v>
      </c>
      <c r="H131" s="54" t="s">
        <v>36</v>
      </c>
      <c r="I131" s="52"/>
      <c r="J131" s="57">
        <v>24.45</v>
      </c>
      <c r="K131" s="52"/>
      <c r="L131" s="6">
        <v>22.420649999999998</v>
      </c>
      <c r="M131" s="6">
        <v>0.91699999999999993</v>
      </c>
      <c r="N131" s="6">
        <v>24.08</v>
      </c>
      <c r="O131" s="57">
        <v>22.08136</v>
      </c>
      <c r="P131" s="52"/>
      <c r="Q131" s="6">
        <v>0.91700000000000004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0.37</v>
      </c>
      <c r="AB131" s="6">
        <v>0.33928999999999998</v>
      </c>
      <c r="AC131" s="6">
        <v>0.91699999999999993</v>
      </c>
      <c r="AD131" s="6">
        <v>-0.37000000000000099</v>
      </c>
      <c r="AE131" s="6">
        <v>0.37000000000000099</v>
      </c>
    </row>
    <row r="132" spans="2:31" x14ac:dyDescent="0.25">
      <c r="B132" s="55"/>
      <c r="C132" s="55"/>
      <c r="D132" s="54" t="s">
        <v>237</v>
      </c>
      <c r="E132" s="4" t="s">
        <v>238</v>
      </c>
      <c r="F132" s="4" t="s">
        <v>51</v>
      </c>
      <c r="G132" s="4" t="s">
        <v>35</v>
      </c>
      <c r="H132" s="54" t="s">
        <v>36</v>
      </c>
      <c r="I132" s="52"/>
      <c r="J132" s="57">
        <v>48.72</v>
      </c>
      <c r="K132" s="52"/>
      <c r="L132" s="6">
        <v>44.67624</v>
      </c>
      <c r="M132" s="6">
        <v>0.91700000000000004</v>
      </c>
      <c r="N132" s="6">
        <v>46.77</v>
      </c>
      <c r="O132" s="57">
        <v>42.888089999999998</v>
      </c>
      <c r="P132" s="52"/>
      <c r="Q132" s="6">
        <v>0.91699999999999993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1.95</v>
      </c>
      <c r="AB132" s="6">
        <v>1.7881499999999999</v>
      </c>
      <c r="AC132" s="6">
        <v>0.91699999999999993</v>
      </c>
      <c r="AD132" s="6">
        <v>-1.9499999999999957</v>
      </c>
      <c r="AE132" s="6">
        <v>1.9499999999999957</v>
      </c>
    </row>
    <row r="133" spans="2:31" x14ac:dyDescent="0.25">
      <c r="B133" s="55"/>
      <c r="C133" s="55"/>
      <c r="D133" s="55"/>
      <c r="E133" s="4" t="s">
        <v>239</v>
      </c>
      <c r="F133" s="4" t="s">
        <v>51</v>
      </c>
      <c r="G133" s="4" t="s">
        <v>35</v>
      </c>
      <c r="H133" s="54" t="s">
        <v>36</v>
      </c>
      <c r="I133" s="52"/>
      <c r="J133" s="57">
        <v>31.97</v>
      </c>
      <c r="K133" s="52"/>
      <c r="L133" s="6">
        <v>29.316490000000002</v>
      </c>
      <c r="M133" s="6">
        <v>0.91700000000000004</v>
      </c>
      <c r="N133" s="6">
        <v>30.89</v>
      </c>
      <c r="O133" s="57">
        <v>28.326129999999999</v>
      </c>
      <c r="P133" s="52"/>
      <c r="Q133" s="6">
        <v>0.91699999999999993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1.08</v>
      </c>
      <c r="AB133" s="6">
        <v>0.99036000000000002</v>
      </c>
      <c r="AC133" s="6">
        <v>0.91699999999999993</v>
      </c>
      <c r="AD133" s="6">
        <v>-1.0799999999999983</v>
      </c>
      <c r="AE133" s="6">
        <v>1.0799999999999983</v>
      </c>
    </row>
    <row r="134" spans="2:31" x14ac:dyDescent="0.25">
      <c r="B134" s="55"/>
      <c r="C134" s="55"/>
      <c r="D134" s="55"/>
      <c r="E134" s="4" t="s">
        <v>240</v>
      </c>
      <c r="F134" s="4" t="s">
        <v>51</v>
      </c>
      <c r="G134" s="4" t="s">
        <v>35</v>
      </c>
      <c r="H134" s="54" t="s">
        <v>41</v>
      </c>
      <c r="I134" s="52"/>
      <c r="J134" s="57">
        <v>6.32</v>
      </c>
      <c r="K134" s="52"/>
      <c r="L134" s="6">
        <v>4.74</v>
      </c>
      <c r="M134" s="6">
        <v>0.75</v>
      </c>
      <c r="N134" s="6">
        <v>5.82</v>
      </c>
      <c r="O134" s="57">
        <v>4.3650000000000002</v>
      </c>
      <c r="P134" s="52"/>
      <c r="Q134" s="6">
        <v>0.75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0.5</v>
      </c>
      <c r="AB134" s="6">
        <v>0.375</v>
      </c>
      <c r="AC134" s="6">
        <v>0.75</v>
      </c>
      <c r="AD134" s="6">
        <v>-0.5</v>
      </c>
      <c r="AE134" s="6">
        <v>0.5</v>
      </c>
    </row>
    <row r="135" spans="2:31" x14ac:dyDescent="0.25">
      <c r="B135" s="55"/>
      <c r="C135" s="55"/>
      <c r="D135" s="56"/>
      <c r="E135" s="4" t="s">
        <v>241</v>
      </c>
      <c r="F135" s="4" t="s">
        <v>51</v>
      </c>
      <c r="G135" s="4" t="s">
        <v>35</v>
      </c>
      <c r="H135" s="54" t="s">
        <v>36</v>
      </c>
      <c r="I135" s="52"/>
      <c r="J135" s="57">
        <v>20.57</v>
      </c>
      <c r="K135" s="52"/>
      <c r="L135" s="6">
        <v>18.862690000000001</v>
      </c>
      <c r="M135" s="6">
        <v>0.91700000000000004</v>
      </c>
      <c r="N135" s="6">
        <v>19.46</v>
      </c>
      <c r="O135" s="57">
        <v>17.844819999999999</v>
      </c>
      <c r="P135" s="52"/>
      <c r="Q135" s="6">
        <v>0.91699999999999993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1.1100000000000001</v>
      </c>
      <c r="AB135" s="6">
        <v>1.0178700000000001</v>
      </c>
      <c r="AC135" s="6">
        <v>0.91699999999999993</v>
      </c>
      <c r="AD135" s="6">
        <v>-1.1099999999999994</v>
      </c>
      <c r="AE135" s="6">
        <v>1.1099999999999994</v>
      </c>
    </row>
    <row r="136" spans="2:31" ht="20" x14ac:dyDescent="0.25">
      <c r="B136" s="55"/>
      <c r="C136" s="55"/>
      <c r="D136" s="4" t="s">
        <v>242</v>
      </c>
      <c r="E136" s="4" t="s">
        <v>98</v>
      </c>
      <c r="F136" s="4" t="s">
        <v>51</v>
      </c>
      <c r="G136" s="4" t="s">
        <v>35</v>
      </c>
      <c r="H136" s="54" t="s">
        <v>36</v>
      </c>
      <c r="I136" s="52"/>
      <c r="J136" s="57">
        <v>254.08</v>
      </c>
      <c r="K136" s="52"/>
      <c r="L136" s="6">
        <v>232.99135999999999</v>
      </c>
      <c r="M136" s="6">
        <v>0.91699999999999993</v>
      </c>
      <c r="N136" s="6">
        <v>239.26</v>
      </c>
      <c r="O136" s="57">
        <v>219.40142</v>
      </c>
      <c r="P136" s="52"/>
      <c r="Q136" s="6">
        <v>0.91700000000000004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14.82</v>
      </c>
      <c r="AB136" s="6">
        <v>13.58994</v>
      </c>
      <c r="AC136" s="6">
        <v>0.91700000000000004</v>
      </c>
      <c r="AD136" s="6">
        <v>-14.820000000000022</v>
      </c>
      <c r="AE136" s="6">
        <v>14.820000000000022</v>
      </c>
    </row>
    <row r="137" spans="2:31" ht="20" x14ac:dyDescent="0.25">
      <c r="B137" s="55"/>
      <c r="C137" s="55"/>
      <c r="D137" s="4" t="s">
        <v>243</v>
      </c>
      <c r="E137" s="4" t="s">
        <v>244</v>
      </c>
      <c r="F137" s="4" t="s">
        <v>51</v>
      </c>
      <c r="G137" s="4" t="s">
        <v>35</v>
      </c>
      <c r="H137" s="54" t="s">
        <v>48</v>
      </c>
      <c r="I137" s="52"/>
      <c r="J137" s="57">
        <v>29.19</v>
      </c>
      <c r="K137" s="52"/>
      <c r="L137" s="6">
        <v>21.892499999999998</v>
      </c>
      <c r="M137" s="6">
        <v>0.74999999999999989</v>
      </c>
      <c r="N137" s="6">
        <v>25.17</v>
      </c>
      <c r="O137" s="57">
        <v>18.877500000000001</v>
      </c>
      <c r="P137" s="52"/>
      <c r="Q137" s="6">
        <v>0.75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4.0199999999999996</v>
      </c>
      <c r="AB137" s="6">
        <v>3.0150000000000001</v>
      </c>
      <c r="AC137" s="6">
        <v>0.75000000000000011</v>
      </c>
      <c r="AD137" s="6">
        <v>-4.0199999999999996</v>
      </c>
      <c r="AE137" s="6">
        <v>4.0199999999999996</v>
      </c>
    </row>
    <row r="138" spans="2:31" ht="20" x14ac:dyDescent="0.25">
      <c r="B138" s="55"/>
      <c r="C138" s="55"/>
      <c r="D138" s="4" t="s">
        <v>245</v>
      </c>
      <c r="E138" s="4" t="s">
        <v>99</v>
      </c>
      <c r="F138" s="4" t="s">
        <v>51</v>
      </c>
      <c r="G138" s="4" t="s">
        <v>35</v>
      </c>
      <c r="H138" s="54" t="s">
        <v>36</v>
      </c>
      <c r="I138" s="52"/>
      <c r="J138" s="57">
        <v>30.1</v>
      </c>
      <c r="K138" s="52"/>
      <c r="L138" s="6">
        <v>27.601700000000001</v>
      </c>
      <c r="M138" s="6">
        <v>0.91700000000000004</v>
      </c>
      <c r="N138" s="6">
        <v>28.56</v>
      </c>
      <c r="O138" s="57">
        <v>26.189520000000002</v>
      </c>
      <c r="P138" s="52"/>
      <c r="Q138" s="6">
        <v>0.91700000000000015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1.54</v>
      </c>
      <c r="AB138" s="6">
        <v>1.41218</v>
      </c>
      <c r="AC138" s="6">
        <v>0.91699999999999993</v>
      </c>
      <c r="AD138" s="6">
        <v>-1.5400000000000027</v>
      </c>
      <c r="AE138" s="6">
        <v>1.5400000000000027</v>
      </c>
    </row>
    <row r="139" spans="2:31" ht="20" x14ac:dyDescent="0.25">
      <c r="B139" s="55"/>
      <c r="C139" s="55"/>
      <c r="D139" s="4" t="s">
        <v>246</v>
      </c>
      <c r="E139" s="4" t="s">
        <v>247</v>
      </c>
      <c r="F139" s="4" t="s">
        <v>51</v>
      </c>
      <c r="G139" s="4" t="s">
        <v>35</v>
      </c>
      <c r="H139" s="54" t="s">
        <v>41</v>
      </c>
      <c r="I139" s="52"/>
      <c r="J139" s="57">
        <v>7.55</v>
      </c>
      <c r="K139" s="52"/>
      <c r="L139" s="6">
        <v>5.6624999999999996</v>
      </c>
      <c r="M139" s="6">
        <v>0.75</v>
      </c>
      <c r="N139" s="6">
        <v>6.83</v>
      </c>
      <c r="O139" s="57">
        <v>5.1224999999999996</v>
      </c>
      <c r="P139" s="52"/>
      <c r="Q139" s="6">
        <v>0.74999999999999989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0.72</v>
      </c>
      <c r="AB139" s="6">
        <v>0.54</v>
      </c>
      <c r="AC139" s="6">
        <v>0.75000000000000011</v>
      </c>
      <c r="AD139" s="6">
        <v>-0.71999999999999975</v>
      </c>
      <c r="AE139" s="6">
        <v>0.71999999999999975</v>
      </c>
    </row>
    <row r="140" spans="2:31" ht="20" x14ac:dyDescent="0.25">
      <c r="B140" s="55"/>
      <c r="C140" s="55"/>
      <c r="D140" s="4" t="s">
        <v>248</v>
      </c>
      <c r="E140" s="4" t="s">
        <v>249</v>
      </c>
      <c r="F140" s="4" t="s">
        <v>51</v>
      </c>
      <c r="G140" s="4" t="s">
        <v>35</v>
      </c>
      <c r="H140" s="54" t="s">
        <v>36</v>
      </c>
      <c r="I140" s="52"/>
      <c r="J140" s="57">
        <v>10.97</v>
      </c>
      <c r="K140" s="52"/>
      <c r="L140" s="6">
        <v>10.05949</v>
      </c>
      <c r="M140" s="6">
        <v>0.91699999999999993</v>
      </c>
      <c r="N140" s="6">
        <v>10.41</v>
      </c>
      <c r="O140" s="57">
        <v>9.5459700000000005</v>
      </c>
      <c r="P140" s="52"/>
      <c r="Q140" s="6">
        <v>0.91700000000000004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0.56000000000000005</v>
      </c>
      <c r="AB140" s="6">
        <v>0.51351999999999998</v>
      </c>
      <c r="AC140" s="6">
        <v>0.91699999999999982</v>
      </c>
      <c r="AD140" s="6">
        <v>-0.5600000000000005</v>
      </c>
      <c r="AE140" s="6">
        <v>0.5600000000000005</v>
      </c>
    </row>
    <row r="141" spans="2:31" ht="20" x14ac:dyDescent="0.25">
      <c r="B141" s="55"/>
      <c r="C141" s="55"/>
      <c r="D141" s="4" t="s">
        <v>250</v>
      </c>
      <c r="E141" s="4" t="s">
        <v>251</v>
      </c>
      <c r="F141" s="4" t="s">
        <v>51</v>
      </c>
      <c r="G141" s="4" t="s">
        <v>35</v>
      </c>
      <c r="H141" s="54" t="s">
        <v>41</v>
      </c>
      <c r="I141" s="52"/>
      <c r="J141" s="57">
        <v>7.16</v>
      </c>
      <c r="K141" s="52"/>
      <c r="L141" s="6">
        <v>5.37</v>
      </c>
      <c r="M141" s="6">
        <v>0.75</v>
      </c>
      <c r="N141" s="6">
        <v>6.38</v>
      </c>
      <c r="O141" s="57">
        <v>4.7850000000000001</v>
      </c>
      <c r="P141" s="52"/>
      <c r="Q141" s="6">
        <v>0.75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0.78</v>
      </c>
      <c r="AB141" s="6">
        <v>0.58499999999999996</v>
      </c>
      <c r="AC141" s="6">
        <v>0.74999999999999989</v>
      </c>
      <c r="AD141" s="6">
        <v>-0.78000000000000025</v>
      </c>
      <c r="AE141" s="6">
        <v>0.78000000000000025</v>
      </c>
    </row>
    <row r="142" spans="2:31" ht="20" x14ac:dyDescent="0.25">
      <c r="B142" s="55"/>
      <c r="C142" s="55"/>
      <c r="D142" s="4" t="s">
        <v>252</v>
      </c>
      <c r="E142" s="4" t="s">
        <v>253</v>
      </c>
      <c r="F142" s="4" t="s">
        <v>51</v>
      </c>
      <c r="G142" s="4" t="s">
        <v>35</v>
      </c>
      <c r="H142" s="54" t="s">
        <v>36</v>
      </c>
      <c r="I142" s="52"/>
      <c r="J142" s="57">
        <v>7.99</v>
      </c>
      <c r="K142" s="52"/>
      <c r="L142" s="6">
        <v>7.3268300000000002</v>
      </c>
      <c r="M142" s="6">
        <v>0.91700000000000004</v>
      </c>
      <c r="N142" s="6">
        <v>7.72</v>
      </c>
      <c r="O142" s="57">
        <v>7.0792400000000004</v>
      </c>
      <c r="P142" s="52"/>
      <c r="Q142" s="6">
        <v>0.91700000000000004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0.27</v>
      </c>
      <c r="AB142" s="6">
        <v>0.24759</v>
      </c>
      <c r="AC142" s="6">
        <v>0.91699999999999993</v>
      </c>
      <c r="AD142" s="6">
        <v>-0.27000000000000046</v>
      </c>
      <c r="AE142" s="6">
        <v>0.27000000000000046</v>
      </c>
    </row>
    <row r="143" spans="2:31" ht="20" x14ac:dyDescent="0.25">
      <c r="B143" s="55"/>
      <c r="C143" s="55"/>
      <c r="D143" s="4" t="s">
        <v>254</v>
      </c>
      <c r="E143" s="4" t="s">
        <v>255</v>
      </c>
      <c r="F143" s="4" t="s">
        <v>51</v>
      </c>
      <c r="G143" s="4" t="s">
        <v>35</v>
      </c>
      <c r="H143" s="54" t="s">
        <v>36</v>
      </c>
      <c r="I143" s="52"/>
      <c r="J143" s="57">
        <v>12.96</v>
      </c>
      <c r="K143" s="52"/>
      <c r="L143" s="6">
        <v>11.884320000000001</v>
      </c>
      <c r="M143" s="6">
        <v>0.91700000000000004</v>
      </c>
      <c r="N143" s="6">
        <v>12.74</v>
      </c>
      <c r="O143" s="57">
        <v>11.68258</v>
      </c>
      <c r="P143" s="52"/>
      <c r="Q143" s="6">
        <v>0.91699999999999993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0.22</v>
      </c>
      <c r="AB143" s="6">
        <v>0.20174</v>
      </c>
      <c r="AC143" s="6">
        <v>0.91700000000000004</v>
      </c>
      <c r="AD143" s="6">
        <v>-0.22000000000000064</v>
      </c>
      <c r="AE143" s="6">
        <v>0.22000000000000064</v>
      </c>
    </row>
    <row r="144" spans="2:31" x14ac:dyDescent="0.25">
      <c r="B144" s="55"/>
      <c r="C144" s="55"/>
      <c r="D144" s="54" t="s">
        <v>256</v>
      </c>
      <c r="E144" s="4" t="s">
        <v>257</v>
      </c>
      <c r="F144" s="4" t="s">
        <v>51</v>
      </c>
      <c r="G144" s="4" t="s">
        <v>35</v>
      </c>
      <c r="H144" s="54" t="s">
        <v>36</v>
      </c>
      <c r="I144" s="52"/>
      <c r="J144" s="57">
        <v>49.36</v>
      </c>
      <c r="K144" s="52"/>
      <c r="L144" s="6">
        <v>45.263120000000001</v>
      </c>
      <c r="M144" s="6">
        <v>0.91700000000000004</v>
      </c>
      <c r="N144" s="6">
        <v>47.88</v>
      </c>
      <c r="O144" s="57">
        <v>43.90596</v>
      </c>
      <c r="P144" s="52"/>
      <c r="Q144" s="6">
        <v>0.91699999999999993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1.48</v>
      </c>
      <c r="AB144" s="6">
        <v>1.3571599999999999</v>
      </c>
      <c r="AC144" s="6">
        <v>0.91699999999999993</v>
      </c>
      <c r="AD144" s="6">
        <v>-1.4799999999999969</v>
      </c>
      <c r="AE144" s="6">
        <v>1.4799999999999969</v>
      </c>
    </row>
    <row r="145" spans="2:31" x14ac:dyDescent="0.25">
      <c r="B145" s="55"/>
      <c r="C145" s="55"/>
      <c r="D145" s="55"/>
      <c r="E145" s="4" t="s">
        <v>258</v>
      </c>
      <c r="F145" s="4" t="s">
        <v>51</v>
      </c>
      <c r="G145" s="4" t="s">
        <v>35</v>
      </c>
      <c r="H145" s="54" t="s">
        <v>36</v>
      </c>
      <c r="I145" s="52"/>
      <c r="J145" s="57">
        <v>7.74</v>
      </c>
      <c r="K145" s="52"/>
      <c r="L145" s="6">
        <v>7.0975799999999998</v>
      </c>
      <c r="M145" s="6">
        <v>0.91699999999999993</v>
      </c>
      <c r="N145" s="6">
        <v>7.51</v>
      </c>
      <c r="O145" s="57">
        <v>6.8866699999999996</v>
      </c>
      <c r="P145" s="52"/>
      <c r="Q145" s="6">
        <v>0.91699999999999993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0.23</v>
      </c>
      <c r="AB145" s="6">
        <v>0.21090999999999999</v>
      </c>
      <c r="AC145" s="6">
        <v>0.91699999999999993</v>
      </c>
      <c r="AD145" s="6">
        <v>-0.23000000000000043</v>
      </c>
      <c r="AE145" s="6">
        <v>0.23000000000000043</v>
      </c>
    </row>
    <row r="146" spans="2:31" x14ac:dyDescent="0.25">
      <c r="B146" s="55"/>
      <c r="C146" s="55"/>
      <c r="D146" s="55"/>
      <c r="E146" s="4" t="s">
        <v>259</v>
      </c>
      <c r="F146" s="4" t="s">
        <v>51</v>
      </c>
      <c r="G146" s="4" t="s">
        <v>35</v>
      </c>
      <c r="H146" s="54" t="s">
        <v>36</v>
      </c>
      <c r="I146" s="52"/>
      <c r="J146" s="57">
        <v>7.73</v>
      </c>
      <c r="K146" s="52"/>
      <c r="L146" s="6">
        <v>7.0884099999999997</v>
      </c>
      <c r="M146" s="6">
        <v>0.91699999999999993</v>
      </c>
      <c r="N146" s="6">
        <v>7.5</v>
      </c>
      <c r="O146" s="57">
        <v>6.8775000000000004</v>
      </c>
      <c r="P146" s="52"/>
      <c r="Q146" s="6">
        <v>0.91700000000000004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0.23</v>
      </c>
      <c r="AB146" s="6">
        <v>0.21090999999999999</v>
      </c>
      <c r="AC146" s="6">
        <v>0.91699999999999993</v>
      </c>
      <c r="AD146" s="6">
        <v>-0.23000000000000043</v>
      </c>
      <c r="AE146" s="6">
        <v>0.23000000000000043</v>
      </c>
    </row>
    <row r="147" spans="2:31" x14ac:dyDescent="0.25">
      <c r="B147" s="55"/>
      <c r="C147" s="55"/>
      <c r="D147" s="55"/>
      <c r="E147" s="4" t="s">
        <v>260</v>
      </c>
      <c r="F147" s="4" t="s">
        <v>51</v>
      </c>
      <c r="G147" s="4" t="s">
        <v>35</v>
      </c>
      <c r="H147" s="54" t="s">
        <v>36</v>
      </c>
      <c r="I147" s="52"/>
      <c r="J147" s="57">
        <v>8.84</v>
      </c>
      <c r="K147" s="52"/>
      <c r="L147" s="6">
        <v>8.1062799999999999</v>
      </c>
      <c r="M147" s="6">
        <v>0.91700000000000004</v>
      </c>
      <c r="N147" s="6">
        <v>8.41</v>
      </c>
      <c r="O147" s="57">
        <v>7.71197</v>
      </c>
      <c r="P147" s="52"/>
      <c r="Q147" s="6">
        <v>0.91700000000000004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0.43</v>
      </c>
      <c r="AB147" s="6">
        <v>0.39430999999999999</v>
      </c>
      <c r="AC147" s="6">
        <v>0.91700000000000004</v>
      </c>
      <c r="AD147" s="6">
        <v>-0.42999999999999972</v>
      </c>
      <c r="AE147" s="6">
        <v>0.42999999999999972</v>
      </c>
    </row>
    <row r="148" spans="2:31" x14ac:dyDescent="0.25">
      <c r="B148" s="55"/>
      <c r="C148" s="55"/>
      <c r="D148" s="56"/>
      <c r="E148" s="4" t="s">
        <v>261</v>
      </c>
      <c r="F148" s="4" t="s">
        <v>51</v>
      </c>
      <c r="G148" s="4" t="s">
        <v>35</v>
      </c>
      <c r="H148" s="54" t="s">
        <v>36</v>
      </c>
      <c r="I148" s="52"/>
      <c r="J148" s="57">
        <v>7.63</v>
      </c>
      <c r="K148" s="52"/>
      <c r="L148" s="6">
        <v>6.9967100000000002</v>
      </c>
      <c r="M148" s="6">
        <v>0.91700000000000004</v>
      </c>
      <c r="N148" s="6">
        <v>7.28</v>
      </c>
      <c r="O148" s="57">
        <v>6.6757600000000004</v>
      </c>
      <c r="P148" s="52"/>
      <c r="Q148" s="6">
        <v>0.91700000000000004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0.35</v>
      </c>
      <c r="AB148" s="6">
        <v>0.32095000000000001</v>
      </c>
      <c r="AC148" s="6">
        <v>0.91700000000000015</v>
      </c>
      <c r="AD148" s="6">
        <v>-0.34999999999999964</v>
      </c>
      <c r="AE148" s="6">
        <v>0.34999999999999964</v>
      </c>
    </row>
    <row r="149" spans="2:31" ht="20" x14ac:dyDescent="0.25">
      <c r="B149" s="55"/>
      <c r="C149" s="55"/>
      <c r="D149" s="4" t="s">
        <v>262</v>
      </c>
      <c r="E149" s="4" t="s">
        <v>263</v>
      </c>
      <c r="F149" s="4" t="s">
        <v>51</v>
      </c>
      <c r="G149" s="4" t="s">
        <v>35</v>
      </c>
      <c r="H149" s="54" t="s">
        <v>36</v>
      </c>
      <c r="I149" s="52"/>
      <c r="J149" s="57">
        <v>52.3</v>
      </c>
      <c r="K149" s="52"/>
      <c r="L149" s="6">
        <v>47.959099999999999</v>
      </c>
      <c r="M149" s="6">
        <v>0.91700000000000004</v>
      </c>
      <c r="N149" s="6">
        <v>50.44</v>
      </c>
      <c r="O149" s="57">
        <v>46.253480000000003</v>
      </c>
      <c r="P149" s="52"/>
      <c r="Q149" s="6">
        <v>0.91700000000000015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1.86</v>
      </c>
      <c r="AB149" s="6">
        <v>1.7056199999999999</v>
      </c>
      <c r="AC149" s="6">
        <v>0.91699999999999993</v>
      </c>
      <c r="AD149" s="6">
        <v>-1.8599999999999994</v>
      </c>
      <c r="AE149" s="6">
        <v>1.8599999999999994</v>
      </c>
    </row>
    <row r="150" spans="2:31" x14ac:dyDescent="0.25">
      <c r="B150" s="55"/>
      <c r="C150" s="55"/>
      <c r="D150" s="54" t="s">
        <v>264</v>
      </c>
      <c r="E150" s="4" t="s">
        <v>265</v>
      </c>
      <c r="F150" s="4" t="s">
        <v>51</v>
      </c>
      <c r="G150" s="4" t="s">
        <v>35</v>
      </c>
      <c r="H150" s="54" t="s">
        <v>48</v>
      </c>
      <c r="I150" s="52"/>
      <c r="J150" s="57">
        <v>48.73</v>
      </c>
      <c r="K150" s="52"/>
      <c r="L150" s="6">
        <v>36.547499999999999</v>
      </c>
      <c r="M150" s="6">
        <v>0.75</v>
      </c>
      <c r="N150" s="6">
        <v>45.14</v>
      </c>
      <c r="O150" s="57">
        <v>33.854999999999997</v>
      </c>
      <c r="P150" s="52"/>
      <c r="Q150" s="6">
        <v>0.74999999999999989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3.59</v>
      </c>
      <c r="AB150" s="6">
        <v>2.6924999999999999</v>
      </c>
      <c r="AC150" s="6">
        <v>0.75</v>
      </c>
      <c r="AD150" s="6">
        <v>-3.5899999999999963</v>
      </c>
      <c r="AE150" s="6">
        <v>3.5899999999999963</v>
      </c>
    </row>
    <row r="151" spans="2:31" x14ac:dyDescent="0.25">
      <c r="B151" s="55"/>
      <c r="C151" s="55"/>
      <c r="D151" s="56"/>
      <c r="E151" s="4" t="s">
        <v>266</v>
      </c>
      <c r="F151" s="4" t="s">
        <v>51</v>
      </c>
      <c r="G151" s="4" t="s">
        <v>35</v>
      </c>
      <c r="H151" s="54" t="s">
        <v>36</v>
      </c>
      <c r="I151" s="52"/>
      <c r="J151" s="57">
        <v>46.72</v>
      </c>
      <c r="K151" s="52"/>
      <c r="L151" s="6">
        <v>42.842239999999997</v>
      </c>
      <c r="M151" s="6">
        <v>0.91699999999999993</v>
      </c>
      <c r="N151" s="6">
        <v>45.03</v>
      </c>
      <c r="O151" s="57">
        <v>41.29251</v>
      </c>
      <c r="P151" s="52"/>
      <c r="Q151" s="6">
        <v>0.91699999999999993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1.69</v>
      </c>
      <c r="AB151" s="6">
        <v>1.5497300000000001</v>
      </c>
      <c r="AC151" s="6">
        <v>0.91700000000000004</v>
      </c>
      <c r="AD151" s="6">
        <v>-1.6899999999999977</v>
      </c>
      <c r="AE151" s="6">
        <v>1.6899999999999977</v>
      </c>
    </row>
    <row r="152" spans="2:31" ht="20" x14ac:dyDescent="0.25">
      <c r="B152" s="55"/>
      <c r="C152" s="55"/>
      <c r="D152" s="4" t="s">
        <v>267</v>
      </c>
      <c r="E152" s="4" t="s">
        <v>268</v>
      </c>
      <c r="F152" s="4" t="s">
        <v>51</v>
      </c>
      <c r="G152" s="4" t="s">
        <v>35</v>
      </c>
      <c r="H152" s="54" t="s">
        <v>36</v>
      </c>
      <c r="I152" s="52"/>
      <c r="J152" s="57">
        <v>2.77</v>
      </c>
      <c r="K152" s="52"/>
      <c r="L152" s="6">
        <v>2.5400900000000002</v>
      </c>
      <c r="M152" s="6">
        <v>0.91700000000000004</v>
      </c>
      <c r="N152" s="6">
        <v>2.7</v>
      </c>
      <c r="O152" s="57">
        <v>2.4759000000000002</v>
      </c>
      <c r="P152" s="52"/>
      <c r="Q152" s="6">
        <v>0.91700000000000004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7.0000000000000007E-2</v>
      </c>
      <c r="AB152" s="6">
        <v>6.4189999999999997E-2</v>
      </c>
      <c r="AC152" s="6">
        <v>0.91699999999999982</v>
      </c>
      <c r="AD152" s="6">
        <v>-6.999999999999984E-2</v>
      </c>
      <c r="AE152" s="6">
        <v>6.999999999999984E-2</v>
      </c>
    </row>
    <row r="153" spans="2:31" x14ac:dyDescent="0.25">
      <c r="B153" s="55"/>
      <c r="C153" s="55"/>
      <c r="D153" s="54" t="s">
        <v>269</v>
      </c>
      <c r="E153" s="4" t="s">
        <v>270</v>
      </c>
      <c r="F153" s="4" t="s">
        <v>51</v>
      </c>
      <c r="G153" s="4" t="s">
        <v>35</v>
      </c>
      <c r="H153" s="54" t="s">
        <v>41</v>
      </c>
      <c r="I153" s="52"/>
      <c r="J153" s="57">
        <v>13.83</v>
      </c>
      <c r="K153" s="52"/>
      <c r="L153" s="6">
        <v>10.3725</v>
      </c>
      <c r="M153" s="6">
        <v>0.75</v>
      </c>
      <c r="N153" s="6">
        <v>13.05</v>
      </c>
      <c r="O153" s="57">
        <v>9.7874999999999996</v>
      </c>
      <c r="P153" s="52"/>
      <c r="Q153" s="6">
        <v>0.74999999999999989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0.78</v>
      </c>
      <c r="AB153" s="6">
        <v>0.58499999999999996</v>
      </c>
      <c r="AC153" s="6">
        <v>0.74999999999999989</v>
      </c>
      <c r="AD153" s="6">
        <v>-0.77999999999999936</v>
      </c>
      <c r="AE153" s="6">
        <v>0.77999999999999936</v>
      </c>
    </row>
    <row r="154" spans="2:31" x14ac:dyDescent="0.25">
      <c r="B154" s="55"/>
      <c r="C154" s="55"/>
      <c r="D154" s="55"/>
      <c r="E154" s="4" t="s">
        <v>271</v>
      </c>
      <c r="F154" s="4" t="s">
        <v>51</v>
      </c>
      <c r="G154" s="4" t="s">
        <v>35</v>
      </c>
      <c r="H154" s="54" t="s">
        <v>36</v>
      </c>
      <c r="I154" s="52"/>
      <c r="J154" s="57">
        <v>9.7799999999999994</v>
      </c>
      <c r="K154" s="52"/>
      <c r="L154" s="6">
        <v>8.9682600000000008</v>
      </c>
      <c r="M154" s="6">
        <v>0.91700000000000015</v>
      </c>
      <c r="N154" s="6">
        <v>9.09</v>
      </c>
      <c r="O154" s="57">
        <v>8.3355300000000003</v>
      </c>
      <c r="P154" s="52"/>
      <c r="Q154" s="6">
        <v>0.91700000000000004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0.69</v>
      </c>
      <c r="AB154" s="6">
        <v>0.63273000000000001</v>
      </c>
      <c r="AC154" s="6">
        <v>0.91700000000000004</v>
      </c>
      <c r="AD154" s="6">
        <v>-0.6899999999999995</v>
      </c>
      <c r="AE154" s="6">
        <v>0.6899999999999995</v>
      </c>
    </row>
    <row r="155" spans="2:31" x14ac:dyDescent="0.25">
      <c r="B155" s="55"/>
      <c r="C155" s="55"/>
      <c r="D155" s="56"/>
      <c r="E155" s="4" t="s">
        <v>272</v>
      </c>
      <c r="F155" s="4" t="s">
        <v>51</v>
      </c>
      <c r="G155" s="4" t="s">
        <v>35</v>
      </c>
      <c r="H155" s="54" t="s">
        <v>48</v>
      </c>
      <c r="I155" s="52"/>
      <c r="J155" s="57">
        <v>6.49</v>
      </c>
      <c r="K155" s="52"/>
      <c r="L155" s="6">
        <v>4.8674999999999997</v>
      </c>
      <c r="M155" s="6">
        <v>0.74999999999999989</v>
      </c>
      <c r="N155" s="6">
        <v>5.85</v>
      </c>
      <c r="O155" s="57">
        <v>4.3875000000000002</v>
      </c>
      <c r="P155" s="52"/>
      <c r="Q155" s="6">
        <v>0.75000000000000011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0.64</v>
      </c>
      <c r="AB155" s="6">
        <v>0.48</v>
      </c>
      <c r="AC155" s="6">
        <v>0.75</v>
      </c>
      <c r="AD155" s="6">
        <v>-0.64000000000000057</v>
      </c>
      <c r="AE155" s="6">
        <v>0.64000000000000057</v>
      </c>
    </row>
    <row r="156" spans="2:31" x14ac:dyDescent="0.25">
      <c r="B156" s="55"/>
      <c r="C156" s="55"/>
      <c r="D156" s="54" t="s">
        <v>273</v>
      </c>
      <c r="E156" s="4" t="s">
        <v>274</v>
      </c>
      <c r="F156" s="4" t="s">
        <v>51</v>
      </c>
      <c r="G156" s="4" t="s">
        <v>35</v>
      </c>
      <c r="H156" s="54" t="s">
        <v>36</v>
      </c>
      <c r="I156" s="52"/>
      <c r="J156" s="57">
        <v>52.43</v>
      </c>
      <c r="K156" s="52"/>
      <c r="L156" s="6">
        <v>48.078310000000002</v>
      </c>
      <c r="M156" s="6">
        <v>0.91700000000000004</v>
      </c>
      <c r="N156" s="6">
        <v>50.65</v>
      </c>
      <c r="O156" s="57">
        <v>46.44605</v>
      </c>
      <c r="P156" s="52"/>
      <c r="Q156" s="6">
        <v>0.91700000000000004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1.78</v>
      </c>
      <c r="AB156" s="6">
        <v>1.63226</v>
      </c>
      <c r="AC156" s="6">
        <v>0.91700000000000004</v>
      </c>
      <c r="AD156" s="6">
        <v>-1.7800000000000011</v>
      </c>
      <c r="AE156" s="6">
        <v>1.7800000000000011</v>
      </c>
    </row>
    <row r="157" spans="2:31" x14ac:dyDescent="0.25">
      <c r="B157" s="55"/>
      <c r="C157" s="55"/>
      <c r="D157" s="55"/>
      <c r="E157" s="4" t="s">
        <v>275</v>
      </c>
      <c r="F157" s="4" t="s">
        <v>51</v>
      </c>
      <c r="G157" s="4" t="s">
        <v>35</v>
      </c>
      <c r="H157" s="54" t="s">
        <v>36</v>
      </c>
      <c r="I157" s="52"/>
      <c r="J157" s="57">
        <v>3.89</v>
      </c>
      <c r="K157" s="52"/>
      <c r="L157" s="6">
        <v>3.5671300000000001</v>
      </c>
      <c r="M157" s="6">
        <v>0.91700000000000004</v>
      </c>
      <c r="N157" s="6">
        <v>3.78</v>
      </c>
      <c r="O157" s="57">
        <v>3.4662600000000001</v>
      </c>
      <c r="P157" s="52"/>
      <c r="Q157" s="6">
        <v>0.91700000000000004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0.11</v>
      </c>
      <c r="AB157" s="6">
        <v>0.10087</v>
      </c>
      <c r="AC157" s="6">
        <v>0.91700000000000004</v>
      </c>
      <c r="AD157" s="6">
        <v>-0.11000000000000032</v>
      </c>
      <c r="AE157" s="6">
        <v>0.11000000000000032</v>
      </c>
    </row>
    <row r="158" spans="2:31" x14ac:dyDescent="0.25">
      <c r="B158" s="55"/>
      <c r="C158" s="55"/>
      <c r="D158" s="55"/>
      <c r="E158" s="4" t="s">
        <v>276</v>
      </c>
      <c r="F158" s="4" t="s">
        <v>51</v>
      </c>
      <c r="G158" s="4" t="s">
        <v>35</v>
      </c>
      <c r="H158" s="54" t="s">
        <v>36</v>
      </c>
      <c r="I158" s="52"/>
      <c r="J158" s="57">
        <v>4.2300000000000004</v>
      </c>
      <c r="K158" s="52"/>
      <c r="L158" s="6">
        <v>3.8789099999999999</v>
      </c>
      <c r="M158" s="6">
        <v>0.91699999999999993</v>
      </c>
      <c r="N158" s="6">
        <v>4.03</v>
      </c>
      <c r="O158" s="57">
        <v>3.6955100000000001</v>
      </c>
      <c r="P158" s="52"/>
      <c r="Q158" s="6">
        <v>0.91699999999999993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0.2</v>
      </c>
      <c r="AB158" s="6">
        <v>0.18340000000000001</v>
      </c>
      <c r="AC158" s="6">
        <v>0.91700000000000004</v>
      </c>
      <c r="AD158" s="6">
        <v>-0.20000000000000018</v>
      </c>
      <c r="AE158" s="6">
        <v>0.20000000000000018</v>
      </c>
    </row>
    <row r="159" spans="2:31" x14ac:dyDescent="0.25">
      <c r="B159" s="55"/>
      <c r="C159" s="55"/>
      <c r="D159" s="55"/>
      <c r="E159" s="4" t="s">
        <v>277</v>
      </c>
      <c r="F159" s="4" t="s">
        <v>51</v>
      </c>
      <c r="G159" s="4" t="s">
        <v>35</v>
      </c>
      <c r="H159" s="54" t="s">
        <v>36</v>
      </c>
      <c r="I159" s="52"/>
      <c r="J159" s="57">
        <v>6.85</v>
      </c>
      <c r="K159" s="52"/>
      <c r="L159" s="6">
        <v>6.2814500000000004</v>
      </c>
      <c r="M159" s="6">
        <v>0.91700000000000015</v>
      </c>
      <c r="N159" s="6">
        <v>6.55</v>
      </c>
      <c r="O159" s="57">
        <v>6.0063500000000003</v>
      </c>
      <c r="P159" s="52"/>
      <c r="Q159" s="6">
        <v>0.91700000000000004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0.3</v>
      </c>
      <c r="AB159" s="6">
        <v>0.27510000000000001</v>
      </c>
      <c r="AC159" s="6">
        <v>0.91700000000000004</v>
      </c>
      <c r="AD159" s="6">
        <v>-0.29999999999999982</v>
      </c>
      <c r="AE159" s="6">
        <v>0.29999999999999982</v>
      </c>
    </row>
    <row r="160" spans="2:31" x14ac:dyDescent="0.25">
      <c r="B160" s="55"/>
      <c r="C160" s="55"/>
      <c r="D160" s="56"/>
      <c r="E160" s="4" t="s">
        <v>278</v>
      </c>
      <c r="F160" s="4" t="s">
        <v>51</v>
      </c>
      <c r="G160" s="4" t="s">
        <v>35</v>
      </c>
      <c r="H160" s="54" t="s">
        <v>36</v>
      </c>
      <c r="I160" s="52"/>
      <c r="J160" s="57">
        <v>36.6</v>
      </c>
      <c r="K160" s="52"/>
      <c r="L160" s="6">
        <v>33.562199999999997</v>
      </c>
      <c r="M160" s="6">
        <v>0.91699999999999993</v>
      </c>
      <c r="N160" s="6">
        <v>34.97</v>
      </c>
      <c r="O160" s="57">
        <v>32.067489999999999</v>
      </c>
      <c r="P160" s="52"/>
      <c r="Q160" s="6">
        <v>0.91700000000000004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1.63</v>
      </c>
      <c r="AB160" s="6">
        <v>1.49471</v>
      </c>
      <c r="AC160" s="6">
        <v>0.91700000000000004</v>
      </c>
      <c r="AD160" s="6">
        <v>-1.6300000000000026</v>
      </c>
      <c r="AE160" s="6">
        <v>1.6300000000000026</v>
      </c>
    </row>
    <row r="161" spans="2:31" x14ac:dyDescent="0.25">
      <c r="B161" s="55"/>
      <c r="C161" s="55"/>
      <c r="D161" s="54" t="s">
        <v>279</v>
      </c>
      <c r="E161" s="4" t="s">
        <v>280</v>
      </c>
      <c r="F161" s="4" t="s">
        <v>51</v>
      </c>
      <c r="G161" s="4" t="s">
        <v>35</v>
      </c>
      <c r="H161" s="54" t="s">
        <v>36</v>
      </c>
      <c r="I161" s="52"/>
      <c r="J161" s="57">
        <v>4.03</v>
      </c>
      <c r="K161" s="52"/>
      <c r="L161" s="6">
        <v>3.6955100000000001</v>
      </c>
      <c r="M161" s="6">
        <v>0.91699999999999993</v>
      </c>
      <c r="N161" s="6">
        <v>3.88</v>
      </c>
      <c r="O161" s="57">
        <v>3.55796</v>
      </c>
      <c r="P161" s="52"/>
      <c r="Q161" s="6">
        <v>0.91700000000000004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0.15</v>
      </c>
      <c r="AB161" s="6">
        <v>0.13755000000000001</v>
      </c>
      <c r="AC161" s="6">
        <v>0.91700000000000004</v>
      </c>
      <c r="AD161" s="6">
        <v>-0.15000000000000036</v>
      </c>
      <c r="AE161" s="6">
        <v>0.15000000000000036</v>
      </c>
    </row>
    <row r="162" spans="2:31" x14ac:dyDescent="0.25">
      <c r="B162" s="55"/>
      <c r="C162" s="55"/>
      <c r="D162" s="55"/>
      <c r="E162" s="4" t="s">
        <v>281</v>
      </c>
      <c r="F162" s="4" t="s">
        <v>51</v>
      </c>
      <c r="G162" s="4" t="s">
        <v>35</v>
      </c>
      <c r="H162" s="54" t="s">
        <v>36</v>
      </c>
      <c r="I162" s="52"/>
      <c r="J162" s="57">
        <v>3.82</v>
      </c>
      <c r="K162" s="52"/>
      <c r="L162" s="6">
        <v>3.5029400000000002</v>
      </c>
      <c r="M162" s="6">
        <v>0.91700000000000004</v>
      </c>
      <c r="N162" s="6">
        <v>3.67</v>
      </c>
      <c r="O162" s="57">
        <v>3.3653900000000001</v>
      </c>
      <c r="P162" s="52"/>
      <c r="Q162" s="6">
        <v>0.91700000000000004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0.15</v>
      </c>
      <c r="AB162" s="6">
        <v>0.13755000000000001</v>
      </c>
      <c r="AC162" s="6">
        <v>0.91700000000000004</v>
      </c>
      <c r="AD162" s="6">
        <v>-0.14999999999999991</v>
      </c>
      <c r="AE162" s="6">
        <v>0.14999999999999991</v>
      </c>
    </row>
    <row r="163" spans="2:31" x14ac:dyDescent="0.25">
      <c r="B163" s="55"/>
      <c r="C163" s="55"/>
      <c r="D163" s="56"/>
      <c r="E163" s="4" t="s">
        <v>282</v>
      </c>
      <c r="F163" s="4" t="s">
        <v>51</v>
      </c>
      <c r="G163" s="4" t="s">
        <v>35</v>
      </c>
      <c r="H163" s="54" t="s">
        <v>36</v>
      </c>
      <c r="I163" s="52"/>
      <c r="J163" s="57">
        <v>4.4539999999999997</v>
      </c>
      <c r="K163" s="52"/>
      <c r="L163" s="6">
        <v>4.0843179999999997</v>
      </c>
      <c r="M163" s="6">
        <v>0.91699999999999993</v>
      </c>
      <c r="N163" s="6">
        <v>4.2939999999999996</v>
      </c>
      <c r="O163" s="57">
        <v>3.9375979999999999</v>
      </c>
      <c r="P163" s="52"/>
      <c r="Q163" s="6">
        <v>0.91700000000000004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0.16</v>
      </c>
      <c r="AB163" s="6">
        <v>0.14671999999999999</v>
      </c>
      <c r="AC163" s="6">
        <v>0.91699999999999993</v>
      </c>
      <c r="AD163" s="6">
        <v>-0.16000000000000014</v>
      </c>
      <c r="AE163" s="6">
        <v>0.16000000000000014</v>
      </c>
    </row>
    <row r="164" spans="2:31" ht="20" x14ac:dyDescent="0.25">
      <c r="B164" s="55"/>
      <c r="C164" s="55"/>
      <c r="D164" s="4" t="s">
        <v>283</v>
      </c>
      <c r="E164" s="4" t="s">
        <v>284</v>
      </c>
      <c r="F164" s="4" t="s">
        <v>51</v>
      </c>
      <c r="G164" s="4" t="s">
        <v>35</v>
      </c>
      <c r="H164" s="54" t="s">
        <v>36</v>
      </c>
      <c r="I164" s="52"/>
      <c r="J164" s="57">
        <v>7.36</v>
      </c>
      <c r="K164" s="52"/>
      <c r="L164" s="6">
        <v>6.7491199999999996</v>
      </c>
      <c r="M164" s="6">
        <v>0.91699999999999993</v>
      </c>
      <c r="N164" s="6">
        <v>7.01</v>
      </c>
      <c r="O164" s="57">
        <v>6.4281699999999997</v>
      </c>
      <c r="P164" s="52"/>
      <c r="Q164" s="6">
        <v>0.91700000000000004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0.35</v>
      </c>
      <c r="AB164" s="6">
        <v>0.32095000000000001</v>
      </c>
      <c r="AC164" s="6">
        <v>0.91700000000000015</v>
      </c>
      <c r="AD164" s="6">
        <v>-0.35000000000000053</v>
      </c>
      <c r="AE164" s="6">
        <v>0.35000000000000053</v>
      </c>
    </row>
    <row r="165" spans="2:31" x14ac:dyDescent="0.25">
      <c r="B165" s="55"/>
      <c r="C165" s="55"/>
      <c r="D165" s="54" t="s">
        <v>285</v>
      </c>
      <c r="E165" s="4" t="s">
        <v>286</v>
      </c>
      <c r="F165" s="4" t="s">
        <v>51</v>
      </c>
      <c r="G165" s="4" t="s">
        <v>35</v>
      </c>
      <c r="H165" s="54" t="s">
        <v>48</v>
      </c>
      <c r="I165" s="52"/>
      <c r="J165" s="57">
        <v>76.739999999999995</v>
      </c>
      <c r="K165" s="52"/>
      <c r="L165" s="6">
        <v>57.555</v>
      </c>
      <c r="M165" s="6">
        <v>0.75</v>
      </c>
      <c r="N165" s="6">
        <v>67.16</v>
      </c>
      <c r="O165" s="57">
        <v>50.37</v>
      </c>
      <c r="P165" s="52"/>
      <c r="Q165" s="6">
        <v>0.75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9.58</v>
      </c>
      <c r="AB165" s="6">
        <v>7.1849999999999996</v>
      </c>
      <c r="AC165" s="6">
        <v>0.75</v>
      </c>
      <c r="AD165" s="6">
        <v>-9.5799999999999983</v>
      </c>
      <c r="AE165" s="6">
        <v>9.5799999999999983</v>
      </c>
    </row>
    <row r="166" spans="2:31" x14ac:dyDescent="0.25">
      <c r="B166" s="55"/>
      <c r="C166" s="55"/>
      <c r="D166" s="55"/>
      <c r="E166" s="4" t="s">
        <v>287</v>
      </c>
      <c r="F166" s="4" t="s">
        <v>51</v>
      </c>
      <c r="G166" s="4" t="s">
        <v>35</v>
      </c>
      <c r="H166" s="54" t="s">
        <v>36</v>
      </c>
      <c r="I166" s="52"/>
      <c r="J166" s="57">
        <v>17.61</v>
      </c>
      <c r="K166" s="52"/>
      <c r="L166" s="6">
        <v>16.14837</v>
      </c>
      <c r="M166" s="6">
        <v>0.91700000000000004</v>
      </c>
      <c r="N166" s="6">
        <v>16.989999999999998</v>
      </c>
      <c r="O166" s="57">
        <v>15.579829999999999</v>
      </c>
      <c r="P166" s="52"/>
      <c r="Q166" s="6">
        <v>0.91700000000000004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0.62</v>
      </c>
      <c r="AB166" s="6">
        <v>0.56854000000000005</v>
      </c>
      <c r="AC166" s="6">
        <v>0.91700000000000004</v>
      </c>
      <c r="AD166" s="6">
        <v>-0.62000000000000099</v>
      </c>
      <c r="AE166" s="6">
        <v>0.62000000000000099</v>
      </c>
    </row>
    <row r="167" spans="2:31" x14ac:dyDescent="0.25">
      <c r="B167" s="55"/>
      <c r="C167" s="55"/>
      <c r="D167" s="56"/>
      <c r="E167" s="4" t="s">
        <v>288</v>
      </c>
      <c r="F167" s="4" t="s">
        <v>51</v>
      </c>
      <c r="G167" s="4" t="s">
        <v>35</v>
      </c>
      <c r="H167" s="54" t="s">
        <v>36</v>
      </c>
      <c r="I167" s="52"/>
      <c r="J167" s="57">
        <v>4.32</v>
      </c>
      <c r="K167" s="52"/>
      <c r="L167" s="6">
        <v>3.9614400000000001</v>
      </c>
      <c r="M167" s="6">
        <v>0.91699999999999993</v>
      </c>
      <c r="N167" s="6">
        <v>3.79</v>
      </c>
      <c r="O167" s="57">
        <v>3.4754299999999998</v>
      </c>
      <c r="P167" s="52"/>
      <c r="Q167" s="6">
        <v>0.91699999999999993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0.53</v>
      </c>
      <c r="AB167" s="6">
        <v>0.48601</v>
      </c>
      <c r="AC167" s="6">
        <v>0.91699999999999993</v>
      </c>
      <c r="AD167" s="6">
        <v>-0.53000000000000025</v>
      </c>
      <c r="AE167" s="6">
        <v>0.53000000000000025</v>
      </c>
    </row>
    <row r="168" spans="2:31" x14ac:dyDescent="0.25">
      <c r="B168" s="55"/>
      <c r="C168" s="55"/>
      <c r="D168" s="54" t="s">
        <v>289</v>
      </c>
      <c r="E168" s="4" t="s">
        <v>290</v>
      </c>
      <c r="F168" s="4" t="s">
        <v>51</v>
      </c>
      <c r="G168" s="4" t="s">
        <v>35</v>
      </c>
      <c r="H168" s="54" t="s">
        <v>36</v>
      </c>
      <c r="I168" s="52"/>
      <c r="J168" s="57">
        <v>13.35</v>
      </c>
      <c r="K168" s="52"/>
      <c r="L168" s="6">
        <v>12.241949999999999</v>
      </c>
      <c r="M168" s="6">
        <v>0.91699999999999993</v>
      </c>
      <c r="N168" s="6">
        <v>12.87</v>
      </c>
      <c r="O168" s="57">
        <v>11.80179</v>
      </c>
      <c r="P168" s="52"/>
      <c r="Q168" s="6">
        <v>0.91700000000000004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0.48</v>
      </c>
      <c r="AB168" s="6">
        <v>0.44016</v>
      </c>
      <c r="AC168" s="6">
        <v>0.91700000000000004</v>
      </c>
      <c r="AD168" s="6">
        <v>-0.48000000000000043</v>
      </c>
      <c r="AE168" s="6">
        <v>0.48000000000000043</v>
      </c>
    </row>
    <row r="169" spans="2:31" x14ac:dyDescent="0.25">
      <c r="B169" s="55"/>
      <c r="C169" s="55"/>
      <c r="D169" s="55"/>
      <c r="E169" s="4" t="s">
        <v>291</v>
      </c>
      <c r="F169" s="4" t="s">
        <v>51</v>
      </c>
      <c r="G169" s="4" t="s">
        <v>35</v>
      </c>
      <c r="H169" s="54" t="s">
        <v>36</v>
      </c>
      <c r="I169" s="52"/>
      <c r="J169" s="57">
        <v>8.36</v>
      </c>
      <c r="K169" s="52"/>
      <c r="L169" s="6">
        <v>7.6661200000000003</v>
      </c>
      <c r="M169" s="6">
        <v>0.91700000000000015</v>
      </c>
      <c r="N169" s="6">
        <v>7.91</v>
      </c>
      <c r="O169" s="57">
        <v>7.2534700000000001</v>
      </c>
      <c r="P169" s="52"/>
      <c r="Q169" s="6">
        <v>0.91700000000000004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0.45</v>
      </c>
      <c r="AB169" s="6">
        <v>0.41265000000000002</v>
      </c>
      <c r="AC169" s="6">
        <v>0.91700000000000004</v>
      </c>
      <c r="AD169" s="6">
        <v>-0.44999999999999929</v>
      </c>
      <c r="AE169" s="6">
        <v>0.44999999999999929</v>
      </c>
    </row>
    <row r="170" spans="2:31" x14ac:dyDescent="0.25">
      <c r="B170" s="55"/>
      <c r="C170" s="55"/>
      <c r="D170" s="55"/>
      <c r="E170" s="4" t="s">
        <v>292</v>
      </c>
      <c r="F170" s="4" t="s">
        <v>51</v>
      </c>
      <c r="G170" s="4" t="s">
        <v>35</v>
      </c>
      <c r="H170" s="54" t="s">
        <v>36</v>
      </c>
      <c r="I170" s="52"/>
      <c r="J170" s="57">
        <v>14.82</v>
      </c>
      <c r="K170" s="52"/>
      <c r="L170" s="6">
        <v>13.58994</v>
      </c>
      <c r="M170" s="6">
        <v>0.91700000000000004</v>
      </c>
      <c r="N170" s="6">
        <v>14.14</v>
      </c>
      <c r="O170" s="57">
        <v>12.966379999999999</v>
      </c>
      <c r="P170" s="52"/>
      <c r="Q170" s="6">
        <v>0.91699999999999993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0.68</v>
      </c>
      <c r="AB170" s="6">
        <v>0.62356</v>
      </c>
      <c r="AC170" s="6">
        <v>0.91699999999999993</v>
      </c>
      <c r="AD170" s="6">
        <v>-0.67999999999999972</v>
      </c>
      <c r="AE170" s="6">
        <v>0.67999999999999972</v>
      </c>
    </row>
    <row r="171" spans="2:31" x14ac:dyDescent="0.25">
      <c r="B171" s="55"/>
      <c r="C171" s="55"/>
      <c r="D171" s="56"/>
      <c r="E171" s="4" t="s">
        <v>293</v>
      </c>
      <c r="F171" s="4" t="s">
        <v>51</v>
      </c>
      <c r="G171" s="4" t="s">
        <v>35</v>
      </c>
      <c r="H171" s="54" t="s">
        <v>36</v>
      </c>
      <c r="I171" s="52"/>
      <c r="J171" s="57">
        <v>12.06</v>
      </c>
      <c r="K171" s="52"/>
      <c r="L171" s="6">
        <v>11.05902</v>
      </c>
      <c r="M171" s="6">
        <v>0.91700000000000004</v>
      </c>
      <c r="N171" s="6">
        <v>11.37</v>
      </c>
      <c r="O171" s="57">
        <v>10.42629</v>
      </c>
      <c r="P171" s="52"/>
      <c r="Q171" s="6">
        <v>0.91700000000000004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0.69</v>
      </c>
      <c r="AB171" s="6">
        <v>0.63273000000000001</v>
      </c>
      <c r="AC171" s="6">
        <v>0.91700000000000004</v>
      </c>
      <c r="AD171" s="6">
        <v>-0.69000000000000128</v>
      </c>
      <c r="AE171" s="6">
        <v>0.69000000000000128</v>
      </c>
    </row>
    <row r="172" spans="2:31" ht="20" x14ac:dyDescent="0.25">
      <c r="B172" s="55"/>
      <c r="C172" s="55"/>
      <c r="D172" s="4" t="s">
        <v>294</v>
      </c>
      <c r="E172" s="4" t="s">
        <v>295</v>
      </c>
      <c r="F172" s="4" t="s">
        <v>51</v>
      </c>
      <c r="G172" s="4" t="s">
        <v>35</v>
      </c>
      <c r="H172" s="54" t="s">
        <v>36</v>
      </c>
      <c r="I172" s="52"/>
      <c r="J172" s="57">
        <v>5.3</v>
      </c>
      <c r="K172" s="52"/>
      <c r="L172" s="6">
        <v>4.8601000000000001</v>
      </c>
      <c r="M172" s="6">
        <v>0.91700000000000004</v>
      </c>
      <c r="N172" s="6">
        <v>4.9400000000000004</v>
      </c>
      <c r="O172" s="57">
        <v>4.5299800000000001</v>
      </c>
      <c r="P172" s="52"/>
      <c r="Q172" s="6">
        <v>0.91699999999999993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0.36</v>
      </c>
      <c r="AB172" s="6">
        <v>0.33012000000000002</v>
      </c>
      <c r="AC172" s="6">
        <v>0.91700000000000015</v>
      </c>
      <c r="AD172" s="6">
        <v>-0.35999999999999943</v>
      </c>
      <c r="AE172" s="6">
        <v>0.35999999999999943</v>
      </c>
    </row>
    <row r="173" spans="2:31" ht="20" x14ac:dyDescent="0.25">
      <c r="B173" s="55"/>
      <c r="C173" s="55"/>
      <c r="D173" s="4" t="s">
        <v>296</v>
      </c>
      <c r="E173" s="4" t="s">
        <v>297</v>
      </c>
      <c r="F173" s="4" t="s">
        <v>51</v>
      </c>
      <c r="G173" s="4" t="s">
        <v>35</v>
      </c>
      <c r="H173" s="54" t="s">
        <v>48</v>
      </c>
      <c r="I173" s="52"/>
      <c r="J173" s="57">
        <v>75.510000000000005</v>
      </c>
      <c r="K173" s="52"/>
      <c r="L173" s="6">
        <v>56.6325</v>
      </c>
      <c r="M173" s="6">
        <v>0.75</v>
      </c>
      <c r="N173" s="6">
        <v>75.510000000000005</v>
      </c>
      <c r="O173" s="57">
        <v>56.6325</v>
      </c>
      <c r="P173" s="52"/>
      <c r="Q173" s="6">
        <v>0.75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</row>
    <row r="174" spans="2:31" ht="20" x14ac:dyDescent="0.25">
      <c r="B174" s="55"/>
      <c r="C174" s="55"/>
      <c r="D174" s="4" t="s">
        <v>298</v>
      </c>
      <c r="E174" s="4" t="s">
        <v>299</v>
      </c>
      <c r="F174" s="4" t="s">
        <v>51</v>
      </c>
      <c r="G174" s="4" t="s">
        <v>35</v>
      </c>
      <c r="H174" s="54" t="s">
        <v>48</v>
      </c>
      <c r="I174" s="52"/>
      <c r="J174" s="57">
        <v>15.44</v>
      </c>
      <c r="K174" s="52"/>
      <c r="L174" s="6">
        <v>11.58</v>
      </c>
      <c r="M174" s="6">
        <v>0.75</v>
      </c>
      <c r="N174" s="6">
        <v>14.35</v>
      </c>
      <c r="O174" s="57">
        <v>10.762499999999999</v>
      </c>
      <c r="P174" s="52"/>
      <c r="Q174" s="6">
        <v>0.75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1.0900000000000001</v>
      </c>
      <c r="AB174" s="6">
        <v>0.8175</v>
      </c>
      <c r="AC174" s="6">
        <v>0.75</v>
      </c>
      <c r="AD174" s="6">
        <v>-1.0899999999999999</v>
      </c>
      <c r="AE174" s="6">
        <v>1.0899999999999999</v>
      </c>
    </row>
    <row r="175" spans="2:31" ht="20" x14ac:dyDescent="0.25">
      <c r="B175" s="55"/>
      <c r="C175" s="55"/>
      <c r="D175" s="4" t="s">
        <v>300</v>
      </c>
      <c r="E175" s="4" t="s">
        <v>301</v>
      </c>
      <c r="F175" s="4" t="s">
        <v>51</v>
      </c>
      <c r="G175" s="4" t="s">
        <v>35</v>
      </c>
      <c r="H175" s="54" t="s">
        <v>36</v>
      </c>
      <c r="I175" s="52"/>
      <c r="J175" s="57">
        <v>50.2</v>
      </c>
      <c r="K175" s="52"/>
      <c r="L175" s="6">
        <v>46.0334</v>
      </c>
      <c r="M175" s="6">
        <v>0.91699999999999993</v>
      </c>
      <c r="N175" s="6">
        <v>46.56</v>
      </c>
      <c r="O175" s="57">
        <v>42.695520000000002</v>
      </c>
      <c r="P175" s="52"/>
      <c r="Q175" s="6">
        <v>0.91700000000000004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3.64</v>
      </c>
      <c r="AB175" s="6">
        <v>3.3378800000000002</v>
      </c>
      <c r="AC175" s="6">
        <v>0.91700000000000004</v>
      </c>
      <c r="AD175" s="6">
        <v>-3.6400000000000006</v>
      </c>
      <c r="AE175" s="6">
        <v>3.6400000000000006</v>
      </c>
    </row>
    <row r="176" spans="2:31" ht="20" x14ac:dyDescent="0.25">
      <c r="B176" s="55"/>
      <c r="C176" s="55"/>
      <c r="D176" s="4" t="s">
        <v>302</v>
      </c>
      <c r="E176" s="4" t="s">
        <v>303</v>
      </c>
      <c r="F176" s="4" t="s">
        <v>51</v>
      </c>
      <c r="G176" s="4" t="s">
        <v>35</v>
      </c>
      <c r="H176" s="54" t="s">
        <v>48</v>
      </c>
      <c r="I176" s="52"/>
      <c r="J176" s="57">
        <v>22.83</v>
      </c>
      <c r="K176" s="52"/>
      <c r="L176" s="6">
        <v>17.122499999999999</v>
      </c>
      <c r="M176" s="6">
        <v>0.75</v>
      </c>
      <c r="N176" s="6">
        <v>21.12</v>
      </c>
      <c r="O176" s="57">
        <v>15.84</v>
      </c>
      <c r="P176" s="52"/>
      <c r="Q176" s="6">
        <v>0.75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1.71</v>
      </c>
      <c r="AB176" s="6">
        <v>1.2825</v>
      </c>
      <c r="AC176" s="6">
        <v>0.75</v>
      </c>
      <c r="AD176" s="6">
        <v>-1.7099999999999973</v>
      </c>
      <c r="AE176" s="6">
        <v>1.7099999999999973</v>
      </c>
    </row>
    <row r="177" spans="2:31" ht="20" x14ac:dyDescent="0.25">
      <c r="B177" s="55"/>
      <c r="C177" s="55"/>
      <c r="D177" s="4" t="s">
        <v>304</v>
      </c>
      <c r="E177" s="4" t="s">
        <v>305</v>
      </c>
      <c r="F177" s="4" t="s">
        <v>51</v>
      </c>
      <c r="G177" s="4" t="s">
        <v>35</v>
      </c>
      <c r="H177" s="54" t="s">
        <v>48</v>
      </c>
      <c r="I177" s="52"/>
      <c r="J177" s="57">
        <v>31.41</v>
      </c>
      <c r="K177" s="52"/>
      <c r="L177" s="6">
        <v>23.557500000000001</v>
      </c>
      <c r="M177" s="6">
        <v>0.75</v>
      </c>
      <c r="N177" s="6">
        <v>29.57</v>
      </c>
      <c r="O177" s="57">
        <v>22.177499999999998</v>
      </c>
      <c r="P177" s="52"/>
      <c r="Q177" s="6">
        <v>0.74999999999999989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1.84</v>
      </c>
      <c r="AB177" s="6">
        <v>1.38</v>
      </c>
      <c r="AC177" s="6">
        <v>0.74999999999999989</v>
      </c>
      <c r="AD177" s="6">
        <v>-1.84</v>
      </c>
      <c r="AE177" s="6">
        <v>1.84</v>
      </c>
    </row>
    <row r="178" spans="2:31" ht="20" x14ac:dyDescent="0.25">
      <c r="B178" s="55"/>
      <c r="C178" s="55"/>
      <c r="D178" s="4" t="s">
        <v>306</v>
      </c>
      <c r="E178" s="4" t="s">
        <v>307</v>
      </c>
      <c r="F178" s="4" t="s">
        <v>51</v>
      </c>
      <c r="G178" s="4" t="s">
        <v>35</v>
      </c>
      <c r="H178" s="54" t="s">
        <v>36</v>
      </c>
      <c r="I178" s="52"/>
      <c r="J178" s="57">
        <v>11.14</v>
      </c>
      <c r="K178" s="52"/>
      <c r="L178" s="6">
        <v>10.21538</v>
      </c>
      <c r="M178" s="6">
        <v>0.91699999999999993</v>
      </c>
      <c r="N178" s="6">
        <v>11.14</v>
      </c>
      <c r="O178" s="57">
        <v>10.21538</v>
      </c>
      <c r="P178" s="52"/>
      <c r="Q178" s="6">
        <v>0.91699999999999993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</row>
    <row r="179" spans="2:31" ht="20" x14ac:dyDescent="0.25">
      <c r="B179" s="55"/>
      <c r="C179" s="55"/>
      <c r="D179" s="4" t="s">
        <v>308</v>
      </c>
      <c r="E179" s="4" t="s">
        <v>54</v>
      </c>
      <c r="F179" s="4" t="s">
        <v>51</v>
      </c>
      <c r="G179" s="4" t="s">
        <v>35</v>
      </c>
      <c r="H179" s="54" t="s">
        <v>48</v>
      </c>
      <c r="I179" s="52"/>
      <c r="J179" s="57">
        <v>15.44</v>
      </c>
      <c r="K179" s="52"/>
      <c r="L179" s="6">
        <v>11.58</v>
      </c>
      <c r="M179" s="6">
        <v>0.75</v>
      </c>
      <c r="N179" s="6">
        <v>15.43</v>
      </c>
      <c r="O179" s="57">
        <v>11.5725</v>
      </c>
      <c r="P179" s="52"/>
      <c r="Q179" s="6">
        <v>0.75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0.01</v>
      </c>
      <c r="AB179" s="6">
        <v>7.4999999999999997E-3</v>
      </c>
      <c r="AC179" s="6">
        <v>0.75</v>
      </c>
      <c r="AD179" s="6">
        <v>-9.9999999999997868E-3</v>
      </c>
      <c r="AE179" s="6">
        <v>9.9999999999997868E-3</v>
      </c>
    </row>
    <row r="180" spans="2:31" ht="20" x14ac:dyDescent="0.25">
      <c r="B180" s="55"/>
      <c r="C180" s="55"/>
      <c r="D180" s="4" t="s">
        <v>309</v>
      </c>
      <c r="E180" s="4" t="s">
        <v>310</v>
      </c>
      <c r="F180" s="4" t="s">
        <v>51</v>
      </c>
      <c r="G180" s="4" t="s">
        <v>35</v>
      </c>
      <c r="H180" s="54" t="s">
        <v>36</v>
      </c>
      <c r="I180" s="52"/>
      <c r="J180" s="57">
        <v>36.99</v>
      </c>
      <c r="K180" s="52"/>
      <c r="L180" s="6">
        <v>33.919829999999997</v>
      </c>
      <c r="M180" s="6">
        <v>0.91699999999999993</v>
      </c>
      <c r="N180" s="6">
        <v>33.880000000000003</v>
      </c>
      <c r="O180" s="57">
        <v>31.067959999999999</v>
      </c>
      <c r="P180" s="52"/>
      <c r="Q180" s="6">
        <v>0.91699999999999993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3.11</v>
      </c>
      <c r="AB180" s="6">
        <v>2.8518699999999999</v>
      </c>
      <c r="AC180" s="6">
        <v>0.91700000000000004</v>
      </c>
      <c r="AD180" s="6">
        <v>-3.1099999999999994</v>
      </c>
      <c r="AE180" s="6">
        <v>3.1099999999999994</v>
      </c>
    </row>
    <row r="181" spans="2:31" ht="20" x14ac:dyDescent="0.25">
      <c r="B181" s="55"/>
      <c r="C181" s="55"/>
      <c r="D181" s="4" t="s">
        <v>311</v>
      </c>
      <c r="E181" s="4" t="s">
        <v>312</v>
      </c>
      <c r="F181" s="4" t="s">
        <v>51</v>
      </c>
      <c r="G181" s="4" t="s">
        <v>35</v>
      </c>
      <c r="H181" s="54" t="s">
        <v>36</v>
      </c>
      <c r="I181" s="52"/>
      <c r="J181" s="57">
        <v>11.77</v>
      </c>
      <c r="K181" s="52"/>
      <c r="L181" s="6">
        <v>10.793089999999999</v>
      </c>
      <c r="M181" s="6">
        <v>0.91700000000000004</v>
      </c>
      <c r="N181" s="6">
        <v>11.03</v>
      </c>
      <c r="O181" s="57">
        <v>10.114509999999999</v>
      </c>
      <c r="P181" s="52"/>
      <c r="Q181" s="6">
        <v>0.91700000000000004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0.74</v>
      </c>
      <c r="AB181" s="6">
        <v>0.67857999999999996</v>
      </c>
      <c r="AC181" s="6">
        <v>0.91699999999999993</v>
      </c>
      <c r="AD181" s="6">
        <v>-0.74000000000000021</v>
      </c>
      <c r="AE181" s="6">
        <v>0.74000000000000021</v>
      </c>
    </row>
    <row r="182" spans="2:31" ht="20" x14ac:dyDescent="0.25">
      <c r="B182" s="55"/>
      <c r="C182" s="55"/>
      <c r="D182" s="4" t="s">
        <v>313</v>
      </c>
      <c r="E182" s="4" t="s">
        <v>314</v>
      </c>
      <c r="F182" s="4" t="s">
        <v>51</v>
      </c>
      <c r="G182" s="4" t="s">
        <v>35</v>
      </c>
      <c r="H182" s="54" t="s">
        <v>36</v>
      </c>
      <c r="I182" s="52"/>
      <c r="J182" s="57">
        <v>13.34</v>
      </c>
      <c r="K182" s="52"/>
      <c r="L182" s="6">
        <v>12.23278</v>
      </c>
      <c r="M182" s="6">
        <v>0.91700000000000004</v>
      </c>
      <c r="N182" s="6">
        <v>12.82</v>
      </c>
      <c r="O182" s="57">
        <v>11.755940000000001</v>
      </c>
      <c r="P182" s="52"/>
      <c r="Q182" s="6">
        <v>0.91700000000000004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0.52</v>
      </c>
      <c r="AB182" s="6">
        <v>0.47683999999999999</v>
      </c>
      <c r="AC182" s="6">
        <v>0.91699999999999993</v>
      </c>
      <c r="AD182" s="6">
        <v>-0.51999999999999957</v>
      </c>
      <c r="AE182" s="6">
        <v>0.51999999999999957</v>
      </c>
    </row>
    <row r="183" spans="2:31" ht="20" x14ac:dyDescent="0.25">
      <c r="B183" s="55"/>
      <c r="C183" s="55"/>
      <c r="D183" s="4" t="s">
        <v>315</v>
      </c>
      <c r="E183" s="4" t="s">
        <v>316</v>
      </c>
      <c r="F183" s="4" t="s">
        <v>51</v>
      </c>
      <c r="G183" s="4" t="s">
        <v>35</v>
      </c>
      <c r="H183" s="54" t="s">
        <v>36</v>
      </c>
      <c r="I183" s="52"/>
      <c r="J183" s="57">
        <v>14.32</v>
      </c>
      <c r="K183" s="52"/>
      <c r="L183" s="6">
        <v>13.13144</v>
      </c>
      <c r="M183" s="6">
        <v>0.91699999999999993</v>
      </c>
      <c r="N183" s="6">
        <v>13.3</v>
      </c>
      <c r="O183" s="57">
        <v>12.196099999999999</v>
      </c>
      <c r="P183" s="52"/>
      <c r="Q183" s="6">
        <v>0.91699999999999993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1.02</v>
      </c>
      <c r="AB183" s="6">
        <v>0.93533999999999995</v>
      </c>
      <c r="AC183" s="6">
        <v>0.91699999999999993</v>
      </c>
      <c r="AD183" s="6">
        <v>-1.0199999999999996</v>
      </c>
      <c r="AE183" s="6">
        <v>1.0199999999999996</v>
      </c>
    </row>
    <row r="184" spans="2:31" ht="20" x14ac:dyDescent="0.25">
      <c r="B184" s="55"/>
      <c r="C184" s="55"/>
      <c r="D184" s="4" t="s">
        <v>317</v>
      </c>
      <c r="E184" s="4" t="s">
        <v>318</v>
      </c>
      <c r="F184" s="4" t="s">
        <v>51</v>
      </c>
      <c r="G184" s="4" t="s">
        <v>35</v>
      </c>
      <c r="H184" s="54" t="s">
        <v>36</v>
      </c>
      <c r="I184" s="52"/>
      <c r="J184" s="57">
        <v>13.09</v>
      </c>
      <c r="K184" s="52"/>
      <c r="L184" s="6">
        <v>12.00353</v>
      </c>
      <c r="M184" s="6">
        <v>0.91699999999999993</v>
      </c>
      <c r="N184" s="6">
        <v>12.4</v>
      </c>
      <c r="O184" s="57">
        <v>11.370799999999999</v>
      </c>
      <c r="P184" s="52"/>
      <c r="Q184" s="6">
        <v>0.91699999999999993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0.69</v>
      </c>
      <c r="AB184" s="6">
        <v>0.63273000000000001</v>
      </c>
      <c r="AC184" s="6">
        <v>0.91700000000000004</v>
      </c>
      <c r="AD184" s="6">
        <v>-0.6899999999999995</v>
      </c>
      <c r="AE184" s="6">
        <v>0.6899999999999995</v>
      </c>
    </row>
    <row r="185" spans="2:31" ht="20" x14ac:dyDescent="0.25">
      <c r="B185" s="55"/>
      <c r="C185" s="55"/>
      <c r="D185" s="4" t="s">
        <v>319</v>
      </c>
      <c r="E185" s="4" t="s">
        <v>320</v>
      </c>
      <c r="F185" s="4" t="s">
        <v>51</v>
      </c>
      <c r="G185" s="4" t="s">
        <v>35</v>
      </c>
      <c r="H185" s="54" t="s">
        <v>36</v>
      </c>
      <c r="I185" s="52"/>
      <c r="J185" s="57">
        <v>14.23</v>
      </c>
      <c r="K185" s="52"/>
      <c r="L185" s="6">
        <v>13.048909999999999</v>
      </c>
      <c r="M185" s="6">
        <v>0.91699999999999993</v>
      </c>
      <c r="N185" s="6">
        <v>13.66</v>
      </c>
      <c r="O185" s="57">
        <v>12.52622</v>
      </c>
      <c r="P185" s="52"/>
      <c r="Q185" s="6">
        <v>0.91700000000000004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0.56999999999999995</v>
      </c>
      <c r="AB185" s="6">
        <v>0.52268999999999999</v>
      </c>
      <c r="AC185" s="6">
        <v>0.91700000000000004</v>
      </c>
      <c r="AD185" s="6">
        <v>-0.57000000000000028</v>
      </c>
      <c r="AE185" s="6">
        <v>0.57000000000000028</v>
      </c>
    </row>
    <row r="186" spans="2:31" ht="20" x14ac:dyDescent="0.25">
      <c r="B186" s="55"/>
      <c r="C186" s="55"/>
      <c r="D186" s="4" t="s">
        <v>321</v>
      </c>
      <c r="E186" s="4" t="s">
        <v>322</v>
      </c>
      <c r="F186" s="4" t="s">
        <v>51</v>
      </c>
      <c r="G186" s="4" t="s">
        <v>35</v>
      </c>
      <c r="H186" s="54" t="s">
        <v>41</v>
      </c>
      <c r="I186" s="52"/>
      <c r="J186" s="57">
        <v>14.17</v>
      </c>
      <c r="K186" s="52"/>
      <c r="L186" s="6">
        <v>10.6275</v>
      </c>
      <c r="M186" s="6">
        <v>0.75</v>
      </c>
      <c r="N186" s="6">
        <v>13.5</v>
      </c>
      <c r="O186" s="57">
        <v>10.125</v>
      </c>
      <c r="P186" s="52"/>
      <c r="Q186" s="6">
        <v>0.75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0.67</v>
      </c>
      <c r="AB186" s="6">
        <v>0.50249999999999995</v>
      </c>
      <c r="AC186" s="6">
        <v>0.74999999999999989</v>
      </c>
      <c r="AD186" s="6">
        <v>-0.67</v>
      </c>
      <c r="AE186" s="6">
        <v>0.67</v>
      </c>
    </row>
    <row r="187" spans="2:31" ht="20" x14ac:dyDescent="0.25">
      <c r="B187" s="55"/>
      <c r="C187" s="55"/>
      <c r="D187" s="4" t="s">
        <v>323</v>
      </c>
      <c r="E187" s="4" t="s">
        <v>324</v>
      </c>
      <c r="F187" s="4" t="s">
        <v>51</v>
      </c>
      <c r="G187" s="4" t="s">
        <v>35</v>
      </c>
      <c r="H187" s="54" t="s">
        <v>36</v>
      </c>
      <c r="I187" s="52"/>
      <c r="J187" s="57">
        <v>139.4</v>
      </c>
      <c r="K187" s="52"/>
      <c r="L187" s="6">
        <v>127.82980000000001</v>
      </c>
      <c r="M187" s="6">
        <v>0.91700000000000004</v>
      </c>
      <c r="N187" s="6">
        <v>138.41999999999999</v>
      </c>
      <c r="O187" s="57">
        <v>126.93114</v>
      </c>
      <c r="P187" s="52"/>
      <c r="Q187" s="6">
        <v>0.91700000000000004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0.98</v>
      </c>
      <c r="AB187" s="6">
        <v>0.89866000000000001</v>
      </c>
      <c r="AC187" s="6">
        <v>0.91700000000000004</v>
      </c>
      <c r="AD187" s="6">
        <v>-0.98000000000001819</v>
      </c>
      <c r="AE187" s="6">
        <v>0.98000000000001819</v>
      </c>
    </row>
    <row r="188" spans="2:31" ht="20" x14ac:dyDescent="0.25">
      <c r="B188" s="55"/>
      <c r="C188" s="55"/>
      <c r="D188" s="4" t="s">
        <v>325</v>
      </c>
      <c r="E188" s="4" t="s">
        <v>326</v>
      </c>
      <c r="F188" s="4" t="s">
        <v>51</v>
      </c>
      <c r="G188" s="4" t="s">
        <v>35</v>
      </c>
      <c r="H188" s="54" t="s">
        <v>36</v>
      </c>
      <c r="I188" s="52"/>
      <c r="J188" s="57">
        <v>8.24</v>
      </c>
      <c r="K188" s="52"/>
      <c r="L188" s="6">
        <v>7.5560799999999997</v>
      </c>
      <c r="M188" s="6">
        <v>0.91699999999999993</v>
      </c>
      <c r="N188" s="6">
        <v>8.24</v>
      </c>
      <c r="O188" s="57">
        <v>7.5560799999999997</v>
      </c>
      <c r="P188" s="52"/>
      <c r="Q188" s="6">
        <v>0.91699999999999993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</row>
    <row r="189" spans="2:31" ht="20" x14ac:dyDescent="0.25">
      <c r="B189" s="55"/>
      <c r="C189" s="55"/>
      <c r="D189" s="4" t="s">
        <v>327</v>
      </c>
      <c r="E189" s="4" t="s">
        <v>328</v>
      </c>
      <c r="F189" s="4" t="s">
        <v>51</v>
      </c>
      <c r="G189" s="4" t="s">
        <v>35</v>
      </c>
      <c r="H189" s="54" t="s">
        <v>36</v>
      </c>
      <c r="I189" s="52"/>
      <c r="J189" s="57">
        <v>54.49</v>
      </c>
      <c r="K189" s="52"/>
      <c r="L189" s="6">
        <v>49.967329999999997</v>
      </c>
      <c r="M189" s="6">
        <v>0.91699999999999993</v>
      </c>
      <c r="N189" s="6">
        <v>50.55</v>
      </c>
      <c r="O189" s="57">
        <v>46.354349999999997</v>
      </c>
      <c r="P189" s="52"/>
      <c r="Q189" s="6">
        <v>0.91700000000000004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3.94</v>
      </c>
      <c r="AB189" s="6">
        <v>3.6129799999999999</v>
      </c>
      <c r="AC189" s="6">
        <v>0.91699999999999993</v>
      </c>
      <c r="AD189" s="6">
        <v>-3.9400000000000048</v>
      </c>
      <c r="AE189" s="6">
        <v>3.9400000000000048</v>
      </c>
    </row>
    <row r="190" spans="2:31" ht="20" x14ac:dyDescent="0.25">
      <c r="B190" s="55"/>
      <c r="C190" s="55"/>
      <c r="D190" s="4" t="s">
        <v>329</v>
      </c>
      <c r="E190" s="4" t="s">
        <v>330</v>
      </c>
      <c r="F190" s="4" t="s">
        <v>51</v>
      </c>
      <c r="G190" s="4" t="s">
        <v>35</v>
      </c>
      <c r="H190" s="54" t="s">
        <v>36</v>
      </c>
      <c r="I190" s="52"/>
      <c r="J190" s="57">
        <v>7.72</v>
      </c>
      <c r="K190" s="52"/>
      <c r="L190" s="6">
        <v>7.0792400000000004</v>
      </c>
      <c r="M190" s="6">
        <v>0.91700000000000004</v>
      </c>
      <c r="N190" s="6">
        <v>7.54</v>
      </c>
      <c r="O190" s="57">
        <v>6.91418</v>
      </c>
      <c r="P190" s="52"/>
      <c r="Q190" s="6">
        <v>0.91700000000000004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0.18</v>
      </c>
      <c r="AB190" s="6">
        <v>0.16506000000000001</v>
      </c>
      <c r="AC190" s="6">
        <v>0.91700000000000015</v>
      </c>
      <c r="AD190" s="6">
        <v>-0.17999999999999972</v>
      </c>
      <c r="AE190" s="6">
        <v>0.17999999999999972</v>
      </c>
    </row>
    <row r="191" spans="2:31" ht="20" x14ac:dyDescent="0.25">
      <c r="B191" s="55"/>
      <c r="C191" s="55"/>
      <c r="D191" s="4" t="s">
        <v>331</v>
      </c>
      <c r="E191" s="4" t="s">
        <v>332</v>
      </c>
      <c r="F191" s="4" t="s">
        <v>51</v>
      </c>
      <c r="G191" s="4" t="s">
        <v>35</v>
      </c>
      <c r="H191" s="54" t="s">
        <v>36</v>
      </c>
      <c r="I191" s="52"/>
      <c r="J191" s="57">
        <v>14.8</v>
      </c>
      <c r="K191" s="52"/>
      <c r="L191" s="6">
        <v>13.5716</v>
      </c>
      <c r="M191" s="6">
        <v>0.91699999999999993</v>
      </c>
      <c r="N191" s="6">
        <v>14.65</v>
      </c>
      <c r="O191" s="57">
        <v>13.434049999999999</v>
      </c>
      <c r="P191" s="52"/>
      <c r="Q191" s="6">
        <v>0.91699999999999993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0.15</v>
      </c>
      <c r="AB191" s="6">
        <v>0.13755000000000001</v>
      </c>
      <c r="AC191" s="6">
        <v>0.91700000000000004</v>
      </c>
      <c r="AD191" s="6">
        <v>-0.15000000000000036</v>
      </c>
      <c r="AE191" s="6">
        <v>0.15000000000000036</v>
      </c>
    </row>
    <row r="192" spans="2:31" ht="20" x14ac:dyDescent="0.25">
      <c r="B192" s="55"/>
      <c r="C192" s="55"/>
      <c r="D192" s="4" t="s">
        <v>333</v>
      </c>
      <c r="E192" s="4" t="s">
        <v>334</v>
      </c>
      <c r="F192" s="4" t="s">
        <v>51</v>
      </c>
      <c r="G192" s="4" t="s">
        <v>35</v>
      </c>
      <c r="H192" s="54" t="s">
        <v>36</v>
      </c>
      <c r="I192" s="52"/>
      <c r="J192" s="57">
        <v>27.501000000000001</v>
      </c>
      <c r="K192" s="52"/>
      <c r="L192" s="6">
        <v>25.218416999999999</v>
      </c>
      <c r="M192" s="6">
        <v>0.91699999999999993</v>
      </c>
      <c r="N192" s="6">
        <v>25.940999999999999</v>
      </c>
      <c r="O192" s="57">
        <v>23.787897000000001</v>
      </c>
      <c r="P192" s="52"/>
      <c r="Q192" s="6">
        <v>0.91700000000000004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1.56</v>
      </c>
      <c r="AB192" s="6">
        <v>1.43052</v>
      </c>
      <c r="AC192" s="6">
        <v>0.91699999999999993</v>
      </c>
      <c r="AD192" s="6">
        <v>-1.5600000000000023</v>
      </c>
      <c r="AE192" s="6">
        <v>1.5600000000000023</v>
      </c>
    </row>
    <row r="193" spans="2:31" ht="20" x14ac:dyDescent="0.25">
      <c r="B193" s="55"/>
      <c r="C193" s="55"/>
      <c r="D193" s="4" t="s">
        <v>335</v>
      </c>
      <c r="E193" s="4" t="s">
        <v>336</v>
      </c>
      <c r="F193" s="4" t="s">
        <v>51</v>
      </c>
      <c r="G193" s="4" t="s">
        <v>35</v>
      </c>
      <c r="H193" s="54" t="s">
        <v>36</v>
      </c>
      <c r="I193" s="52"/>
      <c r="J193" s="57">
        <v>86.54</v>
      </c>
      <c r="K193" s="52"/>
      <c r="L193" s="6">
        <v>79.35718</v>
      </c>
      <c r="M193" s="6">
        <v>0.91699999999999993</v>
      </c>
      <c r="N193" s="6">
        <v>81.08</v>
      </c>
      <c r="O193" s="57">
        <v>74.350359999999995</v>
      </c>
      <c r="P193" s="52"/>
      <c r="Q193" s="6">
        <v>0.91699999999999993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5.46</v>
      </c>
      <c r="AB193" s="6">
        <v>5.0068200000000003</v>
      </c>
      <c r="AC193" s="6">
        <v>0.91700000000000004</v>
      </c>
      <c r="AD193" s="6">
        <v>-5.460000000000008</v>
      </c>
      <c r="AE193" s="6">
        <v>5.460000000000008</v>
      </c>
    </row>
    <row r="194" spans="2:31" x14ac:dyDescent="0.25">
      <c r="B194" s="55"/>
      <c r="C194" s="55"/>
      <c r="D194" s="54" t="s">
        <v>337</v>
      </c>
      <c r="E194" s="54" t="s">
        <v>338</v>
      </c>
      <c r="F194" s="54" t="s">
        <v>51</v>
      </c>
      <c r="G194" s="54" t="s">
        <v>35</v>
      </c>
      <c r="H194" s="54" t="s">
        <v>48</v>
      </c>
      <c r="I194" s="52"/>
      <c r="J194" s="57">
        <v>8.94</v>
      </c>
      <c r="K194" s="52"/>
      <c r="L194" s="6">
        <v>6.7050000000000001</v>
      </c>
      <c r="M194" s="6">
        <v>0.75</v>
      </c>
      <c r="N194" s="6">
        <v>8.18</v>
      </c>
      <c r="O194" s="57">
        <v>6.1349999999999998</v>
      </c>
      <c r="P194" s="52"/>
      <c r="Q194" s="6">
        <v>0.75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0.76</v>
      </c>
      <c r="AB194" s="6">
        <v>0.56999999999999995</v>
      </c>
      <c r="AC194" s="6">
        <v>0.74999999999999989</v>
      </c>
      <c r="AD194" s="6">
        <v>-0.75999999999999979</v>
      </c>
      <c r="AE194" s="6">
        <v>0.75999999999999979</v>
      </c>
    </row>
    <row r="195" spans="2:31" x14ac:dyDescent="0.25">
      <c r="B195" s="55"/>
      <c r="C195" s="55"/>
      <c r="D195" s="55"/>
      <c r="E195" s="55"/>
      <c r="F195" s="55"/>
      <c r="G195" s="55"/>
      <c r="H195" s="54" t="s">
        <v>41</v>
      </c>
      <c r="I195" s="52"/>
      <c r="J195" s="57">
        <v>11.21</v>
      </c>
      <c r="K195" s="52"/>
      <c r="L195" s="6">
        <v>8.4075000000000006</v>
      </c>
      <c r="M195" s="6">
        <v>0.75</v>
      </c>
      <c r="N195" s="6">
        <v>10.87</v>
      </c>
      <c r="O195" s="57">
        <v>8.1524999999999999</v>
      </c>
      <c r="P195" s="52"/>
      <c r="Q195" s="6">
        <v>0.75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0.34</v>
      </c>
      <c r="AB195" s="6">
        <v>0.255</v>
      </c>
      <c r="AC195" s="6">
        <v>0.75</v>
      </c>
      <c r="AD195" s="6">
        <v>-0.34000000000000163</v>
      </c>
      <c r="AE195" s="6">
        <v>0.34000000000000163</v>
      </c>
    </row>
    <row r="196" spans="2:31" x14ac:dyDescent="0.25">
      <c r="B196" s="55"/>
      <c r="C196" s="56"/>
      <c r="D196" s="56"/>
      <c r="E196" s="56"/>
      <c r="F196" s="56"/>
      <c r="G196" s="56"/>
      <c r="H196" s="54" t="s">
        <v>36</v>
      </c>
      <c r="I196" s="52"/>
      <c r="J196" s="57">
        <v>22.32</v>
      </c>
      <c r="K196" s="52"/>
      <c r="L196" s="6">
        <v>20.46744</v>
      </c>
      <c r="M196" s="6">
        <v>0.91700000000000004</v>
      </c>
      <c r="N196" s="6">
        <v>17.14</v>
      </c>
      <c r="O196" s="57">
        <v>15.71738</v>
      </c>
      <c r="P196" s="52"/>
      <c r="Q196" s="6">
        <v>0.91700000000000004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5.18</v>
      </c>
      <c r="AB196" s="6">
        <v>4.7500600000000004</v>
      </c>
      <c r="AC196" s="6">
        <v>0.91700000000000015</v>
      </c>
      <c r="AD196" s="6">
        <v>-5.18</v>
      </c>
      <c r="AE196" s="6">
        <v>5.18</v>
      </c>
    </row>
    <row r="197" spans="2:31" x14ac:dyDescent="0.25">
      <c r="B197" s="55"/>
      <c r="C197" s="58">
        <v>46176</v>
      </c>
      <c r="D197" s="4" t="s">
        <v>339</v>
      </c>
      <c r="E197" s="4" t="s">
        <v>340</v>
      </c>
      <c r="F197" s="4" t="s">
        <v>34</v>
      </c>
      <c r="G197" s="4" t="s">
        <v>35</v>
      </c>
      <c r="H197" s="54" t="s">
        <v>36</v>
      </c>
      <c r="I197" s="52"/>
      <c r="J197" s="57">
        <v>92.72</v>
      </c>
      <c r="K197" s="52"/>
      <c r="L197" s="6">
        <v>85.024240000000006</v>
      </c>
      <c r="M197" s="6">
        <v>0.91700000000000004</v>
      </c>
      <c r="N197" s="6">
        <v>86.63</v>
      </c>
      <c r="O197" s="57">
        <v>79.439710000000005</v>
      </c>
      <c r="P197" s="52"/>
      <c r="Q197" s="6">
        <v>0.91700000000000015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6.09</v>
      </c>
      <c r="AB197" s="6">
        <v>5.58453</v>
      </c>
      <c r="AC197" s="6">
        <v>0.91700000000000004</v>
      </c>
      <c r="AD197" s="6">
        <v>-6.0900000000000034</v>
      </c>
      <c r="AE197" s="6">
        <v>6.0900000000000034</v>
      </c>
    </row>
    <row r="198" spans="2:31" x14ac:dyDescent="0.25">
      <c r="B198" s="55"/>
      <c r="C198" s="55"/>
      <c r="D198" s="4" t="s">
        <v>341</v>
      </c>
      <c r="E198" s="4" t="s">
        <v>342</v>
      </c>
      <c r="F198" s="4" t="s">
        <v>34</v>
      </c>
      <c r="G198" s="4" t="s">
        <v>35</v>
      </c>
      <c r="H198" s="54" t="s">
        <v>36</v>
      </c>
      <c r="I198" s="52"/>
      <c r="J198" s="57">
        <v>67.930000000000007</v>
      </c>
      <c r="K198" s="52"/>
      <c r="L198" s="6">
        <v>62.291809999999998</v>
      </c>
      <c r="M198" s="6">
        <v>0.91699999999999993</v>
      </c>
      <c r="N198" s="6">
        <v>63.72</v>
      </c>
      <c r="O198" s="57">
        <v>58.431240000000003</v>
      </c>
      <c r="P198" s="52"/>
      <c r="Q198" s="6">
        <v>0.91700000000000004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4.21</v>
      </c>
      <c r="AB198" s="6">
        <v>3.8605700000000001</v>
      </c>
      <c r="AC198" s="6">
        <v>0.91700000000000004</v>
      </c>
      <c r="AD198" s="6">
        <v>-4.210000000000008</v>
      </c>
      <c r="AE198" s="6">
        <v>4.210000000000008</v>
      </c>
    </row>
    <row r="199" spans="2:31" x14ac:dyDescent="0.25">
      <c r="B199" s="55"/>
      <c r="C199" s="55"/>
      <c r="D199" s="4" t="s">
        <v>343</v>
      </c>
      <c r="E199" s="4" t="s">
        <v>344</v>
      </c>
      <c r="F199" s="4" t="s">
        <v>34</v>
      </c>
      <c r="G199" s="4" t="s">
        <v>35</v>
      </c>
      <c r="H199" s="54" t="s">
        <v>48</v>
      </c>
      <c r="I199" s="52"/>
      <c r="J199" s="57">
        <v>19.29</v>
      </c>
      <c r="K199" s="52"/>
      <c r="L199" s="6">
        <v>14.467499999999999</v>
      </c>
      <c r="M199" s="6">
        <v>0.75</v>
      </c>
      <c r="N199" s="6">
        <v>17.71</v>
      </c>
      <c r="O199" s="57">
        <v>13.282500000000001</v>
      </c>
      <c r="P199" s="52"/>
      <c r="Q199" s="6">
        <v>0.75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1.58</v>
      </c>
      <c r="AB199" s="6">
        <v>1.1850000000000001</v>
      </c>
      <c r="AC199" s="6">
        <v>0.75</v>
      </c>
      <c r="AD199" s="6">
        <v>-1.5799999999999983</v>
      </c>
      <c r="AE199" s="6">
        <v>1.5799999999999983</v>
      </c>
    </row>
    <row r="200" spans="2:31" ht="20" x14ac:dyDescent="0.25">
      <c r="B200" s="55"/>
      <c r="C200" s="55"/>
      <c r="D200" s="4" t="s">
        <v>345</v>
      </c>
      <c r="E200" s="4" t="s">
        <v>346</v>
      </c>
      <c r="F200" s="4" t="s">
        <v>51</v>
      </c>
      <c r="G200" s="4" t="s">
        <v>35</v>
      </c>
      <c r="H200" s="54" t="s">
        <v>36</v>
      </c>
      <c r="I200" s="52"/>
      <c r="J200" s="57">
        <v>7.02</v>
      </c>
      <c r="K200" s="52"/>
      <c r="L200" s="6">
        <v>6.4373399999999998</v>
      </c>
      <c r="M200" s="6">
        <v>0.91700000000000004</v>
      </c>
      <c r="N200" s="6">
        <v>6.92</v>
      </c>
      <c r="O200" s="57">
        <v>6.3456400000000004</v>
      </c>
      <c r="P200" s="52"/>
      <c r="Q200" s="6">
        <v>0.91700000000000004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0.1</v>
      </c>
      <c r="AB200" s="6">
        <v>9.1700000000000004E-2</v>
      </c>
      <c r="AC200" s="6">
        <v>0.91700000000000004</v>
      </c>
      <c r="AD200" s="6">
        <v>-9.9999999999999645E-2</v>
      </c>
      <c r="AE200" s="6">
        <v>9.9999999999999645E-2</v>
      </c>
    </row>
    <row r="201" spans="2:31" ht="20" x14ac:dyDescent="0.25">
      <c r="B201" s="55"/>
      <c r="C201" s="55"/>
      <c r="D201" s="4" t="s">
        <v>347</v>
      </c>
      <c r="E201" s="4" t="s">
        <v>348</v>
      </c>
      <c r="F201" s="4" t="s">
        <v>51</v>
      </c>
      <c r="G201" s="4" t="s">
        <v>35</v>
      </c>
      <c r="H201" s="54" t="s">
        <v>36</v>
      </c>
      <c r="I201" s="52"/>
      <c r="J201" s="57">
        <v>11.73</v>
      </c>
      <c r="K201" s="52"/>
      <c r="L201" s="6">
        <v>10.756410000000001</v>
      </c>
      <c r="M201" s="6">
        <v>0.91700000000000004</v>
      </c>
      <c r="N201" s="6">
        <v>11.07</v>
      </c>
      <c r="O201" s="57">
        <v>10.15119</v>
      </c>
      <c r="P201" s="52"/>
      <c r="Q201" s="6">
        <v>0.91699999999999993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0.66</v>
      </c>
      <c r="AB201" s="6">
        <v>0.60521999999999998</v>
      </c>
      <c r="AC201" s="6">
        <v>0.91699999999999993</v>
      </c>
      <c r="AD201" s="6">
        <v>-0.66000000000000014</v>
      </c>
      <c r="AE201" s="6">
        <v>0.66000000000000014</v>
      </c>
    </row>
    <row r="202" spans="2:31" ht="20" x14ac:dyDescent="0.25">
      <c r="B202" s="55"/>
      <c r="C202" s="55"/>
      <c r="D202" s="4" t="s">
        <v>349</v>
      </c>
      <c r="E202" s="4" t="s">
        <v>350</v>
      </c>
      <c r="F202" s="4" t="s">
        <v>51</v>
      </c>
      <c r="G202" s="4" t="s">
        <v>35</v>
      </c>
      <c r="H202" s="54" t="s">
        <v>36</v>
      </c>
      <c r="I202" s="52"/>
      <c r="J202" s="57">
        <v>3.8</v>
      </c>
      <c r="K202" s="52"/>
      <c r="L202" s="6">
        <v>3.4845999999999999</v>
      </c>
      <c r="M202" s="6">
        <v>0.91700000000000004</v>
      </c>
      <c r="N202" s="6">
        <v>3.67</v>
      </c>
      <c r="O202" s="57">
        <v>3.3653900000000001</v>
      </c>
      <c r="P202" s="52"/>
      <c r="Q202" s="6">
        <v>0.91700000000000004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0.13</v>
      </c>
      <c r="AB202" s="6">
        <v>0.11921</v>
      </c>
      <c r="AC202" s="6">
        <v>0.91699999999999993</v>
      </c>
      <c r="AD202" s="6">
        <v>-0.12999999999999989</v>
      </c>
      <c r="AE202" s="6">
        <v>0.12999999999999989</v>
      </c>
    </row>
    <row r="203" spans="2:31" ht="20" x14ac:dyDescent="0.25">
      <c r="B203" s="55"/>
      <c r="C203" s="55"/>
      <c r="D203" s="4" t="s">
        <v>351</v>
      </c>
      <c r="E203" s="4" t="s">
        <v>352</v>
      </c>
      <c r="F203" s="4" t="s">
        <v>51</v>
      </c>
      <c r="G203" s="4" t="s">
        <v>35</v>
      </c>
      <c r="H203" s="54" t="s">
        <v>36</v>
      </c>
      <c r="I203" s="52"/>
      <c r="J203" s="57">
        <v>2.25</v>
      </c>
      <c r="K203" s="52"/>
      <c r="L203" s="6">
        <v>2.06325</v>
      </c>
      <c r="M203" s="6">
        <v>0.91700000000000004</v>
      </c>
      <c r="N203" s="6">
        <v>2.17</v>
      </c>
      <c r="O203" s="57">
        <v>1.9898899999999999</v>
      </c>
      <c r="P203" s="52"/>
      <c r="Q203" s="6">
        <v>0.91700000000000004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0.08</v>
      </c>
      <c r="AB203" s="6">
        <v>7.3359999999999995E-2</v>
      </c>
      <c r="AC203" s="6">
        <v>0.91699999999999993</v>
      </c>
      <c r="AD203" s="6">
        <v>-8.0000000000000071E-2</v>
      </c>
      <c r="AE203" s="6">
        <v>8.0000000000000071E-2</v>
      </c>
    </row>
    <row r="204" spans="2:31" ht="20" x14ac:dyDescent="0.25">
      <c r="B204" s="55"/>
      <c r="C204" s="55"/>
      <c r="D204" s="4" t="s">
        <v>353</v>
      </c>
      <c r="E204" s="4" t="s">
        <v>324</v>
      </c>
      <c r="F204" s="4" t="s">
        <v>51</v>
      </c>
      <c r="G204" s="4" t="s">
        <v>35</v>
      </c>
      <c r="H204" s="54" t="s">
        <v>36</v>
      </c>
      <c r="I204" s="52"/>
      <c r="J204" s="57">
        <v>133.63</v>
      </c>
      <c r="K204" s="52"/>
      <c r="L204" s="6">
        <v>122.53870999999999</v>
      </c>
      <c r="M204" s="6">
        <v>0.91700000000000004</v>
      </c>
      <c r="N204" s="6">
        <v>133.31</v>
      </c>
      <c r="O204" s="57">
        <v>122.24527</v>
      </c>
      <c r="P204" s="52"/>
      <c r="Q204" s="6">
        <v>0.91700000000000004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0.32</v>
      </c>
      <c r="AB204" s="6">
        <v>0.29343999999999998</v>
      </c>
      <c r="AC204" s="6">
        <v>0.91699999999999993</v>
      </c>
      <c r="AD204" s="6">
        <v>-0.31999999999999318</v>
      </c>
      <c r="AE204" s="6">
        <v>0.31999999999999318</v>
      </c>
    </row>
    <row r="205" spans="2:31" ht="20" x14ac:dyDescent="0.25">
      <c r="B205" s="55"/>
      <c r="C205" s="55"/>
      <c r="D205" s="4" t="s">
        <v>354</v>
      </c>
      <c r="E205" s="4" t="s">
        <v>355</v>
      </c>
      <c r="F205" s="4" t="s">
        <v>51</v>
      </c>
      <c r="G205" s="4" t="s">
        <v>35</v>
      </c>
      <c r="H205" s="54" t="s">
        <v>36</v>
      </c>
      <c r="I205" s="52"/>
      <c r="J205" s="57">
        <v>27.22</v>
      </c>
      <c r="K205" s="52"/>
      <c r="L205" s="6">
        <v>24.960740000000001</v>
      </c>
      <c r="M205" s="6">
        <v>0.91700000000000004</v>
      </c>
      <c r="N205" s="6">
        <v>26.13</v>
      </c>
      <c r="O205" s="57">
        <v>23.961210000000001</v>
      </c>
      <c r="P205" s="52"/>
      <c r="Q205" s="6">
        <v>0.91700000000000004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1.0900000000000001</v>
      </c>
      <c r="AB205" s="6">
        <v>0.99953000000000003</v>
      </c>
      <c r="AC205" s="6">
        <v>0.91699999999999993</v>
      </c>
      <c r="AD205" s="6">
        <v>-1.0899999999999999</v>
      </c>
      <c r="AE205" s="6">
        <v>1.0899999999999999</v>
      </c>
    </row>
    <row r="206" spans="2:31" ht="20" x14ac:dyDescent="0.25">
      <c r="B206" s="55"/>
      <c r="C206" s="55"/>
      <c r="D206" s="4" t="s">
        <v>356</v>
      </c>
      <c r="E206" s="4" t="s">
        <v>357</v>
      </c>
      <c r="F206" s="4" t="s">
        <v>51</v>
      </c>
      <c r="G206" s="4" t="s">
        <v>35</v>
      </c>
      <c r="H206" s="54" t="s">
        <v>48</v>
      </c>
      <c r="I206" s="52"/>
      <c r="J206" s="57">
        <v>153.27000000000001</v>
      </c>
      <c r="K206" s="52"/>
      <c r="L206" s="6">
        <v>114.9525</v>
      </c>
      <c r="M206" s="6">
        <v>0.75</v>
      </c>
      <c r="N206" s="6">
        <v>130.85</v>
      </c>
      <c r="O206" s="57">
        <v>98.137500000000003</v>
      </c>
      <c r="P206" s="52"/>
      <c r="Q206" s="6">
        <v>0.75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22.42</v>
      </c>
      <c r="AB206" s="6">
        <v>16.815000000000001</v>
      </c>
      <c r="AC206" s="6">
        <v>0.75</v>
      </c>
      <c r="AD206" s="6">
        <v>-22.420000000000016</v>
      </c>
      <c r="AE206" s="6">
        <v>22.420000000000016</v>
      </c>
    </row>
    <row r="207" spans="2:31" ht="20" x14ac:dyDescent="0.25">
      <c r="B207" s="55"/>
      <c r="C207" s="55"/>
      <c r="D207" s="4" t="s">
        <v>358</v>
      </c>
      <c r="E207" s="4" t="s">
        <v>359</v>
      </c>
      <c r="F207" s="4" t="s">
        <v>51</v>
      </c>
      <c r="G207" s="4" t="s">
        <v>35</v>
      </c>
      <c r="H207" s="54" t="s">
        <v>36</v>
      </c>
      <c r="I207" s="52"/>
      <c r="J207" s="57">
        <v>22.07</v>
      </c>
      <c r="K207" s="52"/>
      <c r="L207" s="6">
        <v>20.238189999999999</v>
      </c>
      <c r="M207" s="6">
        <v>0.91699999999999993</v>
      </c>
      <c r="N207" s="6">
        <v>21.85</v>
      </c>
      <c r="O207" s="57">
        <v>20.036449999999999</v>
      </c>
      <c r="P207" s="52"/>
      <c r="Q207" s="6">
        <v>0.91699999999999993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0.22</v>
      </c>
      <c r="AB207" s="6">
        <v>0.20174</v>
      </c>
      <c r="AC207" s="6">
        <v>0.91700000000000004</v>
      </c>
      <c r="AD207" s="6">
        <v>-0.21999999999999886</v>
      </c>
      <c r="AE207" s="6">
        <v>0.21999999999999886</v>
      </c>
    </row>
    <row r="208" spans="2:31" ht="20" x14ac:dyDescent="0.25">
      <c r="B208" s="55"/>
      <c r="C208" s="55"/>
      <c r="D208" s="4" t="s">
        <v>360</v>
      </c>
      <c r="E208" s="4" t="s">
        <v>361</v>
      </c>
      <c r="F208" s="4" t="s">
        <v>51</v>
      </c>
      <c r="G208" s="4" t="s">
        <v>35</v>
      </c>
      <c r="H208" s="54" t="s">
        <v>41</v>
      </c>
      <c r="I208" s="52"/>
      <c r="J208" s="57">
        <v>209.3</v>
      </c>
      <c r="K208" s="52"/>
      <c r="L208" s="6">
        <v>156.97499999999999</v>
      </c>
      <c r="M208" s="6">
        <v>0.74999999999999989</v>
      </c>
      <c r="N208" s="6">
        <v>193.74</v>
      </c>
      <c r="O208" s="57">
        <v>145.30500000000001</v>
      </c>
      <c r="P208" s="52"/>
      <c r="Q208" s="6">
        <v>0.75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15.56</v>
      </c>
      <c r="AB208" s="6">
        <v>11.67</v>
      </c>
      <c r="AC208" s="6">
        <v>0.75</v>
      </c>
      <c r="AD208" s="6">
        <v>-15.560000000000002</v>
      </c>
      <c r="AE208" s="6">
        <v>15.560000000000002</v>
      </c>
    </row>
    <row r="209" spans="2:31" ht="20" x14ac:dyDescent="0.25">
      <c r="B209" s="55"/>
      <c r="C209" s="55"/>
      <c r="D209" s="4" t="s">
        <v>362</v>
      </c>
      <c r="E209" s="4" t="s">
        <v>363</v>
      </c>
      <c r="F209" s="4" t="s">
        <v>51</v>
      </c>
      <c r="G209" s="4" t="s">
        <v>35</v>
      </c>
      <c r="H209" s="54" t="s">
        <v>48</v>
      </c>
      <c r="I209" s="52"/>
      <c r="J209" s="57">
        <v>9.0399999999999991</v>
      </c>
      <c r="K209" s="52"/>
      <c r="L209" s="6">
        <v>6.78</v>
      </c>
      <c r="M209" s="6">
        <v>0.75000000000000011</v>
      </c>
      <c r="N209" s="6">
        <v>8.7200000000000006</v>
      </c>
      <c r="O209" s="57">
        <v>6.54</v>
      </c>
      <c r="P209" s="52"/>
      <c r="Q209" s="6">
        <v>0.75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0.32</v>
      </c>
      <c r="AB209" s="6">
        <v>0.24</v>
      </c>
      <c r="AC209" s="6">
        <v>0.75</v>
      </c>
      <c r="AD209" s="6">
        <v>-0.31999999999999851</v>
      </c>
      <c r="AE209" s="6">
        <v>0.31999999999999851</v>
      </c>
    </row>
    <row r="210" spans="2:31" ht="20" x14ac:dyDescent="0.25">
      <c r="B210" s="55"/>
      <c r="C210" s="55"/>
      <c r="D210" s="4" t="s">
        <v>364</v>
      </c>
      <c r="E210" s="4" t="s">
        <v>80</v>
      </c>
      <c r="F210" s="4" t="s">
        <v>51</v>
      </c>
      <c r="G210" s="4" t="s">
        <v>35</v>
      </c>
      <c r="H210" s="54" t="s">
        <v>36</v>
      </c>
      <c r="I210" s="52"/>
      <c r="J210" s="57">
        <v>25.015999999999998</v>
      </c>
      <c r="K210" s="52"/>
      <c r="L210" s="6">
        <v>22.939672000000002</v>
      </c>
      <c r="M210" s="6">
        <v>0.91700000000000015</v>
      </c>
      <c r="N210" s="6">
        <v>24.795999999999999</v>
      </c>
      <c r="O210" s="57">
        <v>22.737932000000001</v>
      </c>
      <c r="P210" s="52"/>
      <c r="Q210" s="6">
        <v>0.91700000000000004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0.22</v>
      </c>
      <c r="AB210" s="6">
        <v>0.20174</v>
      </c>
      <c r="AC210" s="6">
        <v>0.91700000000000004</v>
      </c>
      <c r="AD210" s="6">
        <v>-0.21999999999999886</v>
      </c>
      <c r="AE210" s="6">
        <v>0.21999999999999886</v>
      </c>
    </row>
    <row r="211" spans="2:31" ht="20" x14ac:dyDescent="0.25">
      <c r="B211" s="55"/>
      <c r="C211" s="55"/>
      <c r="D211" s="4" t="s">
        <v>365</v>
      </c>
      <c r="E211" s="4" t="s">
        <v>55</v>
      </c>
      <c r="F211" s="4" t="s">
        <v>51</v>
      </c>
      <c r="G211" s="4" t="s">
        <v>35</v>
      </c>
      <c r="H211" s="54" t="s">
        <v>41</v>
      </c>
      <c r="I211" s="52"/>
      <c r="J211" s="57">
        <v>10.51</v>
      </c>
      <c r="K211" s="52"/>
      <c r="L211" s="6">
        <v>7.8825000000000003</v>
      </c>
      <c r="M211" s="6">
        <v>0.75</v>
      </c>
      <c r="N211" s="6">
        <v>10.51</v>
      </c>
      <c r="O211" s="57">
        <v>7.8825000000000003</v>
      </c>
      <c r="P211" s="52"/>
      <c r="Q211" s="6">
        <v>0.75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</row>
    <row r="212" spans="2:31" ht="20" x14ac:dyDescent="0.25">
      <c r="B212" s="55"/>
      <c r="C212" s="55"/>
      <c r="D212" s="4" t="s">
        <v>366</v>
      </c>
      <c r="E212" s="4" t="s">
        <v>56</v>
      </c>
      <c r="F212" s="4" t="s">
        <v>51</v>
      </c>
      <c r="G212" s="4" t="s">
        <v>35</v>
      </c>
      <c r="H212" s="54" t="s">
        <v>41</v>
      </c>
      <c r="I212" s="52"/>
      <c r="J212" s="57">
        <v>12.39</v>
      </c>
      <c r="K212" s="52"/>
      <c r="L212" s="6">
        <v>9.2925000000000004</v>
      </c>
      <c r="M212" s="6">
        <v>0.75</v>
      </c>
      <c r="N212" s="6">
        <v>12.39</v>
      </c>
      <c r="O212" s="57">
        <v>9.2925000000000004</v>
      </c>
      <c r="P212" s="52"/>
      <c r="Q212" s="6">
        <v>0.75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</row>
    <row r="213" spans="2:31" ht="20" x14ac:dyDescent="0.25">
      <c r="B213" s="55"/>
      <c r="C213" s="55"/>
      <c r="D213" s="4" t="s">
        <v>367</v>
      </c>
      <c r="E213" s="4" t="s">
        <v>368</v>
      </c>
      <c r="F213" s="4" t="s">
        <v>51</v>
      </c>
      <c r="G213" s="4" t="s">
        <v>35</v>
      </c>
      <c r="H213" s="54" t="s">
        <v>48</v>
      </c>
      <c r="I213" s="52"/>
      <c r="J213" s="57">
        <v>195.5</v>
      </c>
      <c r="K213" s="52"/>
      <c r="L213" s="6">
        <v>146.625</v>
      </c>
      <c r="M213" s="6">
        <v>0.75</v>
      </c>
      <c r="N213" s="6">
        <v>182.93</v>
      </c>
      <c r="O213" s="57">
        <v>137.19749999999999</v>
      </c>
      <c r="P213" s="52"/>
      <c r="Q213" s="6">
        <v>0.74999999999999989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12.57</v>
      </c>
      <c r="AB213" s="6">
        <v>9.4275000000000002</v>
      </c>
      <c r="AC213" s="6">
        <v>0.75</v>
      </c>
      <c r="AD213" s="6">
        <v>-12.569999999999993</v>
      </c>
      <c r="AE213" s="6">
        <v>12.569999999999993</v>
      </c>
    </row>
    <row r="214" spans="2:31" ht="20" x14ac:dyDescent="0.25">
      <c r="B214" s="55"/>
      <c r="C214" s="55"/>
      <c r="D214" s="4" t="s">
        <v>369</v>
      </c>
      <c r="E214" s="4" t="s">
        <v>370</v>
      </c>
      <c r="F214" s="4" t="s">
        <v>51</v>
      </c>
      <c r="G214" s="4" t="s">
        <v>35</v>
      </c>
      <c r="H214" s="54" t="s">
        <v>48</v>
      </c>
      <c r="I214" s="52"/>
      <c r="J214" s="57">
        <v>167.95</v>
      </c>
      <c r="K214" s="52"/>
      <c r="L214" s="6">
        <v>125.96250000000001</v>
      </c>
      <c r="M214" s="6">
        <v>0.75000000000000011</v>
      </c>
      <c r="N214" s="6">
        <v>156.79</v>
      </c>
      <c r="O214" s="57">
        <v>117.5925</v>
      </c>
      <c r="P214" s="52"/>
      <c r="Q214" s="6">
        <v>0.75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11.16</v>
      </c>
      <c r="AB214" s="6">
        <v>8.3699999999999992</v>
      </c>
      <c r="AC214" s="6">
        <v>0.74999999999999989</v>
      </c>
      <c r="AD214" s="6">
        <v>-11.159999999999997</v>
      </c>
      <c r="AE214" s="6">
        <v>11.159999999999997</v>
      </c>
    </row>
    <row r="215" spans="2:31" ht="20" x14ac:dyDescent="0.25">
      <c r="B215" s="55"/>
      <c r="C215" s="55"/>
      <c r="D215" s="4" t="s">
        <v>371</v>
      </c>
      <c r="E215" s="4" t="s">
        <v>372</v>
      </c>
      <c r="F215" s="4" t="s">
        <v>51</v>
      </c>
      <c r="G215" s="4" t="s">
        <v>35</v>
      </c>
      <c r="H215" s="54" t="s">
        <v>41</v>
      </c>
      <c r="I215" s="52"/>
      <c r="J215" s="57">
        <v>11.12</v>
      </c>
      <c r="K215" s="52"/>
      <c r="L215" s="6">
        <v>8.34</v>
      </c>
      <c r="M215" s="6">
        <v>0.75</v>
      </c>
      <c r="N215" s="6">
        <v>10.33</v>
      </c>
      <c r="O215" s="57">
        <v>7.7474999999999996</v>
      </c>
      <c r="P215" s="52"/>
      <c r="Q215" s="6">
        <v>0.75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0.79</v>
      </c>
      <c r="AB215" s="6">
        <v>0.59250000000000003</v>
      </c>
      <c r="AC215" s="6">
        <v>0.75</v>
      </c>
      <c r="AD215" s="6">
        <v>-0.78999999999999915</v>
      </c>
      <c r="AE215" s="6">
        <v>0.78999999999999915</v>
      </c>
    </row>
    <row r="216" spans="2:31" ht="20" x14ac:dyDescent="0.25">
      <c r="B216" s="55"/>
      <c r="C216" s="55"/>
      <c r="D216" s="4" t="s">
        <v>373</v>
      </c>
      <c r="E216" s="4" t="s">
        <v>374</v>
      </c>
      <c r="F216" s="4" t="s">
        <v>51</v>
      </c>
      <c r="G216" s="4" t="s">
        <v>35</v>
      </c>
      <c r="H216" s="54" t="s">
        <v>48</v>
      </c>
      <c r="I216" s="52"/>
      <c r="J216" s="57">
        <v>7.26</v>
      </c>
      <c r="K216" s="52"/>
      <c r="L216" s="6">
        <v>5.4450000000000003</v>
      </c>
      <c r="M216" s="6">
        <v>0.75000000000000011</v>
      </c>
      <c r="N216" s="6">
        <v>6.43</v>
      </c>
      <c r="O216" s="57">
        <v>4.8224999999999998</v>
      </c>
      <c r="P216" s="52"/>
      <c r="Q216" s="6">
        <v>0.75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0.83</v>
      </c>
      <c r="AB216" s="6">
        <v>0.62250000000000005</v>
      </c>
      <c r="AC216" s="6">
        <v>0.75000000000000011</v>
      </c>
      <c r="AD216" s="6">
        <v>-0.83</v>
      </c>
      <c r="AE216" s="6">
        <v>0.83</v>
      </c>
    </row>
    <row r="217" spans="2:31" ht="20" x14ac:dyDescent="0.25">
      <c r="B217" s="55"/>
      <c r="C217" s="55"/>
      <c r="D217" s="4" t="s">
        <v>375</v>
      </c>
      <c r="E217" s="4" t="s">
        <v>376</v>
      </c>
      <c r="F217" s="4" t="s">
        <v>51</v>
      </c>
      <c r="G217" s="4" t="s">
        <v>35</v>
      </c>
      <c r="H217" s="54" t="s">
        <v>41</v>
      </c>
      <c r="I217" s="52"/>
      <c r="J217" s="57">
        <v>7.86</v>
      </c>
      <c r="K217" s="52"/>
      <c r="L217" s="6">
        <v>5.8949999999999996</v>
      </c>
      <c r="M217" s="6">
        <v>0.74999999999999989</v>
      </c>
      <c r="N217" s="6">
        <v>7.67</v>
      </c>
      <c r="O217" s="57">
        <v>5.7525000000000004</v>
      </c>
      <c r="P217" s="52"/>
      <c r="Q217" s="6">
        <v>0.75000000000000011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0.19</v>
      </c>
      <c r="AB217" s="6">
        <v>0.14249999999999999</v>
      </c>
      <c r="AC217" s="6">
        <v>0.74999999999999989</v>
      </c>
      <c r="AD217" s="6">
        <v>-0.19000000000000039</v>
      </c>
      <c r="AE217" s="6">
        <v>0.19000000000000039</v>
      </c>
    </row>
    <row r="218" spans="2:31" ht="20" x14ac:dyDescent="0.25">
      <c r="B218" s="55"/>
      <c r="C218" s="55"/>
      <c r="D218" s="4" t="s">
        <v>377</v>
      </c>
      <c r="E218" s="4" t="s">
        <v>378</v>
      </c>
      <c r="F218" s="4" t="s">
        <v>51</v>
      </c>
      <c r="G218" s="4" t="s">
        <v>35</v>
      </c>
      <c r="H218" s="54" t="s">
        <v>36</v>
      </c>
      <c r="I218" s="52"/>
      <c r="J218" s="57">
        <v>23.34</v>
      </c>
      <c r="K218" s="52"/>
      <c r="L218" s="6">
        <v>21.40278</v>
      </c>
      <c r="M218" s="6">
        <v>0.91700000000000004</v>
      </c>
      <c r="N218" s="6">
        <v>21.99</v>
      </c>
      <c r="O218" s="57">
        <v>20.164829999999998</v>
      </c>
      <c r="P218" s="52"/>
      <c r="Q218" s="6">
        <v>0.91700000000000004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1.35</v>
      </c>
      <c r="AB218" s="6">
        <v>1.2379500000000001</v>
      </c>
      <c r="AC218" s="6">
        <v>0.91700000000000004</v>
      </c>
      <c r="AD218" s="6">
        <v>-1.3500000000000014</v>
      </c>
      <c r="AE218" s="6">
        <v>1.3500000000000014</v>
      </c>
    </row>
    <row r="219" spans="2:31" ht="20" x14ac:dyDescent="0.25">
      <c r="B219" s="55"/>
      <c r="C219" s="55"/>
      <c r="D219" s="4" t="s">
        <v>379</v>
      </c>
      <c r="E219" s="4" t="s">
        <v>380</v>
      </c>
      <c r="F219" s="4" t="s">
        <v>51</v>
      </c>
      <c r="G219" s="4" t="s">
        <v>35</v>
      </c>
      <c r="H219" s="54" t="s">
        <v>48</v>
      </c>
      <c r="I219" s="52"/>
      <c r="J219" s="57">
        <v>46.27</v>
      </c>
      <c r="K219" s="52"/>
      <c r="L219" s="6">
        <v>34.702500000000001</v>
      </c>
      <c r="M219" s="6">
        <v>0.75</v>
      </c>
      <c r="N219" s="6">
        <v>42.8</v>
      </c>
      <c r="O219" s="57">
        <v>32.1</v>
      </c>
      <c r="P219" s="52"/>
      <c r="Q219" s="6">
        <v>0.75000000000000011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3.47</v>
      </c>
      <c r="AB219" s="6">
        <v>2.6025</v>
      </c>
      <c r="AC219" s="6">
        <v>0.75</v>
      </c>
      <c r="AD219" s="6">
        <v>-3.470000000000006</v>
      </c>
      <c r="AE219" s="6">
        <v>3.470000000000006</v>
      </c>
    </row>
    <row r="220" spans="2:31" x14ac:dyDescent="0.25">
      <c r="B220" s="55"/>
      <c r="C220" s="55"/>
      <c r="D220" s="54" t="s">
        <v>381</v>
      </c>
      <c r="E220" s="4" t="s">
        <v>382</v>
      </c>
      <c r="F220" s="4" t="s">
        <v>51</v>
      </c>
      <c r="G220" s="4" t="s">
        <v>35</v>
      </c>
      <c r="H220" s="54" t="s">
        <v>36</v>
      </c>
      <c r="I220" s="52"/>
      <c r="J220" s="57">
        <v>40.49</v>
      </c>
      <c r="K220" s="52"/>
      <c r="L220" s="6">
        <v>37.129330000000003</v>
      </c>
      <c r="M220" s="6">
        <v>0.91700000000000004</v>
      </c>
      <c r="N220" s="6">
        <v>39.97</v>
      </c>
      <c r="O220" s="57">
        <v>36.65249</v>
      </c>
      <c r="P220" s="52"/>
      <c r="Q220" s="6">
        <v>0.91700000000000004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0.52</v>
      </c>
      <c r="AB220" s="6">
        <v>0.47683999999999999</v>
      </c>
      <c r="AC220" s="6">
        <v>0.91699999999999993</v>
      </c>
      <c r="AD220" s="6">
        <v>-0.52000000000000313</v>
      </c>
      <c r="AE220" s="6">
        <v>0.52000000000000313</v>
      </c>
    </row>
    <row r="221" spans="2:31" x14ac:dyDescent="0.25">
      <c r="B221" s="55"/>
      <c r="C221" s="55"/>
      <c r="D221" s="56"/>
      <c r="E221" s="4" t="s">
        <v>272</v>
      </c>
      <c r="F221" s="4" t="s">
        <v>51</v>
      </c>
      <c r="G221" s="4" t="s">
        <v>35</v>
      </c>
      <c r="H221" s="54" t="s">
        <v>48</v>
      </c>
      <c r="I221" s="52"/>
      <c r="J221" s="57">
        <v>5.8</v>
      </c>
      <c r="K221" s="52"/>
      <c r="L221" s="6">
        <v>4.3499999999999996</v>
      </c>
      <c r="M221" s="6">
        <v>0.75</v>
      </c>
      <c r="N221" s="6">
        <v>5.68</v>
      </c>
      <c r="O221" s="57">
        <v>4.26</v>
      </c>
      <c r="P221" s="52"/>
      <c r="Q221" s="6">
        <v>0.75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0.12</v>
      </c>
      <c r="AB221" s="6">
        <v>0.09</v>
      </c>
      <c r="AC221" s="6">
        <v>0.75</v>
      </c>
      <c r="AD221" s="6">
        <v>-0.12000000000000011</v>
      </c>
      <c r="AE221" s="6">
        <v>0.12000000000000011</v>
      </c>
    </row>
    <row r="222" spans="2:31" ht="20" x14ac:dyDescent="0.25">
      <c r="B222" s="55"/>
      <c r="C222" s="55"/>
      <c r="D222" s="4" t="s">
        <v>383</v>
      </c>
      <c r="E222" s="4" t="s">
        <v>384</v>
      </c>
      <c r="F222" s="4" t="s">
        <v>51</v>
      </c>
      <c r="G222" s="4" t="s">
        <v>35</v>
      </c>
      <c r="H222" s="54" t="s">
        <v>36</v>
      </c>
      <c r="I222" s="52"/>
      <c r="J222" s="57">
        <v>9.4309999999999992</v>
      </c>
      <c r="K222" s="52"/>
      <c r="L222" s="6">
        <v>8.6482270000000003</v>
      </c>
      <c r="M222" s="6">
        <v>0.91700000000000015</v>
      </c>
      <c r="N222" s="6">
        <v>8.9209999999999994</v>
      </c>
      <c r="O222" s="57">
        <v>8.1805570000000003</v>
      </c>
      <c r="P222" s="52"/>
      <c r="Q222" s="6">
        <v>0.91700000000000015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0.51</v>
      </c>
      <c r="AB222" s="6">
        <v>0.46766999999999997</v>
      </c>
      <c r="AC222" s="6">
        <v>0.91699999999999993</v>
      </c>
      <c r="AD222" s="6">
        <v>-0.50999999999999979</v>
      </c>
      <c r="AE222" s="6">
        <v>0.50999999999999979</v>
      </c>
    </row>
    <row r="223" spans="2:31" x14ac:dyDescent="0.25">
      <c r="B223" s="55"/>
      <c r="C223" s="55"/>
      <c r="D223" s="54" t="s">
        <v>385</v>
      </c>
      <c r="E223" s="4" t="s">
        <v>386</v>
      </c>
      <c r="F223" s="4" t="s">
        <v>51</v>
      </c>
      <c r="G223" s="4" t="s">
        <v>35</v>
      </c>
      <c r="H223" s="54" t="s">
        <v>36</v>
      </c>
      <c r="I223" s="52"/>
      <c r="J223" s="57">
        <v>33.18</v>
      </c>
      <c r="K223" s="52"/>
      <c r="L223" s="6">
        <v>30.42606</v>
      </c>
      <c r="M223" s="6">
        <v>0.91700000000000004</v>
      </c>
      <c r="N223" s="6">
        <v>31.32</v>
      </c>
      <c r="O223" s="57">
        <v>28.72044</v>
      </c>
      <c r="P223" s="52"/>
      <c r="Q223" s="6">
        <v>0.91700000000000004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1.86</v>
      </c>
      <c r="AB223" s="6">
        <v>1.7056199999999999</v>
      </c>
      <c r="AC223" s="6">
        <v>0.91699999999999993</v>
      </c>
      <c r="AD223" s="6">
        <v>-1.8599999999999994</v>
      </c>
      <c r="AE223" s="6">
        <v>1.8599999999999994</v>
      </c>
    </row>
    <row r="224" spans="2:31" x14ac:dyDescent="0.25">
      <c r="B224" s="55"/>
      <c r="C224" s="55"/>
      <c r="D224" s="55"/>
      <c r="E224" s="4" t="s">
        <v>387</v>
      </c>
      <c r="F224" s="4" t="s">
        <v>51</v>
      </c>
      <c r="G224" s="4" t="s">
        <v>35</v>
      </c>
      <c r="H224" s="54" t="s">
        <v>48</v>
      </c>
      <c r="I224" s="52"/>
      <c r="J224" s="57">
        <v>17.3</v>
      </c>
      <c r="K224" s="52"/>
      <c r="L224" s="6">
        <v>12.975</v>
      </c>
      <c r="M224" s="6">
        <v>0.75</v>
      </c>
      <c r="N224" s="6">
        <v>15.7</v>
      </c>
      <c r="O224" s="57">
        <v>11.775</v>
      </c>
      <c r="P224" s="52"/>
      <c r="Q224" s="6">
        <v>0.75000000000000011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1.6</v>
      </c>
      <c r="AB224" s="6">
        <v>1.2</v>
      </c>
      <c r="AC224" s="6">
        <v>0.74999999999999989</v>
      </c>
      <c r="AD224" s="6">
        <v>-1.6000000000000014</v>
      </c>
      <c r="AE224" s="6">
        <v>1.6000000000000014</v>
      </c>
    </row>
    <row r="225" spans="2:31" x14ac:dyDescent="0.25">
      <c r="B225" s="55"/>
      <c r="C225" s="55"/>
      <c r="D225" s="56"/>
      <c r="E225" s="4" t="s">
        <v>388</v>
      </c>
      <c r="F225" s="4" t="s">
        <v>51</v>
      </c>
      <c r="G225" s="4" t="s">
        <v>35</v>
      </c>
      <c r="H225" s="54" t="s">
        <v>48</v>
      </c>
      <c r="I225" s="52"/>
      <c r="J225" s="57">
        <v>17.2</v>
      </c>
      <c r="K225" s="52"/>
      <c r="L225" s="6">
        <v>12.9</v>
      </c>
      <c r="M225" s="6">
        <v>0.75</v>
      </c>
      <c r="N225" s="6">
        <v>16.64</v>
      </c>
      <c r="O225" s="57">
        <v>12.48</v>
      </c>
      <c r="P225" s="52"/>
      <c r="Q225" s="6">
        <v>0.75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0.56000000000000005</v>
      </c>
      <c r="AB225" s="6">
        <v>0.42</v>
      </c>
      <c r="AC225" s="6">
        <v>0.74999999999999989</v>
      </c>
      <c r="AD225" s="6">
        <v>-0.55999999999999872</v>
      </c>
      <c r="AE225" s="6">
        <v>0.55999999999999872</v>
      </c>
    </row>
    <row r="226" spans="2:31" ht="20" x14ac:dyDescent="0.25">
      <c r="B226" s="55"/>
      <c r="C226" s="55"/>
      <c r="D226" s="4" t="s">
        <v>389</v>
      </c>
      <c r="E226" s="4" t="s">
        <v>390</v>
      </c>
      <c r="F226" s="4" t="s">
        <v>51</v>
      </c>
      <c r="G226" s="4" t="s">
        <v>35</v>
      </c>
      <c r="H226" s="54" t="s">
        <v>41</v>
      </c>
      <c r="I226" s="52"/>
      <c r="J226" s="57">
        <v>8.2100000000000009</v>
      </c>
      <c r="K226" s="52"/>
      <c r="L226" s="6">
        <v>6.1574999999999998</v>
      </c>
      <c r="M226" s="6">
        <v>0.74999999999999989</v>
      </c>
      <c r="N226" s="6">
        <v>7.72</v>
      </c>
      <c r="O226" s="57">
        <v>5.79</v>
      </c>
      <c r="P226" s="52"/>
      <c r="Q226" s="6">
        <v>0.75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0.49</v>
      </c>
      <c r="AB226" s="6">
        <v>0.36749999999999999</v>
      </c>
      <c r="AC226" s="6">
        <v>0.75</v>
      </c>
      <c r="AD226" s="6">
        <v>-0.4900000000000011</v>
      </c>
      <c r="AE226" s="6">
        <v>0.4900000000000011</v>
      </c>
    </row>
    <row r="227" spans="2:31" ht="20" x14ac:dyDescent="0.25">
      <c r="B227" s="55"/>
      <c r="C227" s="55"/>
      <c r="D227" s="4" t="s">
        <v>391</v>
      </c>
      <c r="E227" s="4" t="s">
        <v>392</v>
      </c>
      <c r="F227" s="4" t="s">
        <v>51</v>
      </c>
      <c r="G227" s="4" t="s">
        <v>35</v>
      </c>
      <c r="H227" s="54" t="s">
        <v>36</v>
      </c>
      <c r="I227" s="52"/>
      <c r="J227" s="57">
        <v>2.85</v>
      </c>
      <c r="K227" s="52"/>
      <c r="L227" s="6">
        <v>2.6134499999999998</v>
      </c>
      <c r="M227" s="6">
        <v>0.91699999999999993</v>
      </c>
      <c r="N227" s="6">
        <v>2.85</v>
      </c>
      <c r="O227" s="57">
        <v>2.6134499999999998</v>
      </c>
      <c r="P227" s="52"/>
      <c r="Q227" s="6">
        <v>0.91699999999999993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</row>
    <row r="228" spans="2:31" ht="20" x14ac:dyDescent="0.25">
      <c r="B228" s="55"/>
      <c r="C228" s="55"/>
      <c r="D228" s="4" t="s">
        <v>393</v>
      </c>
      <c r="E228" s="4" t="s">
        <v>392</v>
      </c>
      <c r="F228" s="4" t="s">
        <v>51</v>
      </c>
      <c r="G228" s="4" t="s">
        <v>133</v>
      </c>
      <c r="H228" s="54" t="s">
        <v>36</v>
      </c>
      <c r="I228" s="52"/>
      <c r="J228" s="57">
        <v>3.12</v>
      </c>
      <c r="K228" s="52"/>
      <c r="L228" s="6">
        <v>2.86104</v>
      </c>
      <c r="M228" s="6">
        <v>0.91699999999999993</v>
      </c>
      <c r="N228" s="6">
        <v>3.12</v>
      </c>
      <c r="O228" s="57">
        <v>2.86104</v>
      </c>
      <c r="P228" s="52"/>
      <c r="Q228" s="6">
        <v>0.91699999999999993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</row>
    <row r="229" spans="2:31" ht="20" x14ac:dyDescent="0.25">
      <c r="B229" s="55"/>
      <c r="C229" s="55"/>
      <c r="D229" s="4" t="s">
        <v>394</v>
      </c>
      <c r="E229" s="4" t="s">
        <v>395</v>
      </c>
      <c r="F229" s="4" t="s">
        <v>51</v>
      </c>
      <c r="G229" s="4" t="s">
        <v>35</v>
      </c>
      <c r="H229" s="54" t="s">
        <v>36</v>
      </c>
      <c r="I229" s="52"/>
      <c r="J229" s="57">
        <v>47.71</v>
      </c>
      <c r="K229" s="52"/>
      <c r="L229" s="6">
        <v>43.750070000000001</v>
      </c>
      <c r="M229" s="6">
        <v>0.91700000000000004</v>
      </c>
      <c r="N229" s="6">
        <v>47</v>
      </c>
      <c r="O229" s="57">
        <v>43.098999999999997</v>
      </c>
      <c r="P229" s="52"/>
      <c r="Q229" s="6">
        <v>0.91699999999999993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0.71</v>
      </c>
      <c r="AB229" s="6">
        <v>0.65107000000000004</v>
      </c>
      <c r="AC229" s="6">
        <v>0.91700000000000015</v>
      </c>
      <c r="AD229" s="6">
        <v>-0.71000000000000085</v>
      </c>
      <c r="AE229" s="6">
        <v>0.71000000000000085</v>
      </c>
    </row>
    <row r="230" spans="2:31" x14ac:dyDescent="0.25">
      <c r="B230" s="55"/>
      <c r="C230" s="55"/>
      <c r="D230" s="54" t="s">
        <v>396</v>
      </c>
      <c r="E230" s="4" t="s">
        <v>397</v>
      </c>
      <c r="F230" s="4" t="s">
        <v>51</v>
      </c>
      <c r="G230" s="4" t="s">
        <v>35</v>
      </c>
      <c r="H230" s="54" t="s">
        <v>36</v>
      </c>
      <c r="I230" s="52"/>
      <c r="J230" s="57">
        <v>51.19</v>
      </c>
      <c r="K230" s="52"/>
      <c r="L230" s="6">
        <v>46.941229999999997</v>
      </c>
      <c r="M230" s="6">
        <v>0.91700000000000004</v>
      </c>
      <c r="N230" s="6">
        <v>50.41</v>
      </c>
      <c r="O230" s="57">
        <v>46.225969999999997</v>
      </c>
      <c r="P230" s="52"/>
      <c r="Q230" s="6">
        <v>0.91700000000000004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0.78</v>
      </c>
      <c r="AB230" s="6">
        <v>0.71526000000000001</v>
      </c>
      <c r="AC230" s="6">
        <v>0.91699999999999993</v>
      </c>
      <c r="AD230" s="6">
        <v>-0.78000000000000114</v>
      </c>
      <c r="AE230" s="6">
        <v>0.78000000000000114</v>
      </c>
    </row>
    <row r="231" spans="2:31" x14ac:dyDescent="0.25">
      <c r="B231" s="55"/>
      <c r="C231" s="55"/>
      <c r="D231" s="55"/>
      <c r="E231" s="4" t="s">
        <v>398</v>
      </c>
      <c r="F231" s="4" t="s">
        <v>51</v>
      </c>
      <c r="G231" s="4" t="s">
        <v>35</v>
      </c>
      <c r="H231" s="54" t="s">
        <v>41</v>
      </c>
      <c r="I231" s="52"/>
      <c r="J231" s="57">
        <v>4.82</v>
      </c>
      <c r="K231" s="52"/>
      <c r="L231" s="6">
        <v>3.6150000000000002</v>
      </c>
      <c r="M231" s="6">
        <v>0.75</v>
      </c>
      <c r="N231" s="6">
        <v>4.3499999999999996</v>
      </c>
      <c r="O231" s="57">
        <v>3.2625000000000002</v>
      </c>
      <c r="P231" s="52"/>
      <c r="Q231" s="6">
        <v>0.75000000000000011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0.47</v>
      </c>
      <c r="AB231" s="6">
        <v>0.35249999999999998</v>
      </c>
      <c r="AC231" s="6">
        <v>0.75</v>
      </c>
      <c r="AD231" s="6">
        <v>-0.47000000000000064</v>
      </c>
      <c r="AE231" s="6">
        <v>0.47000000000000064</v>
      </c>
    </row>
    <row r="232" spans="2:31" x14ac:dyDescent="0.25">
      <c r="B232" s="55"/>
      <c r="C232" s="55"/>
      <c r="D232" s="55"/>
      <c r="E232" s="4" t="s">
        <v>399</v>
      </c>
      <c r="F232" s="4" t="s">
        <v>51</v>
      </c>
      <c r="G232" s="4" t="s">
        <v>35</v>
      </c>
      <c r="H232" s="54" t="s">
        <v>36</v>
      </c>
      <c r="I232" s="52"/>
      <c r="J232" s="57">
        <v>34.369999999999997</v>
      </c>
      <c r="K232" s="52"/>
      <c r="L232" s="6">
        <v>31.517289999999999</v>
      </c>
      <c r="M232" s="6">
        <v>0.91700000000000004</v>
      </c>
      <c r="N232" s="6">
        <v>32.44</v>
      </c>
      <c r="O232" s="57">
        <v>29.747479999999999</v>
      </c>
      <c r="P232" s="52"/>
      <c r="Q232" s="6">
        <v>0.91700000000000004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1.93</v>
      </c>
      <c r="AB232" s="6">
        <v>1.7698100000000001</v>
      </c>
      <c r="AC232" s="6">
        <v>0.91700000000000004</v>
      </c>
      <c r="AD232" s="6">
        <v>-1.9299999999999997</v>
      </c>
      <c r="AE232" s="6">
        <v>1.9299999999999997</v>
      </c>
    </row>
    <row r="233" spans="2:31" x14ac:dyDescent="0.25">
      <c r="B233" s="55"/>
      <c r="C233" s="55"/>
      <c r="D233" s="55"/>
      <c r="E233" s="4" t="s">
        <v>400</v>
      </c>
      <c r="F233" s="4" t="s">
        <v>51</v>
      </c>
      <c r="G233" s="4" t="s">
        <v>35</v>
      </c>
      <c r="H233" s="54" t="s">
        <v>36</v>
      </c>
      <c r="I233" s="52"/>
      <c r="J233" s="57">
        <v>37.03</v>
      </c>
      <c r="K233" s="52"/>
      <c r="L233" s="6">
        <v>33.956510000000002</v>
      </c>
      <c r="M233" s="6">
        <v>0.91700000000000004</v>
      </c>
      <c r="N233" s="6">
        <v>35.299999999999997</v>
      </c>
      <c r="O233" s="57">
        <v>32.370100000000001</v>
      </c>
      <c r="P233" s="52"/>
      <c r="Q233" s="6">
        <v>0.91700000000000015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1.73</v>
      </c>
      <c r="AB233" s="6">
        <v>1.5864100000000001</v>
      </c>
      <c r="AC233" s="6">
        <v>0.91700000000000004</v>
      </c>
      <c r="AD233" s="6">
        <v>-1.730000000000004</v>
      </c>
      <c r="AE233" s="6">
        <v>1.730000000000004</v>
      </c>
    </row>
    <row r="234" spans="2:31" x14ac:dyDescent="0.25">
      <c r="B234" s="55"/>
      <c r="C234" s="55"/>
      <c r="D234" s="55"/>
      <c r="E234" s="4" t="s">
        <v>401</v>
      </c>
      <c r="F234" s="4" t="s">
        <v>51</v>
      </c>
      <c r="G234" s="4" t="s">
        <v>35</v>
      </c>
      <c r="H234" s="54" t="s">
        <v>36</v>
      </c>
      <c r="I234" s="52"/>
      <c r="J234" s="57">
        <v>38.049999999999997</v>
      </c>
      <c r="K234" s="52"/>
      <c r="L234" s="6">
        <v>34.891849999999998</v>
      </c>
      <c r="M234" s="6">
        <v>0.91700000000000004</v>
      </c>
      <c r="N234" s="6">
        <v>33.729999999999997</v>
      </c>
      <c r="O234" s="57">
        <v>30.930409999999998</v>
      </c>
      <c r="P234" s="52"/>
      <c r="Q234" s="6">
        <v>0.91700000000000004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4.32</v>
      </c>
      <c r="AB234" s="6">
        <v>3.9614400000000001</v>
      </c>
      <c r="AC234" s="6">
        <v>0.91699999999999993</v>
      </c>
      <c r="AD234" s="6">
        <v>-4.32</v>
      </c>
      <c r="AE234" s="6">
        <v>4.32</v>
      </c>
    </row>
    <row r="235" spans="2:31" x14ac:dyDescent="0.25">
      <c r="B235" s="55"/>
      <c r="C235" s="55"/>
      <c r="D235" s="56"/>
      <c r="E235" s="4" t="s">
        <v>402</v>
      </c>
      <c r="F235" s="4" t="s">
        <v>51</v>
      </c>
      <c r="G235" s="4" t="s">
        <v>35</v>
      </c>
      <c r="H235" s="54" t="s">
        <v>48</v>
      </c>
      <c r="I235" s="52"/>
      <c r="J235" s="57">
        <v>16.350000000000001</v>
      </c>
      <c r="K235" s="52"/>
      <c r="L235" s="6">
        <v>12.262499999999999</v>
      </c>
      <c r="M235" s="6">
        <v>0.74999999999999989</v>
      </c>
      <c r="N235" s="6">
        <v>16.04</v>
      </c>
      <c r="O235" s="57">
        <v>12.03</v>
      </c>
      <c r="P235" s="52"/>
      <c r="Q235" s="6">
        <v>0.75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0.31</v>
      </c>
      <c r="AB235" s="6">
        <v>0.23250000000000001</v>
      </c>
      <c r="AC235" s="6">
        <v>0.75</v>
      </c>
      <c r="AD235" s="6">
        <v>-0.31000000000000227</v>
      </c>
      <c r="AE235" s="6">
        <v>0.31000000000000227</v>
      </c>
    </row>
    <row r="236" spans="2:31" ht="20" x14ac:dyDescent="0.25">
      <c r="B236" s="55"/>
      <c r="C236" s="55"/>
      <c r="D236" s="4" t="s">
        <v>403</v>
      </c>
      <c r="E236" s="4" t="s">
        <v>404</v>
      </c>
      <c r="F236" s="4" t="s">
        <v>51</v>
      </c>
      <c r="G236" s="4" t="s">
        <v>35</v>
      </c>
      <c r="H236" s="54" t="s">
        <v>36</v>
      </c>
      <c r="I236" s="52"/>
      <c r="J236" s="57">
        <v>161.27000000000001</v>
      </c>
      <c r="K236" s="52"/>
      <c r="L236" s="6">
        <v>147.88459</v>
      </c>
      <c r="M236" s="6">
        <v>0.91699999999999993</v>
      </c>
      <c r="N236" s="6">
        <v>156.47</v>
      </c>
      <c r="O236" s="57">
        <v>143.48299</v>
      </c>
      <c r="P236" s="52"/>
      <c r="Q236" s="6">
        <v>0.91700000000000004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4.8</v>
      </c>
      <c r="AB236" s="6">
        <v>4.4016000000000002</v>
      </c>
      <c r="AC236" s="6">
        <v>0.91700000000000004</v>
      </c>
      <c r="AD236" s="6">
        <v>-4.8000000000000114</v>
      </c>
      <c r="AE236" s="6">
        <v>4.8000000000000114</v>
      </c>
    </row>
    <row r="237" spans="2:31" ht="20" x14ac:dyDescent="0.25">
      <c r="B237" s="55"/>
      <c r="C237" s="55"/>
      <c r="D237" s="4" t="s">
        <v>405</v>
      </c>
      <c r="E237" s="4" t="s">
        <v>52</v>
      </c>
      <c r="F237" s="4" t="s">
        <v>51</v>
      </c>
      <c r="G237" s="4" t="s">
        <v>35</v>
      </c>
      <c r="H237" s="54" t="s">
        <v>36</v>
      </c>
      <c r="I237" s="52"/>
      <c r="J237" s="57">
        <v>27.44</v>
      </c>
      <c r="K237" s="52"/>
      <c r="L237" s="6">
        <v>25.162479999999999</v>
      </c>
      <c r="M237" s="6">
        <v>0.91699999999999993</v>
      </c>
      <c r="N237" s="6">
        <v>27.32</v>
      </c>
      <c r="O237" s="57">
        <v>25.052440000000001</v>
      </c>
      <c r="P237" s="52"/>
      <c r="Q237" s="6">
        <v>0.91700000000000004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0.12</v>
      </c>
      <c r="AB237" s="6">
        <v>0.11004</v>
      </c>
      <c r="AC237" s="6">
        <v>0.91700000000000004</v>
      </c>
      <c r="AD237" s="6">
        <v>-0.12000000000000099</v>
      </c>
      <c r="AE237" s="6">
        <v>0.12000000000000099</v>
      </c>
    </row>
    <row r="238" spans="2:31" x14ac:dyDescent="0.25">
      <c r="B238" s="55"/>
      <c r="C238" s="55"/>
      <c r="D238" s="54" t="s">
        <v>406</v>
      </c>
      <c r="E238" s="4" t="s">
        <v>407</v>
      </c>
      <c r="F238" s="4" t="s">
        <v>51</v>
      </c>
      <c r="G238" s="4" t="s">
        <v>35</v>
      </c>
      <c r="H238" s="54" t="s">
        <v>36</v>
      </c>
      <c r="I238" s="52"/>
      <c r="J238" s="57">
        <v>22.92</v>
      </c>
      <c r="K238" s="52"/>
      <c r="L238" s="6">
        <v>21.01764</v>
      </c>
      <c r="M238" s="6">
        <v>0.91699999999999993</v>
      </c>
      <c r="N238" s="6">
        <v>22.62</v>
      </c>
      <c r="O238" s="57">
        <v>20.742540000000002</v>
      </c>
      <c r="P238" s="52"/>
      <c r="Q238" s="6">
        <v>0.91700000000000004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0.3</v>
      </c>
      <c r="AB238" s="6">
        <v>0.27510000000000001</v>
      </c>
      <c r="AC238" s="6">
        <v>0.91700000000000004</v>
      </c>
      <c r="AD238" s="6">
        <v>-0.30000000000000071</v>
      </c>
      <c r="AE238" s="6">
        <v>0.30000000000000071</v>
      </c>
    </row>
    <row r="239" spans="2:31" x14ac:dyDescent="0.25">
      <c r="B239" s="55"/>
      <c r="C239" s="55"/>
      <c r="D239" s="56"/>
      <c r="E239" s="4" t="s">
        <v>408</v>
      </c>
      <c r="F239" s="4" t="s">
        <v>51</v>
      </c>
      <c r="G239" s="4" t="s">
        <v>35</v>
      </c>
      <c r="H239" s="54" t="s">
        <v>36</v>
      </c>
      <c r="I239" s="52"/>
      <c r="J239" s="57">
        <v>131.25</v>
      </c>
      <c r="K239" s="52"/>
      <c r="L239" s="6">
        <v>120.35625</v>
      </c>
      <c r="M239" s="6">
        <v>0.91700000000000004</v>
      </c>
      <c r="N239" s="6">
        <v>122.77</v>
      </c>
      <c r="O239" s="57">
        <v>112.58009</v>
      </c>
      <c r="P239" s="52"/>
      <c r="Q239" s="6">
        <v>0.91700000000000004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8.48</v>
      </c>
      <c r="AB239" s="6">
        <v>7.77616</v>
      </c>
      <c r="AC239" s="6">
        <v>0.91699999999999993</v>
      </c>
      <c r="AD239" s="6">
        <v>-8.480000000000004</v>
      </c>
      <c r="AE239" s="6">
        <v>8.480000000000004</v>
      </c>
    </row>
    <row r="240" spans="2:31" x14ac:dyDescent="0.25">
      <c r="B240" s="55"/>
      <c r="C240" s="55"/>
      <c r="D240" s="54" t="s">
        <v>409</v>
      </c>
      <c r="E240" s="4" t="s">
        <v>410</v>
      </c>
      <c r="F240" s="4" t="s">
        <v>51</v>
      </c>
      <c r="G240" s="4" t="s">
        <v>35</v>
      </c>
      <c r="H240" s="54" t="s">
        <v>41</v>
      </c>
      <c r="I240" s="52"/>
      <c r="J240" s="57">
        <v>153.72999999999999</v>
      </c>
      <c r="K240" s="52"/>
      <c r="L240" s="6">
        <v>115.2975</v>
      </c>
      <c r="M240" s="6">
        <v>0.75</v>
      </c>
      <c r="N240" s="6">
        <v>135.1</v>
      </c>
      <c r="O240" s="57">
        <v>101.325</v>
      </c>
      <c r="P240" s="52"/>
      <c r="Q240" s="6">
        <v>0.75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18.63</v>
      </c>
      <c r="AB240" s="6">
        <v>13.9725</v>
      </c>
      <c r="AC240" s="6">
        <v>0.75</v>
      </c>
      <c r="AD240" s="6">
        <v>-18.629999999999995</v>
      </c>
      <c r="AE240" s="6">
        <v>18.629999999999995</v>
      </c>
    </row>
    <row r="241" spans="2:31" x14ac:dyDescent="0.25">
      <c r="B241" s="55"/>
      <c r="C241" s="55"/>
      <c r="D241" s="56"/>
      <c r="E241" s="4" t="s">
        <v>357</v>
      </c>
      <c r="F241" s="4" t="s">
        <v>51</v>
      </c>
      <c r="G241" s="4" t="s">
        <v>35</v>
      </c>
      <c r="H241" s="54" t="s">
        <v>48</v>
      </c>
      <c r="I241" s="52"/>
      <c r="J241" s="57">
        <v>130.56</v>
      </c>
      <c r="K241" s="52"/>
      <c r="L241" s="6">
        <v>97.92</v>
      </c>
      <c r="M241" s="6">
        <v>0.75</v>
      </c>
      <c r="N241" s="6">
        <v>130.56</v>
      </c>
      <c r="O241" s="57">
        <v>97.92</v>
      </c>
      <c r="P241" s="52"/>
      <c r="Q241" s="6">
        <v>0.75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</row>
    <row r="242" spans="2:31" x14ac:dyDescent="0.25">
      <c r="B242" s="55"/>
      <c r="C242" s="55"/>
      <c r="D242" s="54" t="s">
        <v>411</v>
      </c>
      <c r="E242" s="4" t="s">
        <v>412</v>
      </c>
      <c r="F242" s="4" t="s">
        <v>51</v>
      </c>
      <c r="G242" s="4" t="s">
        <v>35</v>
      </c>
      <c r="H242" s="54" t="s">
        <v>48</v>
      </c>
      <c r="I242" s="52"/>
      <c r="J242" s="57">
        <v>24.18</v>
      </c>
      <c r="K242" s="52"/>
      <c r="L242" s="6">
        <v>18.135000000000002</v>
      </c>
      <c r="M242" s="6">
        <v>0.75000000000000011</v>
      </c>
      <c r="N242" s="6">
        <v>22.12</v>
      </c>
      <c r="O242" s="57">
        <v>16.59</v>
      </c>
      <c r="P242" s="52"/>
      <c r="Q242" s="6">
        <v>0.75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2.06</v>
      </c>
      <c r="AB242" s="6">
        <v>1.5449999999999999</v>
      </c>
      <c r="AC242" s="6">
        <v>0.75</v>
      </c>
      <c r="AD242" s="6">
        <v>-2.0599999999999987</v>
      </c>
      <c r="AE242" s="6">
        <v>2.0599999999999987</v>
      </c>
    </row>
    <row r="243" spans="2:31" x14ac:dyDescent="0.25">
      <c r="B243" s="55"/>
      <c r="C243" s="55"/>
      <c r="D243" s="56"/>
      <c r="E243" s="4" t="s">
        <v>413</v>
      </c>
      <c r="F243" s="4" t="s">
        <v>51</v>
      </c>
      <c r="G243" s="4" t="s">
        <v>35</v>
      </c>
      <c r="H243" s="54" t="s">
        <v>48</v>
      </c>
      <c r="I243" s="52"/>
      <c r="J243" s="57">
        <v>6.6630000000000003</v>
      </c>
      <c r="K243" s="52"/>
      <c r="L243" s="6">
        <v>4.9972500000000002</v>
      </c>
      <c r="M243" s="6">
        <v>0.75</v>
      </c>
      <c r="N243" s="6">
        <v>6.3029999999999999</v>
      </c>
      <c r="O243" s="57">
        <v>4.7272499999999997</v>
      </c>
      <c r="P243" s="52"/>
      <c r="Q243" s="6">
        <v>0.75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0.36</v>
      </c>
      <c r="AB243" s="6">
        <v>0.27</v>
      </c>
      <c r="AC243" s="6">
        <v>0.75000000000000011</v>
      </c>
      <c r="AD243" s="6">
        <v>-0.36000000000000032</v>
      </c>
      <c r="AE243" s="6">
        <v>0.36000000000000032</v>
      </c>
    </row>
    <row r="244" spans="2:31" ht="20" x14ac:dyDescent="0.25">
      <c r="B244" s="55"/>
      <c r="C244" s="55"/>
      <c r="D244" s="4" t="s">
        <v>414</v>
      </c>
      <c r="E244" s="4" t="s">
        <v>50</v>
      </c>
      <c r="F244" s="4" t="s">
        <v>51</v>
      </c>
      <c r="G244" s="4" t="s">
        <v>35</v>
      </c>
      <c r="H244" s="54" t="s">
        <v>48</v>
      </c>
      <c r="I244" s="52"/>
      <c r="J244" s="57">
        <v>34.82</v>
      </c>
      <c r="K244" s="52"/>
      <c r="L244" s="6">
        <v>26.114999999999998</v>
      </c>
      <c r="M244" s="6">
        <v>0.75</v>
      </c>
      <c r="N244" s="6">
        <v>34.08</v>
      </c>
      <c r="O244" s="57">
        <v>25.56</v>
      </c>
      <c r="P244" s="52"/>
      <c r="Q244" s="6">
        <v>0.75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0.74</v>
      </c>
      <c r="AB244" s="6">
        <v>0.55500000000000005</v>
      </c>
      <c r="AC244" s="6">
        <v>0.75000000000000011</v>
      </c>
      <c r="AD244" s="6">
        <v>-0.74000000000000199</v>
      </c>
      <c r="AE244" s="6">
        <v>0.74000000000000199</v>
      </c>
    </row>
    <row r="245" spans="2:31" ht="20" x14ac:dyDescent="0.25">
      <c r="B245" s="55"/>
      <c r="C245" s="55"/>
      <c r="D245" s="4" t="s">
        <v>415</v>
      </c>
      <c r="E245" s="4" t="s">
        <v>416</v>
      </c>
      <c r="F245" s="4" t="s">
        <v>51</v>
      </c>
      <c r="G245" s="4" t="s">
        <v>35</v>
      </c>
      <c r="H245" s="54" t="s">
        <v>41</v>
      </c>
      <c r="I245" s="52"/>
      <c r="J245" s="57">
        <v>155.96</v>
      </c>
      <c r="K245" s="52"/>
      <c r="L245" s="6">
        <v>116.97</v>
      </c>
      <c r="M245" s="6">
        <v>0.75</v>
      </c>
      <c r="N245" s="6">
        <v>152.21</v>
      </c>
      <c r="O245" s="57">
        <v>114.1575</v>
      </c>
      <c r="P245" s="52"/>
      <c r="Q245" s="6">
        <v>0.75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3.75</v>
      </c>
      <c r="AB245" s="6">
        <v>2.8125</v>
      </c>
      <c r="AC245" s="6">
        <v>0.75</v>
      </c>
      <c r="AD245" s="6">
        <v>-3.75</v>
      </c>
      <c r="AE245" s="6">
        <v>3.75</v>
      </c>
    </row>
    <row r="246" spans="2:31" x14ac:dyDescent="0.25">
      <c r="B246" s="55"/>
      <c r="C246" s="55"/>
      <c r="D246" s="54" t="s">
        <v>417</v>
      </c>
      <c r="E246" s="4" t="s">
        <v>418</v>
      </c>
      <c r="F246" s="4" t="s">
        <v>51</v>
      </c>
      <c r="G246" s="4" t="s">
        <v>35</v>
      </c>
      <c r="H246" s="54" t="s">
        <v>41</v>
      </c>
      <c r="I246" s="52"/>
      <c r="J246" s="57">
        <v>35.880000000000003</v>
      </c>
      <c r="K246" s="52"/>
      <c r="L246" s="6">
        <v>26.91</v>
      </c>
      <c r="M246" s="6">
        <v>0.75</v>
      </c>
      <c r="N246" s="6">
        <v>33.96</v>
      </c>
      <c r="O246" s="57">
        <v>25.47</v>
      </c>
      <c r="P246" s="52"/>
      <c r="Q246" s="6">
        <v>0.75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1.92</v>
      </c>
      <c r="AB246" s="6">
        <v>1.44</v>
      </c>
      <c r="AC246" s="6">
        <v>0.75</v>
      </c>
      <c r="AD246" s="6">
        <v>-1.9200000000000017</v>
      </c>
      <c r="AE246" s="6">
        <v>1.9200000000000017</v>
      </c>
    </row>
    <row r="247" spans="2:31" x14ac:dyDescent="0.25">
      <c r="B247" s="55"/>
      <c r="C247" s="55"/>
      <c r="D247" s="55"/>
      <c r="E247" s="4" t="s">
        <v>419</v>
      </c>
      <c r="F247" s="4" t="s">
        <v>51</v>
      </c>
      <c r="G247" s="4" t="s">
        <v>35</v>
      </c>
      <c r="H247" s="54" t="s">
        <v>41</v>
      </c>
      <c r="I247" s="52"/>
      <c r="J247" s="57">
        <v>34.020000000000003</v>
      </c>
      <c r="K247" s="52"/>
      <c r="L247" s="6">
        <v>25.515000000000001</v>
      </c>
      <c r="M247" s="6">
        <v>0.75</v>
      </c>
      <c r="N247" s="6">
        <v>32.03</v>
      </c>
      <c r="O247" s="57">
        <v>24.022500000000001</v>
      </c>
      <c r="P247" s="52"/>
      <c r="Q247" s="6">
        <v>0.75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1.99</v>
      </c>
      <c r="AB247" s="6">
        <v>1.4924999999999999</v>
      </c>
      <c r="AC247" s="6">
        <v>0.75</v>
      </c>
      <c r="AD247" s="6">
        <v>-1.990000000000002</v>
      </c>
      <c r="AE247" s="6">
        <v>1.990000000000002</v>
      </c>
    </row>
    <row r="248" spans="2:31" x14ac:dyDescent="0.25">
      <c r="B248" s="55"/>
      <c r="C248" s="55"/>
      <c r="D248" s="55"/>
      <c r="E248" s="4" t="s">
        <v>420</v>
      </c>
      <c r="F248" s="4" t="s">
        <v>51</v>
      </c>
      <c r="G248" s="4" t="s">
        <v>35</v>
      </c>
      <c r="H248" s="54" t="s">
        <v>41</v>
      </c>
      <c r="I248" s="52"/>
      <c r="J248" s="57">
        <v>11.82</v>
      </c>
      <c r="K248" s="52"/>
      <c r="L248" s="6">
        <v>8.8650000000000002</v>
      </c>
      <c r="M248" s="6">
        <v>0.75</v>
      </c>
      <c r="N248" s="6">
        <v>10.89</v>
      </c>
      <c r="O248" s="57">
        <v>8.1675000000000004</v>
      </c>
      <c r="P248" s="52"/>
      <c r="Q248" s="6">
        <v>0.75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0.93</v>
      </c>
      <c r="AB248" s="6">
        <v>0.69750000000000001</v>
      </c>
      <c r="AC248" s="6">
        <v>0.75</v>
      </c>
      <c r="AD248" s="6">
        <v>-0.92999999999999972</v>
      </c>
      <c r="AE248" s="6">
        <v>0.92999999999999972</v>
      </c>
    </row>
    <row r="249" spans="2:31" x14ac:dyDescent="0.25">
      <c r="B249" s="55"/>
      <c r="C249" s="55"/>
      <c r="D249" s="55"/>
      <c r="E249" s="4" t="s">
        <v>421</v>
      </c>
      <c r="F249" s="4" t="s">
        <v>51</v>
      </c>
      <c r="G249" s="4" t="s">
        <v>35</v>
      </c>
      <c r="H249" s="54" t="s">
        <v>41</v>
      </c>
      <c r="I249" s="52"/>
      <c r="J249" s="57">
        <v>10.11</v>
      </c>
      <c r="K249" s="52"/>
      <c r="L249" s="6">
        <v>7.5824999999999996</v>
      </c>
      <c r="M249" s="6">
        <v>0.75</v>
      </c>
      <c r="N249" s="6">
        <v>9.41</v>
      </c>
      <c r="O249" s="57">
        <v>7.0575000000000001</v>
      </c>
      <c r="P249" s="52"/>
      <c r="Q249" s="6">
        <v>0.75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0.7</v>
      </c>
      <c r="AB249" s="6">
        <v>0.52500000000000002</v>
      </c>
      <c r="AC249" s="6">
        <v>0.75000000000000011</v>
      </c>
      <c r="AD249" s="6">
        <v>-0.69999999999999929</v>
      </c>
      <c r="AE249" s="6">
        <v>0.69999999999999929</v>
      </c>
    </row>
    <row r="250" spans="2:31" x14ac:dyDescent="0.25">
      <c r="B250" s="55"/>
      <c r="C250" s="55"/>
      <c r="D250" s="55"/>
      <c r="E250" s="4" t="s">
        <v>422</v>
      </c>
      <c r="F250" s="4" t="s">
        <v>51</v>
      </c>
      <c r="G250" s="4" t="s">
        <v>35</v>
      </c>
      <c r="H250" s="54" t="s">
        <v>41</v>
      </c>
      <c r="I250" s="52"/>
      <c r="J250" s="57">
        <v>8.01</v>
      </c>
      <c r="K250" s="52"/>
      <c r="L250" s="6">
        <v>6.0075000000000003</v>
      </c>
      <c r="M250" s="6">
        <v>0.75</v>
      </c>
      <c r="N250" s="6">
        <v>7.47</v>
      </c>
      <c r="O250" s="57">
        <v>5.6025</v>
      </c>
      <c r="P250" s="52"/>
      <c r="Q250" s="6">
        <v>0.75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0.54</v>
      </c>
      <c r="AB250" s="6">
        <v>0.40500000000000003</v>
      </c>
      <c r="AC250" s="6">
        <v>0.75</v>
      </c>
      <c r="AD250" s="6">
        <v>-0.54</v>
      </c>
      <c r="AE250" s="6">
        <v>0.54</v>
      </c>
    </row>
    <row r="251" spans="2:31" x14ac:dyDescent="0.25">
      <c r="B251" s="55"/>
      <c r="C251" s="55"/>
      <c r="D251" s="55"/>
      <c r="E251" s="4" t="s">
        <v>307</v>
      </c>
      <c r="F251" s="4" t="s">
        <v>51</v>
      </c>
      <c r="G251" s="4" t="s">
        <v>35</v>
      </c>
      <c r="H251" s="54" t="s">
        <v>36</v>
      </c>
      <c r="I251" s="52"/>
      <c r="J251" s="57">
        <v>11.14</v>
      </c>
      <c r="K251" s="52"/>
      <c r="L251" s="6">
        <v>10.21538</v>
      </c>
      <c r="M251" s="6">
        <v>0.91699999999999993</v>
      </c>
      <c r="N251" s="6">
        <v>10.5</v>
      </c>
      <c r="O251" s="57">
        <v>9.6285000000000007</v>
      </c>
      <c r="P251" s="52"/>
      <c r="Q251" s="6">
        <v>0.91700000000000004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0.64</v>
      </c>
      <c r="AB251" s="6">
        <v>0.58687999999999996</v>
      </c>
      <c r="AC251" s="6">
        <v>0.91699999999999993</v>
      </c>
      <c r="AD251" s="6">
        <v>-0.64000000000000057</v>
      </c>
      <c r="AE251" s="6">
        <v>0.64000000000000057</v>
      </c>
    </row>
    <row r="252" spans="2:31" x14ac:dyDescent="0.25">
      <c r="B252" s="55"/>
      <c r="C252" s="55"/>
      <c r="D252" s="56"/>
      <c r="E252" s="4" t="s">
        <v>423</v>
      </c>
      <c r="F252" s="4" t="s">
        <v>51</v>
      </c>
      <c r="G252" s="4" t="s">
        <v>35</v>
      </c>
      <c r="H252" s="54" t="s">
        <v>41</v>
      </c>
      <c r="I252" s="52"/>
      <c r="J252" s="57">
        <v>1.72</v>
      </c>
      <c r="K252" s="52"/>
      <c r="L252" s="6">
        <v>1.29</v>
      </c>
      <c r="M252" s="6">
        <v>0.75</v>
      </c>
      <c r="N252" s="6">
        <v>1.62</v>
      </c>
      <c r="O252" s="57">
        <v>1.2150000000000001</v>
      </c>
      <c r="P252" s="52"/>
      <c r="Q252" s="6">
        <v>0.75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0.1</v>
      </c>
      <c r="AB252" s="6">
        <v>7.4999999999999997E-2</v>
      </c>
      <c r="AC252" s="6">
        <v>0.74999999999999989</v>
      </c>
      <c r="AD252" s="6">
        <v>-9.9999999999999867E-2</v>
      </c>
      <c r="AE252" s="6">
        <v>9.9999999999999867E-2</v>
      </c>
    </row>
    <row r="253" spans="2:31" ht="20" x14ac:dyDescent="0.25">
      <c r="B253" s="55"/>
      <c r="C253" s="55"/>
      <c r="D253" s="4" t="s">
        <v>424</v>
      </c>
      <c r="E253" s="4" t="s">
        <v>425</v>
      </c>
      <c r="F253" s="4" t="s">
        <v>51</v>
      </c>
      <c r="G253" s="4" t="s">
        <v>35</v>
      </c>
      <c r="H253" s="54" t="s">
        <v>36</v>
      </c>
      <c r="I253" s="52"/>
      <c r="J253" s="57">
        <v>20.96</v>
      </c>
      <c r="K253" s="52"/>
      <c r="L253" s="6">
        <v>19.220320000000001</v>
      </c>
      <c r="M253" s="6">
        <v>0.91700000000000004</v>
      </c>
      <c r="N253" s="6">
        <v>19.09</v>
      </c>
      <c r="O253" s="57">
        <v>17.50553</v>
      </c>
      <c r="P253" s="52"/>
      <c r="Q253" s="6">
        <v>0.91700000000000004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1.87</v>
      </c>
      <c r="AB253" s="6">
        <v>1.71479</v>
      </c>
      <c r="AC253" s="6">
        <v>0.91699999999999993</v>
      </c>
      <c r="AD253" s="6">
        <v>-1.870000000000001</v>
      </c>
      <c r="AE253" s="6">
        <v>1.870000000000001</v>
      </c>
    </row>
    <row r="254" spans="2:31" x14ac:dyDescent="0.25">
      <c r="B254" s="55"/>
      <c r="C254" s="55"/>
      <c r="D254" s="54" t="s">
        <v>426</v>
      </c>
      <c r="E254" s="4" t="s">
        <v>427</v>
      </c>
      <c r="F254" s="4" t="s">
        <v>51</v>
      </c>
      <c r="G254" s="4" t="s">
        <v>35</v>
      </c>
      <c r="H254" s="54" t="s">
        <v>36</v>
      </c>
      <c r="I254" s="52"/>
      <c r="J254" s="57">
        <v>39.04</v>
      </c>
      <c r="K254" s="52"/>
      <c r="L254" s="6">
        <v>35.799680000000002</v>
      </c>
      <c r="M254" s="6">
        <v>0.91700000000000004</v>
      </c>
      <c r="N254" s="6">
        <v>38.29</v>
      </c>
      <c r="O254" s="57">
        <v>35.111930000000001</v>
      </c>
      <c r="P254" s="52"/>
      <c r="Q254" s="6">
        <v>0.91700000000000004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0.75</v>
      </c>
      <c r="AB254" s="6">
        <v>0.68774999999999997</v>
      </c>
      <c r="AC254" s="6">
        <v>0.91699999999999993</v>
      </c>
      <c r="AD254" s="6">
        <v>-0.75</v>
      </c>
      <c r="AE254" s="6">
        <v>0.75</v>
      </c>
    </row>
    <row r="255" spans="2:31" x14ac:dyDescent="0.25">
      <c r="B255" s="55"/>
      <c r="C255" s="55"/>
      <c r="D255" s="55"/>
      <c r="E255" s="4" t="s">
        <v>428</v>
      </c>
      <c r="F255" s="4" t="s">
        <v>51</v>
      </c>
      <c r="G255" s="4" t="s">
        <v>35</v>
      </c>
      <c r="H255" s="54" t="s">
        <v>41</v>
      </c>
      <c r="I255" s="52"/>
      <c r="J255" s="57">
        <v>39.39</v>
      </c>
      <c r="K255" s="52"/>
      <c r="L255" s="6">
        <v>29.5425</v>
      </c>
      <c r="M255" s="6">
        <v>0.75</v>
      </c>
      <c r="N255" s="6">
        <v>39.03</v>
      </c>
      <c r="O255" s="57">
        <v>29.272500000000001</v>
      </c>
      <c r="P255" s="52"/>
      <c r="Q255" s="6">
        <v>0.75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0.36</v>
      </c>
      <c r="AB255" s="6">
        <v>0.27</v>
      </c>
      <c r="AC255" s="6">
        <v>0.75000000000000011</v>
      </c>
      <c r="AD255" s="6">
        <v>-0.35999999999999943</v>
      </c>
      <c r="AE255" s="6">
        <v>0.35999999999999943</v>
      </c>
    </row>
    <row r="256" spans="2:31" x14ac:dyDescent="0.25">
      <c r="B256" s="55"/>
      <c r="C256" s="55"/>
      <c r="D256" s="56"/>
      <c r="E256" s="4" t="s">
        <v>429</v>
      </c>
      <c r="F256" s="4" t="s">
        <v>51</v>
      </c>
      <c r="G256" s="4" t="s">
        <v>35</v>
      </c>
      <c r="H256" s="54" t="s">
        <v>36</v>
      </c>
      <c r="I256" s="52"/>
      <c r="J256" s="57">
        <v>22.89</v>
      </c>
      <c r="K256" s="52"/>
      <c r="L256" s="6">
        <v>20.990130000000001</v>
      </c>
      <c r="M256" s="6">
        <v>0.91700000000000004</v>
      </c>
      <c r="N256" s="6">
        <v>22.79</v>
      </c>
      <c r="O256" s="57">
        <v>20.898430000000001</v>
      </c>
      <c r="P256" s="52"/>
      <c r="Q256" s="6">
        <v>0.91700000000000004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0.1</v>
      </c>
      <c r="AB256" s="6">
        <v>9.1700000000000004E-2</v>
      </c>
      <c r="AC256" s="6">
        <v>0.91700000000000004</v>
      </c>
      <c r="AD256" s="6">
        <v>-0.10000000000000142</v>
      </c>
      <c r="AE256" s="6">
        <v>0.10000000000000142</v>
      </c>
    </row>
    <row r="257" spans="2:31" ht="20" x14ac:dyDescent="0.25">
      <c r="B257" s="55"/>
      <c r="C257" s="55"/>
      <c r="D257" s="4" t="s">
        <v>430</v>
      </c>
      <c r="E257" s="4" t="s">
        <v>431</v>
      </c>
      <c r="F257" s="4" t="s">
        <v>51</v>
      </c>
      <c r="G257" s="4" t="s">
        <v>35</v>
      </c>
      <c r="H257" s="54" t="s">
        <v>48</v>
      </c>
      <c r="I257" s="52"/>
      <c r="J257" s="57">
        <v>5.63</v>
      </c>
      <c r="K257" s="52"/>
      <c r="L257" s="6">
        <v>4.2225000000000001</v>
      </c>
      <c r="M257" s="6">
        <v>0.75</v>
      </c>
      <c r="N257" s="6">
        <v>5.59</v>
      </c>
      <c r="O257" s="57">
        <v>4.1924999999999999</v>
      </c>
      <c r="P257" s="52"/>
      <c r="Q257" s="6">
        <v>0.75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0.04</v>
      </c>
      <c r="AB257" s="6">
        <v>0.03</v>
      </c>
      <c r="AC257" s="6">
        <v>0.75</v>
      </c>
      <c r="AD257" s="6">
        <v>-4.0000000000000036E-2</v>
      </c>
      <c r="AE257" s="6">
        <v>4.0000000000000036E-2</v>
      </c>
    </row>
    <row r="258" spans="2:31" ht="20" x14ac:dyDescent="0.25">
      <c r="B258" s="55"/>
      <c r="C258" s="55"/>
      <c r="D258" s="4" t="s">
        <v>432</v>
      </c>
      <c r="E258" s="4" t="s">
        <v>433</v>
      </c>
      <c r="F258" s="4" t="s">
        <v>51</v>
      </c>
      <c r="G258" s="4" t="s">
        <v>35</v>
      </c>
      <c r="H258" s="54" t="s">
        <v>48</v>
      </c>
      <c r="I258" s="52"/>
      <c r="J258" s="57">
        <v>2.4700000000000002</v>
      </c>
      <c r="K258" s="52"/>
      <c r="L258" s="6">
        <v>1.8525</v>
      </c>
      <c r="M258" s="6">
        <v>0.75</v>
      </c>
      <c r="N258" s="6">
        <v>2.3199999999999998</v>
      </c>
      <c r="O258" s="57">
        <v>1.74</v>
      </c>
      <c r="P258" s="52"/>
      <c r="Q258" s="6">
        <v>0.75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0.15</v>
      </c>
      <c r="AB258" s="6">
        <v>0.1125</v>
      </c>
      <c r="AC258" s="6">
        <v>0.75</v>
      </c>
      <c r="AD258" s="6">
        <v>-0.15000000000000036</v>
      </c>
      <c r="AE258" s="6">
        <v>0.15000000000000036</v>
      </c>
    </row>
    <row r="259" spans="2:31" ht="20" x14ac:dyDescent="0.25">
      <c r="B259" s="55"/>
      <c r="C259" s="55"/>
      <c r="D259" s="4" t="s">
        <v>434</v>
      </c>
      <c r="E259" s="4" t="s">
        <v>435</v>
      </c>
      <c r="F259" s="4" t="s">
        <v>51</v>
      </c>
      <c r="G259" s="4" t="s">
        <v>35</v>
      </c>
      <c r="H259" s="54" t="s">
        <v>41</v>
      </c>
      <c r="I259" s="52"/>
      <c r="J259" s="57">
        <v>13.1</v>
      </c>
      <c r="K259" s="52"/>
      <c r="L259" s="6">
        <v>9.8249999999999993</v>
      </c>
      <c r="M259" s="6">
        <v>0.75</v>
      </c>
      <c r="N259" s="6">
        <v>12.21</v>
      </c>
      <c r="O259" s="57">
        <v>9.1575000000000006</v>
      </c>
      <c r="P259" s="52"/>
      <c r="Q259" s="6">
        <v>0.75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0.89</v>
      </c>
      <c r="AB259" s="6">
        <v>0.66749999999999998</v>
      </c>
      <c r="AC259" s="6">
        <v>0.75</v>
      </c>
      <c r="AD259" s="6">
        <v>-0.88999999999999879</v>
      </c>
      <c r="AE259" s="6">
        <v>0.88999999999999879</v>
      </c>
    </row>
    <row r="260" spans="2:31" ht="20" x14ac:dyDescent="0.25">
      <c r="B260" s="55"/>
      <c r="C260" s="55"/>
      <c r="D260" s="4" t="s">
        <v>436</v>
      </c>
      <c r="E260" s="4" t="s">
        <v>297</v>
      </c>
      <c r="F260" s="4" t="s">
        <v>51</v>
      </c>
      <c r="G260" s="4" t="s">
        <v>35</v>
      </c>
      <c r="H260" s="54" t="s">
        <v>48</v>
      </c>
      <c r="I260" s="52"/>
      <c r="J260" s="57">
        <v>75.37</v>
      </c>
      <c r="K260" s="52"/>
      <c r="L260" s="6">
        <v>56.527500000000003</v>
      </c>
      <c r="M260" s="6">
        <v>0.75</v>
      </c>
      <c r="N260" s="6">
        <v>69.33</v>
      </c>
      <c r="O260" s="57">
        <v>51.997500000000002</v>
      </c>
      <c r="P260" s="52"/>
      <c r="Q260" s="6">
        <v>0.75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6.04</v>
      </c>
      <c r="AB260" s="6">
        <v>4.53</v>
      </c>
      <c r="AC260" s="6">
        <v>0.75</v>
      </c>
      <c r="AD260" s="6">
        <v>-6.0400000000000063</v>
      </c>
      <c r="AE260" s="6">
        <v>6.0400000000000063</v>
      </c>
    </row>
    <row r="261" spans="2:31" ht="20" x14ac:dyDescent="0.25">
      <c r="B261" s="55"/>
      <c r="C261" s="55"/>
      <c r="D261" s="4" t="s">
        <v>437</v>
      </c>
      <c r="E261" s="4" t="s">
        <v>438</v>
      </c>
      <c r="F261" s="4" t="s">
        <v>51</v>
      </c>
      <c r="G261" s="4" t="s">
        <v>35</v>
      </c>
      <c r="H261" s="54" t="s">
        <v>41</v>
      </c>
      <c r="I261" s="52"/>
      <c r="J261" s="57">
        <v>7.6</v>
      </c>
      <c r="K261" s="52"/>
      <c r="L261" s="6">
        <v>5.7</v>
      </c>
      <c r="M261" s="6">
        <v>0.75000000000000011</v>
      </c>
      <c r="N261" s="6">
        <v>7.21</v>
      </c>
      <c r="O261" s="57">
        <v>5.4074999999999998</v>
      </c>
      <c r="P261" s="52"/>
      <c r="Q261" s="6">
        <v>0.75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0.39</v>
      </c>
      <c r="AB261" s="6">
        <v>0.29249999999999998</v>
      </c>
      <c r="AC261" s="6">
        <v>0.74999999999999989</v>
      </c>
      <c r="AD261" s="6">
        <v>-0.38999999999999968</v>
      </c>
      <c r="AE261" s="6">
        <v>0.38999999999999968</v>
      </c>
    </row>
    <row r="262" spans="2:31" ht="20" x14ac:dyDescent="0.25">
      <c r="B262" s="55"/>
      <c r="C262" s="55"/>
      <c r="D262" s="4" t="s">
        <v>439</v>
      </c>
      <c r="E262" s="4" t="s">
        <v>440</v>
      </c>
      <c r="F262" s="4" t="s">
        <v>51</v>
      </c>
      <c r="G262" s="4" t="s">
        <v>35</v>
      </c>
      <c r="H262" s="54" t="s">
        <v>41</v>
      </c>
      <c r="I262" s="52"/>
      <c r="J262" s="57">
        <v>6.63</v>
      </c>
      <c r="K262" s="52"/>
      <c r="L262" s="6">
        <v>4.9725000000000001</v>
      </c>
      <c r="M262" s="6">
        <v>0.75</v>
      </c>
      <c r="N262" s="6">
        <v>6.23</v>
      </c>
      <c r="O262" s="57">
        <v>4.6725000000000003</v>
      </c>
      <c r="P262" s="52"/>
      <c r="Q262" s="6">
        <v>0.75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0.4</v>
      </c>
      <c r="AB262" s="6">
        <v>0.3</v>
      </c>
      <c r="AC262" s="6">
        <v>0.74999999999999989</v>
      </c>
      <c r="AD262" s="6">
        <v>-0.39999999999999947</v>
      </c>
      <c r="AE262" s="6">
        <v>0.39999999999999947</v>
      </c>
    </row>
    <row r="263" spans="2:31" ht="20" x14ac:dyDescent="0.25">
      <c r="B263" s="55"/>
      <c r="C263" s="55"/>
      <c r="D263" s="4" t="s">
        <v>441</v>
      </c>
      <c r="E263" s="4" t="s">
        <v>442</v>
      </c>
      <c r="F263" s="4" t="s">
        <v>51</v>
      </c>
      <c r="G263" s="4" t="s">
        <v>35</v>
      </c>
      <c r="H263" s="54" t="s">
        <v>36</v>
      </c>
      <c r="I263" s="52"/>
      <c r="J263" s="57">
        <v>31.68</v>
      </c>
      <c r="K263" s="52"/>
      <c r="L263" s="6">
        <v>29.050560000000001</v>
      </c>
      <c r="M263" s="6">
        <v>0.91700000000000004</v>
      </c>
      <c r="N263" s="6">
        <v>29.85</v>
      </c>
      <c r="O263" s="57">
        <v>27.372450000000001</v>
      </c>
      <c r="P263" s="52"/>
      <c r="Q263" s="6">
        <v>0.91699999999999993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1.83</v>
      </c>
      <c r="AB263" s="6">
        <v>1.67811</v>
      </c>
      <c r="AC263" s="6">
        <v>0.91699999999999993</v>
      </c>
      <c r="AD263" s="6">
        <v>-1.8299999999999983</v>
      </c>
      <c r="AE263" s="6">
        <v>1.8299999999999983</v>
      </c>
    </row>
    <row r="264" spans="2:31" ht="20" x14ac:dyDescent="0.25">
      <c r="B264" s="55"/>
      <c r="C264" s="55"/>
      <c r="D264" s="4" t="s">
        <v>443</v>
      </c>
      <c r="E264" s="4" t="s">
        <v>444</v>
      </c>
      <c r="F264" s="4" t="s">
        <v>51</v>
      </c>
      <c r="G264" s="4" t="s">
        <v>35</v>
      </c>
      <c r="H264" s="54" t="s">
        <v>48</v>
      </c>
      <c r="I264" s="52"/>
      <c r="J264" s="57">
        <v>131.22999999999999</v>
      </c>
      <c r="K264" s="52"/>
      <c r="L264" s="6">
        <v>98.422499999999999</v>
      </c>
      <c r="M264" s="6">
        <v>0.75</v>
      </c>
      <c r="N264" s="6">
        <v>116.34</v>
      </c>
      <c r="O264" s="57">
        <v>87.254999999999995</v>
      </c>
      <c r="P264" s="52"/>
      <c r="Q264" s="6">
        <v>0.74999999999999989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14.89</v>
      </c>
      <c r="AB264" s="6">
        <v>11.1675</v>
      </c>
      <c r="AC264" s="6">
        <v>0.75</v>
      </c>
      <c r="AD264" s="6">
        <v>-14.889999999999986</v>
      </c>
      <c r="AE264" s="6">
        <v>14.889999999999986</v>
      </c>
    </row>
    <row r="265" spans="2:31" ht="20" x14ac:dyDescent="0.25">
      <c r="B265" s="55"/>
      <c r="C265" s="55"/>
      <c r="D265" s="4" t="s">
        <v>445</v>
      </c>
      <c r="E265" s="4" t="s">
        <v>446</v>
      </c>
      <c r="F265" s="4" t="s">
        <v>51</v>
      </c>
      <c r="G265" s="4" t="s">
        <v>35</v>
      </c>
      <c r="H265" s="54" t="s">
        <v>36</v>
      </c>
      <c r="I265" s="52"/>
      <c r="J265" s="57">
        <v>89.98</v>
      </c>
      <c r="K265" s="52"/>
      <c r="L265" s="6">
        <v>82.511660000000006</v>
      </c>
      <c r="M265" s="6">
        <v>0.91700000000000004</v>
      </c>
      <c r="N265" s="6">
        <v>87.36</v>
      </c>
      <c r="O265" s="57">
        <v>80.109120000000004</v>
      </c>
      <c r="P265" s="52"/>
      <c r="Q265" s="6">
        <v>0.91700000000000004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2.62</v>
      </c>
      <c r="AB265" s="6">
        <v>2.4025400000000001</v>
      </c>
      <c r="AC265" s="6">
        <v>0.91700000000000004</v>
      </c>
      <c r="AD265" s="6">
        <v>-2.6200000000000045</v>
      </c>
      <c r="AE265" s="6">
        <v>2.6200000000000045</v>
      </c>
    </row>
    <row r="266" spans="2:31" ht="20" x14ac:dyDescent="0.25">
      <c r="B266" s="55"/>
      <c r="C266" s="55"/>
      <c r="D266" s="4" t="s">
        <v>447</v>
      </c>
      <c r="E266" s="4" t="s">
        <v>448</v>
      </c>
      <c r="F266" s="4" t="s">
        <v>51</v>
      </c>
      <c r="G266" s="4" t="s">
        <v>35</v>
      </c>
      <c r="H266" s="54" t="s">
        <v>36</v>
      </c>
      <c r="I266" s="52"/>
      <c r="J266" s="57">
        <v>32.74</v>
      </c>
      <c r="K266" s="52"/>
      <c r="L266" s="6">
        <v>30.022580000000001</v>
      </c>
      <c r="M266" s="6">
        <v>0.91700000000000004</v>
      </c>
      <c r="N266" s="6">
        <v>32.4</v>
      </c>
      <c r="O266" s="57">
        <v>29.710799999999999</v>
      </c>
      <c r="P266" s="52"/>
      <c r="Q266" s="6">
        <v>0.91700000000000004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0.34</v>
      </c>
      <c r="AB266" s="6">
        <v>0.31178</v>
      </c>
      <c r="AC266" s="6">
        <v>0.91699999999999993</v>
      </c>
      <c r="AD266" s="6">
        <v>-0.34000000000000341</v>
      </c>
      <c r="AE266" s="6">
        <v>0.34000000000000341</v>
      </c>
    </row>
    <row r="267" spans="2:31" x14ac:dyDescent="0.25">
      <c r="B267" s="55"/>
      <c r="C267" s="55"/>
      <c r="D267" s="54" t="s">
        <v>449</v>
      </c>
      <c r="E267" s="4" t="s">
        <v>450</v>
      </c>
      <c r="F267" s="4" t="s">
        <v>51</v>
      </c>
      <c r="G267" s="4" t="s">
        <v>35</v>
      </c>
      <c r="H267" s="54" t="s">
        <v>36</v>
      </c>
      <c r="I267" s="52"/>
      <c r="J267" s="57">
        <v>9.4700000000000006</v>
      </c>
      <c r="K267" s="52"/>
      <c r="L267" s="6">
        <v>8.6839899999999997</v>
      </c>
      <c r="M267" s="6">
        <v>0.91699999999999993</v>
      </c>
      <c r="N267" s="6">
        <v>9.4700000000000006</v>
      </c>
      <c r="O267" s="57">
        <v>8.6839899999999997</v>
      </c>
      <c r="P267" s="52"/>
      <c r="Q267" s="6">
        <v>0.91699999999999993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</row>
    <row r="268" spans="2:31" x14ac:dyDescent="0.25">
      <c r="B268" s="55"/>
      <c r="C268" s="55"/>
      <c r="D268" s="55"/>
      <c r="E268" s="4" t="s">
        <v>451</v>
      </c>
      <c r="F268" s="4" t="s">
        <v>51</v>
      </c>
      <c r="G268" s="4" t="s">
        <v>35</v>
      </c>
      <c r="H268" s="54" t="s">
        <v>36</v>
      </c>
      <c r="I268" s="52"/>
      <c r="J268" s="57">
        <v>8.0500000000000007</v>
      </c>
      <c r="K268" s="52"/>
      <c r="L268" s="6">
        <v>7.38185</v>
      </c>
      <c r="M268" s="6">
        <v>0.91699999999999993</v>
      </c>
      <c r="N268" s="6">
        <v>8.0500000000000007</v>
      </c>
      <c r="O268" s="57">
        <v>7.38185</v>
      </c>
      <c r="P268" s="52"/>
      <c r="Q268" s="6">
        <v>0.91699999999999993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</row>
    <row r="269" spans="2:31" x14ac:dyDescent="0.25">
      <c r="B269" s="55"/>
      <c r="C269" s="55"/>
      <c r="D269" s="55"/>
      <c r="E269" s="4" t="s">
        <v>452</v>
      </c>
      <c r="F269" s="4" t="s">
        <v>51</v>
      </c>
      <c r="G269" s="4" t="s">
        <v>35</v>
      </c>
      <c r="H269" s="54" t="s">
        <v>36</v>
      </c>
      <c r="I269" s="52"/>
      <c r="J269" s="57">
        <v>8.23</v>
      </c>
      <c r="K269" s="52"/>
      <c r="L269" s="6">
        <v>7.5469099999999996</v>
      </c>
      <c r="M269" s="6">
        <v>0.91699999999999993</v>
      </c>
      <c r="N269" s="6">
        <v>8.23</v>
      </c>
      <c r="O269" s="57">
        <v>7.5469099999999996</v>
      </c>
      <c r="P269" s="52"/>
      <c r="Q269" s="6">
        <v>0.91699999999999993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</row>
    <row r="270" spans="2:31" x14ac:dyDescent="0.25">
      <c r="B270" s="55"/>
      <c r="C270" s="55"/>
      <c r="D270" s="56"/>
      <c r="E270" s="4" t="s">
        <v>453</v>
      </c>
      <c r="F270" s="4" t="s">
        <v>51</v>
      </c>
      <c r="G270" s="4" t="s">
        <v>35</v>
      </c>
      <c r="H270" s="54" t="s">
        <v>36</v>
      </c>
      <c r="I270" s="52"/>
      <c r="J270" s="57">
        <v>7.09</v>
      </c>
      <c r="K270" s="52"/>
      <c r="L270" s="6">
        <v>6.5015299999999998</v>
      </c>
      <c r="M270" s="6">
        <v>0.91700000000000004</v>
      </c>
      <c r="N270" s="6">
        <v>7.09</v>
      </c>
      <c r="O270" s="57">
        <v>6.5015299999999998</v>
      </c>
      <c r="P270" s="52"/>
      <c r="Q270" s="6">
        <v>0.91700000000000004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</row>
    <row r="271" spans="2:31" ht="20" x14ac:dyDescent="0.25">
      <c r="B271" s="55"/>
      <c r="C271" s="55"/>
      <c r="D271" s="4" t="s">
        <v>454</v>
      </c>
      <c r="E271" s="4" t="s">
        <v>455</v>
      </c>
      <c r="F271" s="4" t="s">
        <v>51</v>
      </c>
      <c r="G271" s="4" t="s">
        <v>35</v>
      </c>
      <c r="H271" s="54" t="s">
        <v>41</v>
      </c>
      <c r="I271" s="52"/>
      <c r="J271" s="57">
        <v>29.08</v>
      </c>
      <c r="K271" s="52"/>
      <c r="L271" s="6">
        <v>21.81</v>
      </c>
      <c r="M271" s="6">
        <v>0.75</v>
      </c>
      <c r="N271" s="6">
        <v>28.95</v>
      </c>
      <c r="O271" s="57">
        <v>21.712499999999999</v>
      </c>
      <c r="P271" s="52"/>
      <c r="Q271" s="6">
        <v>0.75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0.13</v>
      </c>
      <c r="AB271" s="6">
        <v>9.7500000000000003E-2</v>
      </c>
      <c r="AC271" s="6">
        <v>0.75</v>
      </c>
      <c r="AD271" s="6">
        <v>-0.12999999999999901</v>
      </c>
      <c r="AE271" s="6">
        <v>0.12999999999999901</v>
      </c>
    </row>
    <row r="272" spans="2:31" ht="20" x14ac:dyDescent="0.25">
      <c r="B272" s="55"/>
      <c r="C272" s="55"/>
      <c r="D272" s="4" t="s">
        <v>456</v>
      </c>
      <c r="E272" s="4" t="s">
        <v>457</v>
      </c>
      <c r="F272" s="4" t="s">
        <v>51</v>
      </c>
      <c r="G272" s="4" t="s">
        <v>35</v>
      </c>
      <c r="H272" s="54" t="s">
        <v>48</v>
      </c>
      <c r="I272" s="52"/>
      <c r="J272" s="57">
        <v>69.8</v>
      </c>
      <c r="K272" s="52"/>
      <c r="L272" s="6">
        <v>52.35</v>
      </c>
      <c r="M272" s="6">
        <v>0.75</v>
      </c>
      <c r="N272" s="6">
        <v>64.09</v>
      </c>
      <c r="O272" s="57">
        <v>48.067500000000003</v>
      </c>
      <c r="P272" s="52"/>
      <c r="Q272" s="6">
        <v>0.75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5.71</v>
      </c>
      <c r="AB272" s="6">
        <v>4.2824999999999998</v>
      </c>
      <c r="AC272" s="6">
        <v>0.75</v>
      </c>
      <c r="AD272" s="6">
        <v>-5.7099999999999937</v>
      </c>
      <c r="AE272" s="6">
        <v>5.7099999999999937</v>
      </c>
    </row>
    <row r="273" spans="2:31" x14ac:dyDescent="0.25">
      <c r="B273" s="55"/>
      <c r="C273" s="55"/>
      <c r="D273" s="54" t="s">
        <v>458</v>
      </c>
      <c r="E273" s="4" t="s">
        <v>459</v>
      </c>
      <c r="F273" s="4" t="s">
        <v>51</v>
      </c>
      <c r="G273" s="4" t="s">
        <v>35</v>
      </c>
      <c r="H273" s="54" t="s">
        <v>48</v>
      </c>
      <c r="I273" s="52"/>
      <c r="J273" s="57">
        <v>21.89</v>
      </c>
      <c r="K273" s="52"/>
      <c r="L273" s="6">
        <v>16.4175</v>
      </c>
      <c r="M273" s="6">
        <v>0.75</v>
      </c>
      <c r="N273" s="6">
        <v>21.89</v>
      </c>
      <c r="O273" s="57">
        <v>16.4175</v>
      </c>
      <c r="P273" s="52"/>
      <c r="Q273" s="6">
        <v>0.75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</row>
    <row r="274" spans="2:31" x14ac:dyDescent="0.25">
      <c r="B274" s="55"/>
      <c r="C274" s="55"/>
      <c r="D274" s="56"/>
      <c r="E274" s="4" t="s">
        <v>460</v>
      </c>
      <c r="F274" s="4" t="s">
        <v>51</v>
      </c>
      <c r="G274" s="4" t="s">
        <v>35</v>
      </c>
      <c r="H274" s="54" t="s">
        <v>36</v>
      </c>
      <c r="I274" s="52"/>
      <c r="J274" s="57">
        <v>87.99</v>
      </c>
      <c r="K274" s="52"/>
      <c r="L274" s="6">
        <v>80.68683</v>
      </c>
      <c r="M274" s="6">
        <v>0.91700000000000004</v>
      </c>
      <c r="N274" s="6">
        <v>87.99</v>
      </c>
      <c r="O274" s="57">
        <v>80.68683</v>
      </c>
      <c r="P274" s="52"/>
      <c r="Q274" s="6">
        <v>0.91700000000000004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</row>
    <row r="275" spans="2:31" ht="20" x14ac:dyDescent="0.25">
      <c r="B275" s="55"/>
      <c r="C275" s="55"/>
      <c r="D275" s="4" t="s">
        <v>461</v>
      </c>
      <c r="E275" s="4" t="s">
        <v>462</v>
      </c>
      <c r="F275" s="4" t="s">
        <v>51</v>
      </c>
      <c r="G275" s="4" t="s">
        <v>35</v>
      </c>
      <c r="H275" s="54" t="s">
        <v>36</v>
      </c>
      <c r="I275" s="52"/>
      <c r="J275" s="57">
        <v>83.6</v>
      </c>
      <c r="K275" s="52"/>
      <c r="L275" s="6">
        <v>76.661199999999994</v>
      </c>
      <c r="M275" s="6">
        <v>0.91700000000000004</v>
      </c>
      <c r="N275" s="6">
        <v>80.72</v>
      </c>
      <c r="O275" s="57">
        <v>74.020240000000001</v>
      </c>
      <c r="P275" s="52"/>
      <c r="Q275" s="6">
        <v>0.91700000000000004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2.88</v>
      </c>
      <c r="AB275" s="6">
        <v>2.6409600000000002</v>
      </c>
      <c r="AC275" s="6">
        <v>0.91700000000000015</v>
      </c>
      <c r="AD275" s="6">
        <v>-2.8799999999999955</v>
      </c>
      <c r="AE275" s="6">
        <v>2.8799999999999955</v>
      </c>
    </row>
    <row r="276" spans="2:31" ht="20" x14ac:dyDescent="0.25">
      <c r="B276" s="55"/>
      <c r="C276" s="55"/>
      <c r="D276" s="4" t="s">
        <v>463</v>
      </c>
      <c r="E276" s="4" t="s">
        <v>464</v>
      </c>
      <c r="F276" s="4" t="s">
        <v>51</v>
      </c>
      <c r="G276" s="4" t="s">
        <v>35</v>
      </c>
      <c r="H276" s="54" t="s">
        <v>41</v>
      </c>
      <c r="I276" s="52"/>
      <c r="J276" s="57">
        <v>241.56</v>
      </c>
      <c r="K276" s="52"/>
      <c r="L276" s="6">
        <v>181.17</v>
      </c>
      <c r="M276" s="6">
        <v>0.74999999999999989</v>
      </c>
      <c r="N276" s="6">
        <v>221.54</v>
      </c>
      <c r="O276" s="57">
        <v>166.155</v>
      </c>
      <c r="P276" s="52"/>
      <c r="Q276" s="6">
        <v>0.75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20.02</v>
      </c>
      <c r="AB276" s="6">
        <v>15.015000000000001</v>
      </c>
      <c r="AC276" s="6">
        <v>0.75</v>
      </c>
      <c r="AD276" s="6">
        <v>-20.02000000000001</v>
      </c>
      <c r="AE276" s="6">
        <v>20.02000000000001</v>
      </c>
    </row>
    <row r="277" spans="2:31" ht="20" x14ac:dyDescent="0.25">
      <c r="B277" s="55"/>
      <c r="C277" s="55"/>
      <c r="D277" s="4" t="s">
        <v>465</v>
      </c>
      <c r="E277" s="4" t="s">
        <v>466</v>
      </c>
      <c r="F277" s="4" t="s">
        <v>51</v>
      </c>
      <c r="G277" s="4" t="s">
        <v>35</v>
      </c>
      <c r="H277" s="54" t="s">
        <v>41</v>
      </c>
      <c r="I277" s="52"/>
      <c r="J277" s="57">
        <v>13.29</v>
      </c>
      <c r="K277" s="52"/>
      <c r="L277" s="6">
        <v>9.9674999999999994</v>
      </c>
      <c r="M277" s="6">
        <v>0.75</v>
      </c>
      <c r="N277" s="6">
        <v>12.68</v>
      </c>
      <c r="O277" s="57">
        <v>9.51</v>
      </c>
      <c r="P277" s="52"/>
      <c r="Q277" s="6">
        <v>0.75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0.61</v>
      </c>
      <c r="AB277" s="6">
        <v>0.45750000000000002</v>
      </c>
      <c r="AC277" s="6">
        <v>0.75</v>
      </c>
      <c r="AD277" s="6">
        <v>-0.60999999999999943</v>
      </c>
      <c r="AE277" s="6">
        <v>0.60999999999999943</v>
      </c>
    </row>
    <row r="278" spans="2:31" ht="20" x14ac:dyDescent="0.25">
      <c r="B278" s="55"/>
      <c r="C278" s="55"/>
      <c r="D278" s="4" t="s">
        <v>467</v>
      </c>
      <c r="E278" s="4" t="s">
        <v>468</v>
      </c>
      <c r="F278" s="4" t="s">
        <v>51</v>
      </c>
      <c r="G278" s="4" t="s">
        <v>35</v>
      </c>
      <c r="H278" s="54" t="s">
        <v>41</v>
      </c>
      <c r="I278" s="52"/>
      <c r="J278" s="57">
        <v>9.2200000000000006</v>
      </c>
      <c r="K278" s="52"/>
      <c r="L278" s="6">
        <v>6.915</v>
      </c>
      <c r="M278" s="6">
        <v>0.75</v>
      </c>
      <c r="N278" s="6">
        <v>8.68</v>
      </c>
      <c r="O278" s="57">
        <v>6.51</v>
      </c>
      <c r="P278" s="52"/>
      <c r="Q278" s="6">
        <v>0.75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0.54</v>
      </c>
      <c r="AB278" s="6">
        <v>0.40500000000000003</v>
      </c>
      <c r="AC278" s="6">
        <v>0.75</v>
      </c>
      <c r="AD278" s="6">
        <v>-0.54000000000000092</v>
      </c>
      <c r="AE278" s="6">
        <v>0.54000000000000092</v>
      </c>
    </row>
    <row r="279" spans="2:31" ht="20" x14ac:dyDescent="0.25">
      <c r="B279" s="55"/>
      <c r="C279" s="55"/>
      <c r="D279" s="4" t="s">
        <v>469</v>
      </c>
      <c r="E279" s="4" t="s">
        <v>470</v>
      </c>
      <c r="F279" s="4" t="s">
        <v>51</v>
      </c>
      <c r="G279" s="4" t="s">
        <v>35</v>
      </c>
      <c r="H279" s="54" t="s">
        <v>41</v>
      </c>
      <c r="I279" s="52"/>
      <c r="J279" s="57">
        <v>169.43</v>
      </c>
      <c r="K279" s="52"/>
      <c r="L279" s="6">
        <v>127.07250000000001</v>
      </c>
      <c r="M279" s="6">
        <v>0.75</v>
      </c>
      <c r="N279" s="6">
        <v>160.35</v>
      </c>
      <c r="O279" s="57">
        <v>120.2625</v>
      </c>
      <c r="P279" s="52"/>
      <c r="Q279" s="6">
        <v>0.75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9.08</v>
      </c>
      <c r="AB279" s="6">
        <v>6.81</v>
      </c>
      <c r="AC279" s="6">
        <v>0.75</v>
      </c>
      <c r="AD279" s="6">
        <v>-9.0800000000000125</v>
      </c>
      <c r="AE279" s="6">
        <v>9.0800000000000125</v>
      </c>
    </row>
    <row r="280" spans="2:31" ht="20" x14ac:dyDescent="0.25">
      <c r="B280" s="55"/>
      <c r="C280" s="55"/>
      <c r="D280" s="4" t="s">
        <v>471</v>
      </c>
      <c r="E280" s="4" t="s">
        <v>472</v>
      </c>
      <c r="F280" s="4" t="s">
        <v>51</v>
      </c>
      <c r="G280" s="4" t="s">
        <v>35</v>
      </c>
      <c r="H280" s="54" t="s">
        <v>48</v>
      </c>
      <c r="I280" s="52"/>
      <c r="J280" s="57">
        <v>47.46</v>
      </c>
      <c r="K280" s="52"/>
      <c r="L280" s="6">
        <v>35.594999999999999</v>
      </c>
      <c r="M280" s="6">
        <v>0.75</v>
      </c>
      <c r="N280" s="6">
        <v>43.39</v>
      </c>
      <c r="O280" s="57">
        <v>32.542499999999997</v>
      </c>
      <c r="P280" s="52"/>
      <c r="Q280" s="6">
        <v>0.74999999999999989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4.07</v>
      </c>
      <c r="AB280" s="6">
        <v>3.0525000000000002</v>
      </c>
      <c r="AC280" s="6">
        <v>0.75</v>
      </c>
      <c r="AD280" s="6">
        <v>-4.07</v>
      </c>
      <c r="AE280" s="6">
        <v>4.07</v>
      </c>
    </row>
    <row r="281" spans="2:31" ht="20" x14ac:dyDescent="0.25">
      <c r="B281" s="55"/>
      <c r="C281" s="55"/>
      <c r="D281" s="4" t="s">
        <v>473</v>
      </c>
      <c r="E281" s="4" t="s">
        <v>363</v>
      </c>
      <c r="F281" s="4" t="s">
        <v>51</v>
      </c>
      <c r="G281" s="4" t="s">
        <v>35</v>
      </c>
      <c r="H281" s="54" t="s">
        <v>48</v>
      </c>
      <c r="I281" s="52"/>
      <c r="J281" s="57">
        <v>9.61</v>
      </c>
      <c r="K281" s="52"/>
      <c r="L281" s="6">
        <v>7.2074999999999996</v>
      </c>
      <c r="M281" s="6">
        <v>0.75</v>
      </c>
      <c r="N281" s="6">
        <v>9.51</v>
      </c>
      <c r="O281" s="57">
        <v>7.1325000000000003</v>
      </c>
      <c r="P281" s="52"/>
      <c r="Q281" s="6">
        <v>0.75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0.1</v>
      </c>
      <c r="AB281" s="6">
        <v>7.4999999999999997E-2</v>
      </c>
      <c r="AC281" s="6">
        <v>0.74999999999999989</v>
      </c>
      <c r="AD281" s="6">
        <v>-9.9999999999999645E-2</v>
      </c>
      <c r="AE281" s="6">
        <v>9.9999999999999645E-2</v>
      </c>
    </row>
    <row r="282" spans="2:31" ht="20" x14ac:dyDescent="0.25">
      <c r="B282" s="55"/>
      <c r="C282" s="55"/>
      <c r="D282" s="4" t="s">
        <v>474</v>
      </c>
      <c r="E282" s="4" t="s">
        <v>475</v>
      </c>
      <c r="F282" s="4" t="s">
        <v>51</v>
      </c>
      <c r="G282" s="4" t="s">
        <v>35</v>
      </c>
      <c r="H282" s="54" t="s">
        <v>36</v>
      </c>
      <c r="I282" s="52"/>
      <c r="J282" s="57">
        <v>7.81</v>
      </c>
      <c r="K282" s="52"/>
      <c r="L282" s="6">
        <v>7.1617699999999997</v>
      </c>
      <c r="M282" s="6">
        <v>0.91700000000000004</v>
      </c>
      <c r="N282" s="6">
        <v>7.69</v>
      </c>
      <c r="O282" s="57">
        <v>7.0517300000000001</v>
      </c>
      <c r="P282" s="52"/>
      <c r="Q282" s="6">
        <v>0.91699999999999993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0.12</v>
      </c>
      <c r="AB282" s="6">
        <v>0.11004</v>
      </c>
      <c r="AC282" s="6">
        <v>0.91700000000000004</v>
      </c>
      <c r="AD282" s="6">
        <v>-0.11999999999999922</v>
      </c>
      <c r="AE282" s="6">
        <v>0.11999999999999922</v>
      </c>
    </row>
    <row r="283" spans="2:31" ht="20" x14ac:dyDescent="0.25">
      <c r="B283" s="55"/>
      <c r="C283" s="55"/>
      <c r="D283" s="4" t="s">
        <v>476</v>
      </c>
      <c r="E283" s="4" t="s">
        <v>477</v>
      </c>
      <c r="F283" s="4" t="s">
        <v>51</v>
      </c>
      <c r="G283" s="4" t="s">
        <v>35</v>
      </c>
      <c r="H283" s="54" t="s">
        <v>41</v>
      </c>
      <c r="I283" s="52"/>
      <c r="J283" s="57">
        <v>195.2</v>
      </c>
      <c r="K283" s="52"/>
      <c r="L283" s="6">
        <v>146.4</v>
      </c>
      <c r="M283" s="6">
        <v>0.75000000000000011</v>
      </c>
      <c r="N283" s="6">
        <v>177.56</v>
      </c>
      <c r="O283" s="57">
        <v>133.16999999999999</v>
      </c>
      <c r="P283" s="52"/>
      <c r="Q283" s="6">
        <v>0.74999999999999989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17.64</v>
      </c>
      <c r="AB283" s="6">
        <v>13.23</v>
      </c>
      <c r="AC283" s="6">
        <v>0.75</v>
      </c>
      <c r="AD283" s="6">
        <v>-17.639999999999986</v>
      </c>
      <c r="AE283" s="6">
        <v>17.639999999999986</v>
      </c>
    </row>
    <row r="284" spans="2:31" ht="20" x14ac:dyDescent="0.25">
      <c r="B284" s="55"/>
      <c r="C284" s="55"/>
      <c r="D284" s="4" t="s">
        <v>478</v>
      </c>
      <c r="E284" s="4" t="s">
        <v>221</v>
      </c>
      <c r="F284" s="4" t="s">
        <v>51</v>
      </c>
      <c r="G284" s="4" t="s">
        <v>35</v>
      </c>
      <c r="H284" s="54" t="s">
        <v>41</v>
      </c>
      <c r="I284" s="52"/>
      <c r="J284" s="57">
        <v>23.15</v>
      </c>
      <c r="K284" s="52"/>
      <c r="L284" s="6">
        <v>17.362500000000001</v>
      </c>
      <c r="M284" s="6">
        <v>0.75000000000000011</v>
      </c>
      <c r="N284" s="6">
        <v>23.15</v>
      </c>
      <c r="O284" s="57">
        <v>17.362500000000001</v>
      </c>
      <c r="P284" s="52"/>
      <c r="Q284" s="6">
        <v>0.75000000000000011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</row>
    <row r="285" spans="2:31" ht="20" x14ac:dyDescent="0.25">
      <c r="B285" s="55"/>
      <c r="C285" s="55"/>
      <c r="D285" s="4" t="s">
        <v>479</v>
      </c>
      <c r="E285" s="4" t="s">
        <v>338</v>
      </c>
      <c r="F285" s="4" t="s">
        <v>51</v>
      </c>
      <c r="G285" s="4" t="s">
        <v>35</v>
      </c>
      <c r="H285" s="54" t="s">
        <v>36</v>
      </c>
      <c r="I285" s="52"/>
      <c r="J285" s="57">
        <v>17.14</v>
      </c>
      <c r="K285" s="52"/>
      <c r="L285" s="6">
        <v>15.71738</v>
      </c>
      <c r="M285" s="6">
        <v>0.91700000000000004</v>
      </c>
      <c r="N285" s="6">
        <v>16.87</v>
      </c>
      <c r="O285" s="57">
        <v>15.46979</v>
      </c>
      <c r="P285" s="52"/>
      <c r="Q285" s="6">
        <v>0.91699999999999993</v>
      </c>
      <c r="R285" s="6">
        <v>0.27</v>
      </c>
      <c r="S285" s="6">
        <v>0.24759</v>
      </c>
      <c r="T285" s="6">
        <v>0.91699999999999993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-0.53999999999999959</v>
      </c>
      <c r="AE285" s="6">
        <v>-4.4408920985006262E-16</v>
      </c>
    </row>
    <row r="286" spans="2:31" x14ac:dyDescent="0.25">
      <c r="B286" s="55"/>
      <c r="C286" s="55"/>
      <c r="D286" s="54" t="s">
        <v>480</v>
      </c>
      <c r="E286" s="54" t="s">
        <v>338</v>
      </c>
      <c r="F286" s="54" t="s">
        <v>51</v>
      </c>
      <c r="G286" s="54" t="s">
        <v>35</v>
      </c>
      <c r="H286" s="54" t="s">
        <v>48</v>
      </c>
      <c r="I286" s="52"/>
      <c r="J286" s="57">
        <v>8.18</v>
      </c>
      <c r="K286" s="52"/>
      <c r="L286" s="6">
        <v>6.1349999999999998</v>
      </c>
      <c r="M286" s="6">
        <v>0.75</v>
      </c>
      <c r="N286" s="6">
        <v>7.53</v>
      </c>
      <c r="O286" s="57">
        <v>5.6475</v>
      </c>
      <c r="P286" s="52"/>
      <c r="Q286" s="6">
        <v>0.75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0.65</v>
      </c>
      <c r="AB286" s="6">
        <v>0.48749999999999999</v>
      </c>
      <c r="AC286" s="6">
        <v>0.75</v>
      </c>
      <c r="AD286" s="6">
        <v>-0.64999999999999947</v>
      </c>
      <c r="AE286" s="6">
        <v>0.64999999999999947</v>
      </c>
    </row>
    <row r="287" spans="2:31" x14ac:dyDescent="0.25">
      <c r="B287" s="55"/>
      <c r="C287" s="55"/>
      <c r="D287" s="55"/>
      <c r="E287" s="55"/>
      <c r="F287" s="55"/>
      <c r="G287" s="55"/>
      <c r="H287" s="54" t="s">
        <v>481</v>
      </c>
      <c r="I287" s="52"/>
      <c r="J287" s="57">
        <v>3.64</v>
      </c>
      <c r="K287" s="52"/>
      <c r="L287" s="6">
        <v>2.73</v>
      </c>
      <c r="M287" s="6">
        <v>0.75</v>
      </c>
      <c r="N287" s="6">
        <v>3.64</v>
      </c>
      <c r="O287" s="57">
        <v>2.73</v>
      </c>
      <c r="P287" s="52"/>
      <c r="Q287" s="6">
        <v>0.75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</row>
    <row r="288" spans="2:31" x14ac:dyDescent="0.25">
      <c r="B288" s="55"/>
      <c r="C288" s="55"/>
      <c r="D288" s="55"/>
      <c r="E288" s="55"/>
      <c r="F288" s="55"/>
      <c r="G288" s="55"/>
      <c r="H288" s="54" t="s">
        <v>41</v>
      </c>
      <c r="I288" s="52"/>
      <c r="J288" s="57">
        <v>10.87</v>
      </c>
      <c r="K288" s="52"/>
      <c r="L288" s="6">
        <v>8.1524999999999999</v>
      </c>
      <c r="M288" s="6">
        <v>0.75</v>
      </c>
      <c r="N288" s="6">
        <v>10.48</v>
      </c>
      <c r="O288" s="57">
        <v>7.86</v>
      </c>
      <c r="P288" s="52"/>
      <c r="Q288" s="6">
        <v>0.75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0.39</v>
      </c>
      <c r="AB288" s="6">
        <v>0.29249999999999998</v>
      </c>
      <c r="AC288" s="6">
        <v>0.74999999999999989</v>
      </c>
      <c r="AD288" s="6">
        <v>-0.38999999999999879</v>
      </c>
      <c r="AE288" s="6">
        <v>0.38999999999999879</v>
      </c>
    </row>
    <row r="289" spans="2:31" x14ac:dyDescent="0.25">
      <c r="B289" s="55"/>
      <c r="C289" s="56"/>
      <c r="D289" s="56"/>
      <c r="E289" s="56"/>
      <c r="F289" s="56"/>
      <c r="G289" s="56"/>
      <c r="H289" s="54" t="s">
        <v>36</v>
      </c>
      <c r="I289" s="52"/>
      <c r="J289" s="57">
        <v>16.87</v>
      </c>
      <c r="K289" s="52"/>
      <c r="L289" s="6">
        <v>15.46979</v>
      </c>
      <c r="M289" s="6">
        <v>0.91699999999999993</v>
      </c>
      <c r="N289" s="6">
        <v>15.44</v>
      </c>
      <c r="O289" s="57">
        <v>14.158480000000001</v>
      </c>
      <c r="P289" s="52"/>
      <c r="Q289" s="6">
        <v>0.91700000000000004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1.43</v>
      </c>
      <c r="AB289" s="6">
        <v>1.31131</v>
      </c>
      <c r="AC289" s="6">
        <v>0.91700000000000004</v>
      </c>
      <c r="AD289" s="6">
        <v>-1.4300000000000015</v>
      </c>
      <c r="AE289" s="6">
        <v>1.4300000000000015</v>
      </c>
    </row>
    <row r="290" spans="2:31" x14ac:dyDescent="0.25">
      <c r="B290" s="55"/>
      <c r="C290" s="58">
        <v>46177</v>
      </c>
      <c r="D290" s="4" t="s">
        <v>482</v>
      </c>
      <c r="E290" s="4" t="s">
        <v>483</v>
      </c>
      <c r="F290" s="4" t="s">
        <v>34</v>
      </c>
      <c r="G290" s="4" t="s">
        <v>35</v>
      </c>
      <c r="H290" s="54" t="s">
        <v>48</v>
      </c>
      <c r="I290" s="52"/>
      <c r="J290" s="57">
        <v>115.88</v>
      </c>
      <c r="K290" s="52"/>
      <c r="L290" s="6">
        <v>86.91</v>
      </c>
      <c r="M290" s="6">
        <v>0.75</v>
      </c>
      <c r="N290" s="6">
        <v>105.67</v>
      </c>
      <c r="O290" s="57">
        <v>79.252499999999998</v>
      </c>
      <c r="P290" s="52"/>
      <c r="Q290" s="6">
        <v>0.75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10.210000000000001</v>
      </c>
      <c r="AB290" s="6">
        <v>7.6574999999999998</v>
      </c>
      <c r="AC290" s="6">
        <v>0.74999999999999989</v>
      </c>
      <c r="AD290" s="6">
        <v>-10.209999999999994</v>
      </c>
      <c r="AE290" s="6">
        <v>10.209999999999994</v>
      </c>
    </row>
    <row r="291" spans="2:31" x14ac:dyDescent="0.25">
      <c r="B291" s="55"/>
      <c r="C291" s="55"/>
      <c r="D291" s="4" t="s">
        <v>484</v>
      </c>
      <c r="E291" s="4" t="s">
        <v>485</v>
      </c>
      <c r="F291" s="4" t="s">
        <v>34</v>
      </c>
      <c r="G291" s="4" t="s">
        <v>35</v>
      </c>
      <c r="H291" s="54" t="s">
        <v>36</v>
      </c>
      <c r="I291" s="52"/>
      <c r="J291" s="57">
        <v>10.07</v>
      </c>
      <c r="K291" s="52"/>
      <c r="L291" s="6">
        <v>9.2341899999999999</v>
      </c>
      <c r="M291" s="6">
        <v>0.91699999999999993</v>
      </c>
      <c r="N291" s="6">
        <v>9.77</v>
      </c>
      <c r="O291" s="57">
        <v>8.9590899999999998</v>
      </c>
      <c r="P291" s="52"/>
      <c r="Q291" s="6">
        <v>0.91700000000000004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0.3</v>
      </c>
      <c r="AB291" s="6">
        <v>0.27510000000000001</v>
      </c>
      <c r="AC291" s="6">
        <v>0.91700000000000004</v>
      </c>
      <c r="AD291" s="6">
        <v>-0.30000000000000071</v>
      </c>
      <c r="AE291" s="6">
        <v>0.30000000000000071</v>
      </c>
    </row>
    <row r="292" spans="2:31" x14ac:dyDescent="0.25">
      <c r="B292" s="55"/>
      <c r="C292" s="55"/>
      <c r="D292" s="4" t="s">
        <v>486</v>
      </c>
      <c r="E292" s="4" t="s">
        <v>487</v>
      </c>
      <c r="F292" s="4" t="s">
        <v>34</v>
      </c>
      <c r="G292" s="4" t="s">
        <v>35</v>
      </c>
      <c r="H292" s="54" t="s">
        <v>48</v>
      </c>
      <c r="I292" s="52"/>
      <c r="J292" s="57">
        <v>153.11000000000001</v>
      </c>
      <c r="K292" s="52"/>
      <c r="L292" s="6">
        <v>114.8325</v>
      </c>
      <c r="M292" s="6">
        <v>0.74999999999999989</v>
      </c>
      <c r="N292" s="6">
        <v>138.02000000000001</v>
      </c>
      <c r="O292" s="57">
        <v>103.515</v>
      </c>
      <c r="P292" s="52"/>
      <c r="Q292" s="6">
        <v>0.75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15.09</v>
      </c>
      <c r="AB292" s="6">
        <v>11.317500000000001</v>
      </c>
      <c r="AC292" s="6">
        <v>0.75000000000000011</v>
      </c>
      <c r="AD292" s="6">
        <v>-15.090000000000003</v>
      </c>
      <c r="AE292" s="6">
        <v>15.090000000000003</v>
      </c>
    </row>
    <row r="293" spans="2:31" x14ac:dyDescent="0.25">
      <c r="B293" s="55"/>
      <c r="C293" s="55"/>
      <c r="D293" s="4" t="s">
        <v>488</v>
      </c>
      <c r="E293" s="4" t="s">
        <v>489</v>
      </c>
      <c r="F293" s="4" t="s">
        <v>34</v>
      </c>
      <c r="G293" s="4" t="s">
        <v>35</v>
      </c>
      <c r="H293" s="54" t="s">
        <v>48</v>
      </c>
      <c r="I293" s="52"/>
      <c r="J293" s="57">
        <v>146.77000000000001</v>
      </c>
      <c r="K293" s="52"/>
      <c r="L293" s="6">
        <v>110.0775</v>
      </c>
      <c r="M293" s="6">
        <v>0.75</v>
      </c>
      <c r="N293" s="6">
        <v>130.99</v>
      </c>
      <c r="O293" s="57">
        <v>98.242500000000007</v>
      </c>
      <c r="P293" s="52"/>
      <c r="Q293" s="6">
        <v>0.75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15.78</v>
      </c>
      <c r="AB293" s="6">
        <v>11.835000000000001</v>
      </c>
      <c r="AC293" s="6">
        <v>0.75000000000000011</v>
      </c>
      <c r="AD293" s="6">
        <v>-15.78</v>
      </c>
      <c r="AE293" s="6">
        <v>15.78</v>
      </c>
    </row>
    <row r="294" spans="2:31" x14ac:dyDescent="0.25">
      <c r="B294" s="55"/>
      <c r="C294" s="55"/>
      <c r="D294" s="54" t="s">
        <v>490</v>
      </c>
      <c r="E294" s="4" t="s">
        <v>314</v>
      </c>
      <c r="F294" s="4" t="s">
        <v>51</v>
      </c>
      <c r="G294" s="4" t="s">
        <v>35</v>
      </c>
      <c r="H294" s="54" t="s">
        <v>36</v>
      </c>
      <c r="I294" s="52"/>
      <c r="J294" s="57">
        <v>12.17</v>
      </c>
      <c r="K294" s="52"/>
      <c r="L294" s="6">
        <v>11.159890000000001</v>
      </c>
      <c r="M294" s="6">
        <v>0.91700000000000004</v>
      </c>
      <c r="N294" s="6">
        <v>12.17</v>
      </c>
      <c r="O294" s="57">
        <v>11.159890000000001</v>
      </c>
      <c r="P294" s="52"/>
      <c r="Q294" s="6">
        <v>0.91700000000000004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</row>
    <row r="295" spans="2:31" x14ac:dyDescent="0.25">
      <c r="B295" s="55"/>
      <c r="C295" s="55"/>
      <c r="D295" s="55"/>
      <c r="E295" s="4" t="s">
        <v>316</v>
      </c>
      <c r="F295" s="4" t="s">
        <v>51</v>
      </c>
      <c r="G295" s="4" t="s">
        <v>35</v>
      </c>
      <c r="H295" s="54" t="s">
        <v>36</v>
      </c>
      <c r="I295" s="52"/>
      <c r="J295" s="57">
        <v>13.05</v>
      </c>
      <c r="K295" s="52"/>
      <c r="L295" s="6">
        <v>11.966850000000001</v>
      </c>
      <c r="M295" s="6">
        <v>0.91700000000000004</v>
      </c>
      <c r="N295" s="6">
        <v>13.05</v>
      </c>
      <c r="O295" s="57">
        <v>11.966850000000001</v>
      </c>
      <c r="P295" s="52"/>
      <c r="Q295" s="6">
        <v>0.91700000000000004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</row>
    <row r="296" spans="2:31" x14ac:dyDescent="0.25">
      <c r="B296" s="55"/>
      <c r="C296" s="55"/>
      <c r="D296" s="55"/>
      <c r="E296" s="4" t="s">
        <v>318</v>
      </c>
      <c r="F296" s="4" t="s">
        <v>51</v>
      </c>
      <c r="G296" s="4" t="s">
        <v>35</v>
      </c>
      <c r="H296" s="54" t="s">
        <v>36</v>
      </c>
      <c r="I296" s="52"/>
      <c r="J296" s="57">
        <v>12.17</v>
      </c>
      <c r="K296" s="52"/>
      <c r="L296" s="6">
        <v>11.159890000000001</v>
      </c>
      <c r="M296" s="6">
        <v>0.91700000000000004</v>
      </c>
      <c r="N296" s="6">
        <v>12.17</v>
      </c>
      <c r="O296" s="57">
        <v>11.159890000000001</v>
      </c>
      <c r="P296" s="52"/>
      <c r="Q296" s="6">
        <v>0.91700000000000004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</row>
    <row r="297" spans="2:31" x14ac:dyDescent="0.25">
      <c r="B297" s="55"/>
      <c r="C297" s="55"/>
      <c r="D297" s="55"/>
      <c r="E297" s="4" t="s">
        <v>320</v>
      </c>
      <c r="F297" s="4" t="s">
        <v>51</v>
      </c>
      <c r="G297" s="4" t="s">
        <v>35</v>
      </c>
      <c r="H297" s="54" t="s">
        <v>36</v>
      </c>
      <c r="I297" s="52"/>
      <c r="J297" s="57">
        <v>13.46</v>
      </c>
      <c r="K297" s="52"/>
      <c r="L297" s="6">
        <v>12.34282</v>
      </c>
      <c r="M297" s="6">
        <v>0.91699999999999993</v>
      </c>
      <c r="N297" s="6">
        <v>13.46</v>
      </c>
      <c r="O297" s="57">
        <v>12.34282</v>
      </c>
      <c r="P297" s="52"/>
      <c r="Q297" s="6">
        <v>0.91699999999999993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</row>
    <row r="298" spans="2:31" x14ac:dyDescent="0.25">
      <c r="B298" s="55"/>
      <c r="C298" s="55"/>
      <c r="D298" s="55"/>
      <c r="E298" s="4" t="s">
        <v>312</v>
      </c>
      <c r="F298" s="4" t="s">
        <v>51</v>
      </c>
      <c r="G298" s="4" t="s">
        <v>35</v>
      </c>
      <c r="H298" s="54" t="s">
        <v>36</v>
      </c>
      <c r="I298" s="52"/>
      <c r="J298" s="57">
        <v>10.8</v>
      </c>
      <c r="K298" s="52"/>
      <c r="L298" s="6">
        <v>9.9036000000000008</v>
      </c>
      <c r="M298" s="6">
        <v>0.91700000000000004</v>
      </c>
      <c r="N298" s="6">
        <v>10.8</v>
      </c>
      <c r="O298" s="57">
        <v>9.9036000000000008</v>
      </c>
      <c r="P298" s="52"/>
      <c r="Q298" s="6">
        <v>0.91700000000000004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</row>
    <row r="299" spans="2:31" x14ac:dyDescent="0.25">
      <c r="B299" s="55"/>
      <c r="C299" s="55"/>
      <c r="D299" s="55"/>
      <c r="E299" s="4" t="s">
        <v>310</v>
      </c>
      <c r="F299" s="4" t="s">
        <v>51</v>
      </c>
      <c r="G299" s="4" t="s">
        <v>35</v>
      </c>
      <c r="H299" s="54" t="s">
        <v>36</v>
      </c>
      <c r="I299" s="52"/>
      <c r="J299" s="57">
        <v>35.299999999999997</v>
      </c>
      <c r="K299" s="52"/>
      <c r="L299" s="6">
        <v>32.370100000000001</v>
      </c>
      <c r="M299" s="6">
        <v>0.91700000000000015</v>
      </c>
      <c r="N299" s="6">
        <v>35.19</v>
      </c>
      <c r="O299" s="57">
        <v>32.26923</v>
      </c>
      <c r="P299" s="52"/>
      <c r="Q299" s="6">
        <v>0.91700000000000004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0.11</v>
      </c>
      <c r="AB299" s="6">
        <v>0.10087</v>
      </c>
      <c r="AC299" s="6">
        <v>0.91700000000000004</v>
      </c>
      <c r="AD299" s="6">
        <v>-0.10999999999999943</v>
      </c>
      <c r="AE299" s="6">
        <v>0.10999999999999943</v>
      </c>
    </row>
    <row r="300" spans="2:31" x14ac:dyDescent="0.25">
      <c r="B300" s="55"/>
      <c r="C300" s="55"/>
      <c r="D300" s="55"/>
      <c r="E300" s="4" t="s">
        <v>299</v>
      </c>
      <c r="F300" s="4" t="s">
        <v>51</v>
      </c>
      <c r="G300" s="4" t="s">
        <v>35</v>
      </c>
      <c r="H300" s="54" t="s">
        <v>48</v>
      </c>
      <c r="I300" s="52"/>
      <c r="J300" s="57">
        <v>14.75</v>
      </c>
      <c r="K300" s="52"/>
      <c r="L300" s="6">
        <v>11.0625</v>
      </c>
      <c r="M300" s="6">
        <v>0.75</v>
      </c>
      <c r="N300" s="6">
        <v>14.7</v>
      </c>
      <c r="O300" s="57">
        <v>11.025</v>
      </c>
      <c r="P300" s="52"/>
      <c r="Q300" s="6">
        <v>0.75000000000000011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0.05</v>
      </c>
      <c r="AB300" s="6">
        <v>3.7499999999999999E-2</v>
      </c>
      <c r="AC300" s="6">
        <v>0.74999999999999989</v>
      </c>
      <c r="AD300" s="6">
        <v>-5.0000000000000711E-2</v>
      </c>
      <c r="AE300" s="6">
        <v>5.0000000000000711E-2</v>
      </c>
    </row>
    <row r="301" spans="2:31" x14ac:dyDescent="0.25">
      <c r="B301" s="55"/>
      <c r="C301" s="55"/>
      <c r="D301" s="55"/>
      <c r="E301" s="4" t="s">
        <v>491</v>
      </c>
      <c r="F301" s="4" t="s">
        <v>51</v>
      </c>
      <c r="G301" s="4" t="s">
        <v>35</v>
      </c>
      <c r="H301" s="54" t="s">
        <v>41</v>
      </c>
      <c r="I301" s="52"/>
      <c r="J301" s="57">
        <v>21.66</v>
      </c>
      <c r="K301" s="52"/>
      <c r="L301" s="6">
        <v>16.245000000000001</v>
      </c>
      <c r="M301" s="6">
        <v>0.75</v>
      </c>
      <c r="N301" s="6">
        <v>20.37</v>
      </c>
      <c r="O301" s="57">
        <v>15.2775</v>
      </c>
      <c r="P301" s="52"/>
      <c r="Q301" s="6">
        <v>0.75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1.29</v>
      </c>
      <c r="AB301" s="6">
        <v>0.96750000000000003</v>
      </c>
      <c r="AC301" s="6">
        <v>0.75</v>
      </c>
      <c r="AD301" s="6">
        <v>-1.2899999999999991</v>
      </c>
      <c r="AE301" s="6">
        <v>1.2899999999999991</v>
      </c>
    </row>
    <row r="302" spans="2:31" x14ac:dyDescent="0.25">
      <c r="B302" s="55"/>
      <c r="C302" s="55"/>
      <c r="D302" s="55"/>
      <c r="E302" s="4" t="s">
        <v>492</v>
      </c>
      <c r="F302" s="4" t="s">
        <v>51</v>
      </c>
      <c r="G302" s="4" t="s">
        <v>35</v>
      </c>
      <c r="H302" s="54" t="s">
        <v>36</v>
      </c>
      <c r="I302" s="52"/>
      <c r="J302" s="57">
        <v>11.67</v>
      </c>
      <c r="K302" s="52"/>
      <c r="L302" s="6">
        <v>10.70139</v>
      </c>
      <c r="M302" s="6">
        <v>0.91700000000000004</v>
      </c>
      <c r="N302" s="6">
        <v>10.79</v>
      </c>
      <c r="O302" s="57">
        <v>9.8944299999999998</v>
      </c>
      <c r="P302" s="52"/>
      <c r="Q302" s="6">
        <v>0.91700000000000004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0.88</v>
      </c>
      <c r="AB302" s="6">
        <v>0.80696000000000001</v>
      </c>
      <c r="AC302" s="6">
        <v>0.91700000000000004</v>
      </c>
      <c r="AD302" s="6">
        <v>-0.88000000000000078</v>
      </c>
      <c r="AE302" s="6">
        <v>0.88000000000000078</v>
      </c>
    </row>
    <row r="303" spans="2:31" x14ac:dyDescent="0.25">
      <c r="B303" s="55"/>
      <c r="C303" s="55"/>
      <c r="D303" s="56"/>
      <c r="E303" s="4" t="s">
        <v>493</v>
      </c>
      <c r="F303" s="4" t="s">
        <v>51</v>
      </c>
      <c r="G303" s="4" t="s">
        <v>35</v>
      </c>
      <c r="H303" s="54" t="s">
        <v>36</v>
      </c>
      <c r="I303" s="52"/>
      <c r="J303" s="57">
        <v>12.23</v>
      </c>
      <c r="K303" s="52"/>
      <c r="L303" s="6">
        <v>11.21491</v>
      </c>
      <c r="M303" s="6">
        <v>0.91699999999999993</v>
      </c>
      <c r="N303" s="6">
        <v>12.23</v>
      </c>
      <c r="O303" s="57">
        <v>11.21491</v>
      </c>
      <c r="P303" s="52"/>
      <c r="Q303" s="6">
        <v>0.91699999999999993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</row>
    <row r="304" spans="2:31" ht="20" x14ac:dyDescent="0.25">
      <c r="B304" s="55"/>
      <c r="C304" s="55"/>
      <c r="D304" s="4" t="s">
        <v>494</v>
      </c>
      <c r="E304" s="4" t="s">
        <v>495</v>
      </c>
      <c r="F304" s="4" t="s">
        <v>51</v>
      </c>
      <c r="G304" s="4" t="s">
        <v>35</v>
      </c>
      <c r="H304" s="54" t="s">
        <v>36</v>
      </c>
      <c r="I304" s="52"/>
      <c r="J304" s="57">
        <v>24.7</v>
      </c>
      <c r="K304" s="52"/>
      <c r="L304" s="6">
        <v>22.649899999999999</v>
      </c>
      <c r="M304" s="6">
        <v>0.91699999999999993</v>
      </c>
      <c r="N304" s="6">
        <v>24.5</v>
      </c>
      <c r="O304" s="57">
        <v>22.4665</v>
      </c>
      <c r="P304" s="52"/>
      <c r="Q304" s="6">
        <v>0.91700000000000004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0.2</v>
      </c>
      <c r="AB304" s="6">
        <v>0.18340000000000001</v>
      </c>
      <c r="AC304" s="6">
        <v>0.91700000000000004</v>
      </c>
      <c r="AD304" s="6">
        <v>-0.19999999999999929</v>
      </c>
      <c r="AE304" s="6">
        <v>0.19999999999999929</v>
      </c>
    </row>
    <row r="305" spans="2:31" ht="20" x14ac:dyDescent="0.25">
      <c r="B305" s="55"/>
      <c r="C305" s="55"/>
      <c r="D305" s="4" t="s">
        <v>496</v>
      </c>
      <c r="E305" s="4" t="s">
        <v>497</v>
      </c>
      <c r="F305" s="4" t="s">
        <v>51</v>
      </c>
      <c r="G305" s="4" t="s">
        <v>35</v>
      </c>
      <c r="H305" s="54" t="s">
        <v>48</v>
      </c>
      <c r="I305" s="52"/>
      <c r="J305" s="57">
        <v>166.98</v>
      </c>
      <c r="K305" s="52"/>
      <c r="L305" s="6">
        <v>125.235</v>
      </c>
      <c r="M305" s="6">
        <v>0.75</v>
      </c>
      <c r="N305" s="6">
        <v>157</v>
      </c>
      <c r="O305" s="57">
        <v>117.75</v>
      </c>
      <c r="P305" s="52"/>
      <c r="Q305" s="6">
        <v>0.75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9.98</v>
      </c>
      <c r="AB305" s="6">
        <v>7.4850000000000003</v>
      </c>
      <c r="AC305" s="6">
        <v>0.75</v>
      </c>
      <c r="AD305" s="6">
        <v>-9.9799999999999898</v>
      </c>
      <c r="AE305" s="6">
        <v>9.9799999999999898</v>
      </c>
    </row>
    <row r="306" spans="2:31" ht="20" x14ac:dyDescent="0.25">
      <c r="B306" s="55"/>
      <c r="C306" s="55"/>
      <c r="D306" s="4" t="s">
        <v>498</v>
      </c>
      <c r="E306" s="4" t="s">
        <v>499</v>
      </c>
      <c r="F306" s="4" t="s">
        <v>51</v>
      </c>
      <c r="G306" s="4" t="s">
        <v>35</v>
      </c>
      <c r="H306" s="54" t="s">
        <v>41</v>
      </c>
      <c r="I306" s="52"/>
      <c r="J306" s="57">
        <v>13.29</v>
      </c>
      <c r="K306" s="52"/>
      <c r="L306" s="6">
        <v>9.9674999999999994</v>
      </c>
      <c r="M306" s="6">
        <v>0.75</v>
      </c>
      <c r="N306" s="6">
        <v>12.75</v>
      </c>
      <c r="O306" s="57">
        <v>9.5625</v>
      </c>
      <c r="P306" s="52"/>
      <c r="Q306" s="6">
        <v>0.75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0.54</v>
      </c>
      <c r="AB306" s="6">
        <v>0.40500000000000003</v>
      </c>
      <c r="AC306" s="6">
        <v>0.75</v>
      </c>
      <c r="AD306" s="6">
        <v>-0.53999999999999915</v>
      </c>
      <c r="AE306" s="6">
        <v>0.53999999999999915</v>
      </c>
    </row>
    <row r="307" spans="2:31" ht="20" x14ac:dyDescent="0.25">
      <c r="B307" s="55"/>
      <c r="C307" s="55"/>
      <c r="D307" s="4" t="s">
        <v>500</v>
      </c>
      <c r="E307" s="4" t="s">
        <v>501</v>
      </c>
      <c r="F307" s="4" t="s">
        <v>51</v>
      </c>
      <c r="G307" s="4" t="s">
        <v>35</v>
      </c>
      <c r="H307" s="54" t="s">
        <v>41</v>
      </c>
      <c r="I307" s="52"/>
      <c r="J307" s="57">
        <v>204.22</v>
      </c>
      <c r="K307" s="52"/>
      <c r="L307" s="6">
        <v>153.16499999999999</v>
      </c>
      <c r="M307" s="6">
        <v>0.75</v>
      </c>
      <c r="N307" s="6">
        <v>188.4</v>
      </c>
      <c r="O307" s="57">
        <v>141.30000000000001</v>
      </c>
      <c r="P307" s="52"/>
      <c r="Q307" s="6">
        <v>0.75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15.82</v>
      </c>
      <c r="AB307" s="6">
        <v>11.865</v>
      </c>
      <c r="AC307" s="6">
        <v>0.75</v>
      </c>
      <c r="AD307" s="6">
        <v>-15.819999999999993</v>
      </c>
      <c r="AE307" s="6">
        <v>15.819999999999993</v>
      </c>
    </row>
    <row r="308" spans="2:31" ht="20" x14ac:dyDescent="0.25">
      <c r="B308" s="55"/>
      <c r="C308" s="55"/>
      <c r="D308" s="4" t="s">
        <v>502</v>
      </c>
      <c r="E308" s="4" t="s">
        <v>503</v>
      </c>
      <c r="F308" s="4" t="s">
        <v>51</v>
      </c>
      <c r="G308" s="4" t="s">
        <v>35</v>
      </c>
      <c r="H308" s="54" t="s">
        <v>41</v>
      </c>
      <c r="I308" s="52"/>
      <c r="J308" s="57">
        <v>9.58</v>
      </c>
      <c r="K308" s="52"/>
      <c r="L308" s="6">
        <v>7.1849999999999996</v>
      </c>
      <c r="M308" s="6">
        <v>0.75</v>
      </c>
      <c r="N308" s="6">
        <v>9.14</v>
      </c>
      <c r="O308" s="57">
        <v>6.8550000000000004</v>
      </c>
      <c r="P308" s="52"/>
      <c r="Q308" s="6">
        <v>0.75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0.44</v>
      </c>
      <c r="AB308" s="6">
        <v>0.33</v>
      </c>
      <c r="AC308" s="6">
        <v>0.75</v>
      </c>
      <c r="AD308" s="6">
        <v>-0.4399999999999995</v>
      </c>
      <c r="AE308" s="6">
        <v>0.4399999999999995</v>
      </c>
    </row>
    <row r="309" spans="2:31" ht="20" x14ac:dyDescent="0.25">
      <c r="B309" s="55"/>
      <c r="C309" s="55"/>
      <c r="D309" s="4" t="s">
        <v>504</v>
      </c>
      <c r="E309" s="4" t="s">
        <v>322</v>
      </c>
      <c r="F309" s="4" t="s">
        <v>51</v>
      </c>
      <c r="G309" s="4" t="s">
        <v>35</v>
      </c>
      <c r="H309" s="54" t="s">
        <v>41</v>
      </c>
      <c r="I309" s="52"/>
      <c r="J309" s="57">
        <v>13.5</v>
      </c>
      <c r="K309" s="52"/>
      <c r="L309" s="6">
        <v>10.125</v>
      </c>
      <c r="M309" s="6">
        <v>0.75</v>
      </c>
      <c r="N309" s="6">
        <v>13.5</v>
      </c>
      <c r="O309" s="57">
        <v>10.125</v>
      </c>
      <c r="P309" s="52"/>
      <c r="Q309" s="6">
        <v>0.75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</row>
    <row r="310" spans="2:31" ht="20" x14ac:dyDescent="0.25">
      <c r="B310" s="55"/>
      <c r="C310" s="55"/>
      <c r="D310" s="4" t="s">
        <v>505</v>
      </c>
      <c r="E310" s="4" t="s">
        <v>506</v>
      </c>
      <c r="F310" s="4" t="s">
        <v>51</v>
      </c>
      <c r="G310" s="4" t="s">
        <v>35</v>
      </c>
      <c r="H310" s="54" t="s">
        <v>36</v>
      </c>
      <c r="I310" s="52"/>
      <c r="J310" s="57">
        <v>78.62</v>
      </c>
      <c r="K310" s="52"/>
      <c r="L310" s="6">
        <v>72.094539999999995</v>
      </c>
      <c r="M310" s="6">
        <v>0.91699999999999993</v>
      </c>
      <c r="N310" s="6">
        <v>75.7</v>
      </c>
      <c r="O310" s="57">
        <v>69.416899999999998</v>
      </c>
      <c r="P310" s="52"/>
      <c r="Q310" s="6">
        <v>0.91699999999999993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2.92</v>
      </c>
      <c r="AB310" s="6">
        <v>2.6776399999999998</v>
      </c>
      <c r="AC310" s="6">
        <v>0.91699999999999993</v>
      </c>
      <c r="AD310" s="6">
        <v>-2.9200000000000017</v>
      </c>
      <c r="AE310" s="6">
        <v>2.9200000000000017</v>
      </c>
    </row>
    <row r="311" spans="2:31" ht="20" x14ac:dyDescent="0.25">
      <c r="B311" s="55"/>
      <c r="C311" s="55"/>
      <c r="D311" s="4" t="s">
        <v>507</v>
      </c>
      <c r="E311" s="4" t="s">
        <v>508</v>
      </c>
      <c r="F311" s="4" t="s">
        <v>51</v>
      </c>
      <c r="G311" s="4" t="s">
        <v>35</v>
      </c>
      <c r="H311" s="54" t="s">
        <v>48</v>
      </c>
      <c r="I311" s="52"/>
      <c r="J311" s="57">
        <v>16.23</v>
      </c>
      <c r="K311" s="52"/>
      <c r="L311" s="6">
        <v>12.172499999999999</v>
      </c>
      <c r="M311" s="6">
        <v>0.75</v>
      </c>
      <c r="N311" s="6">
        <v>14.98</v>
      </c>
      <c r="O311" s="57">
        <v>11.234999999999999</v>
      </c>
      <c r="P311" s="52"/>
      <c r="Q311" s="6">
        <v>0.74999999999999989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1.25</v>
      </c>
      <c r="AB311" s="6">
        <v>0.9375</v>
      </c>
      <c r="AC311" s="6">
        <v>0.75</v>
      </c>
      <c r="AD311" s="6">
        <v>-1.25</v>
      </c>
      <c r="AE311" s="6">
        <v>1.25</v>
      </c>
    </row>
    <row r="312" spans="2:31" ht="20" x14ac:dyDescent="0.25">
      <c r="B312" s="55"/>
      <c r="C312" s="55"/>
      <c r="D312" s="4" t="s">
        <v>509</v>
      </c>
      <c r="E312" s="4" t="s">
        <v>510</v>
      </c>
      <c r="F312" s="4" t="s">
        <v>51</v>
      </c>
      <c r="G312" s="4" t="s">
        <v>35</v>
      </c>
      <c r="H312" s="54" t="s">
        <v>41</v>
      </c>
      <c r="I312" s="52"/>
      <c r="J312" s="57">
        <v>128.11000000000001</v>
      </c>
      <c r="K312" s="52"/>
      <c r="L312" s="6">
        <v>96.082499999999996</v>
      </c>
      <c r="M312" s="6">
        <v>0.74999999999999989</v>
      </c>
      <c r="N312" s="6">
        <v>107.56</v>
      </c>
      <c r="O312" s="57">
        <v>80.67</v>
      </c>
      <c r="P312" s="52"/>
      <c r="Q312" s="6">
        <v>0.75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20.55</v>
      </c>
      <c r="AB312" s="6">
        <v>15.4125</v>
      </c>
      <c r="AC312" s="6">
        <v>0.75</v>
      </c>
      <c r="AD312" s="6">
        <v>-20.550000000000011</v>
      </c>
      <c r="AE312" s="6">
        <v>20.550000000000011</v>
      </c>
    </row>
    <row r="313" spans="2:31" ht="20" x14ac:dyDescent="0.25">
      <c r="B313" s="55"/>
      <c r="C313" s="55"/>
      <c r="D313" s="4" t="s">
        <v>511</v>
      </c>
      <c r="E313" s="4" t="s">
        <v>301</v>
      </c>
      <c r="F313" s="4" t="s">
        <v>51</v>
      </c>
      <c r="G313" s="4" t="s">
        <v>35</v>
      </c>
      <c r="H313" s="54" t="s">
        <v>36</v>
      </c>
      <c r="I313" s="52"/>
      <c r="J313" s="57">
        <v>39.78</v>
      </c>
      <c r="K313" s="52"/>
      <c r="L313" s="6">
        <v>36.478259999999999</v>
      </c>
      <c r="M313" s="6">
        <v>0.91699999999999993</v>
      </c>
      <c r="N313" s="6">
        <v>39.78</v>
      </c>
      <c r="O313" s="57">
        <v>36.478259999999999</v>
      </c>
      <c r="P313" s="52"/>
      <c r="Q313" s="6">
        <v>0.91699999999999993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</row>
    <row r="314" spans="2:31" x14ac:dyDescent="0.25">
      <c r="B314" s="55"/>
      <c r="C314" s="55"/>
      <c r="D314" s="54" t="s">
        <v>512</v>
      </c>
      <c r="E314" s="4" t="s">
        <v>513</v>
      </c>
      <c r="F314" s="4" t="s">
        <v>51</v>
      </c>
      <c r="G314" s="4" t="s">
        <v>35</v>
      </c>
      <c r="H314" s="54" t="s">
        <v>36</v>
      </c>
      <c r="I314" s="52"/>
      <c r="J314" s="57">
        <v>6.21</v>
      </c>
      <c r="K314" s="52"/>
      <c r="L314" s="6">
        <v>5.6945699999999997</v>
      </c>
      <c r="M314" s="6">
        <v>0.91699999999999993</v>
      </c>
      <c r="N314" s="6">
        <v>5.78</v>
      </c>
      <c r="O314" s="57">
        <v>5.3002599999999997</v>
      </c>
      <c r="P314" s="52"/>
      <c r="Q314" s="6">
        <v>0.91699999999999993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0.43</v>
      </c>
      <c r="AB314" s="6">
        <v>0.39430999999999999</v>
      </c>
      <c r="AC314" s="6">
        <v>0.91700000000000004</v>
      </c>
      <c r="AD314" s="6">
        <v>-0.42999999999999972</v>
      </c>
      <c r="AE314" s="6">
        <v>0.42999999999999972</v>
      </c>
    </row>
    <row r="315" spans="2:31" x14ac:dyDescent="0.25">
      <c r="B315" s="55"/>
      <c r="C315" s="55"/>
      <c r="D315" s="55"/>
      <c r="E315" s="4" t="s">
        <v>514</v>
      </c>
      <c r="F315" s="4" t="s">
        <v>51</v>
      </c>
      <c r="G315" s="4" t="s">
        <v>35</v>
      </c>
      <c r="H315" s="54" t="s">
        <v>48</v>
      </c>
      <c r="I315" s="52"/>
      <c r="J315" s="57">
        <v>23.33</v>
      </c>
      <c r="K315" s="52"/>
      <c r="L315" s="6">
        <v>17.497499999999999</v>
      </c>
      <c r="M315" s="6">
        <v>0.75</v>
      </c>
      <c r="N315" s="6">
        <v>20.66</v>
      </c>
      <c r="O315" s="57">
        <v>15.494999999999999</v>
      </c>
      <c r="P315" s="52"/>
      <c r="Q315" s="6">
        <v>0.75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2.67</v>
      </c>
      <c r="AB315" s="6">
        <v>2.0024999999999999</v>
      </c>
      <c r="AC315" s="6">
        <v>0.75</v>
      </c>
      <c r="AD315" s="6">
        <v>-2.6699999999999982</v>
      </c>
      <c r="AE315" s="6">
        <v>2.6699999999999982</v>
      </c>
    </row>
    <row r="316" spans="2:31" x14ac:dyDescent="0.25">
      <c r="B316" s="55"/>
      <c r="C316" s="55"/>
      <c r="D316" s="55"/>
      <c r="E316" s="4" t="s">
        <v>515</v>
      </c>
      <c r="F316" s="4" t="s">
        <v>51</v>
      </c>
      <c r="G316" s="4" t="s">
        <v>35</v>
      </c>
      <c r="H316" s="54" t="s">
        <v>41</v>
      </c>
      <c r="I316" s="52"/>
      <c r="J316" s="57">
        <v>29.2</v>
      </c>
      <c r="K316" s="52"/>
      <c r="L316" s="6">
        <v>21.9</v>
      </c>
      <c r="M316" s="6">
        <v>0.75</v>
      </c>
      <c r="N316" s="6">
        <v>26.46</v>
      </c>
      <c r="O316" s="57">
        <v>19.844999999999999</v>
      </c>
      <c r="P316" s="52"/>
      <c r="Q316" s="6">
        <v>0.74999999999999989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2.74</v>
      </c>
      <c r="AB316" s="6">
        <v>2.0550000000000002</v>
      </c>
      <c r="AC316" s="6">
        <v>0.75</v>
      </c>
      <c r="AD316" s="6">
        <v>-2.7399999999999984</v>
      </c>
      <c r="AE316" s="6">
        <v>2.7399999999999984</v>
      </c>
    </row>
    <row r="317" spans="2:31" x14ac:dyDescent="0.25">
      <c r="B317" s="55"/>
      <c r="C317" s="55"/>
      <c r="D317" s="56"/>
      <c r="E317" s="4" t="s">
        <v>516</v>
      </c>
      <c r="F317" s="4" t="s">
        <v>51</v>
      </c>
      <c r="G317" s="4" t="s">
        <v>35</v>
      </c>
      <c r="H317" s="54" t="s">
        <v>48</v>
      </c>
      <c r="I317" s="52"/>
      <c r="J317" s="57">
        <v>15.97</v>
      </c>
      <c r="K317" s="52"/>
      <c r="L317" s="6">
        <v>11.977499999999999</v>
      </c>
      <c r="M317" s="6">
        <v>0.74999999999999989</v>
      </c>
      <c r="N317" s="6">
        <v>14.55</v>
      </c>
      <c r="O317" s="57">
        <v>10.9125</v>
      </c>
      <c r="P317" s="52"/>
      <c r="Q317" s="6">
        <v>0.74999999999999989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1.42</v>
      </c>
      <c r="AB317" s="6">
        <v>1.0649999999999999</v>
      </c>
      <c r="AC317" s="6">
        <v>0.75</v>
      </c>
      <c r="AD317" s="6">
        <v>-1.42</v>
      </c>
      <c r="AE317" s="6">
        <v>1.42</v>
      </c>
    </row>
    <row r="318" spans="2:31" ht="20" x14ac:dyDescent="0.25">
      <c r="B318" s="55"/>
      <c r="C318" s="55"/>
      <c r="D318" s="4" t="s">
        <v>517</v>
      </c>
      <c r="E318" s="4" t="s">
        <v>518</v>
      </c>
      <c r="F318" s="4" t="s">
        <v>51</v>
      </c>
      <c r="G318" s="4" t="s">
        <v>35</v>
      </c>
      <c r="H318" s="54" t="s">
        <v>48</v>
      </c>
      <c r="I318" s="52"/>
      <c r="J318" s="57">
        <v>15.75</v>
      </c>
      <c r="K318" s="52"/>
      <c r="L318" s="6">
        <v>11.8125</v>
      </c>
      <c r="M318" s="6">
        <v>0.75</v>
      </c>
      <c r="N318" s="6">
        <v>14.53</v>
      </c>
      <c r="O318" s="57">
        <v>10.897500000000001</v>
      </c>
      <c r="P318" s="52"/>
      <c r="Q318" s="6">
        <v>0.75000000000000011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1.22</v>
      </c>
      <c r="AB318" s="6">
        <v>0.91500000000000004</v>
      </c>
      <c r="AC318" s="6">
        <v>0.75</v>
      </c>
      <c r="AD318" s="6">
        <v>-1.2200000000000006</v>
      </c>
      <c r="AE318" s="6">
        <v>1.2200000000000006</v>
      </c>
    </row>
    <row r="319" spans="2:31" ht="20" x14ac:dyDescent="0.25">
      <c r="B319" s="55"/>
      <c r="C319" s="55"/>
      <c r="D319" s="4" t="s">
        <v>519</v>
      </c>
      <c r="E319" s="4" t="s">
        <v>520</v>
      </c>
      <c r="F319" s="4" t="s">
        <v>51</v>
      </c>
      <c r="G319" s="4" t="s">
        <v>35</v>
      </c>
      <c r="H319" s="54" t="s">
        <v>48</v>
      </c>
      <c r="I319" s="52"/>
      <c r="J319" s="57">
        <v>26.349</v>
      </c>
      <c r="K319" s="52"/>
      <c r="L319" s="6">
        <v>19.761749999999999</v>
      </c>
      <c r="M319" s="6">
        <v>0.75</v>
      </c>
      <c r="N319" s="6">
        <v>24.009</v>
      </c>
      <c r="O319" s="57">
        <v>18.00675</v>
      </c>
      <c r="P319" s="52"/>
      <c r="Q319" s="6">
        <v>0.75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2.34</v>
      </c>
      <c r="AB319" s="6">
        <v>1.7549999999999999</v>
      </c>
      <c r="AC319" s="6">
        <v>0.75</v>
      </c>
      <c r="AD319" s="6">
        <v>-2.34</v>
      </c>
      <c r="AE319" s="6">
        <v>2.34</v>
      </c>
    </row>
    <row r="320" spans="2:31" x14ac:dyDescent="0.25">
      <c r="B320" s="55"/>
      <c r="C320" s="55"/>
      <c r="D320" s="54" t="s">
        <v>521</v>
      </c>
      <c r="E320" s="4" t="s">
        <v>522</v>
      </c>
      <c r="F320" s="4" t="s">
        <v>51</v>
      </c>
      <c r="G320" s="4" t="s">
        <v>35</v>
      </c>
      <c r="H320" s="54" t="s">
        <v>36</v>
      </c>
      <c r="I320" s="52"/>
      <c r="J320" s="57">
        <v>36.58</v>
      </c>
      <c r="K320" s="52"/>
      <c r="L320" s="6">
        <v>33.543860000000002</v>
      </c>
      <c r="M320" s="6">
        <v>0.91700000000000015</v>
      </c>
      <c r="N320" s="6">
        <v>34.409999999999997</v>
      </c>
      <c r="O320" s="57">
        <v>31.55397</v>
      </c>
      <c r="P320" s="52"/>
      <c r="Q320" s="6">
        <v>0.91700000000000004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2.17</v>
      </c>
      <c r="AB320" s="6">
        <v>1.9898899999999999</v>
      </c>
      <c r="AC320" s="6">
        <v>0.91700000000000004</v>
      </c>
      <c r="AD320" s="6">
        <v>-2.1700000000000017</v>
      </c>
      <c r="AE320" s="6">
        <v>2.1700000000000017</v>
      </c>
    </row>
    <row r="321" spans="2:31" x14ac:dyDescent="0.25">
      <c r="B321" s="55"/>
      <c r="C321" s="55"/>
      <c r="D321" s="56"/>
      <c r="E321" s="4" t="s">
        <v>523</v>
      </c>
      <c r="F321" s="4" t="s">
        <v>51</v>
      </c>
      <c r="G321" s="4" t="s">
        <v>35</v>
      </c>
      <c r="H321" s="54" t="s">
        <v>41</v>
      </c>
      <c r="I321" s="52"/>
      <c r="J321" s="57">
        <v>27.32</v>
      </c>
      <c r="K321" s="52"/>
      <c r="L321" s="6">
        <v>20.49</v>
      </c>
      <c r="M321" s="6">
        <v>0.74999999999999989</v>
      </c>
      <c r="N321" s="6">
        <v>26.33</v>
      </c>
      <c r="O321" s="57">
        <v>19.747499999999999</v>
      </c>
      <c r="P321" s="52"/>
      <c r="Q321" s="6">
        <v>0.75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0.99</v>
      </c>
      <c r="AB321" s="6">
        <v>0.74250000000000005</v>
      </c>
      <c r="AC321" s="6">
        <v>0.75000000000000011</v>
      </c>
      <c r="AD321" s="6">
        <v>-0.99000000000000199</v>
      </c>
      <c r="AE321" s="6">
        <v>0.99000000000000199</v>
      </c>
    </row>
    <row r="322" spans="2:31" ht="20" x14ac:dyDescent="0.25">
      <c r="B322" s="55"/>
      <c r="C322" s="55"/>
      <c r="D322" s="4" t="s">
        <v>524</v>
      </c>
      <c r="E322" s="4" t="s">
        <v>525</v>
      </c>
      <c r="F322" s="4" t="s">
        <v>51</v>
      </c>
      <c r="G322" s="4" t="s">
        <v>35</v>
      </c>
      <c r="H322" s="54" t="s">
        <v>48</v>
      </c>
      <c r="I322" s="52"/>
      <c r="J322" s="57">
        <v>42.97</v>
      </c>
      <c r="K322" s="52"/>
      <c r="L322" s="6">
        <v>32.227499999999999</v>
      </c>
      <c r="M322" s="6">
        <v>0.75</v>
      </c>
      <c r="N322" s="6">
        <v>39.82</v>
      </c>
      <c r="O322" s="57">
        <v>29.864999999999998</v>
      </c>
      <c r="P322" s="52"/>
      <c r="Q322" s="6">
        <v>0.75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3.15</v>
      </c>
      <c r="AB322" s="6">
        <v>2.3624999999999998</v>
      </c>
      <c r="AC322" s="6">
        <v>0.75</v>
      </c>
      <c r="AD322" s="6">
        <v>-3.1499999999999986</v>
      </c>
      <c r="AE322" s="6">
        <v>3.1499999999999986</v>
      </c>
    </row>
    <row r="323" spans="2:31" ht="20" x14ac:dyDescent="0.25">
      <c r="B323" s="55"/>
      <c r="C323" s="55"/>
      <c r="D323" s="4" t="s">
        <v>526</v>
      </c>
      <c r="E323" s="4" t="s">
        <v>527</v>
      </c>
      <c r="F323" s="4" t="s">
        <v>51</v>
      </c>
      <c r="G323" s="4" t="s">
        <v>35</v>
      </c>
      <c r="H323" s="54" t="s">
        <v>48</v>
      </c>
      <c r="I323" s="52"/>
      <c r="J323" s="57">
        <v>19.95</v>
      </c>
      <c r="K323" s="52"/>
      <c r="L323" s="6">
        <v>14.9625</v>
      </c>
      <c r="M323" s="6">
        <v>0.75</v>
      </c>
      <c r="N323" s="6">
        <v>18.8</v>
      </c>
      <c r="O323" s="57">
        <v>14.1</v>
      </c>
      <c r="P323" s="52"/>
      <c r="Q323" s="6">
        <v>0.75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1.1499999999999999</v>
      </c>
      <c r="AB323" s="6">
        <v>0.86250000000000004</v>
      </c>
      <c r="AC323" s="6">
        <v>0.75000000000000011</v>
      </c>
      <c r="AD323" s="6">
        <v>-1.1499999999999986</v>
      </c>
      <c r="AE323" s="6">
        <v>1.1499999999999986</v>
      </c>
    </row>
    <row r="324" spans="2:31" ht="20" x14ac:dyDescent="0.25">
      <c r="B324" s="55"/>
      <c r="C324" s="55"/>
      <c r="D324" s="4" t="s">
        <v>528</v>
      </c>
      <c r="E324" s="4" t="s">
        <v>529</v>
      </c>
      <c r="F324" s="4" t="s">
        <v>51</v>
      </c>
      <c r="G324" s="4" t="s">
        <v>35</v>
      </c>
      <c r="H324" s="54" t="s">
        <v>41</v>
      </c>
      <c r="I324" s="52"/>
      <c r="J324" s="57">
        <v>39.29</v>
      </c>
      <c r="K324" s="52"/>
      <c r="L324" s="6">
        <v>29.467500000000001</v>
      </c>
      <c r="M324" s="6">
        <v>0.75</v>
      </c>
      <c r="N324" s="6">
        <v>37.03</v>
      </c>
      <c r="O324" s="57">
        <v>27.772500000000001</v>
      </c>
      <c r="P324" s="52"/>
      <c r="Q324" s="6">
        <v>0.75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2.2599999999999998</v>
      </c>
      <c r="AB324" s="6">
        <v>1.6950000000000001</v>
      </c>
      <c r="AC324" s="6">
        <v>0.75000000000000011</v>
      </c>
      <c r="AD324" s="6">
        <v>-2.259999999999998</v>
      </c>
      <c r="AE324" s="6">
        <v>2.259999999999998</v>
      </c>
    </row>
    <row r="325" spans="2:31" ht="20" x14ac:dyDescent="0.25">
      <c r="B325" s="55"/>
      <c r="C325" s="55"/>
      <c r="D325" s="4" t="s">
        <v>530</v>
      </c>
      <c r="E325" s="4" t="s">
        <v>531</v>
      </c>
      <c r="F325" s="4" t="s">
        <v>51</v>
      </c>
      <c r="G325" s="4" t="s">
        <v>35</v>
      </c>
      <c r="H325" s="54" t="s">
        <v>48</v>
      </c>
      <c r="I325" s="52"/>
      <c r="J325" s="57">
        <v>21.26</v>
      </c>
      <c r="K325" s="52"/>
      <c r="L325" s="6">
        <v>15.945</v>
      </c>
      <c r="M325" s="6">
        <v>0.75</v>
      </c>
      <c r="N325" s="6">
        <v>20.18</v>
      </c>
      <c r="O325" s="57">
        <v>15.135</v>
      </c>
      <c r="P325" s="52"/>
      <c r="Q325" s="6">
        <v>0.75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1.08</v>
      </c>
      <c r="AB325" s="6">
        <v>0.81</v>
      </c>
      <c r="AC325" s="6">
        <v>0.75</v>
      </c>
      <c r="AD325" s="6">
        <v>-1.0800000000000018</v>
      </c>
      <c r="AE325" s="6">
        <v>1.0800000000000018</v>
      </c>
    </row>
    <row r="326" spans="2:31" ht="20" x14ac:dyDescent="0.25">
      <c r="B326" s="55"/>
      <c r="C326" s="55"/>
      <c r="D326" s="4" t="s">
        <v>532</v>
      </c>
      <c r="E326" s="4" t="s">
        <v>533</v>
      </c>
      <c r="F326" s="4" t="s">
        <v>51</v>
      </c>
      <c r="G326" s="4" t="s">
        <v>35</v>
      </c>
      <c r="H326" s="54" t="s">
        <v>36</v>
      </c>
      <c r="I326" s="52"/>
      <c r="J326" s="57">
        <v>6.05</v>
      </c>
      <c r="K326" s="52"/>
      <c r="L326" s="6">
        <v>5.5478500000000004</v>
      </c>
      <c r="M326" s="6">
        <v>0.91700000000000004</v>
      </c>
      <c r="N326" s="6">
        <v>5.82</v>
      </c>
      <c r="O326" s="57">
        <v>5.3369400000000002</v>
      </c>
      <c r="P326" s="52"/>
      <c r="Q326" s="6">
        <v>0.91700000000000004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0.23</v>
      </c>
      <c r="AB326" s="6">
        <v>0.21090999999999999</v>
      </c>
      <c r="AC326" s="6">
        <v>0.91699999999999993</v>
      </c>
      <c r="AD326" s="6">
        <v>-0.22999999999999954</v>
      </c>
      <c r="AE326" s="6">
        <v>0.22999999999999954</v>
      </c>
    </row>
    <row r="327" spans="2:31" ht="20" x14ac:dyDescent="0.25">
      <c r="B327" s="55"/>
      <c r="C327" s="55"/>
      <c r="D327" s="4" t="s">
        <v>534</v>
      </c>
      <c r="E327" s="4" t="s">
        <v>535</v>
      </c>
      <c r="F327" s="4" t="s">
        <v>51</v>
      </c>
      <c r="G327" s="4" t="s">
        <v>35</v>
      </c>
      <c r="H327" s="54" t="s">
        <v>36</v>
      </c>
      <c r="I327" s="52"/>
      <c r="J327" s="57">
        <v>2.57</v>
      </c>
      <c r="K327" s="52"/>
      <c r="L327" s="6">
        <v>2.35669</v>
      </c>
      <c r="M327" s="6">
        <v>0.91700000000000004</v>
      </c>
      <c r="N327" s="6">
        <v>2.5099999999999998</v>
      </c>
      <c r="O327" s="57">
        <v>2.3016700000000001</v>
      </c>
      <c r="P327" s="52"/>
      <c r="Q327" s="6">
        <v>0.91700000000000015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0.06</v>
      </c>
      <c r="AB327" s="6">
        <v>5.5019999999999999E-2</v>
      </c>
      <c r="AC327" s="6">
        <v>0.91700000000000004</v>
      </c>
      <c r="AD327" s="6">
        <v>-6.0000000000000053E-2</v>
      </c>
      <c r="AE327" s="6">
        <v>6.0000000000000053E-2</v>
      </c>
    </row>
    <row r="328" spans="2:31" ht="20" x14ac:dyDescent="0.25">
      <c r="B328" s="55"/>
      <c r="C328" s="55"/>
      <c r="D328" s="4" t="s">
        <v>536</v>
      </c>
      <c r="E328" s="4" t="s">
        <v>537</v>
      </c>
      <c r="F328" s="4" t="s">
        <v>51</v>
      </c>
      <c r="G328" s="4" t="s">
        <v>35</v>
      </c>
      <c r="H328" s="54" t="s">
        <v>36</v>
      </c>
      <c r="I328" s="52"/>
      <c r="J328" s="57">
        <v>6.17</v>
      </c>
      <c r="K328" s="52"/>
      <c r="L328" s="6">
        <v>5.6578900000000001</v>
      </c>
      <c r="M328" s="6">
        <v>0.91700000000000004</v>
      </c>
      <c r="N328" s="6">
        <v>6.01</v>
      </c>
      <c r="O328" s="57">
        <v>5.5111699999999999</v>
      </c>
      <c r="P328" s="52"/>
      <c r="Q328" s="6">
        <v>0.91700000000000004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0.16</v>
      </c>
      <c r="AB328" s="6">
        <v>0.14671999999999999</v>
      </c>
      <c r="AC328" s="6">
        <v>0.91699999999999993</v>
      </c>
      <c r="AD328" s="6">
        <v>-0.16000000000000014</v>
      </c>
      <c r="AE328" s="6">
        <v>0.16000000000000014</v>
      </c>
    </row>
    <row r="329" spans="2:31" ht="20" x14ac:dyDescent="0.25">
      <c r="B329" s="55"/>
      <c r="C329" s="55"/>
      <c r="D329" s="4" t="s">
        <v>538</v>
      </c>
      <c r="E329" s="4" t="s">
        <v>297</v>
      </c>
      <c r="F329" s="4" t="s">
        <v>51</v>
      </c>
      <c r="G329" s="4" t="s">
        <v>35</v>
      </c>
      <c r="H329" s="54" t="s">
        <v>48</v>
      </c>
      <c r="I329" s="52"/>
      <c r="J329" s="57">
        <v>67.25</v>
      </c>
      <c r="K329" s="52"/>
      <c r="L329" s="6">
        <v>50.4375</v>
      </c>
      <c r="M329" s="6">
        <v>0.75</v>
      </c>
      <c r="N329" s="6">
        <v>67.209999999999994</v>
      </c>
      <c r="O329" s="57">
        <v>50.407499999999999</v>
      </c>
      <c r="P329" s="52"/>
      <c r="Q329" s="6">
        <v>0.75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0.04</v>
      </c>
      <c r="AB329" s="6">
        <v>0.03</v>
      </c>
      <c r="AC329" s="6">
        <v>0.75</v>
      </c>
      <c r="AD329" s="6">
        <v>-4.0000000000006253E-2</v>
      </c>
      <c r="AE329" s="6">
        <v>4.0000000000006253E-2</v>
      </c>
    </row>
    <row r="330" spans="2:31" x14ac:dyDescent="0.25">
      <c r="B330" s="55"/>
      <c r="C330" s="55"/>
      <c r="D330" s="54" t="s">
        <v>539</v>
      </c>
      <c r="E330" s="4" t="s">
        <v>540</v>
      </c>
      <c r="F330" s="4" t="s">
        <v>51</v>
      </c>
      <c r="G330" s="4" t="s">
        <v>35</v>
      </c>
      <c r="H330" s="54" t="s">
        <v>48</v>
      </c>
      <c r="I330" s="52"/>
      <c r="J330" s="57">
        <v>18.37</v>
      </c>
      <c r="K330" s="52"/>
      <c r="L330" s="6">
        <v>13.7775</v>
      </c>
      <c r="M330" s="6">
        <v>0.75</v>
      </c>
      <c r="N330" s="6">
        <v>16.760000000000002</v>
      </c>
      <c r="O330" s="57">
        <v>12.57</v>
      </c>
      <c r="P330" s="52"/>
      <c r="Q330" s="6">
        <v>0.75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1.61</v>
      </c>
      <c r="AB330" s="6">
        <v>1.2075</v>
      </c>
      <c r="AC330" s="6">
        <v>0.75</v>
      </c>
      <c r="AD330" s="6">
        <v>-1.6099999999999994</v>
      </c>
      <c r="AE330" s="6">
        <v>1.6099999999999994</v>
      </c>
    </row>
    <row r="331" spans="2:31" x14ac:dyDescent="0.25">
      <c r="B331" s="55"/>
      <c r="C331" s="55"/>
      <c r="D331" s="56"/>
      <c r="E331" s="4" t="s">
        <v>541</v>
      </c>
      <c r="F331" s="4" t="s">
        <v>51</v>
      </c>
      <c r="G331" s="4" t="s">
        <v>35</v>
      </c>
      <c r="H331" s="54" t="s">
        <v>48</v>
      </c>
      <c r="I331" s="52"/>
      <c r="J331" s="57">
        <v>26.89</v>
      </c>
      <c r="K331" s="52"/>
      <c r="L331" s="6">
        <v>20.1675</v>
      </c>
      <c r="M331" s="6">
        <v>0.75</v>
      </c>
      <c r="N331" s="6">
        <v>25.15</v>
      </c>
      <c r="O331" s="57">
        <v>18.862500000000001</v>
      </c>
      <c r="P331" s="52"/>
      <c r="Q331" s="6">
        <v>0.75000000000000011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1.74</v>
      </c>
      <c r="AB331" s="6">
        <v>1.3049999999999999</v>
      </c>
      <c r="AC331" s="6">
        <v>0.75</v>
      </c>
      <c r="AD331" s="6">
        <v>-1.740000000000002</v>
      </c>
      <c r="AE331" s="6">
        <v>1.740000000000002</v>
      </c>
    </row>
    <row r="332" spans="2:31" x14ac:dyDescent="0.25">
      <c r="B332" s="55"/>
      <c r="C332" s="55"/>
      <c r="D332" s="54" t="s">
        <v>542</v>
      </c>
      <c r="E332" s="4" t="s">
        <v>543</v>
      </c>
      <c r="F332" s="4" t="s">
        <v>51</v>
      </c>
      <c r="G332" s="4" t="s">
        <v>35</v>
      </c>
      <c r="H332" s="54" t="s">
        <v>36</v>
      </c>
      <c r="I332" s="52"/>
      <c r="J332" s="57">
        <v>7.74</v>
      </c>
      <c r="K332" s="52"/>
      <c r="L332" s="6">
        <v>7.0975799999999998</v>
      </c>
      <c r="M332" s="6">
        <v>0.91699999999999993</v>
      </c>
      <c r="N332" s="6">
        <v>7.45</v>
      </c>
      <c r="O332" s="57">
        <v>6.8316499999999998</v>
      </c>
      <c r="P332" s="52"/>
      <c r="Q332" s="6">
        <v>0.91699999999999993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0.28999999999999998</v>
      </c>
      <c r="AB332" s="6">
        <v>0.26593</v>
      </c>
      <c r="AC332" s="6">
        <v>0.91700000000000004</v>
      </c>
      <c r="AD332" s="6">
        <v>-0.29000000000000004</v>
      </c>
      <c r="AE332" s="6">
        <v>0.29000000000000004</v>
      </c>
    </row>
    <row r="333" spans="2:31" x14ac:dyDescent="0.25">
      <c r="B333" s="55"/>
      <c r="C333" s="55"/>
      <c r="D333" s="56"/>
      <c r="E333" s="4" t="s">
        <v>544</v>
      </c>
      <c r="F333" s="4" t="s">
        <v>51</v>
      </c>
      <c r="G333" s="4" t="s">
        <v>35</v>
      </c>
      <c r="H333" s="54" t="s">
        <v>36</v>
      </c>
      <c r="I333" s="52"/>
      <c r="J333" s="57">
        <v>15.73</v>
      </c>
      <c r="K333" s="52"/>
      <c r="L333" s="6">
        <v>14.42441</v>
      </c>
      <c r="M333" s="6">
        <v>0.91699999999999993</v>
      </c>
      <c r="N333" s="6">
        <v>15.57</v>
      </c>
      <c r="O333" s="57">
        <v>14.27769</v>
      </c>
      <c r="P333" s="52"/>
      <c r="Q333" s="6">
        <v>0.91699999999999993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0.16</v>
      </c>
      <c r="AB333" s="6">
        <v>0.14671999999999999</v>
      </c>
      <c r="AC333" s="6">
        <v>0.91699999999999993</v>
      </c>
      <c r="AD333" s="6">
        <v>-0.16000000000000014</v>
      </c>
      <c r="AE333" s="6">
        <v>0.16000000000000014</v>
      </c>
    </row>
    <row r="334" spans="2:31" x14ac:dyDescent="0.25">
      <c r="B334" s="55"/>
      <c r="C334" s="55"/>
      <c r="D334" s="54" t="s">
        <v>545</v>
      </c>
      <c r="E334" s="4" t="s">
        <v>546</v>
      </c>
      <c r="F334" s="4" t="s">
        <v>51</v>
      </c>
      <c r="G334" s="4" t="s">
        <v>35</v>
      </c>
      <c r="H334" s="54" t="s">
        <v>36</v>
      </c>
      <c r="I334" s="52"/>
      <c r="J334" s="57">
        <v>16.16</v>
      </c>
      <c r="K334" s="52"/>
      <c r="L334" s="6">
        <v>14.818720000000001</v>
      </c>
      <c r="M334" s="6">
        <v>0.91700000000000004</v>
      </c>
      <c r="N334" s="6">
        <v>15.84</v>
      </c>
      <c r="O334" s="57">
        <v>14.52528</v>
      </c>
      <c r="P334" s="52"/>
      <c r="Q334" s="6">
        <v>0.91700000000000004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0.32</v>
      </c>
      <c r="AB334" s="6">
        <v>0.29343999999999998</v>
      </c>
      <c r="AC334" s="6">
        <v>0.91699999999999993</v>
      </c>
      <c r="AD334" s="6">
        <v>-0.32000000000000028</v>
      </c>
      <c r="AE334" s="6">
        <v>0.32000000000000028</v>
      </c>
    </row>
    <row r="335" spans="2:31" x14ac:dyDescent="0.25">
      <c r="B335" s="55"/>
      <c r="C335" s="55"/>
      <c r="D335" s="55"/>
      <c r="E335" s="4" t="s">
        <v>547</v>
      </c>
      <c r="F335" s="4" t="s">
        <v>51</v>
      </c>
      <c r="G335" s="4" t="s">
        <v>35</v>
      </c>
      <c r="H335" s="54" t="s">
        <v>36</v>
      </c>
      <c r="I335" s="52"/>
      <c r="J335" s="57">
        <v>8.41</v>
      </c>
      <c r="K335" s="52"/>
      <c r="L335" s="6">
        <v>7.71197</v>
      </c>
      <c r="M335" s="6">
        <v>0.91700000000000004</v>
      </c>
      <c r="N335" s="6">
        <v>7.99</v>
      </c>
      <c r="O335" s="57">
        <v>7.3268300000000002</v>
      </c>
      <c r="P335" s="52"/>
      <c r="Q335" s="6">
        <v>0.91700000000000004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0.42</v>
      </c>
      <c r="AB335" s="6">
        <v>0.38513999999999998</v>
      </c>
      <c r="AC335" s="6">
        <v>0.91700000000000004</v>
      </c>
      <c r="AD335" s="6">
        <v>-0.41999999999999993</v>
      </c>
      <c r="AE335" s="6">
        <v>0.41999999999999993</v>
      </c>
    </row>
    <row r="336" spans="2:31" x14ac:dyDescent="0.25">
      <c r="B336" s="55"/>
      <c r="C336" s="55"/>
      <c r="D336" s="56"/>
      <c r="E336" s="4" t="s">
        <v>548</v>
      </c>
      <c r="F336" s="4" t="s">
        <v>51</v>
      </c>
      <c r="G336" s="4" t="s">
        <v>35</v>
      </c>
      <c r="H336" s="54" t="s">
        <v>36</v>
      </c>
      <c r="I336" s="52"/>
      <c r="J336" s="57">
        <v>7.19</v>
      </c>
      <c r="K336" s="52"/>
      <c r="L336" s="6">
        <v>6.5932300000000001</v>
      </c>
      <c r="M336" s="6">
        <v>0.91699999999999993</v>
      </c>
      <c r="N336" s="6">
        <v>7.05</v>
      </c>
      <c r="O336" s="57">
        <v>6.4648500000000002</v>
      </c>
      <c r="P336" s="52"/>
      <c r="Q336" s="6">
        <v>0.91700000000000004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0.14000000000000001</v>
      </c>
      <c r="AB336" s="6">
        <v>0.12837999999999999</v>
      </c>
      <c r="AC336" s="6">
        <v>0.91699999999999982</v>
      </c>
      <c r="AD336" s="6">
        <v>-0.14000000000000057</v>
      </c>
      <c r="AE336" s="6">
        <v>0.14000000000000057</v>
      </c>
    </row>
    <row r="337" spans="2:31" x14ac:dyDescent="0.25">
      <c r="B337" s="55"/>
      <c r="C337" s="55"/>
      <c r="D337" s="54" t="s">
        <v>549</v>
      </c>
      <c r="E337" s="4" t="s">
        <v>550</v>
      </c>
      <c r="F337" s="4" t="s">
        <v>51</v>
      </c>
      <c r="G337" s="4" t="s">
        <v>35</v>
      </c>
      <c r="H337" s="54" t="s">
        <v>41</v>
      </c>
      <c r="I337" s="52"/>
      <c r="J337" s="57">
        <v>29.27</v>
      </c>
      <c r="K337" s="52"/>
      <c r="L337" s="6">
        <v>21.952500000000001</v>
      </c>
      <c r="M337" s="6">
        <v>0.75</v>
      </c>
      <c r="N337" s="6">
        <v>27.76</v>
      </c>
      <c r="O337" s="57">
        <v>20.82</v>
      </c>
      <c r="P337" s="52"/>
      <c r="Q337" s="6">
        <v>0.75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1.51</v>
      </c>
      <c r="AB337" s="6">
        <v>1.1325000000000001</v>
      </c>
      <c r="AC337" s="6">
        <v>0.75</v>
      </c>
      <c r="AD337" s="6">
        <v>-1.509999999999998</v>
      </c>
      <c r="AE337" s="6">
        <v>1.509999999999998</v>
      </c>
    </row>
    <row r="338" spans="2:31" x14ac:dyDescent="0.25">
      <c r="B338" s="55"/>
      <c r="C338" s="55"/>
      <c r="D338" s="55"/>
      <c r="E338" s="4" t="s">
        <v>551</v>
      </c>
      <c r="F338" s="4" t="s">
        <v>51</v>
      </c>
      <c r="G338" s="4" t="s">
        <v>35</v>
      </c>
      <c r="H338" s="54" t="s">
        <v>41</v>
      </c>
      <c r="I338" s="52"/>
      <c r="J338" s="57">
        <v>14.41</v>
      </c>
      <c r="K338" s="52"/>
      <c r="L338" s="6">
        <v>10.807499999999999</v>
      </c>
      <c r="M338" s="6">
        <v>0.74999999999999989</v>
      </c>
      <c r="N338" s="6">
        <v>12.74</v>
      </c>
      <c r="O338" s="57">
        <v>9.5549999999999997</v>
      </c>
      <c r="P338" s="52"/>
      <c r="Q338" s="6">
        <v>0.75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1.67</v>
      </c>
      <c r="AB338" s="6">
        <v>1.2524999999999999</v>
      </c>
      <c r="AC338" s="6">
        <v>0.75</v>
      </c>
      <c r="AD338" s="6">
        <v>-1.67</v>
      </c>
      <c r="AE338" s="6">
        <v>1.67</v>
      </c>
    </row>
    <row r="339" spans="2:31" x14ac:dyDescent="0.25">
      <c r="B339" s="55"/>
      <c r="C339" s="55"/>
      <c r="D339" s="56"/>
      <c r="E339" s="4" t="s">
        <v>552</v>
      </c>
      <c r="F339" s="4" t="s">
        <v>51</v>
      </c>
      <c r="G339" s="4" t="s">
        <v>35</v>
      </c>
      <c r="H339" s="54" t="s">
        <v>41</v>
      </c>
      <c r="I339" s="52"/>
      <c r="J339" s="57">
        <v>42.3</v>
      </c>
      <c r="K339" s="52"/>
      <c r="L339" s="6">
        <v>31.725000000000001</v>
      </c>
      <c r="M339" s="6">
        <v>0.75000000000000011</v>
      </c>
      <c r="N339" s="6">
        <v>38.85</v>
      </c>
      <c r="O339" s="57">
        <v>29.137499999999999</v>
      </c>
      <c r="P339" s="52"/>
      <c r="Q339" s="6">
        <v>0.75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3.45</v>
      </c>
      <c r="AB339" s="6">
        <v>2.5874999999999999</v>
      </c>
      <c r="AC339" s="6">
        <v>0.74999999999999989</v>
      </c>
      <c r="AD339" s="6">
        <v>-3.4499999999999957</v>
      </c>
      <c r="AE339" s="6">
        <v>3.4499999999999957</v>
      </c>
    </row>
    <row r="340" spans="2:31" ht="20" x14ac:dyDescent="0.25">
      <c r="B340" s="55"/>
      <c r="C340" s="55"/>
      <c r="D340" s="4" t="s">
        <v>553</v>
      </c>
      <c r="E340" s="4" t="s">
        <v>554</v>
      </c>
      <c r="F340" s="4" t="s">
        <v>51</v>
      </c>
      <c r="G340" s="4" t="s">
        <v>35</v>
      </c>
      <c r="H340" s="54" t="s">
        <v>41</v>
      </c>
      <c r="I340" s="52"/>
      <c r="J340" s="57">
        <v>36.020000000000003</v>
      </c>
      <c r="K340" s="52"/>
      <c r="L340" s="6">
        <v>27.015000000000001</v>
      </c>
      <c r="M340" s="6">
        <v>0.75</v>
      </c>
      <c r="N340" s="6">
        <v>33.75</v>
      </c>
      <c r="O340" s="57">
        <v>25.3125</v>
      </c>
      <c r="P340" s="52"/>
      <c r="Q340" s="6">
        <v>0.75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2.27</v>
      </c>
      <c r="AB340" s="6">
        <v>1.7024999999999999</v>
      </c>
      <c r="AC340" s="6">
        <v>0.75</v>
      </c>
      <c r="AD340" s="6">
        <v>-2.2700000000000031</v>
      </c>
      <c r="AE340" s="6">
        <v>2.2700000000000031</v>
      </c>
    </row>
    <row r="341" spans="2:31" ht="20" x14ac:dyDescent="0.25">
      <c r="B341" s="55"/>
      <c r="C341" s="55"/>
      <c r="D341" s="4" t="s">
        <v>555</v>
      </c>
      <c r="E341" s="4" t="s">
        <v>334</v>
      </c>
      <c r="F341" s="4" t="s">
        <v>51</v>
      </c>
      <c r="G341" s="4" t="s">
        <v>35</v>
      </c>
      <c r="H341" s="54" t="s">
        <v>36</v>
      </c>
      <c r="I341" s="52"/>
      <c r="J341" s="57">
        <v>26.140999999999998</v>
      </c>
      <c r="K341" s="52"/>
      <c r="L341" s="6">
        <v>23.971297</v>
      </c>
      <c r="M341" s="6">
        <v>0.91700000000000004</v>
      </c>
      <c r="N341" s="6">
        <v>26.120999999999999</v>
      </c>
      <c r="O341" s="57">
        <v>23.952957000000001</v>
      </c>
      <c r="P341" s="52"/>
      <c r="Q341" s="6">
        <v>0.91700000000000015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0.02</v>
      </c>
      <c r="AB341" s="6">
        <v>1.8339999999999999E-2</v>
      </c>
      <c r="AC341" s="6">
        <v>0.91699999999999993</v>
      </c>
      <c r="AD341" s="6">
        <v>-1.9999999999999574E-2</v>
      </c>
      <c r="AE341" s="6">
        <v>1.9999999999999574E-2</v>
      </c>
    </row>
    <row r="342" spans="2:31" ht="20" x14ac:dyDescent="0.25">
      <c r="B342" s="55"/>
      <c r="C342" s="55"/>
      <c r="D342" s="4" t="s">
        <v>556</v>
      </c>
      <c r="E342" s="4" t="s">
        <v>557</v>
      </c>
      <c r="F342" s="4" t="s">
        <v>51</v>
      </c>
      <c r="G342" s="4" t="s">
        <v>35</v>
      </c>
      <c r="H342" s="54" t="s">
        <v>48</v>
      </c>
      <c r="I342" s="52"/>
      <c r="J342" s="57">
        <v>17.920000000000002</v>
      </c>
      <c r="K342" s="52"/>
      <c r="L342" s="6">
        <v>13.44</v>
      </c>
      <c r="M342" s="6">
        <v>0.74999999999999989</v>
      </c>
      <c r="N342" s="6">
        <v>16.62</v>
      </c>
      <c r="O342" s="57">
        <v>12.465</v>
      </c>
      <c r="P342" s="52"/>
      <c r="Q342" s="6">
        <v>0.75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1.3</v>
      </c>
      <c r="AB342" s="6">
        <v>0.97499999999999998</v>
      </c>
      <c r="AC342" s="6">
        <v>0.75</v>
      </c>
      <c r="AD342" s="6">
        <v>-1.3000000000000007</v>
      </c>
      <c r="AE342" s="6">
        <v>1.3000000000000007</v>
      </c>
    </row>
    <row r="343" spans="2:31" ht="20" x14ac:dyDescent="0.25">
      <c r="B343" s="55"/>
      <c r="C343" s="55"/>
      <c r="D343" s="4" t="s">
        <v>558</v>
      </c>
      <c r="E343" s="4" t="s">
        <v>559</v>
      </c>
      <c r="F343" s="4" t="s">
        <v>51</v>
      </c>
      <c r="G343" s="4" t="s">
        <v>35</v>
      </c>
      <c r="H343" s="54" t="s">
        <v>36</v>
      </c>
      <c r="I343" s="52"/>
      <c r="J343" s="57">
        <v>2.2400000000000002</v>
      </c>
      <c r="K343" s="52"/>
      <c r="L343" s="6">
        <v>2.0540799999999999</v>
      </c>
      <c r="M343" s="6">
        <v>0.91699999999999982</v>
      </c>
      <c r="N343" s="6">
        <v>2.06</v>
      </c>
      <c r="O343" s="57">
        <v>1.8890199999999999</v>
      </c>
      <c r="P343" s="52"/>
      <c r="Q343" s="6">
        <v>0.91699999999999993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0.18</v>
      </c>
      <c r="AB343" s="6">
        <v>0.16506000000000001</v>
      </c>
      <c r="AC343" s="6">
        <v>0.91700000000000015</v>
      </c>
      <c r="AD343" s="6">
        <v>-0.18000000000000016</v>
      </c>
      <c r="AE343" s="6">
        <v>0.18000000000000016</v>
      </c>
    </row>
    <row r="344" spans="2:31" ht="20" x14ac:dyDescent="0.25">
      <c r="B344" s="55"/>
      <c r="C344" s="55"/>
      <c r="D344" s="4" t="s">
        <v>560</v>
      </c>
      <c r="E344" s="4" t="s">
        <v>561</v>
      </c>
      <c r="F344" s="4" t="s">
        <v>51</v>
      </c>
      <c r="G344" s="4" t="s">
        <v>35</v>
      </c>
      <c r="H344" s="54" t="s">
        <v>48</v>
      </c>
      <c r="I344" s="52"/>
      <c r="J344" s="57">
        <v>44.79</v>
      </c>
      <c r="K344" s="52"/>
      <c r="L344" s="6">
        <v>33.592500000000001</v>
      </c>
      <c r="M344" s="6">
        <v>0.75</v>
      </c>
      <c r="N344" s="6">
        <v>41.24</v>
      </c>
      <c r="O344" s="57">
        <v>30.93</v>
      </c>
      <c r="P344" s="52"/>
      <c r="Q344" s="6">
        <v>0.75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3.55</v>
      </c>
      <c r="AB344" s="6">
        <v>2.6625000000000001</v>
      </c>
      <c r="AC344" s="6">
        <v>0.75000000000000011</v>
      </c>
      <c r="AD344" s="6">
        <v>-3.5499999999999972</v>
      </c>
      <c r="AE344" s="6">
        <v>3.5499999999999972</v>
      </c>
    </row>
    <row r="345" spans="2:31" ht="20" x14ac:dyDescent="0.25">
      <c r="B345" s="55"/>
      <c r="C345" s="55"/>
      <c r="D345" s="4" t="s">
        <v>562</v>
      </c>
      <c r="E345" s="4" t="s">
        <v>563</v>
      </c>
      <c r="F345" s="4" t="s">
        <v>51</v>
      </c>
      <c r="G345" s="4" t="s">
        <v>35</v>
      </c>
      <c r="H345" s="54" t="s">
        <v>48</v>
      </c>
      <c r="I345" s="52"/>
      <c r="J345" s="57">
        <v>5.18</v>
      </c>
      <c r="K345" s="52"/>
      <c r="L345" s="6">
        <v>3.8849999999999998</v>
      </c>
      <c r="M345" s="6">
        <v>0.75</v>
      </c>
      <c r="N345" s="6">
        <v>4.93</v>
      </c>
      <c r="O345" s="57">
        <v>3.6974999999999998</v>
      </c>
      <c r="P345" s="52"/>
      <c r="Q345" s="6">
        <v>0.75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0.25</v>
      </c>
      <c r="AB345" s="6">
        <v>0.1875</v>
      </c>
      <c r="AC345" s="6">
        <v>0.75</v>
      </c>
      <c r="AD345" s="6">
        <v>-0.25</v>
      </c>
      <c r="AE345" s="6">
        <v>0.25</v>
      </c>
    </row>
    <row r="346" spans="2:31" ht="20" x14ac:dyDescent="0.25">
      <c r="B346" s="55"/>
      <c r="C346" s="55"/>
      <c r="D346" s="4" t="s">
        <v>564</v>
      </c>
      <c r="E346" s="4" t="s">
        <v>565</v>
      </c>
      <c r="F346" s="4" t="s">
        <v>51</v>
      </c>
      <c r="G346" s="4" t="s">
        <v>35</v>
      </c>
      <c r="H346" s="54" t="s">
        <v>36</v>
      </c>
      <c r="I346" s="52"/>
      <c r="J346" s="57">
        <v>14.72</v>
      </c>
      <c r="K346" s="52"/>
      <c r="L346" s="6">
        <v>13.498239999999999</v>
      </c>
      <c r="M346" s="6">
        <v>0.91699999999999993</v>
      </c>
      <c r="N346" s="6">
        <v>14.44</v>
      </c>
      <c r="O346" s="57">
        <v>13.241479999999999</v>
      </c>
      <c r="P346" s="52"/>
      <c r="Q346" s="6">
        <v>0.91699999999999993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0.28000000000000003</v>
      </c>
      <c r="AB346" s="6">
        <v>0.25675999999999999</v>
      </c>
      <c r="AC346" s="6">
        <v>0.91699999999999982</v>
      </c>
      <c r="AD346" s="6">
        <v>-0.28000000000000114</v>
      </c>
      <c r="AE346" s="6">
        <v>0.28000000000000114</v>
      </c>
    </row>
    <row r="347" spans="2:31" ht="20" x14ac:dyDescent="0.25">
      <c r="B347" s="55"/>
      <c r="C347" s="55"/>
      <c r="D347" s="4" t="s">
        <v>566</v>
      </c>
      <c r="E347" s="4" t="s">
        <v>567</v>
      </c>
      <c r="F347" s="4" t="s">
        <v>51</v>
      </c>
      <c r="G347" s="4" t="s">
        <v>35</v>
      </c>
      <c r="H347" s="54" t="s">
        <v>48</v>
      </c>
      <c r="I347" s="52"/>
      <c r="J347" s="57">
        <v>32.659999999999997</v>
      </c>
      <c r="K347" s="52"/>
      <c r="L347" s="6">
        <v>24.495000000000001</v>
      </c>
      <c r="M347" s="6">
        <v>0.75000000000000011</v>
      </c>
      <c r="N347" s="6">
        <v>30.74</v>
      </c>
      <c r="O347" s="57">
        <v>23.055</v>
      </c>
      <c r="P347" s="52"/>
      <c r="Q347" s="6">
        <v>0.75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1.92</v>
      </c>
      <c r="AB347" s="6">
        <v>1.44</v>
      </c>
      <c r="AC347" s="6">
        <v>0.75</v>
      </c>
      <c r="AD347" s="6">
        <v>-1.9199999999999982</v>
      </c>
      <c r="AE347" s="6">
        <v>1.9199999999999982</v>
      </c>
    </row>
    <row r="348" spans="2:31" ht="20" x14ac:dyDescent="0.25">
      <c r="B348" s="55"/>
      <c r="C348" s="55"/>
      <c r="D348" s="4" t="s">
        <v>568</v>
      </c>
      <c r="E348" s="4" t="s">
        <v>569</v>
      </c>
      <c r="F348" s="4" t="s">
        <v>51</v>
      </c>
      <c r="G348" s="4" t="s">
        <v>35</v>
      </c>
      <c r="H348" s="54" t="s">
        <v>481</v>
      </c>
      <c r="I348" s="52"/>
      <c r="J348" s="57">
        <v>19.66</v>
      </c>
      <c r="K348" s="52"/>
      <c r="L348" s="6">
        <v>14.744999999999999</v>
      </c>
      <c r="M348" s="6">
        <v>0.75</v>
      </c>
      <c r="N348" s="6">
        <v>17.93</v>
      </c>
      <c r="O348" s="57">
        <v>13.4475</v>
      </c>
      <c r="P348" s="52"/>
      <c r="Q348" s="6">
        <v>0.75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1.73</v>
      </c>
      <c r="AB348" s="6">
        <v>1.2975000000000001</v>
      </c>
      <c r="AC348" s="6">
        <v>0.75000000000000011</v>
      </c>
      <c r="AD348" s="6">
        <v>-1.7300000000000004</v>
      </c>
      <c r="AE348" s="6">
        <v>1.7300000000000004</v>
      </c>
    </row>
    <row r="349" spans="2:31" ht="20" x14ac:dyDescent="0.25">
      <c r="B349" s="55"/>
      <c r="C349" s="55"/>
      <c r="D349" s="4" t="s">
        <v>570</v>
      </c>
      <c r="E349" s="4" t="s">
        <v>571</v>
      </c>
      <c r="F349" s="4" t="s">
        <v>51</v>
      </c>
      <c r="G349" s="4" t="s">
        <v>35</v>
      </c>
      <c r="H349" s="54" t="s">
        <v>48</v>
      </c>
      <c r="I349" s="52"/>
      <c r="J349" s="57">
        <v>39.81</v>
      </c>
      <c r="K349" s="52"/>
      <c r="L349" s="6">
        <v>29.857500000000002</v>
      </c>
      <c r="M349" s="6">
        <v>0.75</v>
      </c>
      <c r="N349" s="6">
        <v>37.64</v>
      </c>
      <c r="O349" s="57">
        <v>28.23</v>
      </c>
      <c r="P349" s="52"/>
      <c r="Q349" s="6">
        <v>0.75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2.17</v>
      </c>
      <c r="AB349" s="6">
        <v>1.6274999999999999</v>
      </c>
      <c r="AC349" s="6">
        <v>0.75</v>
      </c>
      <c r="AD349" s="6">
        <v>-2.1700000000000017</v>
      </c>
      <c r="AE349" s="6">
        <v>2.1700000000000017</v>
      </c>
    </row>
    <row r="350" spans="2:31" ht="20" x14ac:dyDescent="0.25">
      <c r="B350" s="55"/>
      <c r="C350" s="55"/>
      <c r="D350" s="4" t="s">
        <v>572</v>
      </c>
      <c r="E350" s="4" t="s">
        <v>573</v>
      </c>
      <c r="F350" s="4" t="s">
        <v>51</v>
      </c>
      <c r="G350" s="4" t="s">
        <v>35</v>
      </c>
      <c r="H350" s="54" t="s">
        <v>48</v>
      </c>
      <c r="I350" s="52"/>
      <c r="J350" s="57">
        <v>19.16</v>
      </c>
      <c r="K350" s="52"/>
      <c r="L350" s="6">
        <v>14.37</v>
      </c>
      <c r="M350" s="6">
        <v>0.75</v>
      </c>
      <c r="N350" s="6">
        <v>17.600000000000001</v>
      </c>
      <c r="O350" s="57">
        <v>13.2</v>
      </c>
      <c r="P350" s="52"/>
      <c r="Q350" s="6">
        <v>0.74999999999999989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1.56</v>
      </c>
      <c r="AB350" s="6">
        <v>1.17</v>
      </c>
      <c r="AC350" s="6">
        <v>0.74999999999999989</v>
      </c>
      <c r="AD350" s="6">
        <v>-1.5599999999999987</v>
      </c>
      <c r="AE350" s="6">
        <v>1.5599999999999987</v>
      </c>
    </row>
    <row r="351" spans="2:31" ht="20" x14ac:dyDescent="0.25">
      <c r="B351" s="55"/>
      <c r="C351" s="55"/>
      <c r="D351" s="4" t="s">
        <v>574</v>
      </c>
      <c r="E351" s="4" t="s">
        <v>575</v>
      </c>
      <c r="F351" s="4" t="s">
        <v>51</v>
      </c>
      <c r="G351" s="4" t="s">
        <v>35</v>
      </c>
      <c r="H351" s="54" t="s">
        <v>48</v>
      </c>
      <c r="I351" s="52"/>
      <c r="J351" s="57">
        <v>32.79</v>
      </c>
      <c r="K351" s="52"/>
      <c r="L351" s="6">
        <v>24.592500000000001</v>
      </c>
      <c r="M351" s="6">
        <v>0.75</v>
      </c>
      <c r="N351" s="6">
        <v>29.79</v>
      </c>
      <c r="O351" s="57">
        <v>22.342500000000001</v>
      </c>
      <c r="P351" s="52"/>
      <c r="Q351" s="6">
        <v>0.75000000000000011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3</v>
      </c>
      <c r="AB351" s="6">
        <v>2.25</v>
      </c>
      <c r="AC351" s="6">
        <v>0.75</v>
      </c>
      <c r="AD351" s="6">
        <v>-3</v>
      </c>
      <c r="AE351" s="6">
        <v>3</v>
      </c>
    </row>
    <row r="352" spans="2:31" ht="20" x14ac:dyDescent="0.25">
      <c r="B352" s="55"/>
      <c r="C352" s="55"/>
      <c r="D352" s="4" t="s">
        <v>576</v>
      </c>
      <c r="E352" s="4" t="s">
        <v>493</v>
      </c>
      <c r="F352" s="4" t="s">
        <v>51</v>
      </c>
      <c r="G352" s="4" t="s">
        <v>35</v>
      </c>
      <c r="H352" s="54" t="s">
        <v>36</v>
      </c>
      <c r="I352" s="52"/>
      <c r="J352" s="57">
        <v>12.21</v>
      </c>
      <c r="K352" s="52"/>
      <c r="L352" s="6">
        <v>11.196569999999999</v>
      </c>
      <c r="M352" s="6">
        <v>0.91699999999999993</v>
      </c>
      <c r="N352" s="6">
        <v>11.63</v>
      </c>
      <c r="O352" s="57">
        <v>10.664709999999999</v>
      </c>
      <c r="P352" s="52"/>
      <c r="Q352" s="6">
        <v>0.91699999999999993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0.57999999999999996</v>
      </c>
      <c r="AB352" s="6">
        <v>0.53186</v>
      </c>
      <c r="AC352" s="6">
        <v>0.91700000000000004</v>
      </c>
      <c r="AD352" s="6">
        <v>-0.58000000000000007</v>
      </c>
      <c r="AE352" s="6">
        <v>0.58000000000000007</v>
      </c>
    </row>
    <row r="353" spans="2:31" ht="20" x14ac:dyDescent="0.25">
      <c r="B353" s="55"/>
      <c r="C353" s="55"/>
      <c r="D353" s="4" t="s">
        <v>577</v>
      </c>
      <c r="E353" s="4" t="s">
        <v>578</v>
      </c>
      <c r="F353" s="4" t="s">
        <v>51</v>
      </c>
      <c r="G353" s="4" t="s">
        <v>35</v>
      </c>
      <c r="H353" s="54" t="s">
        <v>36</v>
      </c>
      <c r="I353" s="52"/>
      <c r="J353" s="57">
        <v>39.22</v>
      </c>
      <c r="K353" s="52"/>
      <c r="L353" s="6">
        <v>35.964739999999999</v>
      </c>
      <c r="M353" s="6">
        <v>0.91700000000000004</v>
      </c>
      <c r="N353" s="6">
        <v>38.76</v>
      </c>
      <c r="O353" s="57">
        <v>35.542920000000002</v>
      </c>
      <c r="P353" s="52"/>
      <c r="Q353" s="6">
        <v>0.91700000000000015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0.46</v>
      </c>
      <c r="AB353" s="6">
        <v>0.42181999999999997</v>
      </c>
      <c r="AC353" s="6">
        <v>0.91699999999999993</v>
      </c>
      <c r="AD353" s="6">
        <v>-0.46000000000000085</v>
      </c>
      <c r="AE353" s="6">
        <v>0.46000000000000085</v>
      </c>
    </row>
    <row r="354" spans="2:31" ht="20" x14ac:dyDescent="0.25">
      <c r="B354" s="55"/>
      <c r="C354" s="55"/>
      <c r="D354" s="4" t="s">
        <v>579</v>
      </c>
      <c r="E354" s="4" t="s">
        <v>58</v>
      </c>
      <c r="F354" s="4" t="s">
        <v>51</v>
      </c>
      <c r="G354" s="4" t="s">
        <v>35</v>
      </c>
      <c r="H354" s="54" t="s">
        <v>36</v>
      </c>
      <c r="I354" s="52"/>
      <c r="J354" s="57">
        <v>3.73</v>
      </c>
      <c r="K354" s="52"/>
      <c r="L354" s="6">
        <v>3.42041</v>
      </c>
      <c r="M354" s="6">
        <v>0.91700000000000004</v>
      </c>
      <c r="N354" s="6">
        <v>3.73</v>
      </c>
      <c r="O354" s="57">
        <v>3.42041</v>
      </c>
      <c r="P354" s="52"/>
      <c r="Q354" s="6">
        <v>0.91700000000000004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</row>
    <row r="355" spans="2:31" ht="20" x14ac:dyDescent="0.25">
      <c r="B355" s="55"/>
      <c r="C355" s="55"/>
      <c r="D355" s="4" t="s">
        <v>580</v>
      </c>
      <c r="E355" s="4" t="s">
        <v>581</v>
      </c>
      <c r="F355" s="4" t="s">
        <v>51</v>
      </c>
      <c r="G355" s="4" t="s">
        <v>35</v>
      </c>
      <c r="H355" s="54" t="s">
        <v>48</v>
      </c>
      <c r="I355" s="52"/>
      <c r="J355" s="57">
        <v>49.38</v>
      </c>
      <c r="K355" s="52"/>
      <c r="L355" s="6">
        <v>37.034999999999997</v>
      </c>
      <c r="M355" s="6">
        <v>0.74999999999999989</v>
      </c>
      <c r="N355" s="6">
        <v>46.93</v>
      </c>
      <c r="O355" s="57">
        <v>35.197499999999998</v>
      </c>
      <c r="P355" s="52"/>
      <c r="Q355" s="6">
        <v>0.75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2.4500000000000002</v>
      </c>
      <c r="AB355" s="6">
        <v>1.8374999999999999</v>
      </c>
      <c r="AC355" s="6">
        <v>0.74999999999999989</v>
      </c>
      <c r="AD355" s="6">
        <v>-2.4500000000000028</v>
      </c>
      <c r="AE355" s="6">
        <v>2.4500000000000028</v>
      </c>
    </row>
    <row r="356" spans="2:31" ht="20" x14ac:dyDescent="0.25">
      <c r="B356" s="55"/>
      <c r="C356" s="55"/>
      <c r="D356" s="4" t="s">
        <v>582</v>
      </c>
      <c r="E356" s="4" t="s">
        <v>583</v>
      </c>
      <c r="F356" s="4" t="s">
        <v>51</v>
      </c>
      <c r="G356" s="4" t="s">
        <v>35</v>
      </c>
      <c r="H356" s="54" t="s">
        <v>36</v>
      </c>
      <c r="I356" s="52"/>
      <c r="J356" s="57">
        <v>3.95</v>
      </c>
      <c r="K356" s="52"/>
      <c r="L356" s="6">
        <v>3.62215</v>
      </c>
      <c r="M356" s="6">
        <v>0.91699999999999993</v>
      </c>
      <c r="N356" s="6">
        <v>3.95</v>
      </c>
      <c r="O356" s="57">
        <v>3.62215</v>
      </c>
      <c r="P356" s="52"/>
      <c r="Q356" s="6">
        <v>0.91699999999999993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</row>
    <row r="357" spans="2:31" ht="20" x14ac:dyDescent="0.25">
      <c r="B357" s="55"/>
      <c r="C357" s="55"/>
      <c r="D357" s="4" t="s">
        <v>584</v>
      </c>
      <c r="E357" s="4" t="s">
        <v>585</v>
      </c>
      <c r="F357" s="4" t="s">
        <v>51</v>
      </c>
      <c r="G357" s="4" t="s">
        <v>35</v>
      </c>
      <c r="H357" s="54" t="s">
        <v>36</v>
      </c>
      <c r="I357" s="52"/>
      <c r="J357" s="57">
        <v>4.59</v>
      </c>
      <c r="K357" s="52"/>
      <c r="L357" s="6">
        <v>4.2090300000000003</v>
      </c>
      <c r="M357" s="6">
        <v>0.91700000000000004</v>
      </c>
      <c r="N357" s="6">
        <v>4.59</v>
      </c>
      <c r="O357" s="57">
        <v>4.2090300000000003</v>
      </c>
      <c r="P357" s="52"/>
      <c r="Q357" s="6">
        <v>0.91700000000000004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</row>
    <row r="358" spans="2:31" ht="20" x14ac:dyDescent="0.25">
      <c r="B358" s="55"/>
      <c r="C358" s="55"/>
      <c r="D358" s="4" t="s">
        <v>586</v>
      </c>
      <c r="E358" s="4" t="s">
        <v>416</v>
      </c>
      <c r="F358" s="4" t="s">
        <v>51</v>
      </c>
      <c r="G358" s="4" t="s">
        <v>35</v>
      </c>
      <c r="H358" s="54" t="s">
        <v>41</v>
      </c>
      <c r="I358" s="52"/>
      <c r="J358" s="57">
        <v>128.33000000000001</v>
      </c>
      <c r="K358" s="52"/>
      <c r="L358" s="6">
        <v>96.247500000000002</v>
      </c>
      <c r="M358" s="6">
        <v>0.75</v>
      </c>
      <c r="N358" s="6">
        <v>128.33000000000001</v>
      </c>
      <c r="O358" s="57">
        <v>96.247500000000002</v>
      </c>
      <c r="P358" s="52"/>
      <c r="Q358" s="6">
        <v>0.75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</row>
    <row r="359" spans="2:31" ht="20" x14ac:dyDescent="0.25">
      <c r="B359" s="55"/>
      <c r="C359" s="55"/>
      <c r="D359" s="4" t="s">
        <v>587</v>
      </c>
      <c r="E359" s="4" t="s">
        <v>588</v>
      </c>
      <c r="F359" s="4" t="s">
        <v>51</v>
      </c>
      <c r="G359" s="4" t="s">
        <v>35</v>
      </c>
      <c r="H359" s="54" t="s">
        <v>41</v>
      </c>
      <c r="I359" s="52"/>
      <c r="J359" s="57">
        <v>5.74</v>
      </c>
      <c r="K359" s="52"/>
      <c r="L359" s="6">
        <v>4.3049999999999997</v>
      </c>
      <c r="M359" s="6">
        <v>0.74999999999999989</v>
      </c>
      <c r="N359" s="6">
        <v>5.27</v>
      </c>
      <c r="O359" s="57">
        <v>3.9525000000000001</v>
      </c>
      <c r="P359" s="52"/>
      <c r="Q359" s="6">
        <v>0.75000000000000011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0.47</v>
      </c>
      <c r="AB359" s="6">
        <v>0.35249999999999998</v>
      </c>
      <c r="AC359" s="6">
        <v>0.75</v>
      </c>
      <c r="AD359" s="6">
        <v>-0.47000000000000064</v>
      </c>
      <c r="AE359" s="6">
        <v>0.47000000000000064</v>
      </c>
    </row>
    <row r="360" spans="2:31" ht="20" x14ac:dyDescent="0.25">
      <c r="B360" s="55"/>
      <c r="C360" s="55"/>
      <c r="D360" s="4" t="s">
        <v>589</v>
      </c>
      <c r="E360" s="4" t="s">
        <v>590</v>
      </c>
      <c r="F360" s="4" t="s">
        <v>51</v>
      </c>
      <c r="G360" s="4" t="s">
        <v>35</v>
      </c>
      <c r="H360" s="54" t="s">
        <v>41</v>
      </c>
      <c r="I360" s="52"/>
      <c r="J360" s="57">
        <v>8.52</v>
      </c>
      <c r="K360" s="52"/>
      <c r="L360" s="6">
        <v>6.39</v>
      </c>
      <c r="M360" s="6">
        <v>0.75</v>
      </c>
      <c r="N360" s="6">
        <v>7.65</v>
      </c>
      <c r="O360" s="57">
        <v>5.7374999999999998</v>
      </c>
      <c r="P360" s="52"/>
      <c r="Q360" s="6">
        <v>0.74999999999999989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0.87</v>
      </c>
      <c r="AB360" s="6">
        <v>0.65249999999999997</v>
      </c>
      <c r="AC360" s="6">
        <v>0.75</v>
      </c>
      <c r="AD360" s="6">
        <v>-0.86999999999999922</v>
      </c>
      <c r="AE360" s="6">
        <v>0.86999999999999922</v>
      </c>
    </row>
    <row r="361" spans="2:31" ht="20" x14ac:dyDescent="0.25">
      <c r="B361" s="55"/>
      <c r="C361" s="55"/>
      <c r="D361" s="4" t="s">
        <v>591</v>
      </c>
      <c r="E361" s="4" t="s">
        <v>592</v>
      </c>
      <c r="F361" s="4" t="s">
        <v>51</v>
      </c>
      <c r="G361" s="4" t="s">
        <v>35</v>
      </c>
      <c r="H361" s="54" t="s">
        <v>41</v>
      </c>
      <c r="I361" s="52"/>
      <c r="J361" s="57">
        <v>138.72999999999999</v>
      </c>
      <c r="K361" s="52"/>
      <c r="L361" s="6">
        <v>104.0475</v>
      </c>
      <c r="M361" s="6">
        <v>0.75</v>
      </c>
      <c r="N361" s="6">
        <v>122.72</v>
      </c>
      <c r="O361" s="57">
        <v>92.04</v>
      </c>
      <c r="P361" s="52"/>
      <c r="Q361" s="6">
        <v>0.75000000000000011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16.010000000000002</v>
      </c>
      <c r="AB361" s="6">
        <v>12.0075</v>
      </c>
      <c r="AC361" s="6">
        <v>0.75</v>
      </c>
      <c r="AD361" s="6">
        <v>-16.009999999999991</v>
      </c>
      <c r="AE361" s="6">
        <v>16.009999999999991</v>
      </c>
    </row>
    <row r="362" spans="2:31" ht="20" x14ac:dyDescent="0.25">
      <c r="B362" s="55"/>
      <c r="C362" s="55"/>
      <c r="D362" s="4" t="s">
        <v>593</v>
      </c>
      <c r="E362" s="4" t="s">
        <v>594</v>
      </c>
      <c r="F362" s="4" t="s">
        <v>51</v>
      </c>
      <c r="G362" s="4" t="s">
        <v>35</v>
      </c>
      <c r="H362" s="54" t="s">
        <v>48</v>
      </c>
      <c r="I362" s="52"/>
      <c r="J362" s="57">
        <v>28.44</v>
      </c>
      <c r="K362" s="52"/>
      <c r="L362" s="6">
        <v>21.33</v>
      </c>
      <c r="M362" s="6">
        <v>0.74999999999999989</v>
      </c>
      <c r="N362" s="6">
        <v>26.24</v>
      </c>
      <c r="O362" s="57">
        <v>19.68</v>
      </c>
      <c r="P362" s="52"/>
      <c r="Q362" s="6">
        <v>0.75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2.2000000000000002</v>
      </c>
      <c r="AB362" s="6">
        <v>1.65</v>
      </c>
      <c r="AC362" s="6">
        <v>0.74999999999999989</v>
      </c>
      <c r="AD362" s="6">
        <v>-2.2000000000000028</v>
      </c>
      <c r="AE362" s="6">
        <v>2.2000000000000028</v>
      </c>
    </row>
    <row r="363" spans="2:31" ht="20" x14ac:dyDescent="0.25">
      <c r="B363" s="55"/>
      <c r="C363" s="55"/>
      <c r="D363" s="4" t="s">
        <v>595</v>
      </c>
      <c r="E363" s="4" t="s">
        <v>596</v>
      </c>
      <c r="F363" s="4" t="s">
        <v>51</v>
      </c>
      <c r="G363" s="4" t="s">
        <v>35</v>
      </c>
      <c r="H363" s="54" t="s">
        <v>36</v>
      </c>
      <c r="I363" s="52"/>
      <c r="J363" s="57">
        <v>98.76</v>
      </c>
      <c r="K363" s="52"/>
      <c r="L363" s="6">
        <v>90.562920000000005</v>
      </c>
      <c r="M363" s="6">
        <v>0.91700000000000004</v>
      </c>
      <c r="N363" s="6">
        <v>93.49</v>
      </c>
      <c r="O363" s="57">
        <v>85.730329999999995</v>
      </c>
      <c r="P363" s="52"/>
      <c r="Q363" s="6">
        <v>0.91700000000000004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5.27</v>
      </c>
      <c r="AB363" s="6">
        <v>4.8325899999999997</v>
      </c>
      <c r="AC363" s="6">
        <v>0.91700000000000004</v>
      </c>
      <c r="AD363" s="6">
        <v>-5.2700000000000102</v>
      </c>
      <c r="AE363" s="6">
        <v>5.2700000000000102</v>
      </c>
    </row>
    <row r="364" spans="2:31" ht="20" x14ac:dyDescent="0.25">
      <c r="B364" s="55"/>
      <c r="C364" s="55"/>
      <c r="D364" s="4" t="s">
        <v>597</v>
      </c>
      <c r="E364" s="4" t="s">
        <v>598</v>
      </c>
      <c r="F364" s="4" t="s">
        <v>51</v>
      </c>
      <c r="G364" s="4" t="s">
        <v>35</v>
      </c>
      <c r="H364" s="54" t="s">
        <v>48</v>
      </c>
      <c r="I364" s="52"/>
      <c r="J364" s="57">
        <v>20.6</v>
      </c>
      <c r="K364" s="52"/>
      <c r="L364" s="6">
        <v>15.45</v>
      </c>
      <c r="M364" s="6">
        <v>0.74999999999999989</v>
      </c>
      <c r="N364" s="6">
        <v>18.8</v>
      </c>
      <c r="O364" s="57">
        <v>14.1</v>
      </c>
      <c r="P364" s="52"/>
      <c r="Q364" s="6">
        <v>0.75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1.8</v>
      </c>
      <c r="AB364" s="6">
        <v>1.35</v>
      </c>
      <c r="AC364" s="6">
        <v>0.75</v>
      </c>
      <c r="AD364" s="6">
        <v>-1.8000000000000007</v>
      </c>
      <c r="AE364" s="6">
        <v>1.8000000000000007</v>
      </c>
    </row>
    <row r="365" spans="2:31" x14ac:dyDescent="0.25">
      <c r="B365" s="55"/>
      <c r="C365" s="55"/>
      <c r="D365" s="54" t="s">
        <v>599</v>
      </c>
      <c r="E365" s="4" t="s">
        <v>600</v>
      </c>
      <c r="F365" s="4" t="s">
        <v>51</v>
      </c>
      <c r="G365" s="4" t="s">
        <v>35</v>
      </c>
      <c r="H365" s="54" t="s">
        <v>36</v>
      </c>
      <c r="I365" s="52"/>
      <c r="J365" s="57">
        <v>8.44</v>
      </c>
      <c r="K365" s="52"/>
      <c r="L365" s="6">
        <v>7.7394800000000004</v>
      </c>
      <c r="M365" s="6">
        <v>0.91700000000000015</v>
      </c>
      <c r="N365" s="6">
        <v>7.77</v>
      </c>
      <c r="O365" s="57">
        <v>7.1250900000000001</v>
      </c>
      <c r="P365" s="52"/>
      <c r="Q365" s="6">
        <v>0.91700000000000004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0.67</v>
      </c>
      <c r="AB365" s="6">
        <v>0.61438999999999999</v>
      </c>
      <c r="AC365" s="6">
        <v>0.91699999999999993</v>
      </c>
      <c r="AD365" s="6">
        <v>-0.67</v>
      </c>
      <c r="AE365" s="6">
        <v>0.67</v>
      </c>
    </row>
    <row r="366" spans="2:31" x14ac:dyDescent="0.25">
      <c r="B366" s="55"/>
      <c r="C366" s="55"/>
      <c r="D366" s="55"/>
      <c r="E366" s="4" t="s">
        <v>601</v>
      </c>
      <c r="F366" s="4" t="s">
        <v>51</v>
      </c>
      <c r="G366" s="4" t="s">
        <v>35</v>
      </c>
      <c r="H366" s="54" t="s">
        <v>36</v>
      </c>
      <c r="I366" s="52"/>
      <c r="J366" s="57">
        <v>5.73</v>
      </c>
      <c r="K366" s="52"/>
      <c r="L366" s="6">
        <v>5.25441</v>
      </c>
      <c r="M366" s="6">
        <v>0.91699999999999993</v>
      </c>
      <c r="N366" s="6">
        <v>5.59</v>
      </c>
      <c r="O366" s="57">
        <v>5.1260300000000001</v>
      </c>
      <c r="P366" s="52"/>
      <c r="Q366" s="6">
        <v>0.91700000000000004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0.14000000000000001</v>
      </c>
      <c r="AB366" s="6">
        <v>0.12837999999999999</v>
      </c>
      <c r="AC366" s="6">
        <v>0.91699999999999982</v>
      </c>
      <c r="AD366" s="6">
        <v>-0.14000000000000057</v>
      </c>
      <c r="AE366" s="6">
        <v>0.14000000000000057</v>
      </c>
    </row>
    <row r="367" spans="2:31" x14ac:dyDescent="0.25">
      <c r="B367" s="55"/>
      <c r="C367" s="55"/>
      <c r="D367" s="55"/>
      <c r="E367" s="4" t="s">
        <v>602</v>
      </c>
      <c r="F367" s="4" t="s">
        <v>51</v>
      </c>
      <c r="G367" s="4" t="s">
        <v>35</v>
      </c>
      <c r="H367" s="54" t="s">
        <v>36</v>
      </c>
      <c r="I367" s="52"/>
      <c r="J367" s="57">
        <v>8.2200000000000006</v>
      </c>
      <c r="K367" s="52"/>
      <c r="L367" s="6">
        <v>7.5377400000000003</v>
      </c>
      <c r="M367" s="6">
        <v>0.91699999999999993</v>
      </c>
      <c r="N367" s="6">
        <v>7.89</v>
      </c>
      <c r="O367" s="57">
        <v>7.2351299999999998</v>
      </c>
      <c r="P367" s="52"/>
      <c r="Q367" s="6">
        <v>0.91700000000000004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0.33</v>
      </c>
      <c r="AB367" s="6">
        <v>0.30260999999999999</v>
      </c>
      <c r="AC367" s="6">
        <v>0.91699999999999993</v>
      </c>
      <c r="AD367" s="6">
        <v>-0.33000000000000096</v>
      </c>
      <c r="AE367" s="6">
        <v>0.33000000000000096</v>
      </c>
    </row>
    <row r="368" spans="2:31" x14ac:dyDescent="0.25">
      <c r="B368" s="55"/>
      <c r="C368" s="55"/>
      <c r="D368" s="55"/>
      <c r="E368" s="4" t="s">
        <v>603</v>
      </c>
      <c r="F368" s="4" t="s">
        <v>51</v>
      </c>
      <c r="G368" s="4" t="s">
        <v>35</v>
      </c>
      <c r="H368" s="54" t="s">
        <v>36</v>
      </c>
      <c r="I368" s="52"/>
      <c r="J368" s="57">
        <v>10.6501</v>
      </c>
      <c r="K368" s="52"/>
      <c r="L368" s="6">
        <v>9.7661417000000004</v>
      </c>
      <c r="M368" s="6">
        <v>0.91700000000000004</v>
      </c>
      <c r="N368" s="6">
        <v>10.199999999999999</v>
      </c>
      <c r="O368" s="57">
        <v>9.3534000000000006</v>
      </c>
      <c r="P368" s="52"/>
      <c r="Q368" s="6">
        <v>0.91700000000000015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0.4501</v>
      </c>
      <c r="AB368" s="6">
        <v>0.41274169999999999</v>
      </c>
      <c r="AC368" s="6">
        <v>0.91699999999999993</v>
      </c>
      <c r="AD368" s="6">
        <v>-0.45010000000000083</v>
      </c>
      <c r="AE368" s="6">
        <v>0.45010000000000083</v>
      </c>
    </row>
    <row r="369" spans="2:31" x14ac:dyDescent="0.25">
      <c r="B369" s="55"/>
      <c r="C369" s="55"/>
      <c r="D369" s="56"/>
      <c r="E369" s="4" t="s">
        <v>459</v>
      </c>
      <c r="F369" s="4" t="s">
        <v>51</v>
      </c>
      <c r="G369" s="4" t="s">
        <v>35</v>
      </c>
      <c r="H369" s="54" t="s">
        <v>48</v>
      </c>
      <c r="I369" s="52"/>
      <c r="J369" s="57">
        <v>21.89</v>
      </c>
      <c r="K369" s="52"/>
      <c r="L369" s="6">
        <v>16.4175</v>
      </c>
      <c r="M369" s="6">
        <v>0.75</v>
      </c>
      <c r="N369" s="6">
        <v>20.399999999999999</v>
      </c>
      <c r="O369" s="57">
        <v>15.3</v>
      </c>
      <c r="P369" s="52"/>
      <c r="Q369" s="6">
        <v>0.75000000000000011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1.49</v>
      </c>
      <c r="AB369" s="6">
        <v>1.1174999999999999</v>
      </c>
      <c r="AC369" s="6">
        <v>0.75</v>
      </c>
      <c r="AD369" s="6">
        <v>-1.490000000000002</v>
      </c>
      <c r="AE369" s="6">
        <v>1.490000000000002</v>
      </c>
    </row>
    <row r="370" spans="2:31" x14ac:dyDescent="0.25">
      <c r="B370" s="55"/>
      <c r="C370" s="55"/>
      <c r="D370" s="54" t="s">
        <v>604</v>
      </c>
      <c r="E370" s="4" t="s">
        <v>605</v>
      </c>
      <c r="F370" s="4" t="s">
        <v>51</v>
      </c>
      <c r="G370" s="4" t="s">
        <v>35</v>
      </c>
      <c r="H370" s="54" t="s">
        <v>48</v>
      </c>
      <c r="I370" s="52"/>
      <c r="J370" s="57">
        <v>63.47</v>
      </c>
      <c r="K370" s="52"/>
      <c r="L370" s="6">
        <v>47.602499999999999</v>
      </c>
      <c r="M370" s="6">
        <v>0.75</v>
      </c>
      <c r="N370" s="6">
        <v>59.33</v>
      </c>
      <c r="O370" s="57">
        <v>44.497500000000002</v>
      </c>
      <c r="P370" s="52"/>
      <c r="Q370" s="6">
        <v>0.75000000000000011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4.1399999999999997</v>
      </c>
      <c r="AB370" s="6">
        <v>3.105</v>
      </c>
      <c r="AC370" s="6">
        <v>0.75</v>
      </c>
      <c r="AD370" s="6">
        <v>-4.1400000000000006</v>
      </c>
      <c r="AE370" s="6">
        <v>4.1400000000000006</v>
      </c>
    </row>
    <row r="371" spans="2:31" x14ac:dyDescent="0.25">
      <c r="B371" s="55"/>
      <c r="C371" s="55"/>
      <c r="D371" s="55"/>
      <c r="E371" s="4" t="s">
        <v>606</v>
      </c>
      <c r="F371" s="4" t="s">
        <v>51</v>
      </c>
      <c r="G371" s="4" t="s">
        <v>35</v>
      </c>
      <c r="H371" s="54" t="s">
        <v>48</v>
      </c>
      <c r="I371" s="52"/>
      <c r="J371" s="57">
        <v>22.72</v>
      </c>
      <c r="K371" s="52"/>
      <c r="L371" s="6">
        <v>17.04</v>
      </c>
      <c r="M371" s="6">
        <v>0.75</v>
      </c>
      <c r="N371" s="6">
        <v>21.92</v>
      </c>
      <c r="O371" s="57">
        <v>16.440000000000001</v>
      </c>
      <c r="P371" s="52"/>
      <c r="Q371" s="6">
        <v>0.75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0.8</v>
      </c>
      <c r="AB371" s="6">
        <v>0.6</v>
      </c>
      <c r="AC371" s="6">
        <v>0.74999999999999989</v>
      </c>
      <c r="AD371" s="6">
        <v>-0.79999999999999716</v>
      </c>
      <c r="AE371" s="6">
        <v>0.79999999999999716</v>
      </c>
    </row>
    <row r="372" spans="2:31" x14ac:dyDescent="0.25">
      <c r="B372" s="55"/>
      <c r="C372" s="55"/>
      <c r="D372" s="55"/>
      <c r="E372" s="4" t="s">
        <v>607</v>
      </c>
      <c r="F372" s="4" t="s">
        <v>51</v>
      </c>
      <c r="G372" s="4" t="s">
        <v>35</v>
      </c>
      <c r="H372" s="54" t="s">
        <v>48</v>
      </c>
      <c r="I372" s="52"/>
      <c r="J372" s="57">
        <v>20.71</v>
      </c>
      <c r="K372" s="52"/>
      <c r="L372" s="6">
        <v>15.532500000000001</v>
      </c>
      <c r="M372" s="6">
        <v>0.75</v>
      </c>
      <c r="N372" s="6">
        <v>19.12</v>
      </c>
      <c r="O372" s="57">
        <v>14.34</v>
      </c>
      <c r="P372" s="52"/>
      <c r="Q372" s="6">
        <v>0.75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1.59</v>
      </c>
      <c r="AB372" s="6">
        <v>1.1924999999999999</v>
      </c>
      <c r="AC372" s="6">
        <v>0.74999999999999989</v>
      </c>
      <c r="AD372" s="6">
        <v>-1.59</v>
      </c>
      <c r="AE372" s="6">
        <v>1.59</v>
      </c>
    </row>
    <row r="373" spans="2:31" x14ac:dyDescent="0.25">
      <c r="B373" s="55"/>
      <c r="C373" s="55"/>
      <c r="D373" s="56"/>
      <c r="E373" s="4" t="s">
        <v>608</v>
      </c>
      <c r="F373" s="4" t="s">
        <v>51</v>
      </c>
      <c r="G373" s="4" t="s">
        <v>35</v>
      </c>
      <c r="H373" s="54" t="s">
        <v>36</v>
      </c>
      <c r="I373" s="52"/>
      <c r="J373" s="57">
        <v>131.09</v>
      </c>
      <c r="K373" s="52"/>
      <c r="L373" s="6">
        <v>120.20953</v>
      </c>
      <c r="M373" s="6">
        <v>0.91700000000000004</v>
      </c>
      <c r="N373" s="6">
        <v>124.48</v>
      </c>
      <c r="O373" s="57">
        <v>114.14816</v>
      </c>
      <c r="P373" s="52"/>
      <c r="Q373" s="6">
        <v>0.91700000000000004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6.61</v>
      </c>
      <c r="AB373" s="6">
        <v>6.0613700000000001</v>
      </c>
      <c r="AC373" s="6">
        <v>0.91699999999999993</v>
      </c>
      <c r="AD373" s="6">
        <v>-6.61</v>
      </c>
      <c r="AE373" s="6">
        <v>6.61</v>
      </c>
    </row>
    <row r="374" spans="2:31" ht="20" x14ac:dyDescent="0.25">
      <c r="B374" s="55"/>
      <c r="C374" s="55"/>
      <c r="D374" s="4" t="s">
        <v>609</v>
      </c>
      <c r="E374" s="4" t="s">
        <v>610</v>
      </c>
      <c r="F374" s="4" t="s">
        <v>51</v>
      </c>
      <c r="G374" s="4" t="s">
        <v>35</v>
      </c>
      <c r="H374" s="54" t="s">
        <v>48</v>
      </c>
      <c r="I374" s="52"/>
      <c r="J374" s="57">
        <v>21.75</v>
      </c>
      <c r="K374" s="52"/>
      <c r="L374" s="6">
        <v>16.3125</v>
      </c>
      <c r="M374" s="6">
        <v>0.75</v>
      </c>
      <c r="N374" s="6">
        <v>19.98</v>
      </c>
      <c r="O374" s="57">
        <v>14.984999999999999</v>
      </c>
      <c r="P374" s="52"/>
      <c r="Q374" s="6">
        <v>0.75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1.77</v>
      </c>
      <c r="AB374" s="6">
        <v>1.3274999999999999</v>
      </c>
      <c r="AC374" s="6">
        <v>0.74999999999999989</v>
      </c>
      <c r="AD374" s="6">
        <v>-1.7699999999999996</v>
      </c>
      <c r="AE374" s="6">
        <v>1.7699999999999996</v>
      </c>
    </row>
    <row r="375" spans="2:31" ht="20" x14ac:dyDescent="0.25">
      <c r="B375" s="55"/>
      <c r="C375" s="55"/>
      <c r="D375" s="4" t="s">
        <v>611</v>
      </c>
      <c r="E375" s="4" t="s">
        <v>612</v>
      </c>
      <c r="F375" s="4" t="s">
        <v>51</v>
      </c>
      <c r="G375" s="4" t="s">
        <v>35</v>
      </c>
      <c r="H375" s="54" t="s">
        <v>41</v>
      </c>
      <c r="I375" s="52"/>
      <c r="J375" s="57">
        <v>2.056</v>
      </c>
      <c r="K375" s="52"/>
      <c r="L375" s="6">
        <v>1.542</v>
      </c>
      <c r="M375" s="6">
        <v>0.75</v>
      </c>
      <c r="N375" s="6">
        <v>1.8859999999999999</v>
      </c>
      <c r="O375" s="57">
        <v>1.4145000000000001</v>
      </c>
      <c r="P375" s="52"/>
      <c r="Q375" s="6">
        <v>0.75000000000000011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0.17</v>
      </c>
      <c r="AB375" s="6">
        <v>0.1275</v>
      </c>
      <c r="AC375" s="6">
        <v>0.75</v>
      </c>
      <c r="AD375" s="6">
        <v>-0.17000000000000015</v>
      </c>
      <c r="AE375" s="6">
        <v>0.17000000000000015</v>
      </c>
    </row>
    <row r="376" spans="2:31" ht="20" x14ac:dyDescent="0.25">
      <c r="B376" s="55"/>
      <c r="C376" s="55"/>
      <c r="D376" s="4" t="s">
        <v>613</v>
      </c>
      <c r="E376" s="4" t="s">
        <v>614</v>
      </c>
      <c r="F376" s="4" t="s">
        <v>51</v>
      </c>
      <c r="G376" s="4" t="s">
        <v>35</v>
      </c>
      <c r="H376" s="54" t="s">
        <v>41</v>
      </c>
      <c r="I376" s="52"/>
      <c r="J376" s="57">
        <v>2.19</v>
      </c>
      <c r="K376" s="52"/>
      <c r="L376" s="6">
        <v>1.6425000000000001</v>
      </c>
      <c r="M376" s="6">
        <v>0.75</v>
      </c>
      <c r="N376" s="6">
        <v>2.0499999999999998</v>
      </c>
      <c r="O376" s="57">
        <v>1.5375000000000001</v>
      </c>
      <c r="P376" s="52"/>
      <c r="Q376" s="6">
        <v>0.75000000000000011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0.14000000000000001</v>
      </c>
      <c r="AB376" s="6">
        <v>0.105</v>
      </c>
      <c r="AC376" s="6">
        <v>0.74999999999999989</v>
      </c>
      <c r="AD376" s="6">
        <v>-0.14000000000000012</v>
      </c>
      <c r="AE376" s="6">
        <v>0.14000000000000012</v>
      </c>
    </row>
    <row r="377" spans="2:31" ht="20" x14ac:dyDescent="0.25">
      <c r="B377" s="55"/>
      <c r="C377" s="55"/>
      <c r="D377" s="4" t="s">
        <v>615</v>
      </c>
      <c r="E377" s="4" t="s">
        <v>616</v>
      </c>
      <c r="F377" s="4" t="s">
        <v>51</v>
      </c>
      <c r="G377" s="4" t="s">
        <v>35</v>
      </c>
      <c r="H377" s="54" t="s">
        <v>48</v>
      </c>
      <c r="I377" s="52"/>
      <c r="J377" s="57">
        <v>14.29</v>
      </c>
      <c r="K377" s="52"/>
      <c r="L377" s="6">
        <v>10.717499999999999</v>
      </c>
      <c r="M377" s="6">
        <v>0.75</v>
      </c>
      <c r="N377" s="6">
        <v>13.56</v>
      </c>
      <c r="O377" s="57">
        <v>10.17</v>
      </c>
      <c r="P377" s="52"/>
      <c r="Q377" s="6">
        <v>0.75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0.73</v>
      </c>
      <c r="AB377" s="6">
        <v>0.54749999999999999</v>
      </c>
      <c r="AC377" s="6">
        <v>0.75</v>
      </c>
      <c r="AD377" s="6">
        <v>-0.72999999999999865</v>
      </c>
      <c r="AE377" s="6">
        <v>0.72999999999999865</v>
      </c>
    </row>
    <row r="378" spans="2:31" ht="20" x14ac:dyDescent="0.25">
      <c r="B378" s="55"/>
      <c r="C378" s="55"/>
      <c r="D378" s="4" t="s">
        <v>617</v>
      </c>
      <c r="E378" s="4" t="s">
        <v>618</v>
      </c>
      <c r="F378" s="4" t="s">
        <v>51</v>
      </c>
      <c r="G378" s="4" t="s">
        <v>35</v>
      </c>
      <c r="H378" s="54" t="s">
        <v>36</v>
      </c>
      <c r="I378" s="52"/>
      <c r="J378" s="57">
        <v>90.88</v>
      </c>
      <c r="K378" s="52"/>
      <c r="L378" s="6">
        <v>83.336960000000005</v>
      </c>
      <c r="M378" s="6">
        <v>0.91700000000000015</v>
      </c>
      <c r="N378" s="6">
        <v>86.31</v>
      </c>
      <c r="O378" s="57">
        <v>79.146270000000001</v>
      </c>
      <c r="P378" s="52"/>
      <c r="Q378" s="6">
        <v>0.91700000000000004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4.57</v>
      </c>
      <c r="AB378" s="6">
        <v>4.19069</v>
      </c>
      <c r="AC378" s="6">
        <v>0.91699999999999993</v>
      </c>
      <c r="AD378" s="6">
        <v>-4.5699999999999932</v>
      </c>
      <c r="AE378" s="6">
        <v>4.5699999999999932</v>
      </c>
    </row>
    <row r="379" spans="2:31" ht="20" x14ac:dyDescent="0.25">
      <c r="B379" s="55"/>
      <c r="C379" s="55"/>
      <c r="D379" s="4" t="s">
        <v>619</v>
      </c>
      <c r="E379" s="4" t="s">
        <v>620</v>
      </c>
      <c r="F379" s="4" t="s">
        <v>51</v>
      </c>
      <c r="G379" s="4" t="s">
        <v>35</v>
      </c>
      <c r="H379" s="54" t="s">
        <v>41</v>
      </c>
      <c r="I379" s="52"/>
      <c r="J379" s="57">
        <v>6.66</v>
      </c>
      <c r="K379" s="52"/>
      <c r="L379" s="6">
        <v>4.9950000000000001</v>
      </c>
      <c r="M379" s="6">
        <v>0.75</v>
      </c>
      <c r="N379" s="6">
        <v>5.86</v>
      </c>
      <c r="O379" s="57">
        <v>4.3949999999999996</v>
      </c>
      <c r="P379" s="52"/>
      <c r="Q379" s="6">
        <v>0.74999999999999989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0.8</v>
      </c>
      <c r="AB379" s="6">
        <v>0.6</v>
      </c>
      <c r="AC379" s="6">
        <v>0.74999999999999989</v>
      </c>
      <c r="AD379" s="6">
        <v>-0.79999999999999982</v>
      </c>
      <c r="AE379" s="6">
        <v>0.79999999999999982</v>
      </c>
    </row>
    <row r="380" spans="2:31" ht="20" x14ac:dyDescent="0.25">
      <c r="B380" s="55"/>
      <c r="C380" s="55"/>
      <c r="D380" s="4" t="s">
        <v>621</v>
      </c>
      <c r="E380" s="4" t="s">
        <v>622</v>
      </c>
      <c r="F380" s="4" t="s">
        <v>51</v>
      </c>
      <c r="G380" s="4" t="s">
        <v>35</v>
      </c>
      <c r="H380" s="54" t="s">
        <v>41</v>
      </c>
      <c r="I380" s="52"/>
      <c r="J380" s="57">
        <v>2.66</v>
      </c>
      <c r="K380" s="52"/>
      <c r="L380" s="6">
        <v>1.9950000000000001</v>
      </c>
      <c r="M380" s="6">
        <v>0.75</v>
      </c>
      <c r="N380" s="6">
        <v>2.34</v>
      </c>
      <c r="O380" s="57">
        <v>1.7549999999999999</v>
      </c>
      <c r="P380" s="52"/>
      <c r="Q380" s="6">
        <v>0.75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0.32</v>
      </c>
      <c r="AB380" s="6">
        <v>0.24</v>
      </c>
      <c r="AC380" s="6">
        <v>0.75</v>
      </c>
      <c r="AD380" s="6">
        <v>-0.32000000000000028</v>
      </c>
      <c r="AE380" s="6">
        <v>0.32000000000000028</v>
      </c>
    </row>
    <row r="381" spans="2:31" ht="20" x14ac:dyDescent="0.25">
      <c r="B381" s="55"/>
      <c r="C381" s="55"/>
      <c r="D381" s="4" t="s">
        <v>623</v>
      </c>
      <c r="E381" s="4" t="s">
        <v>624</v>
      </c>
      <c r="F381" s="4" t="s">
        <v>51</v>
      </c>
      <c r="G381" s="4" t="s">
        <v>35</v>
      </c>
      <c r="H381" s="54" t="s">
        <v>48</v>
      </c>
      <c r="I381" s="52"/>
      <c r="J381" s="57">
        <v>63.38</v>
      </c>
      <c r="K381" s="52"/>
      <c r="L381" s="6">
        <v>47.534999999999997</v>
      </c>
      <c r="M381" s="6">
        <v>0.74999999999999989</v>
      </c>
      <c r="N381" s="6">
        <v>59.44</v>
      </c>
      <c r="O381" s="57">
        <v>44.58</v>
      </c>
      <c r="P381" s="52"/>
      <c r="Q381" s="6">
        <v>0.75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3.94</v>
      </c>
      <c r="AB381" s="6">
        <v>2.9550000000000001</v>
      </c>
      <c r="AC381" s="6">
        <v>0.75</v>
      </c>
      <c r="AD381" s="6">
        <v>-3.9400000000000048</v>
      </c>
      <c r="AE381" s="6">
        <v>3.9400000000000048</v>
      </c>
    </row>
    <row r="382" spans="2:31" x14ac:dyDescent="0.25">
      <c r="B382" s="55"/>
      <c r="C382" s="55"/>
      <c r="D382" s="54" t="s">
        <v>625</v>
      </c>
      <c r="E382" s="4" t="s">
        <v>626</v>
      </c>
      <c r="F382" s="4" t="s">
        <v>51</v>
      </c>
      <c r="G382" s="4" t="s">
        <v>35</v>
      </c>
      <c r="H382" s="54" t="s">
        <v>36</v>
      </c>
      <c r="I382" s="52"/>
      <c r="J382" s="57">
        <v>16.809999999999999</v>
      </c>
      <c r="K382" s="52"/>
      <c r="L382" s="6">
        <v>15.414770000000001</v>
      </c>
      <c r="M382" s="6">
        <v>0.91700000000000015</v>
      </c>
      <c r="N382" s="6">
        <v>16.53</v>
      </c>
      <c r="O382" s="57">
        <v>15.158010000000001</v>
      </c>
      <c r="P382" s="52"/>
      <c r="Q382" s="6">
        <v>0.91700000000000004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0.28000000000000003</v>
      </c>
      <c r="AB382" s="6">
        <v>0.25675999999999999</v>
      </c>
      <c r="AC382" s="6">
        <v>0.91699999999999982</v>
      </c>
      <c r="AD382" s="6">
        <v>-0.27999999999999758</v>
      </c>
      <c r="AE382" s="6">
        <v>0.27999999999999758</v>
      </c>
    </row>
    <row r="383" spans="2:31" x14ac:dyDescent="0.25">
      <c r="B383" s="55"/>
      <c r="C383" s="55"/>
      <c r="D383" s="56"/>
      <c r="E383" s="4" t="s">
        <v>627</v>
      </c>
      <c r="F383" s="4" t="s">
        <v>51</v>
      </c>
      <c r="G383" s="4" t="s">
        <v>35</v>
      </c>
      <c r="H383" s="54" t="s">
        <v>36</v>
      </c>
      <c r="I383" s="52"/>
      <c r="J383" s="57">
        <v>18.100000000000001</v>
      </c>
      <c r="K383" s="52"/>
      <c r="L383" s="6">
        <v>16.5977</v>
      </c>
      <c r="M383" s="6">
        <v>0.91699999999999993</v>
      </c>
      <c r="N383" s="6">
        <v>17.73</v>
      </c>
      <c r="O383" s="57">
        <v>16.258410000000001</v>
      </c>
      <c r="P383" s="52"/>
      <c r="Q383" s="6">
        <v>0.91700000000000004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0.37</v>
      </c>
      <c r="AB383" s="6">
        <v>0.33928999999999998</v>
      </c>
      <c r="AC383" s="6">
        <v>0.91699999999999993</v>
      </c>
      <c r="AD383" s="6">
        <v>-0.37000000000000099</v>
      </c>
      <c r="AE383" s="6">
        <v>0.37000000000000099</v>
      </c>
    </row>
    <row r="384" spans="2:31" ht="20" x14ac:dyDescent="0.25">
      <c r="B384" s="55"/>
      <c r="C384" s="55"/>
      <c r="D384" s="4" t="s">
        <v>628</v>
      </c>
      <c r="E384" s="4" t="s">
        <v>629</v>
      </c>
      <c r="F384" s="4" t="s">
        <v>51</v>
      </c>
      <c r="G384" s="4" t="s">
        <v>35</v>
      </c>
      <c r="H384" s="54" t="s">
        <v>48</v>
      </c>
      <c r="I384" s="52"/>
      <c r="J384" s="57">
        <v>51.5</v>
      </c>
      <c r="K384" s="52"/>
      <c r="L384" s="6">
        <v>38.625</v>
      </c>
      <c r="M384" s="6">
        <v>0.75</v>
      </c>
      <c r="N384" s="6">
        <v>45.88</v>
      </c>
      <c r="O384" s="57">
        <v>34.409999999999997</v>
      </c>
      <c r="P384" s="52"/>
      <c r="Q384" s="6">
        <v>0.74999999999999989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5.62</v>
      </c>
      <c r="AB384" s="6">
        <v>4.2149999999999999</v>
      </c>
      <c r="AC384" s="6">
        <v>0.75</v>
      </c>
      <c r="AD384" s="6">
        <v>-5.6199999999999974</v>
      </c>
      <c r="AE384" s="6">
        <v>5.6199999999999974</v>
      </c>
    </row>
    <row r="385" spans="2:31" ht="20" x14ac:dyDescent="0.25">
      <c r="B385" s="55"/>
      <c r="C385" s="55"/>
      <c r="D385" s="4" t="s">
        <v>630</v>
      </c>
      <c r="E385" s="4" t="s">
        <v>631</v>
      </c>
      <c r="F385" s="4" t="s">
        <v>51</v>
      </c>
      <c r="G385" s="4" t="s">
        <v>35</v>
      </c>
      <c r="H385" s="54" t="s">
        <v>48</v>
      </c>
      <c r="I385" s="52"/>
      <c r="J385" s="57">
        <v>14.55</v>
      </c>
      <c r="K385" s="52"/>
      <c r="L385" s="6">
        <v>10.9125</v>
      </c>
      <c r="M385" s="6">
        <v>0.74999999999999989</v>
      </c>
      <c r="N385" s="6">
        <v>12.75</v>
      </c>
      <c r="O385" s="57">
        <v>9.5625</v>
      </c>
      <c r="P385" s="52"/>
      <c r="Q385" s="6">
        <v>0.75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1.8</v>
      </c>
      <c r="AB385" s="6">
        <v>1.35</v>
      </c>
      <c r="AC385" s="6">
        <v>0.75</v>
      </c>
      <c r="AD385" s="6">
        <v>-1.8000000000000007</v>
      </c>
      <c r="AE385" s="6">
        <v>1.8000000000000007</v>
      </c>
    </row>
    <row r="386" spans="2:31" ht="20" x14ac:dyDescent="0.25">
      <c r="B386" s="55"/>
      <c r="C386" s="56"/>
      <c r="D386" s="4" t="s">
        <v>632</v>
      </c>
      <c r="E386" s="4" t="s">
        <v>633</v>
      </c>
      <c r="F386" s="4" t="s">
        <v>51</v>
      </c>
      <c r="G386" s="4" t="s">
        <v>35</v>
      </c>
      <c r="H386" s="54" t="s">
        <v>36</v>
      </c>
      <c r="I386" s="52"/>
      <c r="J386" s="57">
        <v>11.56</v>
      </c>
      <c r="K386" s="52"/>
      <c r="L386" s="6">
        <v>10.600519999999999</v>
      </c>
      <c r="M386" s="6">
        <v>0.91699999999999993</v>
      </c>
      <c r="N386" s="6">
        <v>11.03</v>
      </c>
      <c r="O386" s="57">
        <v>10.114509999999999</v>
      </c>
      <c r="P386" s="52"/>
      <c r="Q386" s="6">
        <v>0.91700000000000004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0.53</v>
      </c>
      <c r="AB386" s="6">
        <v>0.48601</v>
      </c>
      <c r="AC386" s="6">
        <v>0.91699999999999993</v>
      </c>
      <c r="AD386" s="6">
        <v>-0.53000000000000114</v>
      </c>
      <c r="AE386" s="6">
        <v>0.53000000000000114</v>
      </c>
    </row>
    <row r="387" spans="2:31" x14ac:dyDescent="0.25">
      <c r="B387" s="55"/>
      <c r="C387" s="58">
        <v>46178</v>
      </c>
      <c r="D387" s="4" t="s">
        <v>634</v>
      </c>
      <c r="E387" s="4" t="s">
        <v>635</v>
      </c>
      <c r="F387" s="4" t="s">
        <v>34</v>
      </c>
      <c r="G387" s="4" t="s">
        <v>35</v>
      </c>
      <c r="H387" s="54" t="s">
        <v>48</v>
      </c>
      <c r="I387" s="52"/>
      <c r="J387" s="57">
        <v>115.4</v>
      </c>
      <c r="K387" s="52"/>
      <c r="L387" s="6">
        <v>86.55</v>
      </c>
      <c r="M387" s="6">
        <v>0.74999999999999989</v>
      </c>
      <c r="N387" s="6">
        <v>101.24</v>
      </c>
      <c r="O387" s="57">
        <v>75.930000000000007</v>
      </c>
      <c r="P387" s="52"/>
      <c r="Q387" s="6">
        <v>0.75000000000000011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14.16</v>
      </c>
      <c r="AB387" s="6">
        <v>10.62</v>
      </c>
      <c r="AC387" s="6">
        <v>0.74999999999999989</v>
      </c>
      <c r="AD387" s="6">
        <v>-14.160000000000011</v>
      </c>
      <c r="AE387" s="6">
        <v>14.160000000000011</v>
      </c>
    </row>
    <row r="388" spans="2:31" x14ac:dyDescent="0.25">
      <c r="B388" s="55"/>
      <c r="C388" s="55"/>
      <c r="D388" s="4" t="s">
        <v>636</v>
      </c>
      <c r="E388" s="4" t="s">
        <v>637</v>
      </c>
      <c r="F388" s="4" t="s">
        <v>34</v>
      </c>
      <c r="G388" s="4" t="s">
        <v>35</v>
      </c>
      <c r="H388" s="54" t="s">
        <v>48</v>
      </c>
      <c r="I388" s="52"/>
      <c r="J388" s="57">
        <v>164.59</v>
      </c>
      <c r="K388" s="52"/>
      <c r="L388" s="6">
        <v>123.4425</v>
      </c>
      <c r="M388" s="6">
        <v>0.75</v>
      </c>
      <c r="N388" s="6">
        <v>151.83000000000001</v>
      </c>
      <c r="O388" s="57">
        <v>113.8725</v>
      </c>
      <c r="P388" s="52"/>
      <c r="Q388" s="6">
        <v>0.75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12.76</v>
      </c>
      <c r="AB388" s="6">
        <v>9.57</v>
      </c>
      <c r="AC388" s="6">
        <v>0.75</v>
      </c>
      <c r="AD388" s="6">
        <v>-12.759999999999991</v>
      </c>
      <c r="AE388" s="6">
        <v>12.759999999999991</v>
      </c>
    </row>
    <row r="389" spans="2:31" x14ac:dyDescent="0.25">
      <c r="B389" s="55"/>
      <c r="C389" s="55"/>
      <c r="D389" s="4" t="s">
        <v>638</v>
      </c>
      <c r="E389" s="4" t="s">
        <v>639</v>
      </c>
      <c r="F389" s="4" t="s">
        <v>34</v>
      </c>
      <c r="G389" s="4" t="s">
        <v>35</v>
      </c>
      <c r="H389" s="54" t="s">
        <v>48</v>
      </c>
      <c r="I389" s="52"/>
      <c r="J389" s="57">
        <v>85.16</v>
      </c>
      <c r="K389" s="52"/>
      <c r="L389" s="6">
        <v>63.87</v>
      </c>
      <c r="M389" s="6">
        <v>0.75</v>
      </c>
      <c r="N389" s="6">
        <v>76.84</v>
      </c>
      <c r="O389" s="57">
        <v>57.63</v>
      </c>
      <c r="P389" s="52"/>
      <c r="Q389" s="6">
        <v>0.75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8.32</v>
      </c>
      <c r="AB389" s="6">
        <v>6.24</v>
      </c>
      <c r="AC389" s="6">
        <v>0.75</v>
      </c>
      <c r="AD389" s="6">
        <v>-8.3199999999999932</v>
      </c>
      <c r="AE389" s="6">
        <v>8.3199999999999932</v>
      </c>
    </row>
    <row r="390" spans="2:31" x14ac:dyDescent="0.25">
      <c r="B390" s="55"/>
      <c r="C390" s="55"/>
      <c r="D390" s="4" t="s">
        <v>640</v>
      </c>
      <c r="E390" s="4" t="s">
        <v>641</v>
      </c>
      <c r="F390" s="4" t="s">
        <v>34</v>
      </c>
      <c r="G390" s="4" t="s">
        <v>35</v>
      </c>
      <c r="H390" s="54" t="s">
        <v>48</v>
      </c>
      <c r="I390" s="52"/>
      <c r="J390" s="57">
        <v>113.03</v>
      </c>
      <c r="K390" s="52"/>
      <c r="L390" s="6">
        <v>84.772499999999994</v>
      </c>
      <c r="M390" s="6">
        <v>0.74999999999999989</v>
      </c>
      <c r="N390" s="6">
        <v>101.34</v>
      </c>
      <c r="O390" s="57">
        <v>76.004999999999995</v>
      </c>
      <c r="P390" s="52"/>
      <c r="Q390" s="6">
        <v>0.74999999999999989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11.69</v>
      </c>
      <c r="AB390" s="6">
        <v>8.7675000000000001</v>
      </c>
      <c r="AC390" s="6">
        <v>0.75</v>
      </c>
      <c r="AD390" s="6">
        <v>-11.689999999999998</v>
      </c>
      <c r="AE390" s="6">
        <v>11.689999999999998</v>
      </c>
    </row>
    <row r="391" spans="2:31" x14ac:dyDescent="0.25">
      <c r="B391" s="55"/>
      <c r="C391" s="55"/>
      <c r="D391" s="4" t="s">
        <v>642</v>
      </c>
      <c r="E391" s="4" t="s">
        <v>643</v>
      </c>
      <c r="F391" s="4" t="s">
        <v>34</v>
      </c>
      <c r="G391" s="4" t="s">
        <v>35</v>
      </c>
      <c r="H391" s="54" t="s">
        <v>36</v>
      </c>
      <c r="I391" s="52"/>
      <c r="J391" s="57">
        <v>110.24</v>
      </c>
      <c r="K391" s="52"/>
      <c r="L391" s="6">
        <v>101.09008</v>
      </c>
      <c r="M391" s="6">
        <v>0.91700000000000004</v>
      </c>
      <c r="N391" s="6">
        <v>110.24</v>
      </c>
      <c r="O391" s="57">
        <v>101.09008</v>
      </c>
      <c r="P391" s="52"/>
      <c r="Q391" s="6">
        <v>0.91700000000000004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</row>
    <row r="392" spans="2:31" x14ac:dyDescent="0.25">
      <c r="B392" s="55"/>
      <c r="C392" s="55"/>
      <c r="D392" s="4" t="s">
        <v>644</v>
      </c>
      <c r="E392" s="4" t="s">
        <v>645</v>
      </c>
      <c r="F392" s="4" t="s">
        <v>34</v>
      </c>
      <c r="G392" s="4" t="s">
        <v>35</v>
      </c>
      <c r="H392" s="54" t="s">
        <v>36</v>
      </c>
      <c r="I392" s="52"/>
      <c r="J392" s="57">
        <v>200.54</v>
      </c>
      <c r="K392" s="52"/>
      <c r="L392" s="6">
        <v>183.89518000000001</v>
      </c>
      <c r="M392" s="6">
        <v>0.91700000000000004</v>
      </c>
      <c r="N392" s="6">
        <v>182.99</v>
      </c>
      <c r="O392" s="57">
        <v>167.80183</v>
      </c>
      <c r="P392" s="52"/>
      <c r="Q392" s="6">
        <v>0.91699999999999993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17.55</v>
      </c>
      <c r="AB392" s="6">
        <v>16.093350000000001</v>
      </c>
      <c r="AC392" s="6">
        <v>0.91700000000000004</v>
      </c>
      <c r="AD392" s="6">
        <v>-17.549999999999983</v>
      </c>
      <c r="AE392" s="6">
        <v>17.549999999999983</v>
      </c>
    </row>
    <row r="393" spans="2:31" x14ac:dyDescent="0.25">
      <c r="B393" s="55"/>
      <c r="C393" s="55"/>
      <c r="D393" s="4" t="s">
        <v>646</v>
      </c>
      <c r="E393" s="4" t="s">
        <v>338</v>
      </c>
      <c r="F393" s="4"/>
      <c r="G393" s="4" t="s">
        <v>35</v>
      </c>
      <c r="H393" s="54" t="s">
        <v>36</v>
      </c>
      <c r="I393" s="52"/>
      <c r="J393" s="57">
        <v>15.3</v>
      </c>
      <c r="K393" s="52"/>
      <c r="L393" s="6">
        <v>14.030099999999999</v>
      </c>
      <c r="M393" s="6">
        <v>0.91699999999999993</v>
      </c>
      <c r="N393" s="6">
        <v>11.75</v>
      </c>
      <c r="O393" s="57">
        <v>10.774749999999999</v>
      </c>
      <c r="P393" s="52"/>
      <c r="Q393" s="6">
        <v>0.91699999999999993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3.55</v>
      </c>
      <c r="AB393" s="6">
        <v>3.25535</v>
      </c>
      <c r="AC393" s="6">
        <v>0.91700000000000004</v>
      </c>
      <c r="AD393" s="6">
        <v>-3.5500000000000007</v>
      </c>
      <c r="AE393" s="6">
        <v>3.5500000000000007</v>
      </c>
    </row>
    <row r="394" spans="2:31" ht="20" x14ac:dyDescent="0.25">
      <c r="B394" s="55"/>
      <c r="C394" s="55"/>
      <c r="D394" s="4" t="s">
        <v>647</v>
      </c>
      <c r="E394" s="4" t="s">
        <v>648</v>
      </c>
      <c r="F394" s="4" t="s">
        <v>51</v>
      </c>
      <c r="G394" s="4" t="s">
        <v>35</v>
      </c>
      <c r="H394" s="54" t="s">
        <v>36</v>
      </c>
      <c r="I394" s="52"/>
      <c r="J394" s="57">
        <v>102.39</v>
      </c>
      <c r="K394" s="52"/>
      <c r="L394" s="6">
        <v>93.891630000000006</v>
      </c>
      <c r="M394" s="6">
        <v>0.91700000000000004</v>
      </c>
      <c r="N394" s="6">
        <v>98.48</v>
      </c>
      <c r="O394" s="57">
        <v>90.306160000000006</v>
      </c>
      <c r="P394" s="52"/>
      <c r="Q394" s="6">
        <v>0.91700000000000004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3.91</v>
      </c>
      <c r="AB394" s="6">
        <v>3.5854699999999999</v>
      </c>
      <c r="AC394" s="6">
        <v>0.91699999999999993</v>
      </c>
      <c r="AD394" s="6">
        <v>-3.9099999999999966</v>
      </c>
      <c r="AE394" s="6">
        <v>3.9099999999999966</v>
      </c>
    </row>
    <row r="395" spans="2:31" ht="20" x14ac:dyDescent="0.25">
      <c r="B395" s="55"/>
      <c r="C395" s="55"/>
      <c r="D395" s="4" t="s">
        <v>649</v>
      </c>
      <c r="E395" s="4" t="s">
        <v>650</v>
      </c>
      <c r="F395" s="4" t="s">
        <v>51</v>
      </c>
      <c r="G395" s="4" t="s">
        <v>35</v>
      </c>
      <c r="H395" s="54" t="s">
        <v>41</v>
      </c>
      <c r="I395" s="52"/>
      <c r="J395" s="57">
        <v>23.53</v>
      </c>
      <c r="K395" s="52"/>
      <c r="L395" s="6">
        <v>17.647500000000001</v>
      </c>
      <c r="M395" s="6">
        <v>0.75</v>
      </c>
      <c r="N395" s="6">
        <v>22.02</v>
      </c>
      <c r="O395" s="57">
        <v>16.515000000000001</v>
      </c>
      <c r="P395" s="52"/>
      <c r="Q395" s="6">
        <v>0.75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1.51</v>
      </c>
      <c r="AB395" s="6">
        <v>1.1325000000000001</v>
      </c>
      <c r="AC395" s="6">
        <v>0.75</v>
      </c>
      <c r="AD395" s="6">
        <v>-1.5100000000000016</v>
      </c>
      <c r="AE395" s="6">
        <v>1.5100000000000016</v>
      </c>
    </row>
    <row r="396" spans="2:31" ht="20" x14ac:dyDescent="0.25">
      <c r="B396" s="55"/>
      <c r="C396" s="55"/>
      <c r="D396" s="4" t="s">
        <v>651</v>
      </c>
      <c r="E396" s="4" t="s">
        <v>652</v>
      </c>
      <c r="F396" s="4" t="s">
        <v>51</v>
      </c>
      <c r="G396" s="4" t="s">
        <v>35</v>
      </c>
      <c r="H396" s="54" t="s">
        <v>41</v>
      </c>
      <c r="I396" s="52"/>
      <c r="J396" s="57">
        <v>6.73</v>
      </c>
      <c r="K396" s="52"/>
      <c r="L396" s="6">
        <v>5.0475000000000003</v>
      </c>
      <c r="M396" s="6">
        <v>0.75</v>
      </c>
      <c r="N396" s="6">
        <v>5.89</v>
      </c>
      <c r="O396" s="57">
        <v>4.4175000000000004</v>
      </c>
      <c r="P396" s="52"/>
      <c r="Q396" s="6">
        <v>0.75000000000000011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0.84</v>
      </c>
      <c r="AB396" s="6">
        <v>0.63</v>
      </c>
      <c r="AC396" s="6">
        <v>0.75</v>
      </c>
      <c r="AD396" s="6">
        <v>-0.84000000000000075</v>
      </c>
      <c r="AE396" s="6">
        <v>0.84000000000000075</v>
      </c>
    </row>
    <row r="397" spans="2:31" ht="20" x14ac:dyDescent="0.25">
      <c r="B397" s="55"/>
      <c r="C397" s="55"/>
      <c r="D397" s="4" t="s">
        <v>653</v>
      </c>
      <c r="E397" s="4" t="s">
        <v>654</v>
      </c>
      <c r="F397" s="4" t="s">
        <v>51</v>
      </c>
      <c r="G397" s="4" t="s">
        <v>35</v>
      </c>
      <c r="H397" s="54" t="s">
        <v>36</v>
      </c>
      <c r="I397" s="52"/>
      <c r="J397" s="57">
        <v>10.98</v>
      </c>
      <c r="K397" s="52"/>
      <c r="L397" s="6">
        <v>10.068659999999999</v>
      </c>
      <c r="M397" s="6">
        <v>0.91699999999999993</v>
      </c>
      <c r="N397" s="6">
        <v>10.35</v>
      </c>
      <c r="O397" s="57">
        <v>9.4909499999999998</v>
      </c>
      <c r="P397" s="52"/>
      <c r="Q397" s="6">
        <v>0.91700000000000004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0.63</v>
      </c>
      <c r="AB397" s="6">
        <v>0.57770999999999995</v>
      </c>
      <c r="AC397" s="6">
        <v>0.91699999999999993</v>
      </c>
      <c r="AD397" s="6">
        <v>-0.63000000000000078</v>
      </c>
      <c r="AE397" s="6">
        <v>0.63000000000000078</v>
      </c>
    </row>
    <row r="398" spans="2:31" ht="20" x14ac:dyDescent="0.25">
      <c r="B398" s="55"/>
      <c r="C398" s="55"/>
      <c r="D398" s="4" t="s">
        <v>655</v>
      </c>
      <c r="E398" s="4" t="s">
        <v>656</v>
      </c>
      <c r="F398" s="4" t="s">
        <v>51</v>
      </c>
      <c r="G398" s="4" t="s">
        <v>35</v>
      </c>
      <c r="H398" s="54" t="s">
        <v>41</v>
      </c>
      <c r="I398" s="52"/>
      <c r="J398" s="57">
        <v>7.59</v>
      </c>
      <c r="K398" s="52"/>
      <c r="L398" s="6">
        <v>5.6924999999999999</v>
      </c>
      <c r="M398" s="6">
        <v>0.75</v>
      </c>
      <c r="N398" s="6">
        <v>6.82</v>
      </c>
      <c r="O398" s="57">
        <v>5.1150000000000002</v>
      </c>
      <c r="P398" s="52"/>
      <c r="Q398" s="6">
        <v>0.75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0.77</v>
      </c>
      <c r="AB398" s="6">
        <v>0.57750000000000001</v>
      </c>
      <c r="AC398" s="6">
        <v>0.75</v>
      </c>
      <c r="AD398" s="6">
        <v>-0.76999999999999957</v>
      </c>
      <c r="AE398" s="6">
        <v>0.76999999999999957</v>
      </c>
    </row>
    <row r="399" spans="2:31" ht="20" x14ac:dyDescent="0.25">
      <c r="B399" s="55"/>
      <c r="C399" s="55"/>
      <c r="D399" s="4" t="s">
        <v>657</v>
      </c>
      <c r="E399" s="4" t="s">
        <v>658</v>
      </c>
      <c r="F399" s="4" t="s">
        <v>51</v>
      </c>
      <c r="G399" s="4" t="s">
        <v>35</v>
      </c>
      <c r="H399" s="54" t="s">
        <v>36</v>
      </c>
      <c r="I399" s="52"/>
      <c r="J399" s="57">
        <v>102.49</v>
      </c>
      <c r="K399" s="52"/>
      <c r="L399" s="6">
        <v>93.983329999999995</v>
      </c>
      <c r="M399" s="6">
        <v>0.91700000000000004</v>
      </c>
      <c r="N399" s="6">
        <v>98.7</v>
      </c>
      <c r="O399" s="57">
        <v>90.507900000000006</v>
      </c>
      <c r="P399" s="52"/>
      <c r="Q399" s="6">
        <v>0.91700000000000004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3.79</v>
      </c>
      <c r="AB399" s="6">
        <v>3.4754299999999998</v>
      </c>
      <c r="AC399" s="6">
        <v>0.91699999999999993</v>
      </c>
      <c r="AD399" s="6">
        <v>-3.789999999999992</v>
      </c>
      <c r="AE399" s="6">
        <v>3.789999999999992</v>
      </c>
    </row>
    <row r="400" spans="2:31" ht="20" x14ac:dyDescent="0.25">
      <c r="B400" s="55"/>
      <c r="C400" s="55"/>
      <c r="D400" s="4" t="s">
        <v>659</v>
      </c>
      <c r="E400" s="4" t="s">
        <v>660</v>
      </c>
      <c r="F400" s="4" t="s">
        <v>51</v>
      </c>
      <c r="G400" s="4" t="s">
        <v>35</v>
      </c>
      <c r="H400" s="54" t="s">
        <v>36</v>
      </c>
      <c r="I400" s="52"/>
      <c r="J400" s="57">
        <v>113.84</v>
      </c>
      <c r="K400" s="52"/>
      <c r="L400" s="6">
        <v>104.39127999999999</v>
      </c>
      <c r="M400" s="6">
        <v>0.91699999999999993</v>
      </c>
      <c r="N400" s="6">
        <v>103.36</v>
      </c>
      <c r="O400" s="57">
        <v>94.781120000000001</v>
      </c>
      <c r="P400" s="52"/>
      <c r="Q400" s="6">
        <v>0.91700000000000004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10.48</v>
      </c>
      <c r="AB400" s="6">
        <v>9.6101600000000005</v>
      </c>
      <c r="AC400" s="6">
        <v>0.91700000000000004</v>
      </c>
      <c r="AD400" s="6">
        <v>-10.480000000000004</v>
      </c>
      <c r="AE400" s="6">
        <v>10.480000000000004</v>
      </c>
    </row>
    <row r="401" spans="2:31" ht="20" x14ac:dyDescent="0.25">
      <c r="B401" s="55"/>
      <c r="C401" s="55"/>
      <c r="D401" s="4" t="s">
        <v>661</v>
      </c>
      <c r="E401" s="4" t="s">
        <v>662</v>
      </c>
      <c r="F401" s="4" t="s">
        <v>51</v>
      </c>
      <c r="G401" s="4" t="s">
        <v>35</v>
      </c>
      <c r="H401" s="54" t="s">
        <v>36</v>
      </c>
      <c r="I401" s="52"/>
      <c r="J401" s="57">
        <v>22.48</v>
      </c>
      <c r="K401" s="52"/>
      <c r="L401" s="6">
        <v>20.614159999999998</v>
      </c>
      <c r="M401" s="6">
        <v>0.91699999999999993</v>
      </c>
      <c r="N401" s="6">
        <v>21.26</v>
      </c>
      <c r="O401" s="57">
        <v>19.495419999999999</v>
      </c>
      <c r="P401" s="52"/>
      <c r="Q401" s="6">
        <v>0.91699999999999993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1.22</v>
      </c>
      <c r="AB401" s="6">
        <v>1.1187400000000001</v>
      </c>
      <c r="AC401" s="6">
        <v>0.91700000000000004</v>
      </c>
      <c r="AD401" s="6">
        <v>-1.2199999999999989</v>
      </c>
      <c r="AE401" s="6">
        <v>1.2199999999999989</v>
      </c>
    </row>
    <row r="402" spans="2:31" ht="20" x14ac:dyDescent="0.25">
      <c r="B402" s="55"/>
      <c r="C402" s="55"/>
      <c r="D402" s="4" t="s">
        <v>663</v>
      </c>
      <c r="E402" s="4" t="s">
        <v>664</v>
      </c>
      <c r="F402" s="4" t="s">
        <v>51</v>
      </c>
      <c r="G402" s="4" t="s">
        <v>35</v>
      </c>
      <c r="H402" s="54" t="s">
        <v>48</v>
      </c>
      <c r="I402" s="52"/>
      <c r="J402" s="57">
        <v>304.02999999999997</v>
      </c>
      <c r="K402" s="52"/>
      <c r="L402" s="6">
        <v>228.02250000000001</v>
      </c>
      <c r="M402" s="6">
        <v>0.75000000000000011</v>
      </c>
      <c r="N402" s="6">
        <v>269.86</v>
      </c>
      <c r="O402" s="57">
        <v>202.39500000000001</v>
      </c>
      <c r="P402" s="52"/>
      <c r="Q402" s="6">
        <v>0.75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34.17</v>
      </c>
      <c r="AB402" s="6">
        <v>25.627500000000001</v>
      </c>
      <c r="AC402" s="6">
        <v>0.75</v>
      </c>
      <c r="AD402" s="6">
        <v>-34.169999999999959</v>
      </c>
      <c r="AE402" s="6">
        <v>34.169999999999959</v>
      </c>
    </row>
    <row r="403" spans="2:31" ht="20" x14ac:dyDescent="0.25">
      <c r="B403" s="55"/>
      <c r="C403" s="55"/>
      <c r="D403" s="4" t="s">
        <v>665</v>
      </c>
      <c r="E403" s="4" t="s">
        <v>666</v>
      </c>
      <c r="F403" s="4" t="s">
        <v>51</v>
      </c>
      <c r="G403" s="4" t="s">
        <v>35</v>
      </c>
      <c r="H403" s="54" t="s">
        <v>48</v>
      </c>
      <c r="I403" s="52"/>
      <c r="J403" s="57">
        <v>18.93</v>
      </c>
      <c r="K403" s="52"/>
      <c r="L403" s="6">
        <v>14.1975</v>
      </c>
      <c r="M403" s="6">
        <v>0.75</v>
      </c>
      <c r="N403" s="6">
        <v>18.420000000000002</v>
      </c>
      <c r="O403" s="57">
        <v>13.815</v>
      </c>
      <c r="P403" s="52"/>
      <c r="Q403" s="6">
        <v>0.74999999999999989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0.51</v>
      </c>
      <c r="AB403" s="6">
        <v>0.38250000000000001</v>
      </c>
      <c r="AC403" s="6">
        <v>0.75</v>
      </c>
      <c r="AD403" s="6">
        <v>-0.50999999999999801</v>
      </c>
      <c r="AE403" s="6">
        <v>0.50999999999999801</v>
      </c>
    </row>
    <row r="404" spans="2:31" ht="20" x14ac:dyDescent="0.25">
      <c r="B404" s="55"/>
      <c r="C404" s="55"/>
      <c r="D404" s="4" t="s">
        <v>667</v>
      </c>
      <c r="E404" s="4" t="s">
        <v>668</v>
      </c>
      <c r="F404" s="4" t="s">
        <v>51</v>
      </c>
      <c r="G404" s="4" t="s">
        <v>35</v>
      </c>
      <c r="H404" s="54" t="s">
        <v>48</v>
      </c>
      <c r="I404" s="52"/>
      <c r="J404" s="57">
        <v>17.87</v>
      </c>
      <c r="K404" s="52"/>
      <c r="L404" s="6">
        <v>13.4025</v>
      </c>
      <c r="M404" s="6">
        <v>0.75</v>
      </c>
      <c r="N404" s="6">
        <v>17.62</v>
      </c>
      <c r="O404" s="57">
        <v>13.215</v>
      </c>
      <c r="P404" s="52"/>
      <c r="Q404" s="6">
        <v>0.75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0.25</v>
      </c>
      <c r="AB404" s="6">
        <v>0.1875</v>
      </c>
      <c r="AC404" s="6">
        <v>0.75</v>
      </c>
      <c r="AD404" s="6">
        <v>-0.25</v>
      </c>
      <c r="AE404" s="6">
        <v>0.25</v>
      </c>
    </row>
    <row r="405" spans="2:31" x14ac:dyDescent="0.25">
      <c r="B405" s="55"/>
      <c r="C405" s="55"/>
      <c r="D405" s="54" t="s">
        <v>669</v>
      </c>
      <c r="E405" s="4" t="s">
        <v>670</v>
      </c>
      <c r="F405" s="4" t="s">
        <v>51</v>
      </c>
      <c r="G405" s="4" t="s">
        <v>35</v>
      </c>
      <c r="H405" s="54" t="s">
        <v>48</v>
      </c>
      <c r="I405" s="52"/>
      <c r="J405" s="57">
        <v>8.1999999999999993</v>
      </c>
      <c r="K405" s="52"/>
      <c r="L405" s="6">
        <v>6.15</v>
      </c>
      <c r="M405" s="6">
        <v>0.75000000000000011</v>
      </c>
      <c r="N405" s="6">
        <v>8.1999999999999993</v>
      </c>
      <c r="O405" s="57">
        <v>6.15</v>
      </c>
      <c r="P405" s="52"/>
      <c r="Q405" s="6">
        <v>0.75000000000000011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</row>
    <row r="406" spans="2:31" x14ac:dyDescent="0.25">
      <c r="B406" s="55"/>
      <c r="C406" s="55"/>
      <c r="D406" s="55"/>
      <c r="E406" s="4" t="s">
        <v>671</v>
      </c>
      <c r="F406" s="4" t="s">
        <v>51</v>
      </c>
      <c r="G406" s="4" t="s">
        <v>35</v>
      </c>
      <c r="H406" s="54" t="s">
        <v>36</v>
      </c>
      <c r="I406" s="52"/>
      <c r="J406" s="57">
        <v>137.93</v>
      </c>
      <c r="K406" s="52"/>
      <c r="L406" s="6">
        <v>126.48181</v>
      </c>
      <c r="M406" s="6">
        <v>0.91699999999999993</v>
      </c>
      <c r="N406" s="6">
        <v>137.93</v>
      </c>
      <c r="O406" s="57">
        <v>126.48181</v>
      </c>
      <c r="P406" s="52"/>
      <c r="Q406" s="6">
        <v>0.91699999999999993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</row>
    <row r="407" spans="2:31" x14ac:dyDescent="0.25">
      <c r="B407" s="55"/>
      <c r="C407" s="55"/>
      <c r="D407" s="55"/>
      <c r="E407" s="4" t="s">
        <v>672</v>
      </c>
      <c r="F407" s="4" t="s">
        <v>51</v>
      </c>
      <c r="G407" s="4" t="s">
        <v>35</v>
      </c>
      <c r="H407" s="54" t="s">
        <v>48</v>
      </c>
      <c r="I407" s="52"/>
      <c r="J407" s="57">
        <v>3.72</v>
      </c>
      <c r="K407" s="52"/>
      <c r="L407" s="6">
        <v>2.79</v>
      </c>
      <c r="M407" s="6">
        <v>0.75</v>
      </c>
      <c r="N407" s="6">
        <v>3.6</v>
      </c>
      <c r="O407" s="57">
        <v>2.7</v>
      </c>
      <c r="P407" s="52"/>
      <c r="Q407" s="6">
        <v>0.75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0.12</v>
      </c>
      <c r="AB407" s="6">
        <v>0.09</v>
      </c>
      <c r="AC407" s="6">
        <v>0.75</v>
      </c>
      <c r="AD407" s="6">
        <v>-0.12000000000000011</v>
      </c>
      <c r="AE407" s="6">
        <v>0.12000000000000011</v>
      </c>
    </row>
    <row r="408" spans="2:31" x14ac:dyDescent="0.25">
      <c r="B408" s="55"/>
      <c r="C408" s="55"/>
      <c r="D408" s="56"/>
      <c r="E408" s="4" t="s">
        <v>673</v>
      </c>
      <c r="F408" s="4" t="s">
        <v>51</v>
      </c>
      <c r="G408" s="4" t="s">
        <v>35</v>
      </c>
      <c r="H408" s="54" t="s">
        <v>48</v>
      </c>
      <c r="I408" s="52"/>
      <c r="J408" s="57">
        <v>3.72</v>
      </c>
      <c r="K408" s="52"/>
      <c r="L408" s="6">
        <v>2.79</v>
      </c>
      <c r="M408" s="6">
        <v>0.75</v>
      </c>
      <c r="N408" s="6">
        <v>3.6</v>
      </c>
      <c r="O408" s="57">
        <v>2.7</v>
      </c>
      <c r="P408" s="52"/>
      <c r="Q408" s="6">
        <v>0.75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0.12</v>
      </c>
      <c r="AB408" s="6">
        <v>0.09</v>
      </c>
      <c r="AC408" s="6">
        <v>0.75</v>
      </c>
      <c r="AD408" s="6">
        <v>-0.12000000000000011</v>
      </c>
      <c r="AE408" s="6">
        <v>0.12000000000000011</v>
      </c>
    </row>
    <row r="409" spans="2:31" ht="20" x14ac:dyDescent="0.25">
      <c r="B409" s="55"/>
      <c r="C409" s="55"/>
      <c r="D409" s="4" t="s">
        <v>674</v>
      </c>
      <c r="E409" s="4" t="s">
        <v>675</v>
      </c>
      <c r="F409" s="4" t="s">
        <v>51</v>
      </c>
      <c r="G409" s="4" t="s">
        <v>35</v>
      </c>
      <c r="H409" s="54" t="s">
        <v>36</v>
      </c>
      <c r="I409" s="52"/>
      <c r="J409" s="57">
        <v>11.94</v>
      </c>
      <c r="K409" s="52"/>
      <c r="L409" s="6">
        <v>10.948980000000001</v>
      </c>
      <c r="M409" s="6">
        <v>0.91700000000000004</v>
      </c>
      <c r="N409" s="6">
        <v>11.73</v>
      </c>
      <c r="O409" s="57">
        <v>10.756410000000001</v>
      </c>
      <c r="P409" s="52"/>
      <c r="Q409" s="6">
        <v>0.91700000000000004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0.21</v>
      </c>
      <c r="AB409" s="6">
        <v>0.19256999999999999</v>
      </c>
      <c r="AC409" s="6">
        <v>0.91700000000000004</v>
      </c>
      <c r="AD409" s="6">
        <v>-0.20999999999999908</v>
      </c>
      <c r="AE409" s="6">
        <v>0.20999999999999908</v>
      </c>
    </row>
    <row r="410" spans="2:31" x14ac:dyDescent="0.25">
      <c r="B410" s="55"/>
      <c r="C410" s="55"/>
      <c r="D410" s="54" t="s">
        <v>676</v>
      </c>
      <c r="E410" s="4" t="s">
        <v>677</v>
      </c>
      <c r="F410" s="4" t="s">
        <v>51</v>
      </c>
      <c r="G410" s="4" t="s">
        <v>35</v>
      </c>
      <c r="H410" s="54" t="s">
        <v>41</v>
      </c>
      <c r="I410" s="52"/>
      <c r="J410" s="57">
        <v>25.58</v>
      </c>
      <c r="K410" s="52"/>
      <c r="L410" s="6">
        <v>19.184999999999999</v>
      </c>
      <c r="M410" s="6">
        <v>0.75</v>
      </c>
      <c r="N410" s="6">
        <v>23.7</v>
      </c>
      <c r="O410" s="57">
        <v>17.774999999999999</v>
      </c>
      <c r="P410" s="52"/>
      <c r="Q410" s="6">
        <v>0.75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1.88</v>
      </c>
      <c r="AB410" s="6">
        <v>1.41</v>
      </c>
      <c r="AC410" s="6">
        <v>0.75</v>
      </c>
      <c r="AD410" s="6">
        <v>-1.879999999999999</v>
      </c>
      <c r="AE410" s="6">
        <v>1.879999999999999</v>
      </c>
    </row>
    <row r="411" spans="2:31" x14ac:dyDescent="0.25">
      <c r="B411" s="55"/>
      <c r="C411" s="55"/>
      <c r="D411" s="55"/>
      <c r="E411" s="4" t="s">
        <v>678</v>
      </c>
      <c r="F411" s="4" t="s">
        <v>51</v>
      </c>
      <c r="G411" s="4" t="s">
        <v>35</v>
      </c>
      <c r="H411" s="54" t="s">
        <v>48</v>
      </c>
      <c r="I411" s="52"/>
      <c r="J411" s="57">
        <v>14.56</v>
      </c>
      <c r="K411" s="52"/>
      <c r="L411" s="6">
        <v>10.92</v>
      </c>
      <c r="M411" s="6">
        <v>0.75</v>
      </c>
      <c r="N411" s="6">
        <v>13.46</v>
      </c>
      <c r="O411" s="57">
        <v>10.095000000000001</v>
      </c>
      <c r="P411" s="52"/>
      <c r="Q411" s="6">
        <v>0.75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1.1000000000000001</v>
      </c>
      <c r="AB411" s="6">
        <v>0.82499999999999996</v>
      </c>
      <c r="AC411" s="6">
        <v>0.74999999999999989</v>
      </c>
      <c r="AD411" s="6">
        <v>-1.0999999999999996</v>
      </c>
      <c r="AE411" s="6">
        <v>1.0999999999999996</v>
      </c>
    </row>
    <row r="412" spans="2:31" x14ac:dyDescent="0.25">
      <c r="B412" s="55"/>
      <c r="C412" s="55"/>
      <c r="D412" s="55"/>
      <c r="E412" s="4" t="s">
        <v>679</v>
      </c>
      <c r="F412" s="4" t="s">
        <v>51</v>
      </c>
      <c r="G412" s="4" t="s">
        <v>35</v>
      </c>
      <c r="H412" s="54" t="s">
        <v>36</v>
      </c>
      <c r="I412" s="52"/>
      <c r="J412" s="57">
        <v>23.63</v>
      </c>
      <c r="K412" s="52"/>
      <c r="L412" s="6">
        <v>21.668710000000001</v>
      </c>
      <c r="M412" s="6">
        <v>0.91700000000000004</v>
      </c>
      <c r="N412" s="6">
        <v>22.54</v>
      </c>
      <c r="O412" s="57">
        <v>20.669180000000001</v>
      </c>
      <c r="P412" s="52"/>
      <c r="Q412" s="6">
        <v>0.91700000000000004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1.0900000000000001</v>
      </c>
      <c r="AB412" s="6">
        <v>0.99953000000000003</v>
      </c>
      <c r="AC412" s="6">
        <v>0.91699999999999993</v>
      </c>
      <c r="AD412" s="6">
        <v>-1.0899999999999999</v>
      </c>
      <c r="AE412" s="6">
        <v>1.0899999999999999</v>
      </c>
    </row>
    <row r="413" spans="2:31" x14ac:dyDescent="0.25">
      <c r="B413" s="55"/>
      <c r="C413" s="55"/>
      <c r="D413" s="56"/>
      <c r="E413" s="4" t="s">
        <v>680</v>
      </c>
      <c r="F413" s="4" t="s">
        <v>51</v>
      </c>
      <c r="G413" s="4" t="s">
        <v>35</v>
      </c>
      <c r="H413" s="54" t="s">
        <v>36</v>
      </c>
      <c r="I413" s="52"/>
      <c r="J413" s="57">
        <v>50.25</v>
      </c>
      <c r="K413" s="52"/>
      <c r="L413" s="6">
        <v>46.079250000000002</v>
      </c>
      <c r="M413" s="6">
        <v>0.91700000000000004</v>
      </c>
      <c r="N413" s="6">
        <v>49.25</v>
      </c>
      <c r="O413" s="57">
        <v>45.16225</v>
      </c>
      <c r="P413" s="52"/>
      <c r="Q413" s="6">
        <v>0.91700000000000004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1</v>
      </c>
      <c r="AB413" s="6">
        <v>0.91700000000000004</v>
      </c>
      <c r="AC413" s="6">
        <v>0.91700000000000004</v>
      </c>
      <c r="AD413" s="6">
        <v>-1</v>
      </c>
      <c r="AE413" s="6">
        <v>1</v>
      </c>
    </row>
    <row r="414" spans="2:31" ht="20" x14ac:dyDescent="0.25">
      <c r="B414" s="55"/>
      <c r="C414" s="55"/>
      <c r="D414" s="4" t="s">
        <v>681</v>
      </c>
      <c r="E414" s="4" t="s">
        <v>682</v>
      </c>
      <c r="F414" s="4" t="s">
        <v>51</v>
      </c>
      <c r="G414" s="4" t="s">
        <v>35</v>
      </c>
      <c r="H414" s="54" t="s">
        <v>36</v>
      </c>
      <c r="I414" s="52"/>
      <c r="J414" s="57">
        <v>8.9</v>
      </c>
      <c r="K414" s="52"/>
      <c r="L414" s="6">
        <v>8.1613000000000007</v>
      </c>
      <c r="M414" s="6">
        <v>0.91700000000000004</v>
      </c>
      <c r="N414" s="6">
        <v>8.9</v>
      </c>
      <c r="O414" s="57">
        <v>8.1613000000000007</v>
      </c>
      <c r="P414" s="52"/>
      <c r="Q414" s="6">
        <v>0.91700000000000004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</row>
    <row r="415" spans="2:31" ht="20" x14ac:dyDescent="0.25">
      <c r="B415" s="55"/>
      <c r="C415" s="55"/>
      <c r="D415" s="4" t="s">
        <v>683</v>
      </c>
      <c r="E415" s="4" t="s">
        <v>684</v>
      </c>
      <c r="F415" s="4" t="s">
        <v>51</v>
      </c>
      <c r="G415" s="4" t="s">
        <v>35</v>
      </c>
      <c r="H415" s="54" t="s">
        <v>36</v>
      </c>
      <c r="I415" s="52"/>
      <c r="J415" s="57">
        <v>20.99</v>
      </c>
      <c r="K415" s="52"/>
      <c r="L415" s="6">
        <v>19.24783</v>
      </c>
      <c r="M415" s="6">
        <v>0.91700000000000004</v>
      </c>
      <c r="N415" s="6">
        <v>20.16</v>
      </c>
      <c r="O415" s="57">
        <v>18.486719999999998</v>
      </c>
      <c r="P415" s="52"/>
      <c r="Q415" s="6">
        <v>0.91699999999999993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0.83</v>
      </c>
      <c r="AB415" s="6">
        <v>0.76110999999999995</v>
      </c>
      <c r="AC415" s="6">
        <v>0.91700000000000004</v>
      </c>
      <c r="AD415" s="6">
        <v>-0.82999999999999829</v>
      </c>
      <c r="AE415" s="6">
        <v>0.82999999999999829</v>
      </c>
    </row>
    <row r="416" spans="2:31" ht="20" x14ac:dyDescent="0.25">
      <c r="B416" s="55"/>
      <c r="C416" s="55"/>
      <c r="D416" s="4" t="s">
        <v>685</v>
      </c>
      <c r="E416" s="4" t="s">
        <v>686</v>
      </c>
      <c r="F416" s="4" t="s">
        <v>51</v>
      </c>
      <c r="G416" s="4" t="s">
        <v>35</v>
      </c>
      <c r="H416" s="54" t="s">
        <v>48</v>
      </c>
      <c r="I416" s="52"/>
      <c r="J416" s="57">
        <v>11.55</v>
      </c>
      <c r="K416" s="52"/>
      <c r="L416" s="6">
        <v>8.6624999999999996</v>
      </c>
      <c r="M416" s="6">
        <v>0.74999999999999989</v>
      </c>
      <c r="N416" s="6">
        <v>11.37</v>
      </c>
      <c r="O416" s="57">
        <v>8.5274999999999999</v>
      </c>
      <c r="P416" s="52"/>
      <c r="Q416" s="6">
        <v>0.75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0.18</v>
      </c>
      <c r="AB416" s="6">
        <v>0.13500000000000001</v>
      </c>
      <c r="AC416" s="6">
        <v>0.75000000000000011</v>
      </c>
      <c r="AD416" s="6">
        <v>-0.18000000000000149</v>
      </c>
      <c r="AE416" s="6">
        <v>0.18000000000000149</v>
      </c>
    </row>
    <row r="417" spans="2:31" x14ac:dyDescent="0.25">
      <c r="B417" s="55"/>
      <c r="C417" s="55"/>
      <c r="D417" s="54" t="s">
        <v>687</v>
      </c>
      <c r="E417" s="4" t="s">
        <v>688</v>
      </c>
      <c r="F417" s="4" t="s">
        <v>51</v>
      </c>
      <c r="G417" s="4" t="s">
        <v>35</v>
      </c>
      <c r="H417" s="54" t="s">
        <v>41</v>
      </c>
      <c r="I417" s="52"/>
      <c r="J417" s="57">
        <v>17.46</v>
      </c>
      <c r="K417" s="52"/>
      <c r="L417" s="6">
        <v>13.095000000000001</v>
      </c>
      <c r="M417" s="6">
        <v>0.75</v>
      </c>
      <c r="N417" s="6">
        <v>16.38</v>
      </c>
      <c r="O417" s="57">
        <v>12.285</v>
      </c>
      <c r="P417" s="52"/>
      <c r="Q417" s="6">
        <v>0.75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1.08</v>
      </c>
      <c r="AB417" s="6">
        <v>0.81</v>
      </c>
      <c r="AC417" s="6">
        <v>0.75</v>
      </c>
      <c r="AD417" s="6">
        <v>-1.0800000000000018</v>
      </c>
      <c r="AE417" s="6">
        <v>1.0800000000000018</v>
      </c>
    </row>
    <row r="418" spans="2:31" x14ac:dyDescent="0.25">
      <c r="B418" s="55"/>
      <c r="C418" s="55"/>
      <c r="D418" s="55"/>
      <c r="E418" s="4" t="s">
        <v>689</v>
      </c>
      <c r="F418" s="4" t="s">
        <v>51</v>
      </c>
      <c r="G418" s="4" t="s">
        <v>35</v>
      </c>
      <c r="H418" s="54" t="s">
        <v>48</v>
      </c>
      <c r="I418" s="52"/>
      <c r="J418" s="57">
        <v>21.97</v>
      </c>
      <c r="K418" s="52"/>
      <c r="L418" s="6">
        <v>16.477499999999999</v>
      </c>
      <c r="M418" s="6">
        <v>0.75</v>
      </c>
      <c r="N418" s="6">
        <v>21.04</v>
      </c>
      <c r="O418" s="57">
        <v>15.78</v>
      </c>
      <c r="P418" s="52"/>
      <c r="Q418" s="6">
        <v>0.75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0.93</v>
      </c>
      <c r="AB418" s="6">
        <v>0.69750000000000001</v>
      </c>
      <c r="AC418" s="6">
        <v>0.75</v>
      </c>
      <c r="AD418" s="6">
        <v>-0.92999999999999972</v>
      </c>
      <c r="AE418" s="6">
        <v>0.92999999999999972</v>
      </c>
    </row>
    <row r="419" spans="2:31" x14ac:dyDescent="0.25">
      <c r="B419" s="55"/>
      <c r="C419" s="55"/>
      <c r="D419" s="55"/>
      <c r="E419" s="4" t="s">
        <v>690</v>
      </c>
      <c r="F419" s="4" t="s">
        <v>51</v>
      </c>
      <c r="G419" s="4" t="s">
        <v>35</v>
      </c>
      <c r="H419" s="54" t="s">
        <v>48</v>
      </c>
      <c r="I419" s="52"/>
      <c r="J419" s="57">
        <v>36.729999999999997</v>
      </c>
      <c r="K419" s="52"/>
      <c r="L419" s="6">
        <v>27.547499999999999</v>
      </c>
      <c r="M419" s="6">
        <v>0.75</v>
      </c>
      <c r="N419" s="6">
        <v>35.21</v>
      </c>
      <c r="O419" s="57">
        <v>26.407499999999999</v>
      </c>
      <c r="P419" s="52"/>
      <c r="Q419" s="6">
        <v>0.75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1.52</v>
      </c>
      <c r="AB419" s="6">
        <v>1.1399999999999999</v>
      </c>
      <c r="AC419" s="6">
        <v>0.74999999999999989</v>
      </c>
      <c r="AD419" s="6">
        <v>-1.519999999999996</v>
      </c>
      <c r="AE419" s="6">
        <v>1.519999999999996</v>
      </c>
    </row>
    <row r="420" spans="2:31" x14ac:dyDescent="0.25">
      <c r="B420" s="55"/>
      <c r="C420" s="55"/>
      <c r="D420" s="55"/>
      <c r="E420" s="4" t="s">
        <v>691</v>
      </c>
      <c r="F420" s="4" t="s">
        <v>51</v>
      </c>
      <c r="G420" s="4" t="s">
        <v>35</v>
      </c>
      <c r="H420" s="54" t="s">
        <v>48</v>
      </c>
      <c r="I420" s="52"/>
      <c r="J420" s="57">
        <v>40.51</v>
      </c>
      <c r="K420" s="52"/>
      <c r="L420" s="6">
        <v>30.3825</v>
      </c>
      <c r="M420" s="6">
        <v>0.75</v>
      </c>
      <c r="N420" s="6">
        <v>37.28</v>
      </c>
      <c r="O420" s="57">
        <v>27.96</v>
      </c>
      <c r="P420" s="52"/>
      <c r="Q420" s="6">
        <v>0.75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3.23</v>
      </c>
      <c r="AB420" s="6">
        <v>2.4224999999999999</v>
      </c>
      <c r="AC420" s="6">
        <v>0.75</v>
      </c>
      <c r="AD420" s="6">
        <v>-3.2299999999999969</v>
      </c>
      <c r="AE420" s="6">
        <v>3.2299999999999969</v>
      </c>
    </row>
    <row r="421" spans="2:31" x14ac:dyDescent="0.25">
      <c r="B421" s="55"/>
      <c r="C421" s="55"/>
      <c r="D421" s="56"/>
      <c r="E421" s="4" t="s">
        <v>692</v>
      </c>
      <c r="F421" s="4" t="s">
        <v>51</v>
      </c>
      <c r="G421" s="4" t="s">
        <v>35</v>
      </c>
      <c r="H421" s="54" t="s">
        <v>48</v>
      </c>
      <c r="I421" s="52"/>
      <c r="J421" s="57">
        <v>17.32</v>
      </c>
      <c r="K421" s="52"/>
      <c r="L421" s="6">
        <v>12.99</v>
      </c>
      <c r="M421" s="6">
        <v>0.75</v>
      </c>
      <c r="N421" s="6">
        <v>16.760000000000002</v>
      </c>
      <c r="O421" s="57">
        <v>12.57</v>
      </c>
      <c r="P421" s="52"/>
      <c r="Q421" s="6">
        <v>0.75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0.56000000000000005</v>
      </c>
      <c r="AB421" s="6">
        <v>0.42</v>
      </c>
      <c r="AC421" s="6">
        <v>0.74999999999999989</v>
      </c>
      <c r="AD421" s="6">
        <v>-0.55999999999999872</v>
      </c>
      <c r="AE421" s="6">
        <v>0.55999999999999872</v>
      </c>
    </row>
    <row r="422" spans="2:31" x14ac:dyDescent="0.25">
      <c r="B422" s="55"/>
      <c r="C422" s="55"/>
      <c r="D422" s="54" t="s">
        <v>693</v>
      </c>
      <c r="E422" s="4" t="s">
        <v>694</v>
      </c>
      <c r="F422" s="4" t="s">
        <v>51</v>
      </c>
      <c r="G422" s="4" t="s">
        <v>35</v>
      </c>
      <c r="H422" s="54" t="s">
        <v>36</v>
      </c>
      <c r="I422" s="52"/>
      <c r="J422" s="57">
        <v>11.58</v>
      </c>
      <c r="K422" s="52"/>
      <c r="L422" s="6">
        <v>10.61886</v>
      </c>
      <c r="M422" s="6">
        <v>0.91699999999999993</v>
      </c>
      <c r="N422" s="6">
        <v>11.2</v>
      </c>
      <c r="O422" s="57">
        <v>10.2704</v>
      </c>
      <c r="P422" s="52"/>
      <c r="Q422" s="6">
        <v>0.91700000000000015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0.38</v>
      </c>
      <c r="AB422" s="6">
        <v>0.34845999999999999</v>
      </c>
      <c r="AC422" s="6">
        <v>0.91699999999999993</v>
      </c>
      <c r="AD422" s="6">
        <v>-0.38000000000000078</v>
      </c>
      <c r="AE422" s="6">
        <v>0.38000000000000078</v>
      </c>
    </row>
    <row r="423" spans="2:31" x14ac:dyDescent="0.25">
      <c r="B423" s="55"/>
      <c r="C423" s="55"/>
      <c r="D423" s="56"/>
      <c r="E423" s="4" t="s">
        <v>695</v>
      </c>
      <c r="F423" s="4" t="s">
        <v>51</v>
      </c>
      <c r="G423" s="4" t="s">
        <v>35</v>
      </c>
      <c r="H423" s="54" t="s">
        <v>36</v>
      </c>
      <c r="I423" s="52"/>
      <c r="J423" s="57">
        <v>34.21</v>
      </c>
      <c r="K423" s="52"/>
      <c r="L423" s="6">
        <v>31.370570000000001</v>
      </c>
      <c r="M423" s="6">
        <v>0.91700000000000004</v>
      </c>
      <c r="N423" s="6">
        <v>33.97</v>
      </c>
      <c r="O423" s="57">
        <v>31.150490000000001</v>
      </c>
      <c r="P423" s="52"/>
      <c r="Q423" s="6">
        <v>0.91700000000000004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0.24</v>
      </c>
      <c r="AB423" s="6">
        <v>0.22008</v>
      </c>
      <c r="AC423" s="6">
        <v>0.91700000000000004</v>
      </c>
      <c r="AD423" s="6">
        <v>-0.24000000000000199</v>
      </c>
      <c r="AE423" s="6">
        <v>0.24000000000000199</v>
      </c>
    </row>
    <row r="424" spans="2:31" ht="20" x14ac:dyDescent="0.25">
      <c r="B424" s="55"/>
      <c r="C424" s="55"/>
      <c r="D424" s="4" t="s">
        <v>696</v>
      </c>
      <c r="E424" s="4" t="s">
        <v>697</v>
      </c>
      <c r="F424" s="4" t="s">
        <v>51</v>
      </c>
      <c r="G424" s="4" t="s">
        <v>35</v>
      </c>
      <c r="H424" s="54" t="s">
        <v>48</v>
      </c>
      <c r="I424" s="52"/>
      <c r="J424" s="57">
        <v>44.88</v>
      </c>
      <c r="K424" s="52"/>
      <c r="L424" s="6">
        <v>33.659999999999997</v>
      </c>
      <c r="M424" s="6">
        <v>0.74999999999999989</v>
      </c>
      <c r="N424" s="6">
        <v>38.93</v>
      </c>
      <c r="O424" s="57">
        <v>29.197500000000002</v>
      </c>
      <c r="P424" s="52"/>
      <c r="Q424" s="6">
        <v>0.75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5.95</v>
      </c>
      <c r="AB424" s="6">
        <v>4.4625000000000004</v>
      </c>
      <c r="AC424" s="6">
        <v>0.75</v>
      </c>
      <c r="AD424" s="6">
        <v>-5.9500000000000028</v>
      </c>
      <c r="AE424" s="6">
        <v>5.9500000000000028</v>
      </c>
    </row>
    <row r="425" spans="2:31" ht="20" x14ac:dyDescent="0.25">
      <c r="B425" s="55"/>
      <c r="C425" s="55"/>
      <c r="D425" s="4" t="s">
        <v>698</v>
      </c>
      <c r="E425" s="4" t="s">
        <v>699</v>
      </c>
      <c r="F425" s="4" t="s">
        <v>51</v>
      </c>
      <c r="G425" s="4" t="s">
        <v>35</v>
      </c>
      <c r="H425" s="54" t="s">
        <v>36</v>
      </c>
      <c r="I425" s="52"/>
      <c r="J425" s="57">
        <v>6.88</v>
      </c>
      <c r="K425" s="52"/>
      <c r="L425" s="6">
        <v>6.3089599999999999</v>
      </c>
      <c r="M425" s="6">
        <v>0.91700000000000004</v>
      </c>
      <c r="N425" s="6">
        <v>6.24</v>
      </c>
      <c r="O425" s="57">
        <v>5.7220800000000001</v>
      </c>
      <c r="P425" s="52"/>
      <c r="Q425" s="6">
        <v>0.91699999999999993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0.64</v>
      </c>
      <c r="AB425" s="6">
        <v>0.58687999999999996</v>
      </c>
      <c r="AC425" s="6">
        <v>0.91699999999999993</v>
      </c>
      <c r="AD425" s="6">
        <v>-0.63999999999999968</v>
      </c>
      <c r="AE425" s="6">
        <v>0.63999999999999968</v>
      </c>
    </row>
    <row r="426" spans="2:31" ht="20" x14ac:dyDescent="0.25">
      <c r="B426" s="55"/>
      <c r="C426" s="55"/>
      <c r="D426" s="4" t="s">
        <v>700</v>
      </c>
      <c r="E426" s="4" t="s">
        <v>701</v>
      </c>
      <c r="F426" s="4" t="s">
        <v>51</v>
      </c>
      <c r="G426" s="4" t="s">
        <v>35</v>
      </c>
      <c r="H426" s="54" t="s">
        <v>48</v>
      </c>
      <c r="I426" s="52"/>
      <c r="J426" s="57">
        <v>206.44</v>
      </c>
      <c r="K426" s="52"/>
      <c r="L426" s="6">
        <v>154.83000000000001</v>
      </c>
      <c r="M426" s="6">
        <v>0.75000000000000011</v>
      </c>
      <c r="N426" s="6">
        <v>182.34</v>
      </c>
      <c r="O426" s="57">
        <v>136.755</v>
      </c>
      <c r="P426" s="52"/>
      <c r="Q426" s="6">
        <v>0.75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24.1</v>
      </c>
      <c r="AB426" s="6">
        <v>18.074999999999999</v>
      </c>
      <c r="AC426" s="6">
        <v>0.74999999999999989</v>
      </c>
      <c r="AD426" s="6">
        <v>-24.099999999999994</v>
      </c>
      <c r="AE426" s="6">
        <v>24.099999999999994</v>
      </c>
    </row>
    <row r="427" spans="2:31" ht="20" x14ac:dyDescent="0.25">
      <c r="B427" s="55"/>
      <c r="C427" s="55"/>
      <c r="D427" s="4" t="s">
        <v>702</v>
      </c>
      <c r="E427" s="4" t="s">
        <v>703</v>
      </c>
      <c r="F427" s="4" t="s">
        <v>51</v>
      </c>
      <c r="G427" s="4" t="s">
        <v>35</v>
      </c>
      <c r="H427" s="54" t="s">
        <v>36</v>
      </c>
      <c r="I427" s="52"/>
      <c r="J427" s="57">
        <v>68.260000000000005</v>
      </c>
      <c r="K427" s="52"/>
      <c r="L427" s="6">
        <v>62.59442</v>
      </c>
      <c r="M427" s="6">
        <v>0.91699999999999993</v>
      </c>
      <c r="N427" s="6">
        <v>65.540000000000006</v>
      </c>
      <c r="O427" s="57">
        <v>60.100180000000002</v>
      </c>
      <c r="P427" s="52"/>
      <c r="Q427" s="6">
        <v>0.91699999999999993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2.72</v>
      </c>
      <c r="AB427" s="6">
        <v>2.49424</v>
      </c>
      <c r="AC427" s="6">
        <v>0.91699999999999993</v>
      </c>
      <c r="AD427" s="6">
        <v>-2.7199999999999989</v>
      </c>
      <c r="AE427" s="6">
        <v>2.7199999999999989</v>
      </c>
    </row>
    <row r="428" spans="2:31" ht="20" x14ac:dyDescent="0.25">
      <c r="B428" s="55"/>
      <c r="C428" s="55"/>
      <c r="D428" s="4" t="s">
        <v>704</v>
      </c>
      <c r="E428" s="4" t="s">
        <v>705</v>
      </c>
      <c r="F428" s="4" t="s">
        <v>51</v>
      </c>
      <c r="G428" s="4" t="s">
        <v>35</v>
      </c>
      <c r="H428" s="54" t="s">
        <v>36</v>
      </c>
      <c r="I428" s="52"/>
      <c r="J428" s="57">
        <v>7.74</v>
      </c>
      <c r="K428" s="52"/>
      <c r="L428" s="6">
        <v>7.0975799999999998</v>
      </c>
      <c r="M428" s="6">
        <v>0.91699999999999993</v>
      </c>
      <c r="N428" s="6">
        <v>7.2</v>
      </c>
      <c r="O428" s="57">
        <v>6.6024000000000003</v>
      </c>
      <c r="P428" s="52"/>
      <c r="Q428" s="6">
        <v>0.91700000000000004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0.54</v>
      </c>
      <c r="AB428" s="6">
        <v>0.49518000000000001</v>
      </c>
      <c r="AC428" s="6">
        <v>0.91699999999999993</v>
      </c>
      <c r="AD428" s="6">
        <v>-0.54</v>
      </c>
      <c r="AE428" s="6">
        <v>0.54</v>
      </c>
    </row>
    <row r="429" spans="2:31" ht="20" x14ac:dyDescent="0.25">
      <c r="B429" s="55"/>
      <c r="C429" s="55"/>
      <c r="D429" s="4" t="s">
        <v>706</v>
      </c>
      <c r="E429" s="4" t="s">
        <v>707</v>
      </c>
      <c r="F429" s="4" t="s">
        <v>51</v>
      </c>
      <c r="G429" s="4" t="s">
        <v>35</v>
      </c>
      <c r="H429" s="54" t="s">
        <v>48</v>
      </c>
      <c r="I429" s="52"/>
      <c r="J429" s="57">
        <v>14.02</v>
      </c>
      <c r="K429" s="52"/>
      <c r="L429" s="6">
        <v>10.515000000000001</v>
      </c>
      <c r="M429" s="6">
        <v>0.75000000000000011</v>
      </c>
      <c r="N429" s="6">
        <v>12.61</v>
      </c>
      <c r="O429" s="57">
        <v>9.4574999999999996</v>
      </c>
      <c r="P429" s="52"/>
      <c r="Q429" s="6">
        <v>0.75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1.41</v>
      </c>
      <c r="AB429" s="6">
        <v>1.0575000000000001</v>
      </c>
      <c r="AC429" s="6">
        <v>0.75000000000000011</v>
      </c>
      <c r="AD429" s="6">
        <v>-1.41</v>
      </c>
      <c r="AE429" s="6">
        <v>1.41</v>
      </c>
    </row>
    <row r="430" spans="2:31" ht="20" x14ac:dyDescent="0.25">
      <c r="B430" s="55"/>
      <c r="C430" s="55"/>
      <c r="D430" s="4" t="s">
        <v>708</v>
      </c>
      <c r="E430" s="4" t="s">
        <v>709</v>
      </c>
      <c r="F430" s="4" t="s">
        <v>51</v>
      </c>
      <c r="G430" s="4" t="s">
        <v>35</v>
      </c>
      <c r="H430" s="54" t="s">
        <v>41</v>
      </c>
      <c r="I430" s="52"/>
      <c r="J430" s="57">
        <v>7.47</v>
      </c>
      <c r="K430" s="52"/>
      <c r="L430" s="6">
        <v>5.6025</v>
      </c>
      <c r="M430" s="6">
        <v>0.75</v>
      </c>
      <c r="N430" s="6">
        <v>7.05</v>
      </c>
      <c r="O430" s="57">
        <v>5.2874999999999996</v>
      </c>
      <c r="P430" s="52"/>
      <c r="Q430" s="6">
        <v>0.75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0.42</v>
      </c>
      <c r="AB430" s="6">
        <v>0.315</v>
      </c>
      <c r="AC430" s="6">
        <v>0.75</v>
      </c>
      <c r="AD430" s="6">
        <v>-0.41999999999999993</v>
      </c>
      <c r="AE430" s="6">
        <v>0.41999999999999993</v>
      </c>
    </row>
    <row r="431" spans="2:31" ht="20" x14ac:dyDescent="0.25">
      <c r="B431" s="55"/>
      <c r="C431" s="55"/>
      <c r="D431" s="4" t="s">
        <v>710</v>
      </c>
      <c r="E431" s="4" t="s">
        <v>711</v>
      </c>
      <c r="F431" s="4" t="s">
        <v>51</v>
      </c>
      <c r="G431" s="4" t="s">
        <v>35</v>
      </c>
      <c r="H431" s="54" t="s">
        <v>41</v>
      </c>
      <c r="I431" s="52"/>
      <c r="J431" s="57">
        <v>6.79</v>
      </c>
      <c r="K431" s="52"/>
      <c r="L431" s="6">
        <v>5.0925000000000002</v>
      </c>
      <c r="M431" s="6">
        <v>0.75</v>
      </c>
      <c r="N431" s="6">
        <v>6.43</v>
      </c>
      <c r="O431" s="57">
        <v>4.8224999999999998</v>
      </c>
      <c r="P431" s="52"/>
      <c r="Q431" s="6">
        <v>0.75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0.36</v>
      </c>
      <c r="AB431" s="6">
        <v>0.27</v>
      </c>
      <c r="AC431" s="6">
        <v>0.75000000000000011</v>
      </c>
      <c r="AD431" s="6">
        <v>-0.36000000000000032</v>
      </c>
      <c r="AE431" s="6">
        <v>0.36000000000000032</v>
      </c>
    </row>
    <row r="432" spans="2:31" ht="20" x14ac:dyDescent="0.25">
      <c r="B432" s="55"/>
      <c r="C432" s="55"/>
      <c r="D432" s="4" t="s">
        <v>712</v>
      </c>
      <c r="E432" s="4" t="s">
        <v>713</v>
      </c>
      <c r="F432" s="4" t="s">
        <v>51</v>
      </c>
      <c r="G432" s="4" t="s">
        <v>35</v>
      </c>
      <c r="H432" s="54" t="s">
        <v>41</v>
      </c>
      <c r="I432" s="52"/>
      <c r="J432" s="57">
        <v>7.16</v>
      </c>
      <c r="K432" s="52"/>
      <c r="L432" s="6">
        <v>5.37</v>
      </c>
      <c r="M432" s="6">
        <v>0.75</v>
      </c>
      <c r="N432" s="6">
        <v>6.67</v>
      </c>
      <c r="O432" s="57">
        <v>5.0025000000000004</v>
      </c>
      <c r="P432" s="52"/>
      <c r="Q432" s="6">
        <v>0.75000000000000011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0.49</v>
      </c>
      <c r="AB432" s="6">
        <v>0.36749999999999999</v>
      </c>
      <c r="AC432" s="6">
        <v>0.75</v>
      </c>
      <c r="AD432" s="6">
        <v>-0.49000000000000021</v>
      </c>
      <c r="AE432" s="6">
        <v>0.49000000000000021</v>
      </c>
    </row>
    <row r="433" spans="2:31" ht="20" x14ac:dyDescent="0.25">
      <c r="B433" s="55"/>
      <c r="C433" s="55"/>
      <c r="D433" s="4" t="s">
        <v>714</v>
      </c>
      <c r="E433" s="4" t="s">
        <v>715</v>
      </c>
      <c r="F433" s="4" t="s">
        <v>51</v>
      </c>
      <c r="G433" s="4" t="s">
        <v>35</v>
      </c>
      <c r="H433" s="54" t="s">
        <v>41</v>
      </c>
      <c r="I433" s="52"/>
      <c r="J433" s="57">
        <v>7.26</v>
      </c>
      <c r="K433" s="52"/>
      <c r="L433" s="6">
        <v>5.4450000000000003</v>
      </c>
      <c r="M433" s="6">
        <v>0.75000000000000011</v>
      </c>
      <c r="N433" s="6">
        <v>6.85</v>
      </c>
      <c r="O433" s="57">
        <v>5.1375000000000002</v>
      </c>
      <c r="P433" s="52"/>
      <c r="Q433" s="6">
        <v>0.75000000000000011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0.41</v>
      </c>
      <c r="AB433" s="6">
        <v>0.3075</v>
      </c>
      <c r="AC433" s="6">
        <v>0.75</v>
      </c>
      <c r="AD433" s="6">
        <v>-0.41000000000000014</v>
      </c>
      <c r="AE433" s="6">
        <v>0.41000000000000014</v>
      </c>
    </row>
    <row r="434" spans="2:31" ht="20" x14ac:dyDescent="0.25">
      <c r="B434" s="55"/>
      <c r="C434" s="55"/>
      <c r="D434" s="4" t="s">
        <v>716</v>
      </c>
      <c r="E434" s="4" t="s">
        <v>717</v>
      </c>
      <c r="F434" s="4" t="s">
        <v>51</v>
      </c>
      <c r="G434" s="4" t="s">
        <v>35</v>
      </c>
      <c r="H434" s="54" t="s">
        <v>48</v>
      </c>
      <c r="I434" s="52"/>
      <c r="J434" s="57">
        <v>53.51</v>
      </c>
      <c r="K434" s="52"/>
      <c r="L434" s="6">
        <v>40.1325</v>
      </c>
      <c r="M434" s="6">
        <v>0.75</v>
      </c>
      <c r="N434" s="6">
        <v>51.87</v>
      </c>
      <c r="O434" s="57">
        <v>38.902500000000003</v>
      </c>
      <c r="P434" s="52"/>
      <c r="Q434" s="6">
        <v>0.75000000000000011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1.64</v>
      </c>
      <c r="AB434" s="6">
        <v>1.23</v>
      </c>
      <c r="AC434" s="6">
        <v>0.75</v>
      </c>
      <c r="AD434" s="6">
        <v>-1.6400000000000006</v>
      </c>
      <c r="AE434" s="6">
        <v>1.6400000000000006</v>
      </c>
    </row>
    <row r="435" spans="2:31" ht="20" x14ac:dyDescent="0.25">
      <c r="B435" s="55"/>
      <c r="C435" s="55"/>
      <c r="D435" s="4" t="s">
        <v>718</v>
      </c>
      <c r="E435" s="4" t="s">
        <v>719</v>
      </c>
      <c r="F435" s="4" t="s">
        <v>51</v>
      </c>
      <c r="G435" s="4" t="s">
        <v>35</v>
      </c>
      <c r="H435" s="54" t="s">
        <v>48</v>
      </c>
      <c r="I435" s="52"/>
      <c r="J435" s="57">
        <v>17.71</v>
      </c>
      <c r="K435" s="52"/>
      <c r="L435" s="6">
        <v>13.282500000000001</v>
      </c>
      <c r="M435" s="6">
        <v>0.75</v>
      </c>
      <c r="N435" s="6">
        <v>16.149999999999999</v>
      </c>
      <c r="O435" s="57">
        <v>12.112500000000001</v>
      </c>
      <c r="P435" s="52"/>
      <c r="Q435" s="6">
        <v>0.75000000000000011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1.56</v>
      </c>
      <c r="AB435" s="6">
        <v>1.17</v>
      </c>
      <c r="AC435" s="6">
        <v>0.74999999999999989</v>
      </c>
      <c r="AD435" s="6">
        <v>-1.5600000000000023</v>
      </c>
      <c r="AE435" s="6">
        <v>1.5600000000000023</v>
      </c>
    </row>
    <row r="436" spans="2:31" ht="20" x14ac:dyDescent="0.25">
      <c r="B436" s="55"/>
      <c r="C436" s="55"/>
      <c r="D436" s="4" t="s">
        <v>720</v>
      </c>
      <c r="E436" s="4" t="s">
        <v>721</v>
      </c>
      <c r="F436" s="4" t="s">
        <v>51</v>
      </c>
      <c r="G436" s="4" t="s">
        <v>35</v>
      </c>
      <c r="H436" s="54" t="s">
        <v>48</v>
      </c>
      <c r="I436" s="52"/>
      <c r="J436" s="57">
        <v>6.1449999999999996</v>
      </c>
      <c r="K436" s="52"/>
      <c r="L436" s="6">
        <v>4.6087499999999997</v>
      </c>
      <c r="M436" s="6">
        <v>0.75</v>
      </c>
      <c r="N436" s="6">
        <v>5.4950000000000001</v>
      </c>
      <c r="O436" s="57">
        <v>4.1212499999999999</v>
      </c>
      <c r="P436" s="52"/>
      <c r="Q436" s="6">
        <v>0.75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0.65</v>
      </c>
      <c r="AB436" s="6">
        <v>0.48749999999999999</v>
      </c>
      <c r="AC436" s="6">
        <v>0.75</v>
      </c>
      <c r="AD436" s="6">
        <v>-0.64999999999999947</v>
      </c>
      <c r="AE436" s="6">
        <v>0.64999999999999947</v>
      </c>
    </row>
    <row r="437" spans="2:31" x14ac:dyDescent="0.25">
      <c r="B437" s="55"/>
      <c r="C437" s="55"/>
      <c r="D437" s="54" t="s">
        <v>722</v>
      </c>
      <c r="E437" s="4" t="s">
        <v>723</v>
      </c>
      <c r="F437" s="4" t="s">
        <v>51</v>
      </c>
      <c r="G437" s="4" t="s">
        <v>35</v>
      </c>
      <c r="H437" s="54" t="s">
        <v>41</v>
      </c>
      <c r="I437" s="52"/>
      <c r="J437" s="57">
        <v>7.1</v>
      </c>
      <c r="K437" s="52"/>
      <c r="L437" s="6">
        <v>5.3250000000000002</v>
      </c>
      <c r="M437" s="6">
        <v>0.75000000000000011</v>
      </c>
      <c r="N437" s="6">
        <v>6.59</v>
      </c>
      <c r="O437" s="57">
        <v>4.9424999999999999</v>
      </c>
      <c r="P437" s="52"/>
      <c r="Q437" s="6">
        <v>0.75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0.51</v>
      </c>
      <c r="AB437" s="6">
        <v>0.38250000000000001</v>
      </c>
      <c r="AC437" s="6">
        <v>0.75</v>
      </c>
      <c r="AD437" s="6">
        <v>-0.50999999999999979</v>
      </c>
      <c r="AE437" s="6">
        <v>0.50999999999999979</v>
      </c>
    </row>
    <row r="438" spans="2:31" x14ac:dyDescent="0.25">
      <c r="B438" s="55"/>
      <c r="C438" s="55"/>
      <c r="D438" s="56"/>
      <c r="E438" s="4" t="s">
        <v>724</v>
      </c>
      <c r="F438" s="4" t="s">
        <v>51</v>
      </c>
      <c r="G438" s="4" t="s">
        <v>35</v>
      </c>
      <c r="H438" s="54" t="s">
        <v>41</v>
      </c>
      <c r="I438" s="52"/>
      <c r="J438" s="57">
        <v>7.58</v>
      </c>
      <c r="K438" s="52"/>
      <c r="L438" s="6">
        <v>5.6849999999999996</v>
      </c>
      <c r="M438" s="6">
        <v>0.74999999999999989</v>
      </c>
      <c r="N438" s="6">
        <v>7.14</v>
      </c>
      <c r="O438" s="57">
        <v>5.3550000000000004</v>
      </c>
      <c r="P438" s="52"/>
      <c r="Q438" s="6">
        <v>0.75000000000000011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0.44</v>
      </c>
      <c r="AB438" s="6">
        <v>0.33</v>
      </c>
      <c r="AC438" s="6">
        <v>0.75</v>
      </c>
      <c r="AD438" s="6">
        <v>-0.44000000000000039</v>
      </c>
      <c r="AE438" s="6">
        <v>0.44000000000000039</v>
      </c>
    </row>
    <row r="439" spans="2:31" x14ac:dyDescent="0.25">
      <c r="B439" s="55"/>
      <c r="C439" s="55"/>
      <c r="D439" s="54" t="s">
        <v>725</v>
      </c>
      <c r="E439" s="4" t="s">
        <v>65</v>
      </c>
      <c r="F439" s="4" t="s">
        <v>51</v>
      </c>
      <c r="G439" s="4" t="s">
        <v>35</v>
      </c>
      <c r="H439" s="54" t="s">
        <v>48</v>
      </c>
      <c r="I439" s="52"/>
      <c r="J439" s="57">
        <v>7.5789999999999997</v>
      </c>
      <c r="K439" s="52"/>
      <c r="L439" s="6">
        <v>5.6842499999999996</v>
      </c>
      <c r="M439" s="6">
        <v>0.75</v>
      </c>
      <c r="N439" s="6">
        <v>7.1189999999999998</v>
      </c>
      <c r="O439" s="57">
        <v>5.3392499999999998</v>
      </c>
      <c r="P439" s="52"/>
      <c r="Q439" s="6">
        <v>0.75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0.46</v>
      </c>
      <c r="AB439" s="6">
        <v>0.34499999999999997</v>
      </c>
      <c r="AC439" s="6">
        <v>0.74999999999999989</v>
      </c>
      <c r="AD439" s="6">
        <v>-0.46</v>
      </c>
      <c r="AE439" s="6">
        <v>0.46</v>
      </c>
    </row>
    <row r="440" spans="2:31" x14ac:dyDescent="0.25">
      <c r="B440" s="55"/>
      <c r="C440" s="55"/>
      <c r="D440" s="56"/>
      <c r="E440" s="4" t="s">
        <v>66</v>
      </c>
      <c r="F440" s="4" t="s">
        <v>51</v>
      </c>
      <c r="G440" s="4" t="s">
        <v>35</v>
      </c>
      <c r="H440" s="54" t="s">
        <v>48</v>
      </c>
      <c r="I440" s="52"/>
      <c r="J440" s="57">
        <v>5.81</v>
      </c>
      <c r="K440" s="52"/>
      <c r="L440" s="6">
        <v>4.3574999999999999</v>
      </c>
      <c r="M440" s="6">
        <v>0.75</v>
      </c>
      <c r="N440" s="6">
        <v>5.36</v>
      </c>
      <c r="O440" s="57">
        <v>4.0199999999999996</v>
      </c>
      <c r="P440" s="52"/>
      <c r="Q440" s="6">
        <v>0.74999999999999989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0.45</v>
      </c>
      <c r="AB440" s="6">
        <v>0.33750000000000002</v>
      </c>
      <c r="AC440" s="6">
        <v>0.75</v>
      </c>
      <c r="AD440" s="6">
        <v>-0.44999999999999929</v>
      </c>
      <c r="AE440" s="6">
        <v>0.44999999999999929</v>
      </c>
    </row>
    <row r="441" spans="2:31" x14ac:dyDescent="0.25">
      <c r="B441" s="55"/>
      <c r="C441" s="55"/>
      <c r="D441" s="54" t="s">
        <v>726</v>
      </c>
      <c r="E441" s="4" t="s">
        <v>67</v>
      </c>
      <c r="F441" s="4" t="s">
        <v>51</v>
      </c>
      <c r="G441" s="4" t="s">
        <v>35</v>
      </c>
      <c r="H441" s="54" t="s">
        <v>48</v>
      </c>
      <c r="I441" s="52"/>
      <c r="J441" s="57">
        <v>6.3579999999999997</v>
      </c>
      <c r="K441" s="52"/>
      <c r="L441" s="6">
        <v>4.7685000000000004</v>
      </c>
      <c r="M441" s="6">
        <v>0.75000000000000011</v>
      </c>
      <c r="N441" s="6">
        <v>5.8079999999999998</v>
      </c>
      <c r="O441" s="57">
        <v>4.3559999999999999</v>
      </c>
      <c r="P441" s="52"/>
      <c r="Q441" s="6">
        <v>0.75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0.55000000000000004</v>
      </c>
      <c r="AB441" s="6">
        <v>0.41249999999999998</v>
      </c>
      <c r="AC441" s="6">
        <v>0.74999999999999989</v>
      </c>
      <c r="AD441" s="6">
        <v>-0.54999999999999982</v>
      </c>
      <c r="AE441" s="6">
        <v>0.54999999999999982</v>
      </c>
    </row>
    <row r="442" spans="2:31" x14ac:dyDescent="0.25">
      <c r="B442" s="55"/>
      <c r="C442" s="55"/>
      <c r="D442" s="56"/>
      <c r="E442" s="4" t="s">
        <v>727</v>
      </c>
      <c r="F442" s="4" t="s">
        <v>51</v>
      </c>
      <c r="G442" s="4" t="s">
        <v>35</v>
      </c>
      <c r="H442" s="54" t="s">
        <v>48</v>
      </c>
      <c r="I442" s="52"/>
      <c r="J442" s="57">
        <v>6.5419999999999998</v>
      </c>
      <c r="K442" s="52"/>
      <c r="L442" s="6">
        <v>4.9065000000000003</v>
      </c>
      <c r="M442" s="6">
        <v>0.75000000000000011</v>
      </c>
      <c r="N442" s="6">
        <v>6.1420000000000003</v>
      </c>
      <c r="O442" s="57">
        <v>4.6064999999999996</v>
      </c>
      <c r="P442" s="52"/>
      <c r="Q442" s="6">
        <v>0.74999999999999989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0.4</v>
      </c>
      <c r="AB442" s="6">
        <v>0.3</v>
      </c>
      <c r="AC442" s="6">
        <v>0.74999999999999989</v>
      </c>
      <c r="AD442" s="6">
        <v>-0.39999999999999947</v>
      </c>
      <c r="AE442" s="6">
        <v>0.39999999999999947</v>
      </c>
    </row>
    <row r="443" spans="2:31" ht="20" x14ac:dyDescent="0.25">
      <c r="B443" s="55"/>
      <c r="C443" s="55"/>
      <c r="D443" s="4" t="s">
        <v>728</v>
      </c>
      <c r="E443" s="4" t="s">
        <v>729</v>
      </c>
      <c r="F443" s="4" t="s">
        <v>51</v>
      </c>
      <c r="G443" s="4" t="s">
        <v>35</v>
      </c>
      <c r="H443" s="54" t="s">
        <v>48</v>
      </c>
      <c r="I443" s="52"/>
      <c r="J443" s="57">
        <v>16.52</v>
      </c>
      <c r="K443" s="52"/>
      <c r="L443" s="6">
        <v>12.39</v>
      </c>
      <c r="M443" s="6">
        <v>0.75</v>
      </c>
      <c r="N443" s="6">
        <v>16.02</v>
      </c>
      <c r="O443" s="57">
        <v>12.015000000000001</v>
      </c>
      <c r="P443" s="52"/>
      <c r="Q443" s="6">
        <v>0.75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0.5</v>
      </c>
      <c r="AB443" s="6">
        <v>0.375</v>
      </c>
      <c r="AC443" s="6">
        <v>0.75</v>
      </c>
      <c r="AD443" s="6">
        <v>-0.5</v>
      </c>
      <c r="AE443" s="6">
        <v>0.5</v>
      </c>
    </row>
    <row r="444" spans="2:31" ht="20" x14ac:dyDescent="0.25">
      <c r="B444" s="55"/>
      <c r="C444" s="55"/>
      <c r="D444" s="4" t="s">
        <v>730</v>
      </c>
      <c r="E444" s="4" t="s">
        <v>64</v>
      </c>
      <c r="F444" s="4" t="s">
        <v>51</v>
      </c>
      <c r="G444" s="4" t="s">
        <v>35</v>
      </c>
      <c r="H444" s="54" t="s">
        <v>48</v>
      </c>
      <c r="I444" s="52"/>
      <c r="J444" s="57">
        <v>6.0890000000000004</v>
      </c>
      <c r="K444" s="52"/>
      <c r="L444" s="6">
        <v>4.5667499999999999</v>
      </c>
      <c r="M444" s="6">
        <v>0.74999999999999989</v>
      </c>
      <c r="N444" s="6">
        <v>5.649</v>
      </c>
      <c r="O444" s="57">
        <v>4.2367499999999998</v>
      </c>
      <c r="P444" s="52"/>
      <c r="Q444" s="6">
        <v>0.75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0.44</v>
      </c>
      <c r="AB444" s="6">
        <v>0.33</v>
      </c>
      <c r="AC444" s="6">
        <v>0.75</v>
      </c>
      <c r="AD444" s="6">
        <v>-0.44000000000000039</v>
      </c>
      <c r="AE444" s="6">
        <v>0.44000000000000039</v>
      </c>
    </row>
    <row r="445" spans="2:31" ht="20" x14ac:dyDescent="0.25">
      <c r="B445" s="55"/>
      <c r="C445" s="55"/>
      <c r="D445" s="4" t="s">
        <v>731</v>
      </c>
      <c r="E445" s="4" t="s">
        <v>732</v>
      </c>
      <c r="F445" s="4" t="s">
        <v>51</v>
      </c>
      <c r="G445" s="4" t="s">
        <v>35</v>
      </c>
      <c r="H445" s="54" t="s">
        <v>48</v>
      </c>
      <c r="I445" s="52"/>
      <c r="J445" s="57">
        <v>64.75</v>
      </c>
      <c r="K445" s="52"/>
      <c r="L445" s="6">
        <v>48.5625</v>
      </c>
      <c r="M445" s="6">
        <v>0.75</v>
      </c>
      <c r="N445" s="6">
        <v>61.34</v>
      </c>
      <c r="O445" s="57">
        <v>46.005000000000003</v>
      </c>
      <c r="P445" s="52"/>
      <c r="Q445" s="6">
        <v>0.75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3.41</v>
      </c>
      <c r="AB445" s="6">
        <v>2.5575000000000001</v>
      </c>
      <c r="AC445" s="6">
        <v>0.75</v>
      </c>
      <c r="AD445" s="6">
        <v>-3.4099999999999966</v>
      </c>
      <c r="AE445" s="6">
        <v>3.4099999999999966</v>
      </c>
    </row>
    <row r="446" spans="2:31" ht="20" x14ac:dyDescent="0.25">
      <c r="B446" s="55"/>
      <c r="C446" s="55"/>
      <c r="D446" s="4" t="s">
        <v>733</v>
      </c>
      <c r="E446" s="4" t="s">
        <v>734</v>
      </c>
      <c r="F446" s="4" t="s">
        <v>51</v>
      </c>
      <c r="G446" s="4" t="s">
        <v>35</v>
      </c>
      <c r="H446" s="54" t="s">
        <v>36</v>
      </c>
      <c r="I446" s="52"/>
      <c r="J446" s="57">
        <v>9.06</v>
      </c>
      <c r="K446" s="52"/>
      <c r="L446" s="6">
        <v>8.3080200000000008</v>
      </c>
      <c r="M446" s="6">
        <v>0.91700000000000004</v>
      </c>
      <c r="N446" s="6">
        <v>8.8800000000000008</v>
      </c>
      <c r="O446" s="57">
        <v>8.1429600000000004</v>
      </c>
      <c r="P446" s="52"/>
      <c r="Q446" s="6">
        <v>0.91699999999999993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0.18</v>
      </c>
      <c r="AB446" s="6">
        <v>0.16506000000000001</v>
      </c>
      <c r="AC446" s="6">
        <v>0.91700000000000015</v>
      </c>
      <c r="AD446" s="6">
        <v>-0.17999999999999972</v>
      </c>
      <c r="AE446" s="6">
        <v>0.17999999999999972</v>
      </c>
    </row>
    <row r="447" spans="2:31" ht="20" x14ac:dyDescent="0.25">
      <c r="B447" s="55"/>
      <c r="C447" s="55"/>
      <c r="D447" s="4" t="s">
        <v>735</v>
      </c>
      <c r="E447" s="4" t="s">
        <v>736</v>
      </c>
      <c r="F447" s="4" t="s">
        <v>51</v>
      </c>
      <c r="G447" s="4" t="s">
        <v>35</v>
      </c>
      <c r="H447" s="54" t="s">
        <v>36</v>
      </c>
      <c r="I447" s="52"/>
      <c r="J447" s="57">
        <v>10.11</v>
      </c>
      <c r="K447" s="52"/>
      <c r="L447" s="6">
        <v>9.2708700000000004</v>
      </c>
      <c r="M447" s="6">
        <v>0.91700000000000004</v>
      </c>
      <c r="N447" s="6">
        <v>9.9600000000000009</v>
      </c>
      <c r="O447" s="57">
        <v>9.1333199999999994</v>
      </c>
      <c r="P447" s="52"/>
      <c r="Q447" s="6">
        <v>0.91699999999999982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0.15</v>
      </c>
      <c r="AB447" s="6">
        <v>0.13755000000000001</v>
      </c>
      <c r="AC447" s="6">
        <v>0.91700000000000004</v>
      </c>
      <c r="AD447" s="6">
        <v>-0.14999999999999858</v>
      </c>
      <c r="AE447" s="6">
        <v>0.14999999999999858</v>
      </c>
    </row>
    <row r="448" spans="2:31" ht="20" x14ac:dyDescent="0.25">
      <c r="B448" s="55"/>
      <c r="C448" s="55"/>
      <c r="D448" s="4" t="s">
        <v>737</v>
      </c>
      <c r="E448" s="4" t="s">
        <v>738</v>
      </c>
      <c r="F448" s="4" t="s">
        <v>51</v>
      </c>
      <c r="G448" s="4" t="s">
        <v>35</v>
      </c>
      <c r="H448" s="54" t="s">
        <v>36</v>
      </c>
      <c r="I448" s="52"/>
      <c r="J448" s="57">
        <v>14.9</v>
      </c>
      <c r="K448" s="52"/>
      <c r="L448" s="6">
        <v>13.6633</v>
      </c>
      <c r="M448" s="6">
        <v>0.91699999999999993</v>
      </c>
      <c r="N448" s="6">
        <v>14.83</v>
      </c>
      <c r="O448" s="57">
        <v>13.59911</v>
      </c>
      <c r="P448" s="52"/>
      <c r="Q448" s="6">
        <v>0.91699999999999993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7.0000000000000007E-2</v>
      </c>
      <c r="AB448" s="6">
        <v>6.4189999999999997E-2</v>
      </c>
      <c r="AC448" s="6">
        <v>0.91699999999999982</v>
      </c>
      <c r="AD448" s="6">
        <v>-7.0000000000000284E-2</v>
      </c>
      <c r="AE448" s="6">
        <v>7.0000000000000284E-2</v>
      </c>
    </row>
    <row r="449" spans="2:31" ht="20" x14ac:dyDescent="0.25">
      <c r="B449" s="55"/>
      <c r="C449" s="55"/>
      <c r="D449" s="4" t="s">
        <v>739</v>
      </c>
      <c r="E449" s="4" t="s">
        <v>740</v>
      </c>
      <c r="F449" s="4" t="s">
        <v>51</v>
      </c>
      <c r="G449" s="4" t="s">
        <v>35</v>
      </c>
      <c r="H449" s="54" t="s">
        <v>36</v>
      </c>
      <c r="I449" s="52"/>
      <c r="J449" s="57">
        <v>4.2300000000000004</v>
      </c>
      <c r="K449" s="52"/>
      <c r="L449" s="6">
        <v>3.8789099999999999</v>
      </c>
      <c r="M449" s="6">
        <v>0.91699999999999993</v>
      </c>
      <c r="N449" s="6">
        <v>3.98</v>
      </c>
      <c r="O449" s="57">
        <v>3.6496599999999999</v>
      </c>
      <c r="P449" s="52"/>
      <c r="Q449" s="6">
        <v>0.91699999999999993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0.25</v>
      </c>
      <c r="AB449" s="6">
        <v>0.22925000000000001</v>
      </c>
      <c r="AC449" s="6">
        <v>0.91700000000000004</v>
      </c>
      <c r="AD449" s="6">
        <v>-0.25000000000000044</v>
      </c>
      <c r="AE449" s="6">
        <v>0.25000000000000044</v>
      </c>
    </row>
    <row r="450" spans="2:31" ht="20" x14ac:dyDescent="0.25">
      <c r="B450" s="55"/>
      <c r="C450" s="55"/>
      <c r="D450" s="4" t="s">
        <v>741</v>
      </c>
      <c r="E450" s="4" t="s">
        <v>359</v>
      </c>
      <c r="F450" s="4" t="s">
        <v>51</v>
      </c>
      <c r="G450" s="4" t="s">
        <v>35</v>
      </c>
      <c r="H450" s="54" t="s">
        <v>36</v>
      </c>
      <c r="I450" s="52"/>
      <c r="J450" s="57">
        <v>24.04</v>
      </c>
      <c r="K450" s="52"/>
      <c r="L450" s="6">
        <v>22.04468</v>
      </c>
      <c r="M450" s="6">
        <v>0.91700000000000004</v>
      </c>
      <c r="N450" s="6">
        <v>23.77</v>
      </c>
      <c r="O450" s="57">
        <v>21.797090000000001</v>
      </c>
      <c r="P450" s="52"/>
      <c r="Q450" s="6">
        <v>0.91700000000000004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0.27</v>
      </c>
      <c r="AB450" s="6">
        <v>0.24759</v>
      </c>
      <c r="AC450" s="6">
        <v>0.91699999999999993</v>
      </c>
      <c r="AD450" s="6">
        <v>-0.26999999999999957</v>
      </c>
      <c r="AE450" s="6">
        <v>0.26999999999999957</v>
      </c>
    </row>
    <row r="451" spans="2:31" ht="20" x14ac:dyDescent="0.25">
      <c r="B451" s="55"/>
      <c r="C451" s="55"/>
      <c r="D451" s="4" t="s">
        <v>742</v>
      </c>
      <c r="E451" s="4" t="s">
        <v>743</v>
      </c>
      <c r="F451" s="4" t="s">
        <v>51</v>
      </c>
      <c r="G451" s="4" t="s">
        <v>35</v>
      </c>
      <c r="H451" s="54" t="s">
        <v>41</v>
      </c>
      <c r="I451" s="52"/>
      <c r="J451" s="57">
        <v>7.88</v>
      </c>
      <c r="K451" s="52"/>
      <c r="L451" s="6">
        <v>5.91</v>
      </c>
      <c r="M451" s="6">
        <v>0.75</v>
      </c>
      <c r="N451" s="6">
        <v>7.26</v>
      </c>
      <c r="O451" s="57">
        <v>5.4450000000000003</v>
      </c>
      <c r="P451" s="52"/>
      <c r="Q451" s="6">
        <v>0.75000000000000011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0.62</v>
      </c>
      <c r="AB451" s="6">
        <v>0.46500000000000002</v>
      </c>
      <c r="AC451" s="6">
        <v>0.75</v>
      </c>
      <c r="AD451" s="6">
        <v>-0.62000000000000011</v>
      </c>
      <c r="AE451" s="6">
        <v>0.62000000000000011</v>
      </c>
    </row>
    <row r="452" spans="2:31" ht="20" x14ac:dyDescent="0.25">
      <c r="B452" s="55"/>
      <c r="C452" s="55"/>
      <c r="D452" s="4" t="s">
        <v>744</v>
      </c>
      <c r="E452" s="4" t="s">
        <v>745</v>
      </c>
      <c r="F452" s="4" t="s">
        <v>51</v>
      </c>
      <c r="G452" s="4" t="s">
        <v>35</v>
      </c>
      <c r="H452" s="54" t="s">
        <v>41</v>
      </c>
      <c r="I452" s="52"/>
      <c r="J452" s="57">
        <v>7.01</v>
      </c>
      <c r="K452" s="52"/>
      <c r="L452" s="6">
        <v>5.2575000000000003</v>
      </c>
      <c r="M452" s="6">
        <v>0.75000000000000011</v>
      </c>
      <c r="N452" s="6">
        <v>6.57</v>
      </c>
      <c r="O452" s="57">
        <v>4.9275000000000002</v>
      </c>
      <c r="P452" s="52"/>
      <c r="Q452" s="6">
        <v>0.75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0.44</v>
      </c>
      <c r="AB452" s="6">
        <v>0.33</v>
      </c>
      <c r="AC452" s="6">
        <v>0.75</v>
      </c>
      <c r="AD452" s="6">
        <v>-0.4399999999999995</v>
      </c>
      <c r="AE452" s="6">
        <v>0.4399999999999995</v>
      </c>
    </row>
    <row r="453" spans="2:31" ht="20" x14ac:dyDescent="0.25">
      <c r="B453" s="55"/>
      <c r="C453" s="55"/>
      <c r="D453" s="4" t="s">
        <v>746</v>
      </c>
      <c r="E453" s="4" t="s">
        <v>747</v>
      </c>
      <c r="F453" s="4" t="s">
        <v>51</v>
      </c>
      <c r="G453" s="4" t="s">
        <v>35</v>
      </c>
      <c r="H453" s="54" t="s">
        <v>41</v>
      </c>
      <c r="I453" s="52"/>
      <c r="J453" s="57">
        <v>8.7799999999999994</v>
      </c>
      <c r="K453" s="52"/>
      <c r="L453" s="6">
        <v>6.585</v>
      </c>
      <c r="M453" s="6">
        <v>0.75</v>
      </c>
      <c r="N453" s="6">
        <v>8.35</v>
      </c>
      <c r="O453" s="57">
        <v>6.2625000000000002</v>
      </c>
      <c r="P453" s="52"/>
      <c r="Q453" s="6">
        <v>0.75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0.43</v>
      </c>
      <c r="AB453" s="6">
        <v>0.32250000000000001</v>
      </c>
      <c r="AC453" s="6">
        <v>0.75</v>
      </c>
      <c r="AD453" s="6">
        <v>-0.42999999999999972</v>
      </c>
      <c r="AE453" s="6">
        <v>0.42999999999999972</v>
      </c>
    </row>
    <row r="454" spans="2:31" ht="20" x14ac:dyDescent="0.25">
      <c r="B454" s="55"/>
      <c r="C454" s="55"/>
      <c r="D454" s="4" t="s">
        <v>748</v>
      </c>
      <c r="E454" s="4" t="s">
        <v>749</v>
      </c>
      <c r="F454" s="4" t="s">
        <v>51</v>
      </c>
      <c r="G454" s="4" t="s">
        <v>35</v>
      </c>
      <c r="H454" s="54" t="s">
        <v>41</v>
      </c>
      <c r="I454" s="52"/>
      <c r="J454" s="57">
        <v>7.28</v>
      </c>
      <c r="K454" s="52"/>
      <c r="L454" s="6">
        <v>5.46</v>
      </c>
      <c r="M454" s="6">
        <v>0.75</v>
      </c>
      <c r="N454" s="6">
        <v>6.86</v>
      </c>
      <c r="O454" s="57">
        <v>5.1449999999999996</v>
      </c>
      <c r="P454" s="52"/>
      <c r="Q454" s="6">
        <v>0.74999999999999989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0.42</v>
      </c>
      <c r="AB454" s="6">
        <v>0.315</v>
      </c>
      <c r="AC454" s="6">
        <v>0.75</v>
      </c>
      <c r="AD454" s="6">
        <v>-0.41999999999999993</v>
      </c>
      <c r="AE454" s="6">
        <v>0.41999999999999993</v>
      </c>
    </row>
    <row r="455" spans="2:31" x14ac:dyDescent="0.25">
      <c r="B455" s="55"/>
      <c r="C455" s="55"/>
      <c r="D455" s="54" t="s">
        <v>750</v>
      </c>
      <c r="E455" s="4" t="s">
        <v>751</v>
      </c>
      <c r="F455" s="4" t="s">
        <v>51</v>
      </c>
      <c r="G455" s="4" t="s">
        <v>35</v>
      </c>
      <c r="H455" s="54" t="s">
        <v>41</v>
      </c>
      <c r="I455" s="52"/>
      <c r="J455" s="57">
        <v>32.46</v>
      </c>
      <c r="K455" s="52"/>
      <c r="L455" s="6">
        <v>24.344999999999999</v>
      </c>
      <c r="M455" s="6">
        <v>0.75</v>
      </c>
      <c r="N455" s="6">
        <v>30.32</v>
      </c>
      <c r="O455" s="57">
        <v>22.74</v>
      </c>
      <c r="P455" s="52"/>
      <c r="Q455" s="6">
        <v>0.74999999999999989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2.14</v>
      </c>
      <c r="AB455" s="6">
        <v>1.605</v>
      </c>
      <c r="AC455" s="6">
        <v>0.75</v>
      </c>
      <c r="AD455" s="6">
        <v>-2.1400000000000006</v>
      </c>
      <c r="AE455" s="6">
        <v>2.1400000000000006</v>
      </c>
    </row>
    <row r="456" spans="2:31" x14ac:dyDescent="0.25">
      <c r="B456" s="55"/>
      <c r="C456" s="55"/>
      <c r="D456" s="55"/>
      <c r="E456" s="4" t="s">
        <v>752</v>
      </c>
      <c r="F456" s="4" t="s">
        <v>51</v>
      </c>
      <c r="G456" s="4" t="s">
        <v>35</v>
      </c>
      <c r="H456" s="54" t="s">
        <v>48</v>
      </c>
      <c r="I456" s="52"/>
      <c r="J456" s="57">
        <v>27.47</v>
      </c>
      <c r="K456" s="52"/>
      <c r="L456" s="6">
        <v>20.602499999999999</v>
      </c>
      <c r="M456" s="6">
        <v>0.75</v>
      </c>
      <c r="N456" s="6">
        <v>25.55</v>
      </c>
      <c r="O456" s="57">
        <v>19.162500000000001</v>
      </c>
      <c r="P456" s="52"/>
      <c r="Q456" s="6">
        <v>0.75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1.92</v>
      </c>
      <c r="AB456" s="6">
        <v>1.44</v>
      </c>
      <c r="AC456" s="6">
        <v>0.75</v>
      </c>
      <c r="AD456" s="6">
        <v>-1.9199999999999982</v>
      </c>
      <c r="AE456" s="6">
        <v>1.9199999999999982</v>
      </c>
    </row>
    <row r="457" spans="2:31" x14ac:dyDescent="0.25">
      <c r="B457" s="55"/>
      <c r="C457" s="55"/>
      <c r="D457" s="55"/>
      <c r="E457" s="4" t="s">
        <v>753</v>
      </c>
      <c r="F457" s="4" t="s">
        <v>51</v>
      </c>
      <c r="G457" s="4" t="s">
        <v>35</v>
      </c>
      <c r="H457" s="54" t="s">
        <v>36</v>
      </c>
      <c r="I457" s="52"/>
      <c r="J457" s="57">
        <v>123.95</v>
      </c>
      <c r="K457" s="52"/>
      <c r="L457" s="6">
        <v>113.66215</v>
      </c>
      <c r="M457" s="6">
        <v>0.91699999999999993</v>
      </c>
      <c r="N457" s="6">
        <v>119.75</v>
      </c>
      <c r="O457" s="57">
        <v>109.81075</v>
      </c>
      <c r="P457" s="52"/>
      <c r="Q457" s="6">
        <v>0.91700000000000004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4.2</v>
      </c>
      <c r="AB457" s="6">
        <v>3.8513999999999999</v>
      </c>
      <c r="AC457" s="6">
        <v>0.91699999999999993</v>
      </c>
      <c r="AD457" s="6">
        <v>-4.2000000000000028</v>
      </c>
      <c r="AE457" s="6">
        <v>4.2000000000000028</v>
      </c>
    </row>
    <row r="458" spans="2:31" x14ac:dyDescent="0.25">
      <c r="B458" s="55"/>
      <c r="C458" s="55"/>
      <c r="D458" s="55"/>
      <c r="E458" s="4" t="s">
        <v>754</v>
      </c>
      <c r="F458" s="4" t="s">
        <v>51</v>
      </c>
      <c r="G458" s="4" t="s">
        <v>35</v>
      </c>
      <c r="H458" s="54" t="s">
        <v>36</v>
      </c>
      <c r="I458" s="52"/>
      <c r="J458" s="57">
        <v>39.89</v>
      </c>
      <c r="K458" s="52"/>
      <c r="L458" s="6">
        <v>36.579129999999999</v>
      </c>
      <c r="M458" s="6">
        <v>0.91699999999999993</v>
      </c>
      <c r="N458" s="6">
        <v>37.119999999999997</v>
      </c>
      <c r="O458" s="57">
        <v>34.03904</v>
      </c>
      <c r="P458" s="52"/>
      <c r="Q458" s="6">
        <v>0.91700000000000004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2.77</v>
      </c>
      <c r="AB458" s="6">
        <v>2.5400900000000002</v>
      </c>
      <c r="AC458" s="6">
        <v>0.91700000000000004</v>
      </c>
      <c r="AD458" s="6">
        <v>-2.7700000000000031</v>
      </c>
      <c r="AE458" s="6">
        <v>2.7700000000000031</v>
      </c>
    </row>
    <row r="459" spans="2:31" x14ac:dyDescent="0.25">
      <c r="B459" s="55"/>
      <c r="C459" s="55"/>
      <c r="D459" s="56"/>
      <c r="E459" s="4" t="s">
        <v>755</v>
      </c>
      <c r="F459" s="4" t="s">
        <v>51</v>
      </c>
      <c r="G459" s="4" t="s">
        <v>35</v>
      </c>
      <c r="H459" s="54" t="s">
        <v>36</v>
      </c>
      <c r="I459" s="52"/>
      <c r="J459" s="57">
        <v>42.26</v>
      </c>
      <c r="K459" s="52"/>
      <c r="L459" s="6">
        <v>38.752420000000001</v>
      </c>
      <c r="M459" s="6">
        <v>0.91700000000000004</v>
      </c>
      <c r="N459" s="6">
        <v>39.06</v>
      </c>
      <c r="O459" s="57">
        <v>35.818019999999997</v>
      </c>
      <c r="P459" s="52"/>
      <c r="Q459" s="6">
        <v>0.91699999999999993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3.2</v>
      </c>
      <c r="AB459" s="6">
        <v>2.9344000000000001</v>
      </c>
      <c r="AC459" s="6">
        <v>0.91700000000000004</v>
      </c>
      <c r="AD459" s="6">
        <v>-3.1999999999999957</v>
      </c>
      <c r="AE459" s="6">
        <v>3.1999999999999957</v>
      </c>
    </row>
    <row r="460" spans="2:31" ht="20" x14ac:dyDescent="0.25">
      <c r="B460" s="55"/>
      <c r="C460" s="55"/>
      <c r="D460" s="4" t="s">
        <v>756</v>
      </c>
      <c r="E460" s="4" t="s">
        <v>757</v>
      </c>
      <c r="F460" s="4" t="s">
        <v>51</v>
      </c>
      <c r="G460" s="4" t="s">
        <v>35</v>
      </c>
      <c r="H460" s="54" t="s">
        <v>36</v>
      </c>
      <c r="I460" s="52"/>
      <c r="J460" s="57">
        <v>34.591999999999999</v>
      </c>
      <c r="K460" s="52"/>
      <c r="L460" s="6">
        <v>31.720863999999999</v>
      </c>
      <c r="M460" s="6">
        <v>0.91700000000000004</v>
      </c>
      <c r="N460" s="6">
        <v>33.161999999999999</v>
      </c>
      <c r="O460" s="57">
        <v>30.409554</v>
      </c>
      <c r="P460" s="52"/>
      <c r="Q460" s="6">
        <v>0.91700000000000004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1.43</v>
      </c>
      <c r="AB460" s="6">
        <v>1.31131</v>
      </c>
      <c r="AC460" s="6">
        <v>0.91700000000000004</v>
      </c>
      <c r="AD460" s="6">
        <v>-1.4299999999999997</v>
      </c>
      <c r="AE460" s="6">
        <v>1.4299999999999997</v>
      </c>
    </row>
    <row r="461" spans="2:31" ht="20" x14ac:dyDescent="0.25">
      <c r="B461" s="55"/>
      <c r="C461" s="55"/>
      <c r="D461" s="4" t="s">
        <v>758</v>
      </c>
      <c r="E461" s="4" t="s">
        <v>759</v>
      </c>
      <c r="F461" s="4" t="s">
        <v>51</v>
      </c>
      <c r="G461" s="4" t="s">
        <v>35</v>
      </c>
      <c r="H461" s="54" t="s">
        <v>36</v>
      </c>
      <c r="I461" s="52"/>
      <c r="J461" s="57">
        <v>9.02</v>
      </c>
      <c r="K461" s="52"/>
      <c r="L461" s="6">
        <v>8.2713400000000004</v>
      </c>
      <c r="M461" s="6">
        <v>0.91700000000000004</v>
      </c>
      <c r="N461" s="6">
        <v>8.9600000000000009</v>
      </c>
      <c r="O461" s="57">
        <v>8.2163199999999996</v>
      </c>
      <c r="P461" s="52"/>
      <c r="Q461" s="6">
        <v>0.91699999999999982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0.06</v>
      </c>
      <c r="AB461" s="6">
        <v>5.5019999999999999E-2</v>
      </c>
      <c r="AC461" s="6">
        <v>0.91700000000000004</v>
      </c>
      <c r="AD461" s="6">
        <v>-5.9999999999998721E-2</v>
      </c>
      <c r="AE461" s="6">
        <v>5.9999999999998721E-2</v>
      </c>
    </row>
    <row r="462" spans="2:31" ht="20" x14ac:dyDescent="0.25">
      <c r="B462" s="55"/>
      <c r="C462" s="55"/>
      <c r="D462" s="4" t="s">
        <v>760</v>
      </c>
      <c r="E462" s="4" t="s">
        <v>761</v>
      </c>
      <c r="F462" s="4" t="s">
        <v>51</v>
      </c>
      <c r="G462" s="4" t="s">
        <v>35</v>
      </c>
      <c r="H462" s="54" t="s">
        <v>36</v>
      </c>
      <c r="I462" s="52"/>
      <c r="J462" s="57">
        <v>13.62</v>
      </c>
      <c r="K462" s="52"/>
      <c r="L462" s="6">
        <v>12.48954</v>
      </c>
      <c r="M462" s="6">
        <v>0.91700000000000004</v>
      </c>
      <c r="N462" s="6">
        <v>12.93</v>
      </c>
      <c r="O462" s="57">
        <v>11.856809999999999</v>
      </c>
      <c r="P462" s="52"/>
      <c r="Q462" s="6">
        <v>0.91699999999999993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0.69</v>
      </c>
      <c r="AB462" s="6">
        <v>0.63273000000000001</v>
      </c>
      <c r="AC462" s="6">
        <v>0.91700000000000004</v>
      </c>
      <c r="AD462" s="6">
        <v>-0.6899999999999995</v>
      </c>
      <c r="AE462" s="6">
        <v>0.6899999999999995</v>
      </c>
    </row>
    <row r="463" spans="2:31" x14ac:dyDescent="0.25">
      <c r="B463" s="55"/>
      <c r="C463" s="55"/>
      <c r="D463" s="54" t="s">
        <v>762</v>
      </c>
      <c r="E463" s="4" t="s">
        <v>520</v>
      </c>
      <c r="F463" s="4" t="s">
        <v>51</v>
      </c>
      <c r="G463" s="4" t="s">
        <v>35</v>
      </c>
      <c r="H463" s="54" t="s">
        <v>48</v>
      </c>
      <c r="I463" s="52"/>
      <c r="J463" s="57">
        <v>18.727</v>
      </c>
      <c r="K463" s="52"/>
      <c r="L463" s="6">
        <v>14.045249999999999</v>
      </c>
      <c r="M463" s="6">
        <v>0.75</v>
      </c>
      <c r="N463" s="6">
        <v>18.727</v>
      </c>
      <c r="O463" s="57">
        <v>14.045249999999999</v>
      </c>
      <c r="P463" s="52"/>
      <c r="Q463" s="6">
        <v>0.75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</row>
    <row r="464" spans="2:31" x14ac:dyDescent="0.25">
      <c r="B464" s="55"/>
      <c r="C464" s="55"/>
      <c r="D464" s="56"/>
      <c r="E464" s="4" t="s">
        <v>763</v>
      </c>
      <c r="F464" s="4" t="s">
        <v>51</v>
      </c>
      <c r="G464" s="4" t="s">
        <v>35</v>
      </c>
      <c r="H464" s="54" t="s">
        <v>36</v>
      </c>
      <c r="I464" s="52"/>
      <c r="J464" s="57">
        <v>91.03</v>
      </c>
      <c r="K464" s="52"/>
      <c r="L464" s="6">
        <v>83.474509999999995</v>
      </c>
      <c r="M464" s="6">
        <v>0.91699999999999993</v>
      </c>
      <c r="N464" s="6">
        <v>83.44</v>
      </c>
      <c r="O464" s="57">
        <v>76.514480000000006</v>
      </c>
      <c r="P464" s="52"/>
      <c r="Q464" s="6">
        <v>0.91700000000000015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7.59</v>
      </c>
      <c r="AB464" s="6">
        <v>6.9600299999999997</v>
      </c>
      <c r="AC464" s="6">
        <v>0.91699999999999993</v>
      </c>
      <c r="AD464" s="6">
        <v>-7.5900000000000034</v>
      </c>
      <c r="AE464" s="6">
        <v>7.5900000000000034</v>
      </c>
    </row>
    <row r="465" spans="2:31" ht="20" x14ac:dyDescent="0.25">
      <c r="B465" s="55"/>
      <c r="C465" s="55"/>
      <c r="D465" s="4" t="s">
        <v>764</v>
      </c>
      <c r="E465" s="4" t="s">
        <v>765</v>
      </c>
      <c r="F465" s="4" t="s">
        <v>51</v>
      </c>
      <c r="G465" s="4" t="s">
        <v>35</v>
      </c>
      <c r="H465" s="54" t="s">
        <v>36</v>
      </c>
      <c r="I465" s="52"/>
      <c r="J465" s="57">
        <v>55.83</v>
      </c>
      <c r="K465" s="52"/>
      <c r="L465" s="6">
        <v>51.196109999999997</v>
      </c>
      <c r="M465" s="6">
        <v>0.91699999999999993</v>
      </c>
      <c r="N465" s="6">
        <v>55.83</v>
      </c>
      <c r="O465" s="57">
        <v>51.196109999999997</v>
      </c>
      <c r="P465" s="52"/>
      <c r="Q465" s="6">
        <v>0.91699999999999993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</row>
    <row r="466" spans="2:31" ht="20" x14ac:dyDescent="0.25">
      <c r="B466" s="55"/>
      <c r="C466" s="55"/>
      <c r="D466" s="4" t="s">
        <v>766</v>
      </c>
      <c r="E466" s="4" t="s">
        <v>767</v>
      </c>
      <c r="F466" s="4" t="s">
        <v>51</v>
      </c>
      <c r="G466" s="4" t="s">
        <v>35</v>
      </c>
      <c r="H466" s="54" t="s">
        <v>36</v>
      </c>
      <c r="I466" s="52"/>
      <c r="J466" s="57">
        <v>3.23</v>
      </c>
      <c r="K466" s="52"/>
      <c r="L466" s="6">
        <v>2.96191</v>
      </c>
      <c r="M466" s="6">
        <v>0.91700000000000004</v>
      </c>
      <c r="N466" s="6">
        <v>3.23</v>
      </c>
      <c r="O466" s="57">
        <v>2.96191</v>
      </c>
      <c r="P466" s="52"/>
      <c r="Q466" s="6">
        <v>0.91700000000000004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</row>
    <row r="467" spans="2:31" x14ac:dyDescent="0.25">
      <c r="B467" s="55"/>
      <c r="C467" s="55"/>
      <c r="D467" s="54" t="s">
        <v>768</v>
      </c>
      <c r="E467" s="4" t="s">
        <v>769</v>
      </c>
      <c r="F467" s="4" t="s">
        <v>51</v>
      </c>
      <c r="G467" s="4" t="s">
        <v>35</v>
      </c>
      <c r="H467" s="54" t="s">
        <v>41</v>
      </c>
      <c r="I467" s="52"/>
      <c r="J467" s="57">
        <v>4.7699999999999996</v>
      </c>
      <c r="K467" s="52"/>
      <c r="L467" s="6">
        <v>3.5775000000000001</v>
      </c>
      <c r="M467" s="6">
        <v>0.75000000000000011</v>
      </c>
      <c r="N467" s="6">
        <v>4.7699999999999996</v>
      </c>
      <c r="O467" s="57">
        <v>3.5775000000000001</v>
      </c>
      <c r="P467" s="52"/>
      <c r="Q467" s="6">
        <v>0.75000000000000011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</row>
    <row r="468" spans="2:31" x14ac:dyDescent="0.25">
      <c r="B468" s="55"/>
      <c r="C468" s="55"/>
      <c r="D468" s="56"/>
      <c r="E468" s="4" t="s">
        <v>770</v>
      </c>
      <c r="F468" s="4" t="s">
        <v>51</v>
      </c>
      <c r="G468" s="4" t="s">
        <v>35</v>
      </c>
      <c r="H468" s="54" t="s">
        <v>41</v>
      </c>
      <c r="I468" s="52"/>
      <c r="J468" s="57">
        <v>1.56</v>
      </c>
      <c r="K468" s="52"/>
      <c r="L468" s="6">
        <v>1.17</v>
      </c>
      <c r="M468" s="6">
        <v>0.74999999999999989</v>
      </c>
      <c r="N468" s="6">
        <v>1.56</v>
      </c>
      <c r="O468" s="57">
        <v>1.17</v>
      </c>
      <c r="P468" s="52"/>
      <c r="Q468" s="6">
        <v>0.74999999999999989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</row>
    <row r="469" spans="2:31" x14ac:dyDescent="0.25">
      <c r="B469" s="55"/>
      <c r="C469" s="55"/>
      <c r="D469" s="54" t="s">
        <v>771</v>
      </c>
      <c r="E469" s="4" t="s">
        <v>772</v>
      </c>
      <c r="F469" s="4" t="s">
        <v>51</v>
      </c>
      <c r="G469" s="4" t="s">
        <v>35</v>
      </c>
      <c r="H469" s="54" t="s">
        <v>36</v>
      </c>
      <c r="I469" s="52"/>
      <c r="J469" s="57">
        <v>220.78</v>
      </c>
      <c r="K469" s="52"/>
      <c r="L469" s="6">
        <v>202.45526000000001</v>
      </c>
      <c r="M469" s="6">
        <v>0.91700000000000004</v>
      </c>
      <c r="N469" s="6">
        <v>209.51</v>
      </c>
      <c r="O469" s="57">
        <v>192.12066999999999</v>
      </c>
      <c r="P469" s="52"/>
      <c r="Q469" s="6">
        <v>0.91700000000000004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11.27</v>
      </c>
      <c r="AB469" s="6">
        <v>10.33459</v>
      </c>
      <c r="AC469" s="6">
        <v>0.91700000000000004</v>
      </c>
      <c r="AD469" s="6">
        <v>-11.27000000000001</v>
      </c>
      <c r="AE469" s="6">
        <v>11.27000000000001</v>
      </c>
    </row>
    <row r="470" spans="2:31" x14ac:dyDescent="0.25">
      <c r="B470" s="55"/>
      <c r="C470" s="55"/>
      <c r="D470" s="55"/>
      <c r="E470" s="4" t="s">
        <v>773</v>
      </c>
      <c r="F470" s="4" t="s">
        <v>51</v>
      </c>
      <c r="G470" s="4" t="s">
        <v>35</v>
      </c>
      <c r="H470" s="54" t="s">
        <v>48</v>
      </c>
      <c r="I470" s="52"/>
      <c r="J470" s="57">
        <v>32.11</v>
      </c>
      <c r="K470" s="52"/>
      <c r="L470" s="6">
        <v>24.0825</v>
      </c>
      <c r="M470" s="6">
        <v>0.75</v>
      </c>
      <c r="N470" s="6">
        <v>30.7</v>
      </c>
      <c r="O470" s="57">
        <v>23.024999999999999</v>
      </c>
      <c r="P470" s="52"/>
      <c r="Q470" s="6">
        <v>0.75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1.41</v>
      </c>
      <c r="AB470" s="6">
        <v>1.0575000000000001</v>
      </c>
      <c r="AC470" s="6">
        <v>0.75000000000000011</v>
      </c>
      <c r="AD470" s="6">
        <v>-1.41</v>
      </c>
      <c r="AE470" s="6">
        <v>1.41</v>
      </c>
    </row>
    <row r="471" spans="2:31" x14ac:dyDescent="0.25">
      <c r="B471" s="55"/>
      <c r="C471" s="55"/>
      <c r="D471" s="55"/>
      <c r="E471" s="4" t="s">
        <v>774</v>
      </c>
      <c r="F471" s="4" t="s">
        <v>51</v>
      </c>
      <c r="G471" s="4" t="s">
        <v>35</v>
      </c>
      <c r="H471" s="54" t="s">
        <v>48</v>
      </c>
      <c r="I471" s="52"/>
      <c r="J471" s="57">
        <v>16.71</v>
      </c>
      <c r="K471" s="52"/>
      <c r="L471" s="6">
        <v>12.532500000000001</v>
      </c>
      <c r="M471" s="6">
        <v>0.75</v>
      </c>
      <c r="N471" s="6">
        <v>14.93</v>
      </c>
      <c r="O471" s="57">
        <v>11.1975</v>
      </c>
      <c r="P471" s="52"/>
      <c r="Q471" s="6">
        <v>0.75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1.78</v>
      </c>
      <c r="AB471" s="6">
        <v>1.335</v>
      </c>
      <c r="AC471" s="6">
        <v>0.75</v>
      </c>
      <c r="AD471" s="6">
        <v>-1.7800000000000011</v>
      </c>
      <c r="AE471" s="6">
        <v>1.7800000000000011</v>
      </c>
    </row>
    <row r="472" spans="2:31" x14ac:dyDescent="0.25">
      <c r="B472" s="55"/>
      <c r="C472" s="55"/>
      <c r="D472" s="55"/>
      <c r="E472" s="4" t="s">
        <v>775</v>
      </c>
      <c r="F472" s="4" t="s">
        <v>51</v>
      </c>
      <c r="G472" s="4" t="s">
        <v>35</v>
      </c>
      <c r="H472" s="54" t="s">
        <v>41</v>
      </c>
      <c r="I472" s="52"/>
      <c r="J472" s="57">
        <v>20.22</v>
      </c>
      <c r="K472" s="52"/>
      <c r="L472" s="6">
        <v>15.164999999999999</v>
      </c>
      <c r="M472" s="6">
        <v>0.75</v>
      </c>
      <c r="N472" s="6">
        <v>19.649999999999999</v>
      </c>
      <c r="O472" s="57">
        <v>14.737500000000001</v>
      </c>
      <c r="P472" s="52"/>
      <c r="Q472" s="6">
        <v>0.75000000000000011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0.56999999999999995</v>
      </c>
      <c r="AB472" s="6">
        <v>0.42749999999999999</v>
      </c>
      <c r="AC472" s="6">
        <v>0.75</v>
      </c>
      <c r="AD472" s="6">
        <v>-0.57000000000000028</v>
      </c>
      <c r="AE472" s="6">
        <v>0.57000000000000028</v>
      </c>
    </row>
    <row r="473" spans="2:31" x14ac:dyDescent="0.25">
      <c r="B473" s="55"/>
      <c r="C473" s="55"/>
      <c r="D473" s="56"/>
      <c r="E473" s="4" t="s">
        <v>776</v>
      </c>
      <c r="F473" s="4" t="s">
        <v>51</v>
      </c>
      <c r="G473" s="4" t="s">
        <v>35</v>
      </c>
      <c r="H473" s="54" t="s">
        <v>36</v>
      </c>
      <c r="I473" s="52"/>
      <c r="J473" s="57">
        <v>48.78</v>
      </c>
      <c r="K473" s="52"/>
      <c r="L473" s="6">
        <v>44.731259999999999</v>
      </c>
      <c r="M473" s="6">
        <v>0.91699999999999993</v>
      </c>
      <c r="N473" s="6">
        <v>46.33</v>
      </c>
      <c r="O473" s="57">
        <v>42.484610000000004</v>
      </c>
      <c r="P473" s="52"/>
      <c r="Q473" s="6">
        <v>0.91700000000000015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2.4500000000000002</v>
      </c>
      <c r="AB473" s="6">
        <v>2.2466499999999998</v>
      </c>
      <c r="AC473" s="6">
        <v>0.91699999999999982</v>
      </c>
      <c r="AD473" s="6">
        <v>-2.4500000000000028</v>
      </c>
      <c r="AE473" s="6">
        <v>2.4500000000000028</v>
      </c>
    </row>
    <row r="474" spans="2:31" x14ac:dyDescent="0.25">
      <c r="B474" s="55"/>
      <c r="C474" s="55"/>
      <c r="D474" s="54" t="s">
        <v>777</v>
      </c>
      <c r="E474" s="4" t="s">
        <v>778</v>
      </c>
      <c r="F474" s="4" t="s">
        <v>51</v>
      </c>
      <c r="G474" s="4" t="s">
        <v>35</v>
      </c>
      <c r="H474" s="54" t="s">
        <v>48</v>
      </c>
      <c r="I474" s="52"/>
      <c r="J474" s="57">
        <v>19.68</v>
      </c>
      <c r="K474" s="52"/>
      <c r="L474" s="6">
        <v>14.76</v>
      </c>
      <c r="M474" s="6">
        <v>0.75</v>
      </c>
      <c r="N474" s="6">
        <v>17.190000000000001</v>
      </c>
      <c r="O474" s="57">
        <v>12.8925</v>
      </c>
      <c r="P474" s="52"/>
      <c r="Q474" s="6">
        <v>0.75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2.4900000000000002</v>
      </c>
      <c r="AB474" s="6">
        <v>1.8674999999999999</v>
      </c>
      <c r="AC474" s="6">
        <v>0.74999999999999989</v>
      </c>
      <c r="AD474" s="6">
        <v>-2.4899999999999984</v>
      </c>
      <c r="AE474" s="6">
        <v>2.4899999999999984</v>
      </c>
    </row>
    <row r="475" spans="2:31" x14ac:dyDescent="0.25">
      <c r="B475" s="55"/>
      <c r="C475" s="55"/>
      <c r="D475" s="55"/>
      <c r="E475" s="4" t="s">
        <v>779</v>
      </c>
      <c r="F475" s="4" t="s">
        <v>51</v>
      </c>
      <c r="G475" s="4" t="s">
        <v>35</v>
      </c>
      <c r="H475" s="54" t="s">
        <v>36</v>
      </c>
      <c r="I475" s="52"/>
      <c r="J475" s="57">
        <v>56.09</v>
      </c>
      <c r="K475" s="52"/>
      <c r="L475" s="6">
        <v>51.434530000000002</v>
      </c>
      <c r="M475" s="6">
        <v>0.91700000000000004</v>
      </c>
      <c r="N475" s="6">
        <v>53.32</v>
      </c>
      <c r="O475" s="57">
        <v>48.894440000000003</v>
      </c>
      <c r="P475" s="52"/>
      <c r="Q475" s="6">
        <v>0.91700000000000004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2.77</v>
      </c>
      <c r="AB475" s="6">
        <v>2.5400900000000002</v>
      </c>
      <c r="AC475" s="6">
        <v>0.91700000000000004</v>
      </c>
      <c r="AD475" s="6">
        <v>-2.7700000000000031</v>
      </c>
      <c r="AE475" s="6">
        <v>2.7700000000000031</v>
      </c>
    </row>
    <row r="476" spans="2:31" x14ac:dyDescent="0.25">
      <c r="B476" s="55"/>
      <c r="C476" s="55"/>
      <c r="D476" s="56"/>
      <c r="E476" s="4" t="s">
        <v>780</v>
      </c>
      <c r="F476" s="4" t="s">
        <v>51</v>
      </c>
      <c r="G476" s="4" t="s">
        <v>35</v>
      </c>
      <c r="H476" s="54" t="s">
        <v>36</v>
      </c>
      <c r="I476" s="52"/>
      <c r="J476" s="57">
        <v>47.99</v>
      </c>
      <c r="K476" s="52"/>
      <c r="L476" s="6">
        <v>44.006830000000001</v>
      </c>
      <c r="M476" s="6">
        <v>0.91699999999999993</v>
      </c>
      <c r="N476" s="6">
        <v>45.67</v>
      </c>
      <c r="O476" s="57">
        <v>41.879390000000001</v>
      </c>
      <c r="P476" s="52"/>
      <c r="Q476" s="6">
        <v>0.91700000000000004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2.3199999999999998</v>
      </c>
      <c r="AB476" s="6">
        <v>2.12744</v>
      </c>
      <c r="AC476" s="6">
        <v>0.91700000000000004</v>
      </c>
      <c r="AD476" s="6">
        <v>-2.3200000000000003</v>
      </c>
      <c r="AE476" s="6">
        <v>2.3200000000000003</v>
      </c>
    </row>
    <row r="477" spans="2:31" x14ac:dyDescent="0.25">
      <c r="B477" s="55"/>
      <c r="C477" s="55"/>
      <c r="D477" s="54" t="s">
        <v>781</v>
      </c>
      <c r="E477" s="54" t="s">
        <v>338</v>
      </c>
      <c r="F477" s="54" t="s">
        <v>51</v>
      </c>
      <c r="G477" s="54" t="s">
        <v>35</v>
      </c>
      <c r="H477" s="54" t="s">
        <v>48</v>
      </c>
      <c r="I477" s="52"/>
      <c r="J477" s="57">
        <v>7.53</v>
      </c>
      <c r="K477" s="52"/>
      <c r="L477" s="6">
        <v>5.6475</v>
      </c>
      <c r="M477" s="6">
        <v>0.75</v>
      </c>
      <c r="N477" s="6">
        <v>5.59</v>
      </c>
      <c r="O477" s="57">
        <v>4.1924999999999999</v>
      </c>
      <c r="P477" s="52"/>
      <c r="Q477" s="6">
        <v>0.75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1.94</v>
      </c>
      <c r="AB477" s="6">
        <v>1.4550000000000001</v>
      </c>
      <c r="AC477" s="6">
        <v>0.75000000000000011</v>
      </c>
      <c r="AD477" s="6">
        <v>-1.9400000000000004</v>
      </c>
      <c r="AE477" s="6">
        <v>1.9400000000000004</v>
      </c>
    </row>
    <row r="478" spans="2:31" x14ac:dyDescent="0.25">
      <c r="B478" s="55"/>
      <c r="C478" s="56"/>
      <c r="D478" s="56"/>
      <c r="E478" s="56"/>
      <c r="F478" s="56"/>
      <c r="G478" s="56"/>
      <c r="H478" s="54" t="s">
        <v>41</v>
      </c>
      <c r="I478" s="52"/>
      <c r="J478" s="57">
        <v>10.48</v>
      </c>
      <c r="K478" s="52"/>
      <c r="L478" s="6">
        <v>7.86</v>
      </c>
      <c r="M478" s="6">
        <v>0.75</v>
      </c>
      <c r="N478" s="6">
        <v>10.16</v>
      </c>
      <c r="O478" s="57">
        <v>7.62</v>
      </c>
      <c r="P478" s="52"/>
      <c r="Q478" s="6">
        <v>0.75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0.32</v>
      </c>
      <c r="AB478" s="6">
        <v>0.24</v>
      </c>
      <c r="AC478" s="6">
        <v>0.75</v>
      </c>
      <c r="AD478" s="6">
        <v>-0.32000000000000028</v>
      </c>
      <c r="AE478" s="6">
        <v>0.32000000000000028</v>
      </c>
    </row>
    <row r="479" spans="2:31" x14ac:dyDescent="0.25">
      <c r="B479" s="55"/>
      <c r="C479" s="58">
        <v>46179</v>
      </c>
      <c r="D479" s="4" t="s">
        <v>782</v>
      </c>
      <c r="E479" s="4" t="s">
        <v>783</v>
      </c>
      <c r="F479" s="4" t="s">
        <v>34</v>
      </c>
      <c r="G479" s="4" t="s">
        <v>35</v>
      </c>
      <c r="H479" s="54" t="s">
        <v>48</v>
      </c>
      <c r="I479" s="52"/>
      <c r="J479" s="57">
        <v>54.02</v>
      </c>
      <c r="K479" s="52"/>
      <c r="L479" s="6">
        <v>40.515000000000001</v>
      </c>
      <c r="M479" s="6">
        <v>0.75</v>
      </c>
      <c r="N479" s="6">
        <v>49.55</v>
      </c>
      <c r="O479" s="57">
        <v>37.162500000000001</v>
      </c>
      <c r="P479" s="52"/>
      <c r="Q479" s="6">
        <v>0.75000000000000011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4.47</v>
      </c>
      <c r="AB479" s="6">
        <v>3.3525</v>
      </c>
      <c r="AC479" s="6">
        <v>0.75</v>
      </c>
      <c r="AD479" s="6">
        <v>-4.470000000000006</v>
      </c>
      <c r="AE479" s="6">
        <v>4.470000000000006</v>
      </c>
    </row>
    <row r="480" spans="2:31" x14ac:dyDescent="0.25">
      <c r="B480" s="55"/>
      <c r="C480" s="55"/>
      <c r="D480" s="4" t="s">
        <v>784</v>
      </c>
      <c r="E480" s="4" t="s">
        <v>785</v>
      </c>
      <c r="F480" s="4" t="s">
        <v>34</v>
      </c>
      <c r="G480" s="4" t="s">
        <v>35</v>
      </c>
      <c r="H480" s="54" t="s">
        <v>36</v>
      </c>
      <c r="I480" s="52"/>
      <c r="J480" s="57">
        <v>47.13</v>
      </c>
      <c r="K480" s="52"/>
      <c r="L480" s="6">
        <v>43.218209999999999</v>
      </c>
      <c r="M480" s="6">
        <v>0.91699999999999993</v>
      </c>
      <c r="N480" s="6">
        <v>45.35</v>
      </c>
      <c r="O480" s="57">
        <v>41.585949999999997</v>
      </c>
      <c r="P480" s="52"/>
      <c r="Q480" s="6">
        <v>0.91699999999999993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1.78</v>
      </c>
      <c r="AB480" s="6">
        <v>1.63226</v>
      </c>
      <c r="AC480" s="6">
        <v>0.91700000000000004</v>
      </c>
      <c r="AD480" s="6">
        <v>-1.7800000000000011</v>
      </c>
      <c r="AE480" s="6">
        <v>1.7800000000000011</v>
      </c>
    </row>
    <row r="481" spans="2:31" x14ac:dyDescent="0.25">
      <c r="B481" s="55"/>
      <c r="C481" s="55"/>
      <c r="D481" s="4" t="s">
        <v>786</v>
      </c>
      <c r="E481" s="4" t="s">
        <v>787</v>
      </c>
      <c r="F481" s="4" t="s">
        <v>34</v>
      </c>
      <c r="G481" s="4" t="s">
        <v>35</v>
      </c>
      <c r="H481" s="54" t="s">
        <v>48</v>
      </c>
      <c r="I481" s="52"/>
      <c r="J481" s="57">
        <v>103.89</v>
      </c>
      <c r="K481" s="52"/>
      <c r="L481" s="6">
        <v>77.917500000000004</v>
      </c>
      <c r="M481" s="6">
        <v>0.75</v>
      </c>
      <c r="N481" s="6">
        <v>93.95</v>
      </c>
      <c r="O481" s="57">
        <v>70.462500000000006</v>
      </c>
      <c r="P481" s="52"/>
      <c r="Q481" s="6">
        <v>0.75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9.94</v>
      </c>
      <c r="AB481" s="6">
        <v>7.4550000000000001</v>
      </c>
      <c r="AC481" s="6">
        <v>0.75</v>
      </c>
      <c r="AD481" s="6">
        <v>-9.9399999999999977</v>
      </c>
      <c r="AE481" s="6">
        <v>9.9399999999999977</v>
      </c>
    </row>
    <row r="482" spans="2:31" x14ac:dyDescent="0.25">
      <c r="B482" s="55"/>
      <c r="C482" s="55"/>
      <c r="D482" s="4" t="s">
        <v>788</v>
      </c>
      <c r="E482" s="4" t="s">
        <v>184</v>
      </c>
      <c r="F482" s="4" t="s">
        <v>34</v>
      </c>
      <c r="G482" s="4" t="s">
        <v>35</v>
      </c>
      <c r="H482" s="54" t="s">
        <v>48</v>
      </c>
      <c r="I482" s="52"/>
      <c r="J482" s="57">
        <v>171.41</v>
      </c>
      <c r="K482" s="52"/>
      <c r="L482" s="6">
        <v>128.5575</v>
      </c>
      <c r="M482" s="6">
        <v>0.75</v>
      </c>
      <c r="N482" s="6">
        <v>155.59</v>
      </c>
      <c r="O482" s="57">
        <v>116.6925</v>
      </c>
      <c r="P482" s="52"/>
      <c r="Q482" s="6">
        <v>0.75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15.82</v>
      </c>
      <c r="AB482" s="6">
        <v>11.865</v>
      </c>
      <c r="AC482" s="6">
        <v>0.75</v>
      </c>
      <c r="AD482" s="6">
        <v>-15.819999999999993</v>
      </c>
      <c r="AE482" s="6">
        <v>15.819999999999993</v>
      </c>
    </row>
    <row r="483" spans="2:31" x14ac:dyDescent="0.25">
      <c r="B483" s="55"/>
      <c r="C483" s="55"/>
      <c r="D483" s="4" t="s">
        <v>789</v>
      </c>
      <c r="E483" s="4" t="s">
        <v>38</v>
      </c>
      <c r="F483" s="4" t="s">
        <v>34</v>
      </c>
      <c r="G483" s="4" t="s">
        <v>35</v>
      </c>
      <c r="H483" s="54" t="s">
        <v>36</v>
      </c>
      <c r="I483" s="52"/>
      <c r="J483" s="57">
        <v>66.715999999999994</v>
      </c>
      <c r="K483" s="52"/>
      <c r="L483" s="6">
        <v>61.178572000000003</v>
      </c>
      <c r="M483" s="6">
        <v>0.91700000000000015</v>
      </c>
      <c r="N483" s="6">
        <v>65.665999999999997</v>
      </c>
      <c r="O483" s="57">
        <v>60.215722</v>
      </c>
      <c r="P483" s="52"/>
      <c r="Q483" s="6">
        <v>0.91700000000000004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1.05</v>
      </c>
      <c r="AB483" s="6">
        <v>0.96284999999999998</v>
      </c>
      <c r="AC483" s="6">
        <v>0.91699999999999993</v>
      </c>
      <c r="AD483" s="6">
        <v>-1.0499999999999972</v>
      </c>
      <c r="AE483" s="6">
        <v>1.0499999999999972</v>
      </c>
    </row>
    <row r="484" spans="2:31" x14ac:dyDescent="0.25">
      <c r="B484" s="55"/>
      <c r="C484" s="55"/>
      <c r="D484" s="4" t="s">
        <v>790</v>
      </c>
      <c r="E484" s="4" t="s">
        <v>338</v>
      </c>
      <c r="F484" s="4"/>
      <c r="G484" s="4" t="s">
        <v>35</v>
      </c>
      <c r="H484" s="54" t="s">
        <v>36</v>
      </c>
      <c r="I484" s="52"/>
      <c r="J484" s="57">
        <v>11.75</v>
      </c>
      <c r="K484" s="52"/>
      <c r="L484" s="6">
        <v>10.774749999999999</v>
      </c>
      <c r="M484" s="6">
        <v>0.91699999999999993</v>
      </c>
      <c r="N484" s="6">
        <v>7.21</v>
      </c>
      <c r="O484" s="57">
        <v>6.6115700000000004</v>
      </c>
      <c r="P484" s="52"/>
      <c r="Q484" s="6">
        <v>0.91700000000000004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4.54</v>
      </c>
      <c r="AB484" s="6">
        <v>4.1631799999999997</v>
      </c>
      <c r="AC484" s="6">
        <v>0.91699999999999993</v>
      </c>
      <c r="AD484" s="6">
        <v>-4.54</v>
      </c>
      <c r="AE484" s="6">
        <v>4.54</v>
      </c>
    </row>
    <row r="485" spans="2:31" ht="20" x14ac:dyDescent="0.25">
      <c r="B485" s="55"/>
      <c r="C485" s="55"/>
      <c r="D485" s="4" t="s">
        <v>791</v>
      </c>
      <c r="E485" s="4" t="s">
        <v>792</v>
      </c>
      <c r="F485" s="4" t="s">
        <v>51</v>
      </c>
      <c r="G485" s="4" t="s">
        <v>35</v>
      </c>
      <c r="H485" s="54" t="s">
        <v>48</v>
      </c>
      <c r="I485" s="52"/>
      <c r="J485" s="57">
        <v>23.33</v>
      </c>
      <c r="K485" s="52"/>
      <c r="L485" s="6">
        <v>17.497499999999999</v>
      </c>
      <c r="M485" s="6">
        <v>0.75</v>
      </c>
      <c r="N485" s="6">
        <v>21.84</v>
      </c>
      <c r="O485" s="57">
        <v>16.38</v>
      </c>
      <c r="P485" s="52"/>
      <c r="Q485" s="6">
        <v>0.75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1.49</v>
      </c>
      <c r="AB485" s="6">
        <v>1.1174999999999999</v>
      </c>
      <c r="AC485" s="6">
        <v>0.75</v>
      </c>
      <c r="AD485" s="6">
        <v>-1.4899999999999984</v>
      </c>
      <c r="AE485" s="6">
        <v>1.4899999999999984</v>
      </c>
    </row>
    <row r="486" spans="2:31" ht="20" x14ac:dyDescent="0.25">
      <c r="B486" s="55"/>
      <c r="C486" s="55"/>
      <c r="D486" s="4" t="s">
        <v>793</v>
      </c>
      <c r="E486" s="4" t="s">
        <v>794</v>
      </c>
      <c r="F486" s="4" t="s">
        <v>51</v>
      </c>
      <c r="G486" s="4" t="s">
        <v>35</v>
      </c>
      <c r="H486" s="54" t="s">
        <v>41</v>
      </c>
      <c r="I486" s="52"/>
      <c r="J486" s="57">
        <v>14.5</v>
      </c>
      <c r="K486" s="52"/>
      <c r="L486" s="6">
        <v>10.875</v>
      </c>
      <c r="M486" s="6">
        <v>0.75</v>
      </c>
      <c r="N486" s="6">
        <v>13.92</v>
      </c>
      <c r="O486" s="57">
        <v>10.44</v>
      </c>
      <c r="P486" s="52"/>
      <c r="Q486" s="6">
        <v>0.75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0.57999999999999996</v>
      </c>
      <c r="AB486" s="6">
        <v>0.435</v>
      </c>
      <c r="AC486" s="6">
        <v>0.75</v>
      </c>
      <c r="AD486" s="6">
        <v>-0.58000000000000007</v>
      </c>
      <c r="AE486" s="6">
        <v>0.58000000000000007</v>
      </c>
    </row>
    <row r="487" spans="2:31" ht="20" x14ac:dyDescent="0.25">
      <c r="B487" s="55"/>
      <c r="C487" s="55"/>
      <c r="D487" s="4" t="s">
        <v>795</v>
      </c>
      <c r="E487" s="4" t="s">
        <v>54</v>
      </c>
      <c r="F487" s="4" t="s">
        <v>51</v>
      </c>
      <c r="G487" s="4" t="s">
        <v>35</v>
      </c>
      <c r="H487" s="54" t="s">
        <v>48</v>
      </c>
      <c r="I487" s="52"/>
      <c r="J487" s="57">
        <v>15.86</v>
      </c>
      <c r="K487" s="52"/>
      <c r="L487" s="6">
        <v>11.895</v>
      </c>
      <c r="M487" s="6">
        <v>0.75</v>
      </c>
      <c r="N487" s="6">
        <v>15.75</v>
      </c>
      <c r="O487" s="57">
        <v>11.8125</v>
      </c>
      <c r="P487" s="52"/>
      <c r="Q487" s="6">
        <v>0.75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0.11</v>
      </c>
      <c r="AB487" s="6">
        <v>8.2500000000000004E-2</v>
      </c>
      <c r="AC487" s="6">
        <v>0.75</v>
      </c>
      <c r="AD487" s="6">
        <v>-0.10999999999999943</v>
      </c>
      <c r="AE487" s="6">
        <v>0.10999999999999943</v>
      </c>
    </row>
    <row r="488" spans="2:31" ht="20" x14ac:dyDescent="0.25">
      <c r="B488" s="55"/>
      <c r="C488" s="55"/>
      <c r="D488" s="4" t="s">
        <v>796</v>
      </c>
      <c r="E488" s="4" t="s">
        <v>797</v>
      </c>
      <c r="F488" s="4" t="s">
        <v>51</v>
      </c>
      <c r="G488" s="4" t="s">
        <v>35</v>
      </c>
      <c r="H488" s="54" t="s">
        <v>48</v>
      </c>
      <c r="I488" s="52"/>
      <c r="J488" s="57">
        <v>5.88</v>
      </c>
      <c r="K488" s="52"/>
      <c r="L488" s="6">
        <v>4.41</v>
      </c>
      <c r="M488" s="6">
        <v>0.75</v>
      </c>
      <c r="N488" s="6">
        <v>5.39</v>
      </c>
      <c r="O488" s="57">
        <v>4.0425000000000004</v>
      </c>
      <c r="P488" s="52"/>
      <c r="Q488" s="6">
        <v>0.75000000000000011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0.49</v>
      </c>
      <c r="AB488" s="6">
        <v>0.36749999999999999</v>
      </c>
      <c r="AC488" s="6">
        <v>0.75</v>
      </c>
      <c r="AD488" s="6">
        <v>-0.49000000000000021</v>
      </c>
      <c r="AE488" s="6">
        <v>0.49000000000000021</v>
      </c>
    </row>
    <row r="489" spans="2:31" ht="20" x14ac:dyDescent="0.25">
      <c r="B489" s="55"/>
      <c r="C489" s="55"/>
      <c r="D489" s="4" t="s">
        <v>798</v>
      </c>
      <c r="E489" s="4" t="s">
        <v>460</v>
      </c>
      <c r="F489" s="4" t="s">
        <v>51</v>
      </c>
      <c r="G489" s="4" t="s">
        <v>35</v>
      </c>
      <c r="H489" s="54" t="s">
        <v>36</v>
      </c>
      <c r="I489" s="52"/>
      <c r="J489" s="57">
        <v>87.99</v>
      </c>
      <c r="K489" s="52"/>
      <c r="L489" s="6">
        <v>80.68683</v>
      </c>
      <c r="M489" s="6">
        <v>0.91700000000000004</v>
      </c>
      <c r="N489" s="6">
        <v>84.21</v>
      </c>
      <c r="O489" s="57">
        <v>77.220569999999995</v>
      </c>
      <c r="P489" s="52"/>
      <c r="Q489" s="6">
        <v>0.91700000000000004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3.78</v>
      </c>
      <c r="AB489" s="6">
        <v>3.4662600000000001</v>
      </c>
      <c r="AC489" s="6">
        <v>0.91700000000000004</v>
      </c>
      <c r="AD489" s="6">
        <v>-3.7800000000000011</v>
      </c>
      <c r="AE489" s="6">
        <v>3.7800000000000011</v>
      </c>
    </row>
    <row r="490" spans="2:31" ht="20" x14ac:dyDescent="0.25">
      <c r="B490" s="55"/>
      <c r="C490" s="55"/>
      <c r="D490" s="4" t="s">
        <v>799</v>
      </c>
      <c r="E490" s="4" t="s">
        <v>800</v>
      </c>
      <c r="F490" s="4" t="s">
        <v>51</v>
      </c>
      <c r="G490" s="4" t="s">
        <v>35</v>
      </c>
      <c r="H490" s="54" t="s">
        <v>36</v>
      </c>
      <c r="I490" s="52"/>
      <c r="J490" s="57">
        <v>73</v>
      </c>
      <c r="K490" s="52"/>
      <c r="L490" s="6">
        <v>66.941000000000003</v>
      </c>
      <c r="M490" s="6">
        <v>0.91700000000000004</v>
      </c>
      <c r="N490" s="6">
        <v>71.91</v>
      </c>
      <c r="O490" s="57">
        <v>65.941469999999995</v>
      </c>
      <c r="P490" s="52"/>
      <c r="Q490" s="6">
        <v>0.91699999999999993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1.0900000000000001</v>
      </c>
      <c r="AB490" s="6">
        <v>0.99953000000000003</v>
      </c>
      <c r="AC490" s="6">
        <v>0.91699999999999993</v>
      </c>
      <c r="AD490" s="6">
        <v>-1.0900000000000034</v>
      </c>
      <c r="AE490" s="6">
        <v>1.0900000000000034</v>
      </c>
    </row>
    <row r="491" spans="2:31" ht="20" x14ac:dyDescent="0.25">
      <c r="B491" s="55"/>
      <c r="C491" s="55"/>
      <c r="D491" s="4" t="s">
        <v>801</v>
      </c>
      <c r="E491" s="4" t="s">
        <v>802</v>
      </c>
      <c r="F491" s="4" t="s">
        <v>51</v>
      </c>
      <c r="G491" s="4" t="s">
        <v>35</v>
      </c>
      <c r="H491" s="54" t="s">
        <v>48</v>
      </c>
      <c r="I491" s="52"/>
      <c r="J491" s="57">
        <v>68.2</v>
      </c>
      <c r="K491" s="52"/>
      <c r="L491" s="6">
        <v>51.15</v>
      </c>
      <c r="M491" s="6">
        <v>0.75</v>
      </c>
      <c r="N491" s="6">
        <v>61.51</v>
      </c>
      <c r="O491" s="57">
        <v>46.1325</v>
      </c>
      <c r="P491" s="52"/>
      <c r="Q491" s="6">
        <v>0.75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6.69</v>
      </c>
      <c r="AB491" s="6">
        <v>5.0175000000000001</v>
      </c>
      <c r="AC491" s="6">
        <v>0.75</v>
      </c>
      <c r="AD491" s="6">
        <v>-6.6900000000000048</v>
      </c>
      <c r="AE491" s="6">
        <v>6.6900000000000048</v>
      </c>
    </row>
    <row r="492" spans="2:31" ht="20" x14ac:dyDescent="0.25">
      <c r="B492" s="55"/>
      <c r="C492" s="55"/>
      <c r="D492" s="4" t="s">
        <v>803</v>
      </c>
      <c r="E492" s="4" t="s">
        <v>804</v>
      </c>
      <c r="F492" s="4" t="s">
        <v>51</v>
      </c>
      <c r="G492" s="4" t="s">
        <v>35</v>
      </c>
      <c r="H492" s="54" t="s">
        <v>48</v>
      </c>
      <c r="I492" s="52"/>
      <c r="J492" s="57">
        <v>30.38</v>
      </c>
      <c r="K492" s="52"/>
      <c r="L492" s="6">
        <v>22.785</v>
      </c>
      <c r="M492" s="6">
        <v>0.75</v>
      </c>
      <c r="N492" s="6">
        <v>26.1</v>
      </c>
      <c r="O492" s="57">
        <v>19.574999999999999</v>
      </c>
      <c r="P492" s="52"/>
      <c r="Q492" s="6">
        <v>0.74999999999999989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4.28</v>
      </c>
      <c r="AB492" s="6">
        <v>3.21</v>
      </c>
      <c r="AC492" s="6">
        <v>0.75</v>
      </c>
      <c r="AD492" s="6">
        <v>-4.2799999999999976</v>
      </c>
      <c r="AE492" s="6">
        <v>4.2799999999999976</v>
      </c>
    </row>
    <row r="493" spans="2:31" ht="20" x14ac:dyDescent="0.25">
      <c r="B493" s="55"/>
      <c r="C493" s="55"/>
      <c r="D493" s="4" t="s">
        <v>805</v>
      </c>
      <c r="E493" s="4" t="s">
        <v>806</v>
      </c>
      <c r="F493" s="4" t="s">
        <v>51</v>
      </c>
      <c r="G493" s="4" t="s">
        <v>35</v>
      </c>
      <c r="H493" s="54" t="s">
        <v>48</v>
      </c>
      <c r="I493" s="52"/>
      <c r="J493" s="57">
        <v>18.440000000000001</v>
      </c>
      <c r="K493" s="52"/>
      <c r="L493" s="6">
        <v>13.83</v>
      </c>
      <c r="M493" s="6">
        <v>0.75</v>
      </c>
      <c r="N493" s="6">
        <v>15.56</v>
      </c>
      <c r="O493" s="57">
        <v>11.67</v>
      </c>
      <c r="P493" s="52"/>
      <c r="Q493" s="6">
        <v>0.75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2.88</v>
      </c>
      <c r="AB493" s="6">
        <v>2.16</v>
      </c>
      <c r="AC493" s="6">
        <v>0.75000000000000011</v>
      </c>
      <c r="AD493" s="6">
        <v>-2.8800000000000008</v>
      </c>
      <c r="AE493" s="6">
        <v>2.8800000000000008</v>
      </c>
    </row>
    <row r="494" spans="2:31" ht="20" x14ac:dyDescent="0.25">
      <c r="B494" s="55"/>
      <c r="C494" s="55"/>
      <c r="D494" s="4" t="s">
        <v>807</v>
      </c>
      <c r="E494" s="4" t="s">
        <v>808</v>
      </c>
      <c r="F494" s="4" t="s">
        <v>51</v>
      </c>
      <c r="G494" s="4" t="s">
        <v>35</v>
      </c>
      <c r="H494" s="54" t="s">
        <v>36</v>
      </c>
      <c r="I494" s="52"/>
      <c r="J494" s="57">
        <v>21.31</v>
      </c>
      <c r="K494" s="52"/>
      <c r="L494" s="6">
        <v>19.541270000000001</v>
      </c>
      <c r="M494" s="6">
        <v>0.91700000000000015</v>
      </c>
      <c r="N494" s="6">
        <v>20.29</v>
      </c>
      <c r="O494" s="57">
        <v>18.605930000000001</v>
      </c>
      <c r="P494" s="52"/>
      <c r="Q494" s="6">
        <v>0.91700000000000004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1.02</v>
      </c>
      <c r="AB494" s="6">
        <v>0.93533999999999995</v>
      </c>
      <c r="AC494" s="6">
        <v>0.91699999999999993</v>
      </c>
      <c r="AD494" s="6">
        <v>-1.0199999999999996</v>
      </c>
      <c r="AE494" s="6">
        <v>1.0199999999999996</v>
      </c>
    </row>
    <row r="495" spans="2:31" ht="20" x14ac:dyDescent="0.25">
      <c r="B495" s="55"/>
      <c r="C495" s="55"/>
      <c r="D495" s="4" t="s">
        <v>809</v>
      </c>
      <c r="E495" s="4" t="s">
        <v>810</v>
      </c>
      <c r="F495" s="4" t="s">
        <v>51</v>
      </c>
      <c r="G495" s="4" t="s">
        <v>35</v>
      </c>
      <c r="H495" s="54" t="s">
        <v>48</v>
      </c>
      <c r="I495" s="52"/>
      <c r="J495" s="57">
        <v>18.579999999999998</v>
      </c>
      <c r="K495" s="52"/>
      <c r="L495" s="6">
        <v>13.935</v>
      </c>
      <c r="M495" s="6">
        <v>0.75000000000000011</v>
      </c>
      <c r="N495" s="6">
        <v>17.05</v>
      </c>
      <c r="O495" s="57">
        <v>12.7875</v>
      </c>
      <c r="P495" s="52"/>
      <c r="Q495" s="6">
        <v>0.75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1.53</v>
      </c>
      <c r="AB495" s="6">
        <v>1.1475</v>
      </c>
      <c r="AC495" s="6">
        <v>0.75</v>
      </c>
      <c r="AD495" s="6">
        <v>-1.5299999999999976</v>
      </c>
      <c r="AE495" s="6">
        <v>1.5299999999999976</v>
      </c>
    </row>
    <row r="496" spans="2:31" ht="20" x14ac:dyDescent="0.25">
      <c r="B496" s="55"/>
      <c r="C496" s="55"/>
      <c r="D496" s="4" t="s">
        <v>811</v>
      </c>
      <c r="E496" s="4" t="s">
        <v>812</v>
      </c>
      <c r="F496" s="4" t="s">
        <v>51</v>
      </c>
      <c r="G496" s="4" t="s">
        <v>35</v>
      </c>
      <c r="H496" s="54" t="s">
        <v>48</v>
      </c>
      <c r="I496" s="52"/>
      <c r="J496" s="57">
        <v>19.100000000000001</v>
      </c>
      <c r="K496" s="52"/>
      <c r="L496" s="6">
        <v>14.324999999999999</v>
      </c>
      <c r="M496" s="6">
        <v>0.74999999999999989</v>
      </c>
      <c r="N496" s="6">
        <v>16.41</v>
      </c>
      <c r="O496" s="57">
        <v>12.307499999999999</v>
      </c>
      <c r="P496" s="52"/>
      <c r="Q496" s="6">
        <v>0.75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2.69</v>
      </c>
      <c r="AB496" s="6">
        <v>2.0175000000000001</v>
      </c>
      <c r="AC496" s="6">
        <v>0.75</v>
      </c>
      <c r="AD496" s="6">
        <v>-2.6900000000000013</v>
      </c>
      <c r="AE496" s="6">
        <v>2.6900000000000013</v>
      </c>
    </row>
    <row r="497" spans="2:31" ht="20" x14ac:dyDescent="0.25">
      <c r="B497" s="55"/>
      <c r="C497" s="55"/>
      <c r="D497" s="4" t="s">
        <v>813</v>
      </c>
      <c r="E497" s="4" t="s">
        <v>814</v>
      </c>
      <c r="F497" s="4" t="s">
        <v>51</v>
      </c>
      <c r="G497" s="4" t="s">
        <v>35</v>
      </c>
      <c r="H497" s="54" t="s">
        <v>41</v>
      </c>
      <c r="I497" s="52"/>
      <c r="J497" s="57">
        <v>45.59</v>
      </c>
      <c r="K497" s="52"/>
      <c r="L497" s="6">
        <v>34.192500000000003</v>
      </c>
      <c r="M497" s="6">
        <v>0.75</v>
      </c>
      <c r="N497" s="6">
        <v>42.4</v>
      </c>
      <c r="O497" s="57">
        <v>31.8</v>
      </c>
      <c r="P497" s="52"/>
      <c r="Q497" s="6">
        <v>0.75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3.19</v>
      </c>
      <c r="AB497" s="6">
        <v>2.3925000000000001</v>
      </c>
      <c r="AC497" s="6">
        <v>0.75</v>
      </c>
      <c r="AD497" s="6">
        <v>-3.1900000000000048</v>
      </c>
      <c r="AE497" s="6">
        <v>3.1900000000000048</v>
      </c>
    </row>
    <row r="498" spans="2:31" ht="20" x14ac:dyDescent="0.25">
      <c r="B498" s="55"/>
      <c r="C498" s="55"/>
      <c r="D498" s="4" t="s">
        <v>815</v>
      </c>
      <c r="E498" s="4" t="s">
        <v>816</v>
      </c>
      <c r="F498" s="4" t="s">
        <v>51</v>
      </c>
      <c r="G498" s="4" t="s">
        <v>35</v>
      </c>
      <c r="H498" s="54" t="s">
        <v>48</v>
      </c>
      <c r="I498" s="52"/>
      <c r="J498" s="57">
        <v>47.82</v>
      </c>
      <c r="K498" s="52"/>
      <c r="L498" s="6">
        <v>35.865000000000002</v>
      </c>
      <c r="M498" s="6">
        <v>0.75</v>
      </c>
      <c r="N498" s="6">
        <v>41.88</v>
      </c>
      <c r="O498" s="57">
        <v>31.41</v>
      </c>
      <c r="P498" s="52"/>
      <c r="Q498" s="6">
        <v>0.75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5.94</v>
      </c>
      <c r="AB498" s="6">
        <v>4.4550000000000001</v>
      </c>
      <c r="AC498" s="6">
        <v>0.75</v>
      </c>
      <c r="AD498" s="6">
        <v>-5.9399999999999977</v>
      </c>
      <c r="AE498" s="6">
        <v>5.9399999999999977</v>
      </c>
    </row>
    <row r="499" spans="2:31" x14ac:dyDescent="0.25">
      <c r="B499" s="55"/>
      <c r="C499" s="55"/>
      <c r="D499" s="54" t="s">
        <v>817</v>
      </c>
      <c r="E499" s="4" t="s">
        <v>281</v>
      </c>
      <c r="F499" s="4" t="s">
        <v>51</v>
      </c>
      <c r="G499" s="4" t="s">
        <v>35</v>
      </c>
      <c r="H499" s="54" t="s">
        <v>36</v>
      </c>
      <c r="I499" s="52"/>
      <c r="J499" s="57">
        <v>3.68</v>
      </c>
      <c r="K499" s="52"/>
      <c r="L499" s="6">
        <v>3.3745599999999998</v>
      </c>
      <c r="M499" s="6">
        <v>0.91699999999999993</v>
      </c>
      <c r="N499" s="6">
        <v>3.67</v>
      </c>
      <c r="O499" s="57">
        <v>3.3653900000000001</v>
      </c>
      <c r="P499" s="52"/>
      <c r="Q499" s="6">
        <v>0.91700000000000004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0.01</v>
      </c>
      <c r="AB499" s="6">
        <v>9.1699999999999993E-3</v>
      </c>
      <c r="AC499" s="6">
        <v>0.91699999999999993</v>
      </c>
      <c r="AD499" s="6">
        <v>-1.0000000000000231E-2</v>
      </c>
      <c r="AE499" s="6">
        <v>1.0000000000000231E-2</v>
      </c>
    </row>
    <row r="500" spans="2:31" x14ac:dyDescent="0.25">
      <c r="B500" s="55"/>
      <c r="C500" s="55"/>
      <c r="D500" s="55"/>
      <c r="E500" s="4" t="s">
        <v>818</v>
      </c>
      <c r="F500" s="4" t="s">
        <v>51</v>
      </c>
      <c r="G500" s="4" t="s">
        <v>35</v>
      </c>
      <c r="H500" s="54" t="s">
        <v>36</v>
      </c>
      <c r="I500" s="52"/>
      <c r="J500" s="57">
        <v>13.94</v>
      </c>
      <c r="K500" s="52"/>
      <c r="L500" s="6">
        <v>12.78298</v>
      </c>
      <c r="M500" s="6">
        <v>0.91700000000000004</v>
      </c>
      <c r="N500" s="6">
        <v>13.34</v>
      </c>
      <c r="O500" s="57">
        <v>12.23278</v>
      </c>
      <c r="P500" s="52"/>
      <c r="Q500" s="6">
        <v>0.91700000000000004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0.6</v>
      </c>
      <c r="AB500" s="6">
        <v>0.55020000000000002</v>
      </c>
      <c r="AC500" s="6">
        <v>0.91700000000000004</v>
      </c>
      <c r="AD500" s="6">
        <v>-0.59999999999999964</v>
      </c>
      <c r="AE500" s="6">
        <v>0.59999999999999964</v>
      </c>
    </row>
    <row r="501" spans="2:31" x14ac:dyDescent="0.25">
      <c r="B501" s="55"/>
      <c r="C501" s="55"/>
      <c r="D501" s="56"/>
      <c r="E501" s="4" t="s">
        <v>819</v>
      </c>
      <c r="F501" s="4" t="s">
        <v>51</v>
      </c>
      <c r="G501" s="4" t="s">
        <v>35</v>
      </c>
      <c r="H501" s="54" t="s">
        <v>41</v>
      </c>
      <c r="I501" s="52"/>
      <c r="J501" s="57">
        <v>20.12</v>
      </c>
      <c r="K501" s="52"/>
      <c r="L501" s="6">
        <v>15.09</v>
      </c>
      <c r="M501" s="6">
        <v>0.75</v>
      </c>
      <c r="N501" s="6">
        <v>19.82</v>
      </c>
      <c r="O501" s="57">
        <v>14.865</v>
      </c>
      <c r="P501" s="52"/>
      <c r="Q501" s="6">
        <v>0.75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0.3</v>
      </c>
      <c r="AB501" s="6">
        <v>0.22500000000000001</v>
      </c>
      <c r="AC501" s="6">
        <v>0.75</v>
      </c>
      <c r="AD501" s="6">
        <v>-0.30000000000000071</v>
      </c>
      <c r="AE501" s="6">
        <v>0.30000000000000071</v>
      </c>
    </row>
    <row r="502" spans="2:31" ht="20" x14ac:dyDescent="0.25">
      <c r="B502" s="55"/>
      <c r="C502" s="55"/>
      <c r="D502" s="4" t="s">
        <v>820</v>
      </c>
      <c r="E502" s="4" t="s">
        <v>821</v>
      </c>
      <c r="F502" s="4" t="s">
        <v>51</v>
      </c>
      <c r="G502" s="4" t="s">
        <v>35</v>
      </c>
      <c r="H502" s="54" t="s">
        <v>48</v>
      </c>
      <c r="I502" s="52"/>
      <c r="J502" s="57">
        <v>10.19</v>
      </c>
      <c r="K502" s="52"/>
      <c r="L502" s="6">
        <v>7.6425000000000001</v>
      </c>
      <c r="M502" s="6">
        <v>0.75</v>
      </c>
      <c r="N502" s="6">
        <v>9.68</v>
      </c>
      <c r="O502" s="57">
        <v>7.26</v>
      </c>
      <c r="P502" s="52"/>
      <c r="Q502" s="6">
        <v>0.75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0.51</v>
      </c>
      <c r="AB502" s="6">
        <v>0.38250000000000001</v>
      </c>
      <c r="AC502" s="6">
        <v>0.75</v>
      </c>
      <c r="AD502" s="6">
        <v>-0.50999999999999979</v>
      </c>
      <c r="AE502" s="6">
        <v>0.50999999999999979</v>
      </c>
    </row>
    <row r="503" spans="2:31" ht="20" x14ac:dyDescent="0.25">
      <c r="B503" s="55"/>
      <c r="C503" s="55"/>
      <c r="D503" s="4" t="s">
        <v>822</v>
      </c>
      <c r="E503" s="4" t="s">
        <v>823</v>
      </c>
      <c r="F503" s="4" t="s">
        <v>51</v>
      </c>
      <c r="G503" s="4" t="s">
        <v>35</v>
      </c>
      <c r="H503" s="54" t="s">
        <v>48</v>
      </c>
      <c r="I503" s="52"/>
      <c r="J503" s="57">
        <v>69.05</v>
      </c>
      <c r="K503" s="52"/>
      <c r="L503" s="6">
        <v>51.787500000000001</v>
      </c>
      <c r="M503" s="6">
        <v>0.75</v>
      </c>
      <c r="N503" s="6">
        <v>67.36</v>
      </c>
      <c r="O503" s="57">
        <v>50.52</v>
      </c>
      <c r="P503" s="52"/>
      <c r="Q503" s="6">
        <v>0.75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1.69</v>
      </c>
      <c r="AB503" s="6">
        <v>1.2675000000000001</v>
      </c>
      <c r="AC503" s="6">
        <v>0.75000000000000011</v>
      </c>
      <c r="AD503" s="6">
        <v>-1.6899999999999977</v>
      </c>
      <c r="AE503" s="6">
        <v>1.6899999999999977</v>
      </c>
    </row>
    <row r="504" spans="2:31" x14ac:dyDescent="0.25">
      <c r="B504" s="55"/>
      <c r="C504" s="55"/>
      <c r="D504" s="54" t="s">
        <v>824</v>
      </c>
      <c r="E504" s="4" t="s">
        <v>825</v>
      </c>
      <c r="F504" s="4" t="s">
        <v>51</v>
      </c>
      <c r="G504" s="4" t="s">
        <v>35</v>
      </c>
      <c r="H504" s="54" t="s">
        <v>48</v>
      </c>
      <c r="I504" s="52"/>
      <c r="J504" s="57">
        <v>39.909999999999997</v>
      </c>
      <c r="K504" s="52"/>
      <c r="L504" s="6">
        <v>29.932500000000001</v>
      </c>
      <c r="M504" s="6">
        <v>0.75000000000000011</v>
      </c>
      <c r="N504" s="6">
        <v>37.6</v>
      </c>
      <c r="O504" s="57">
        <v>28.2</v>
      </c>
      <c r="P504" s="52"/>
      <c r="Q504" s="6">
        <v>0.75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2.31</v>
      </c>
      <c r="AB504" s="6">
        <v>1.7324999999999999</v>
      </c>
      <c r="AC504" s="6">
        <v>0.75</v>
      </c>
      <c r="AD504" s="6">
        <v>-2.3099999999999952</v>
      </c>
      <c r="AE504" s="6">
        <v>2.3099999999999952</v>
      </c>
    </row>
    <row r="505" spans="2:31" x14ac:dyDescent="0.25">
      <c r="B505" s="55"/>
      <c r="C505" s="55"/>
      <c r="D505" s="56"/>
      <c r="E505" s="4" t="s">
        <v>826</v>
      </c>
      <c r="F505" s="4" t="s">
        <v>51</v>
      </c>
      <c r="G505" s="4" t="s">
        <v>35</v>
      </c>
      <c r="H505" s="54" t="s">
        <v>36</v>
      </c>
      <c r="I505" s="52"/>
      <c r="J505" s="57">
        <v>54.46</v>
      </c>
      <c r="K505" s="52"/>
      <c r="L505" s="6">
        <v>49.939819999999997</v>
      </c>
      <c r="M505" s="6">
        <v>0.91699999999999993</v>
      </c>
      <c r="N505" s="6">
        <v>51.25</v>
      </c>
      <c r="O505" s="57">
        <v>46.996250000000003</v>
      </c>
      <c r="P505" s="52"/>
      <c r="Q505" s="6">
        <v>0.91700000000000004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3.21</v>
      </c>
      <c r="AB505" s="6">
        <v>2.9435699999999998</v>
      </c>
      <c r="AC505" s="6">
        <v>0.91699999999999993</v>
      </c>
      <c r="AD505" s="6">
        <v>-3.2100000000000009</v>
      </c>
      <c r="AE505" s="6">
        <v>3.2100000000000009</v>
      </c>
    </row>
    <row r="506" spans="2:31" x14ac:dyDescent="0.25">
      <c r="B506" s="55"/>
      <c r="C506" s="55"/>
      <c r="D506" s="54" t="s">
        <v>827</v>
      </c>
      <c r="E506" s="4" t="s">
        <v>828</v>
      </c>
      <c r="F506" s="4" t="s">
        <v>51</v>
      </c>
      <c r="G506" s="4" t="s">
        <v>35</v>
      </c>
      <c r="H506" s="54" t="s">
        <v>41</v>
      </c>
      <c r="I506" s="52"/>
      <c r="J506" s="57">
        <v>7.96</v>
      </c>
      <c r="K506" s="52"/>
      <c r="L506" s="6">
        <v>5.97</v>
      </c>
      <c r="M506" s="6">
        <v>0.75</v>
      </c>
      <c r="N506" s="6">
        <v>7.19</v>
      </c>
      <c r="O506" s="57">
        <v>5.3925000000000001</v>
      </c>
      <c r="P506" s="52"/>
      <c r="Q506" s="6">
        <v>0.75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0.77</v>
      </c>
      <c r="AB506" s="6">
        <v>0.57750000000000001</v>
      </c>
      <c r="AC506" s="6">
        <v>0.75</v>
      </c>
      <c r="AD506" s="6">
        <v>-0.76999999999999957</v>
      </c>
      <c r="AE506" s="6">
        <v>0.76999999999999957</v>
      </c>
    </row>
    <row r="507" spans="2:31" x14ac:dyDescent="0.25">
      <c r="B507" s="55"/>
      <c r="C507" s="55"/>
      <c r="D507" s="56"/>
      <c r="E507" s="4" t="s">
        <v>829</v>
      </c>
      <c r="F507" s="4" t="s">
        <v>51</v>
      </c>
      <c r="G507" s="4" t="s">
        <v>35</v>
      </c>
      <c r="H507" s="54" t="s">
        <v>48</v>
      </c>
      <c r="I507" s="52"/>
      <c r="J507" s="57">
        <v>18.63</v>
      </c>
      <c r="K507" s="52"/>
      <c r="L507" s="6">
        <v>13.9725</v>
      </c>
      <c r="M507" s="6">
        <v>0.75</v>
      </c>
      <c r="N507" s="6">
        <v>16.989999999999998</v>
      </c>
      <c r="O507" s="57">
        <v>12.7425</v>
      </c>
      <c r="P507" s="52"/>
      <c r="Q507" s="6">
        <v>0.75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1.64</v>
      </c>
      <c r="AB507" s="6">
        <v>1.23</v>
      </c>
      <c r="AC507" s="6">
        <v>0.75</v>
      </c>
      <c r="AD507" s="6">
        <v>-1.6400000000000006</v>
      </c>
      <c r="AE507" s="6">
        <v>1.6400000000000006</v>
      </c>
    </row>
    <row r="508" spans="2:31" ht="20" x14ac:dyDescent="0.25">
      <c r="B508" s="55"/>
      <c r="C508" s="55"/>
      <c r="D508" s="4" t="s">
        <v>830</v>
      </c>
      <c r="E508" s="4" t="s">
        <v>831</v>
      </c>
      <c r="F508" s="4" t="s">
        <v>51</v>
      </c>
      <c r="G508" s="4" t="s">
        <v>35</v>
      </c>
      <c r="H508" s="54" t="s">
        <v>48</v>
      </c>
      <c r="I508" s="52"/>
      <c r="J508" s="57">
        <v>43.19</v>
      </c>
      <c r="K508" s="52"/>
      <c r="L508" s="6">
        <v>32.392499999999998</v>
      </c>
      <c r="M508" s="6">
        <v>0.75</v>
      </c>
      <c r="N508" s="6">
        <v>41.74</v>
      </c>
      <c r="O508" s="57">
        <v>31.305</v>
      </c>
      <c r="P508" s="52"/>
      <c r="Q508" s="6">
        <v>0.75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1.45</v>
      </c>
      <c r="AB508" s="6">
        <v>1.0874999999999999</v>
      </c>
      <c r="AC508" s="6">
        <v>0.75</v>
      </c>
      <c r="AD508" s="6">
        <v>-1.4499999999999957</v>
      </c>
      <c r="AE508" s="6">
        <v>1.4499999999999957</v>
      </c>
    </row>
    <row r="509" spans="2:31" ht="20" x14ac:dyDescent="0.25">
      <c r="B509" s="55"/>
      <c r="C509" s="55"/>
      <c r="D509" s="4" t="s">
        <v>832</v>
      </c>
      <c r="E509" s="4" t="s">
        <v>833</v>
      </c>
      <c r="F509" s="4" t="s">
        <v>51</v>
      </c>
      <c r="G509" s="4" t="s">
        <v>35</v>
      </c>
      <c r="H509" s="54" t="s">
        <v>48</v>
      </c>
      <c r="I509" s="52"/>
      <c r="J509" s="57">
        <v>47.04</v>
      </c>
      <c r="K509" s="52"/>
      <c r="L509" s="6">
        <v>35.28</v>
      </c>
      <c r="M509" s="6">
        <v>0.75</v>
      </c>
      <c r="N509" s="6">
        <v>43.54</v>
      </c>
      <c r="O509" s="57">
        <v>32.655000000000001</v>
      </c>
      <c r="P509" s="52"/>
      <c r="Q509" s="6">
        <v>0.75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3.5</v>
      </c>
      <c r="AB509" s="6">
        <v>2.625</v>
      </c>
      <c r="AC509" s="6">
        <v>0.75</v>
      </c>
      <c r="AD509" s="6">
        <v>-3.5</v>
      </c>
      <c r="AE509" s="6">
        <v>3.5</v>
      </c>
    </row>
    <row r="510" spans="2:31" x14ac:dyDescent="0.25">
      <c r="B510" s="55"/>
      <c r="C510" s="55"/>
      <c r="D510" s="54" t="s">
        <v>834</v>
      </c>
      <c r="E510" s="4" t="s">
        <v>835</v>
      </c>
      <c r="F510" s="4" t="s">
        <v>51</v>
      </c>
      <c r="G510" s="4" t="s">
        <v>35</v>
      </c>
      <c r="H510" s="54" t="s">
        <v>48</v>
      </c>
      <c r="I510" s="52"/>
      <c r="J510" s="57">
        <v>161.88999999999999</v>
      </c>
      <c r="K510" s="52"/>
      <c r="L510" s="6">
        <v>121.4175</v>
      </c>
      <c r="M510" s="6">
        <v>0.75000000000000011</v>
      </c>
      <c r="N510" s="6">
        <v>142.25</v>
      </c>
      <c r="O510" s="57">
        <v>106.6875</v>
      </c>
      <c r="P510" s="52"/>
      <c r="Q510" s="6">
        <v>0.75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19.64</v>
      </c>
      <c r="AB510" s="6">
        <v>14.73</v>
      </c>
      <c r="AC510" s="6">
        <v>0.75</v>
      </c>
      <c r="AD510" s="6">
        <v>-19.639999999999986</v>
      </c>
      <c r="AE510" s="6">
        <v>19.639999999999986</v>
      </c>
    </row>
    <row r="511" spans="2:31" x14ac:dyDescent="0.25">
      <c r="B511" s="55"/>
      <c r="C511" s="55"/>
      <c r="D511" s="55"/>
      <c r="E511" s="4" t="s">
        <v>836</v>
      </c>
      <c r="F511" s="4" t="s">
        <v>51</v>
      </c>
      <c r="G511" s="4" t="s">
        <v>35</v>
      </c>
      <c r="H511" s="54" t="s">
        <v>48</v>
      </c>
      <c r="I511" s="52"/>
      <c r="J511" s="57">
        <v>50.39</v>
      </c>
      <c r="K511" s="52"/>
      <c r="L511" s="6">
        <v>37.792499999999997</v>
      </c>
      <c r="M511" s="6">
        <v>0.74999999999999989</v>
      </c>
      <c r="N511" s="6">
        <v>45.38</v>
      </c>
      <c r="O511" s="57">
        <v>34.034999999999997</v>
      </c>
      <c r="P511" s="52"/>
      <c r="Q511" s="6">
        <v>0.74999999999999989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5.01</v>
      </c>
      <c r="AB511" s="6">
        <v>3.7574999999999998</v>
      </c>
      <c r="AC511" s="6">
        <v>0.75</v>
      </c>
      <c r="AD511" s="6">
        <v>-5.009999999999998</v>
      </c>
      <c r="AE511" s="6">
        <v>5.009999999999998</v>
      </c>
    </row>
    <row r="512" spans="2:31" x14ac:dyDescent="0.25">
      <c r="B512" s="55"/>
      <c r="C512" s="55"/>
      <c r="D512" s="56"/>
      <c r="E512" s="4" t="s">
        <v>837</v>
      </c>
      <c r="F512" s="4" t="s">
        <v>51</v>
      </c>
      <c r="G512" s="4" t="s">
        <v>35</v>
      </c>
      <c r="H512" s="54" t="s">
        <v>48</v>
      </c>
      <c r="I512" s="52"/>
      <c r="J512" s="57">
        <v>22.3</v>
      </c>
      <c r="K512" s="52"/>
      <c r="L512" s="6">
        <v>16.725000000000001</v>
      </c>
      <c r="M512" s="6">
        <v>0.75</v>
      </c>
      <c r="N512" s="6">
        <v>20.350000000000001</v>
      </c>
      <c r="O512" s="57">
        <v>15.262499999999999</v>
      </c>
      <c r="P512" s="52"/>
      <c r="Q512" s="6">
        <v>0.74999999999999989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1.95</v>
      </c>
      <c r="AB512" s="6">
        <v>1.4624999999999999</v>
      </c>
      <c r="AC512" s="6">
        <v>0.75</v>
      </c>
      <c r="AD512" s="6">
        <v>-1.9499999999999993</v>
      </c>
      <c r="AE512" s="6">
        <v>1.9499999999999993</v>
      </c>
    </row>
    <row r="513" spans="2:31" x14ac:dyDescent="0.25">
      <c r="B513" s="55"/>
      <c r="C513" s="55"/>
      <c r="D513" s="54" t="s">
        <v>838</v>
      </c>
      <c r="E513" s="4" t="s">
        <v>839</v>
      </c>
      <c r="F513" s="4" t="s">
        <v>51</v>
      </c>
      <c r="G513" s="4" t="s">
        <v>35</v>
      </c>
      <c r="H513" s="54" t="s">
        <v>48</v>
      </c>
      <c r="I513" s="52"/>
      <c r="J513" s="57">
        <v>22.53</v>
      </c>
      <c r="K513" s="52"/>
      <c r="L513" s="6">
        <v>16.897500000000001</v>
      </c>
      <c r="M513" s="6">
        <v>0.75</v>
      </c>
      <c r="N513" s="6">
        <v>21.05</v>
      </c>
      <c r="O513" s="57">
        <v>15.7875</v>
      </c>
      <c r="P513" s="52"/>
      <c r="Q513" s="6">
        <v>0.75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1.48</v>
      </c>
      <c r="AB513" s="6">
        <v>1.1100000000000001</v>
      </c>
      <c r="AC513" s="6">
        <v>0.75000000000000011</v>
      </c>
      <c r="AD513" s="6">
        <v>-1.4800000000000004</v>
      </c>
      <c r="AE513" s="6">
        <v>1.4800000000000004</v>
      </c>
    </row>
    <row r="514" spans="2:31" x14ac:dyDescent="0.25">
      <c r="B514" s="55"/>
      <c r="C514" s="55"/>
      <c r="D514" s="55"/>
      <c r="E514" s="4" t="s">
        <v>840</v>
      </c>
      <c r="F514" s="4" t="s">
        <v>51</v>
      </c>
      <c r="G514" s="4" t="s">
        <v>35</v>
      </c>
      <c r="H514" s="54" t="s">
        <v>41</v>
      </c>
      <c r="I514" s="52"/>
      <c r="J514" s="57">
        <v>14.14</v>
      </c>
      <c r="K514" s="52"/>
      <c r="L514" s="6">
        <v>10.605</v>
      </c>
      <c r="M514" s="6">
        <v>0.75</v>
      </c>
      <c r="N514" s="6">
        <v>13.56</v>
      </c>
      <c r="O514" s="57">
        <v>10.17</v>
      </c>
      <c r="P514" s="52"/>
      <c r="Q514" s="6">
        <v>0.75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0.57999999999999996</v>
      </c>
      <c r="AB514" s="6">
        <v>0.435</v>
      </c>
      <c r="AC514" s="6">
        <v>0.75</v>
      </c>
      <c r="AD514" s="6">
        <v>-0.58000000000000007</v>
      </c>
      <c r="AE514" s="6">
        <v>0.58000000000000007</v>
      </c>
    </row>
    <row r="515" spans="2:31" x14ac:dyDescent="0.25">
      <c r="B515" s="55"/>
      <c r="C515" s="55"/>
      <c r="D515" s="56"/>
      <c r="E515" s="4" t="s">
        <v>841</v>
      </c>
      <c r="F515" s="4" t="s">
        <v>51</v>
      </c>
      <c r="G515" s="4" t="s">
        <v>35</v>
      </c>
      <c r="H515" s="54" t="s">
        <v>48</v>
      </c>
      <c r="I515" s="52"/>
      <c r="J515" s="57">
        <v>14.76</v>
      </c>
      <c r="K515" s="52"/>
      <c r="L515" s="6">
        <v>11.07</v>
      </c>
      <c r="M515" s="6">
        <v>0.75</v>
      </c>
      <c r="N515" s="6">
        <v>14.41</v>
      </c>
      <c r="O515" s="57">
        <v>10.807499999999999</v>
      </c>
      <c r="P515" s="52"/>
      <c r="Q515" s="6">
        <v>0.74999999999999989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0.35</v>
      </c>
      <c r="AB515" s="6">
        <v>0.26250000000000001</v>
      </c>
      <c r="AC515" s="6">
        <v>0.75000000000000011</v>
      </c>
      <c r="AD515" s="6">
        <v>-0.34999999999999964</v>
      </c>
      <c r="AE515" s="6">
        <v>0.34999999999999964</v>
      </c>
    </row>
    <row r="516" spans="2:31" ht="20" x14ac:dyDescent="0.25">
      <c r="B516" s="55"/>
      <c r="C516" s="55"/>
      <c r="D516" s="4" t="s">
        <v>842</v>
      </c>
      <c r="E516" s="4" t="s">
        <v>552</v>
      </c>
      <c r="F516" s="4" t="s">
        <v>51</v>
      </c>
      <c r="G516" s="4" t="s">
        <v>35</v>
      </c>
      <c r="H516" s="54" t="s">
        <v>41</v>
      </c>
      <c r="I516" s="52"/>
      <c r="J516" s="57">
        <v>36.85</v>
      </c>
      <c r="K516" s="52"/>
      <c r="L516" s="6">
        <v>27.637499999999999</v>
      </c>
      <c r="M516" s="6">
        <v>0.75</v>
      </c>
      <c r="N516" s="6">
        <v>36.76</v>
      </c>
      <c r="O516" s="57">
        <v>27.57</v>
      </c>
      <c r="P516" s="52"/>
      <c r="Q516" s="6">
        <v>0.75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0.09</v>
      </c>
      <c r="AB516" s="6">
        <v>6.7500000000000004E-2</v>
      </c>
      <c r="AC516" s="6">
        <v>0.75000000000000011</v>
      </c>
      <c r="AD516" s="6">
        <v>-9.0000000000003411E-2</v>
      </c>
      <c r="AE516" s="6">
        <v>9.0000000000003411E-2</v>
      </c>
    </row>
    <row r="517" spans="2:31" ht="20" x14ac:dyDescent="0.25">
      <c r="B517" s="55"/>
      <c r="C517" s="55"/>
      <c r="D517" s="4" t="s">
        <v>843</v>
      </c>
      <c r="E517" s="4" t="s">
        <v>844</v>
      </c>
      <c r="F517" s="4" t="s">
        <v>51</v>
      </c>
      <c r="G517" s="4" t="s">
        <v>35</v>
      </c>
      <c r="H517" s="54" t="s">
        <v>48</v>
      </c>
      <c r="I517" s="52"/>
      <c r="J517" s="57">
        <v>15.78</v>
      </c>
      <c r="K517" s="52"/>
      <c r="L517" s="6">
        <v>11.835000000000001</v>
      </c>
      <c r="M517" s="6">
        <v>0.75000000000000011</v>
      </c>
      <c r="N517" s="6">
        <v>14.47</v>
      </c>
      <c r="O517" s="57">
        <v>10.852499999999999</v>
      </c>
      <c r="P517" s="52"/>
      <c r="Q517" s="6">
        <v>0.74999999999999989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1.31</v>
      </c>
      <c r="AB517" s="6">
        <v>0.98250000000000004</v>
      </c>
      <c r="AC517" s="6">
        <v>0.75</v>
      </c>
      <c r="AD517" s="6">
        <v>-1.3099999999999987</v>
      </c>
      <c r="AE517" s="6">
        <v>1.3099999999999987</v>
      </c>
    </row>
    <row r="518" spans="2:31" x14ac:dyDescent="0.25">
      <c r="B518" s="55"/>
      <c r="C518" s="55"/>
      <c r="D518" s="54" t="s">
        <v>845</v>
      </c>
      <c r="E518" s="4" t="s">
        <v>846</v>
      </c>
      <c r="F518" s="4" t="s">
        <v>51</v>
      </c>
      <c r="G518" s="4" t="s">
        <v>35</v>
      </c>
      <c r="H518" s="54" t="s">
        <v>41</v>
      </c>
      <c r="I518" s="52"/>
      <c r="J518" s="57">
        <v>181.07</v>
      </c>
      <c r="K518" s="52"/>
      <c r="L518" s="6">
        <v>135.80250000000001</v>
      </c>
      <c r="M518" s="6">
        <v>0.75000000000000011</v>
      </c>
      <c r="N518" s="6">
        <v>168.58</v>
      </c>
      <c r="O518" s="57">
        <v>126.435</v>
      </c>
      <c r="P518" s="52"/>
      <c r="Q518" s="6">
        <v>0.75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12.49</v>
      </c>
      <c r="AB518" s="6">
        <v>9.3674999999999997</v>
      </c>
      <c r="AC518" s="6">
        <v>0.75</v>
      </c>
      <c r="AD518" s="6">
        <v>-12.489999999999981</v>
      </c>
      <c r="AE518" s="6">
        <v>12.489999999999981</v>
      </c>
    </row>
    <row r="519" spans="2:31" x14ac:dyDescent="0.25">
      <c r="B519" s="55"/>
      <c r="C519" s="55"/>
      <c r="D519" s="56"/>
      <c r="E519" s="4" t="s">
        <v>847</v>
      </c>
      <c r="F519" s="4" t="s">
        <v>51</v>
      </c>
      <c r="G519" s="4" t="s">
        <v>35</v>
      </c>
      <c r="H519" s="54" t="s">
        <v>41</v>
      </c>
      <c r="I519" s="52"/>
      <c r="J519" s="57">
        <v>11.34</v>
      </c>
      <c r="K519" s="52"/>
      <c r="L519" s="6">
        <v>8.5050000000000008</v>
      </c>
      <c r="M519" s="6">
        <v>0.75000000000000011</v>
      </c>
      <c r="N519" s="6">
        <v>10.75</v>
      </c>
      <c r="O519" s="57">
        <v>8.0625</v>
      </c>
      <c r="P519" s="52"/>
      <c r="Q519" s="6">
        <v>0.75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0.59</v>
      </c>
      <c r="AB519" s="6">
        <v>0.4425</v>
      </c>
      <c r="AC519" s="6">
        <v>0.75</v>
      </c>
      <c r="AD519" s="6">
        <v>-0.58999999999999986</v>
      </c>
      <c r="AE519" s="6">
        <v>0.58999999999999986</v>
      </c>
    </row>
    <row r="520" spans="2:31" x14ac:dyDescent="0.25">
      <c r="B520" s="55"/>
      <c r="C520" s="55"/>
      <c r="D520" s="54" t="s">
        <v>848</v>
      </c>
      <c r="E520" s="4" t="s">
        <v>849</v>
      </c>
      <c r="F520" s="4" t="s">
        <v>51</v>
      </c>
      <c r="G520" s="4" t="s">
        <v>35</v>
      </c>
      <c r="H520" s="54" t="s">
        <v>41</v>
      </c>
      <c r="I520" s="52"/>
      <c r="J520" s="57">
        <v>6.62</v>
      </c>
      <c r="K520" s="52"/>
      <c r="L520" s="6">
        <v>4.9649999999999999</v>
      </c>
      <c r="M520" s="6">
        <v>0.75</v>
      </c>
      <c r="N520" s="6">
        <v>5.99</v>
      </c>
      <c r="O520" s="57">
        <v>4.4924999999999997</v>
      </c>
      <c r="P520" s="52"/>
      <c r="Q520" s="6">
        <v>0.74999999999999989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0.63</v>
      </c>
      <c r="AB520" s="6">
        <v>0.47249999999999998</v>
      </c>
      <c r="AC520" s="6">
        <v>0.75</v>
      </c>
      <c r="AD520" s="6">
        <v>-0.62999999999999989</v>
      </c>
      <c r="AE520" s="6">
        <v>0.62999999999999989</v>
      </c>
    </row>
    <row r="521" spans="2:31" x14ac:dyDescent="0.25">
      <c r="B521" s="55"/>
      <c r="C521" s="55"/>
      <c r="D521" s="55"/>
      <c r="E521" s="4" t="s">
        <v>850</v>
      </c>
      <c r="F521" s="4" t="s">
        <v>51</v>
      </c>
      <c r="G521" s="4" t="s">
        <v>35</v>
      </c>
      <c r="H521" s="54" t="s">
        <v>48</v>
      </c>
      <c r="I521" s="52"/>
      <c r="J521" s="57">
        <v>34.97</v>
      </c>
      <c r="K521" s="52"/>
      <c r="L521" s="6">
        <v>26.227499999999999</v>
      </c>
      <c r="M521" s="6">
        <v>0.75</v>
      </c>
      <c r="N521" s="6">
        <v>32.200000000000003</v>
      </c>
      <c r="O521" s="57">
        <v>24.15</v>
      </c>
      <c r="P521" s="52"/>
      <c r="Q521" s="6">
        <v>0.74999999999999989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2.77</v>
      </c>
      <c r="AB521" s="6">
        <v>2.0775000000000001</v>
      </c>
      <c r="AC521" s="6">
        <v>0.75</v>
      </c>
      <c r="AD521" s="6">
        <v>-2.769999999999996</v>
      </c>
      <c r="AE521" s="6">
        <v>2.769999999999996</v>
      </c>
    </row>
    <row r="522" spans="2:31" x14ac:dyDescent="0.25">
      <c r="B522" s="55"/>
      <c r="C522" s="55"/>
      <c r="D522" s="55"/>
      <c r="E522" s="4" t="s">
        <v>851</v>
      </c>
      <c r="F522" s="4" t="s">
        <v>51</v>
      </c>
      <c r="G522" s="4" t="s">
        <v>35</v>
      </c>
      <c r="H522" s="54" t="s">
        <v>48</v>
      </c>
      <c r="I522" s="52"/>
      <c r="J522" s="57">
        <v>17.73</v>
      </c>
      <c r="K522" s="52"/>
      <c r="L522" s="6">
        <v>13.297499999999999</v>
      </c>
      <c r="M522" s="6">
        <v>0.75</v>
      </c>
      <c r="N522" s="6">
        <v>15.86</v>
      </c>
      <c r="O522" s="57">
        <v>11.895</v>
      </c>
      <c r="P522" s="52"/>
      <c r="Q522" s="6">
        <v>0.75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1.87</v>
      </c>
      <c r="AB522" s="6">
        <v>1.4025000000000001</v>
      </c>
      <c r="AC522" s="6">
        <v>0.75</v>
      </c>
      <c r="AD522" s="6">
        <v>-1.870000000000001</v>
      </c>
      <c r="AE522" s="6">
        <v>1.870000000000001</v>
      </c>
    </row>
    <row r="523" spans="2:31" x14ac:dyDescent="0.25">
      <c r="B523" s="55"/>
      <c r="C523" s="55"/>
      <c r="D523" s="55"/>
      <c r="E523" s="4" t="s">
        <v>852</v>
      </c>
      <c r="F523" s="4" t="s">
        <v>51</v>
      </c>
      <c r="G523" s="4" t="s">
        <v>35</v>
      </c>
      <c r="H523" s="54" t="s">
        <v>48</v>
      </c>
      <c r="I523" s="52"/>
      <c r="J523" s="57">
        <v>14.64</v>
      </c>
      <c r="K523" s="52"/>
      <c r="L523" s="6">
        <v>10.98</v>
      </c>
      <c r="M523" s="6">
        <v>0.75</v>
      </c>
      <c r="N523" s="6">
        <v>13.67</v>
      </c>
      <c r="O523" s="57">
        <v>10.2525</v>
      </c>
      <c r="P523" s="52"/>
      <c r="Q523" s="6">
        <v>0.75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0.97</v>
      </c>
      <c r="AB523" s="6">
        <v>0.72750000000000004</v>
      </c>
      <c r="AC523" s="6">
        <v>0.75000000000000011</v>
      </c>
      <c r="AD523" s="6">
        <v>-0.97000000000000064</v>
      </c>
      <c r="AE523" s="6">
        <v>0.97000000000000064</v>
      </c>
    </row>
    <row r="524" spans="2:31" x14ac:dyDescent="0.25">
      <c r="B524" s="55"/>
      <c r="C524" s="55"/>
      <c r="D524" s="55"/>
      <c r="E524" s="4" t="s">
        <v>853</v>
      </c>
      <c r="F524" s="4" t="s">
        <v>51</v>
      </c>
      <c r="G524" s="4" t="s">
        <v>35</v>
      </c>
      <c r="H524" s="54" t="s">
        <v>48</v>
      </c>
      <c r="I524" s="52"/>
      <c r="J524" s="57">
        <v>14.45</v>
      </c>
      <c r="K524" s="52"/>
      <c r="L524" s="6">
        <v>10.8375</v>
      </c>
      <c r="M524" s="6">
        <v>0.75000000000000011</v>
      </c>
      <c r="N524" s="6">
        <v>13.28</v>
      </c>
      <c r="O524" s="57">
        <v>9.9600000000000009</v>
      </c>
      <c r="P524" s="52"/>
      <c r="Q524" s="6">
        <v>0.75000000000000011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1.17</v>
      </c>
      <c r="AB524" s="6">
        <v>0.87749999999999995</v>
      </c>
      <c r="AC524" s="6">
        <v>0.75</v>
      </c>
      <c r="AD524" s="6">
        <v>-1.17</v>
      </c>
      <c r="AE524" s="6">
        <v>1.17</v>
      </c>
    </row>
    <row r="525" spans="2:31" x14ac:dyDescent="0.25">
      <c r="B525" s="55"/>
      <c r="C525" s="55"/>
      <c r="D525" s="56"/>
      <c r="E525" s="4" t="s">
        <v>854</v>
      </c>
      <c r="F525" s="4" t="s">
        <v>51</v>
      </c>
      <c r="G525" s="4" t="s">
        <v>35</v>
      </c>
      <c r="H525" s="54" t="s">
        <v>36</v>
      </c>
      <c r="I525" s="52"/>
      <c r="J525" s="57">
        <v>51.22</v>
      </c>
      <c r="K525" s="52"/>
      <c r="L525" s="6">
        <v>46.968739999999997</v>
      </c>
      <c r="M525" s="6">
        <v>0.91699999999999993</v>
      </c>
      <c r="N525" s="6">
        <v>48.5</v>
      </c>
      <c r="O525" s="57">
        <v>44.474499999999999</v>
      </c>
      <c r="P525" s="52"/>
      <c r="Q525" s="6">
        <v>0.91699999999999993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2.72</v>
      </c>
      <c r="AB525" s="6">
        <v>2.49424</v>
      </c>
      <c r="AC525" s="6">
        <v>0.91699999999999993</v>
      </c>
      <c r="AD525" s="6">
        <v>-2.7199999999999989</v>
      </c>
      <c r="AE525" s="6">
        <v>2.7199999999999989</v>
      </c>
    </row>
    <row r="526" spans="2:31" x14ac:dyDescent="0.25">
      <c r="B526" s="55"/>
      <c r="C526" s="55"/>
      <c r="D526" s="54" t="s">
        <v>855</v>
      </c>
      <c r="E526" s="4" t="s">
        <v>856</v>
      </c>
      <c r="F526" s="4" t="s">
        <v>51</v>
      </c>
      <c r="G526" s="4" t="s">
        <v>35</v>
      </c>
      <c r="H526" s="54" t="s">
        <v>48</v>
      </c>
      <c r="I526" s="52"/>
      <c r="J526" s="57">
        <v>17.79</v>
      </c>
      <c r="K526" s="52"/>
      <c r="L526" s="6">
        <v>13.342499999999999</v>
      </c>
      <c r="M526" s="6">
        <v>0.75</v>
      </c>
      <c r="N526" s="6">
        <v>16.100000000000001</v>
      </c>
      <c r="O526" s="57">
        <v>12.074999999999999</v>
      </c>
      <c r="P526" s="52"/>
      <c r="Q526" s="6">
        <v>0.74999999999999989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1.69</v>
      </c>
      <c r="AB526" s="6">
        <v>1.2675000000000001</v>
      </c>
      <c r="AC526" s="6">
        <v>0.75000000000000011</v>
      </c>
      <c r="AD526" s="6">
        <v>-1.6899999999999977</v>
      </c>
      <c r="AE526" s="6">
        <v>1.6899999999999977</v>
      </c>
    </row>
    <row r="527" spans="2:31" x14ac:dyDescent="0.25">
      <c r="B527" s="55"/>
      <c r="C527" s="55"/>
      <c r="D527" s="55"/>
      <c r="E527" s="4" t="s">
        <v>857</v>
      </c>
      <c r="F527" s="4" t="s">
        <v>51</v>
      </c>
      <c r="G527" s="4" t="s">
        <v>35</v>
      </c>
      <c r="H527" s="54" t="s">
        <v>48</v>
      </c>
      <c r="I527" s="52"/>
      <c r="J527" s="57">
        <v>16.79</v>
      </c>
      <c r="K527" s="52"/>
      <c r="L527" s="6">
        <v>12.592499999999999</v>
      </c>
      <c r="M527" s="6">
        <v>0.75</v>
      </c>
      <c r="N527" s="6">
        <v>15.93</v>
      </c>
      <c r="O527" s="57">
        <v>11.9475</v>
      </c>
      <c r="P527" s="52"/>
      <c r="Q527" s="6">
        <v>0.75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0.86</v>
      </c>
      <c r="AB527" s="6">
        <v>0.64500000000000002</v>
      </c>
      <c r="AC527" s="6">
        <v>0.75</v>
      </c>
      <c r="AD527" s="6">
        <v>-0.85999999999999943</v>
      </c>
      <c r="AE527" s="6">
        <v>0.85999999999999943</v>
      </c>
    </row>
    <row r="528" spans="2:31" x14ac:dyDescent="0.25">
      <c r="B528" s="55"/>
      <c r="C528" s="55"/>
      <c r="D528" s="55"/>
      <c r="E528" s="4" t="s">
        <v>858</v>
      </c>
      <c r="F528" s="4" t="s">
        <v>51</v>
      </c>
      <c r="G528" s="4" t="s">
        <v>35</v>
      </c>
      <c r="H528" s="54" t="s">
        <v>48</v>
      </c>
      <c r="I528" s="52"/>
      <c r="J528" s="57">
        <v>14.59</v>
      </c>
      <c r="K528" s="52"/>
      <c r="L528" s="6">
        <v>10.942500000000001</v>
      </c>
      <c r="M528" s="6">
        <v>0.75000000000000011</v>
      </c>
      <c r="N528" s="6">
        <v>13.6</v>
      </c>
      <c r="O528" s="57">
        <v>10.199999999999999</v>
      </c>
      <c r="P528" s="52"/>
      <c r="Q528" s="6">
        <v>0.75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0.99</v>
      </c>
      <c r="AB528" s="6">
        <v>0.74250000000000005</v>
      </c>
      <c r="AC528" s="6">
        <v>0.75000000000000011</v>
      </c>
      <c r="AD528" s="6">
        <v>-0.99000000000000021</v>
      </c>
      <c r="AE528" s="6">
        <v>0.99000000000000021</v>
      </c>
    </row>
    <row r="529" spans="2:31" x14ac:dyDescent="0.25">
      <c r="B529" s="55"/>
      <c r="C529" s="55"/>
      <c r="D529" s="55"/>
      <c r="E529" s="4" t="s">
        <v>859</v>
      </c>
      <c r="F529" s="4" t="s">
        <v>51</v>
      </c>
      <c r="G529" s="4" t="s">
        <v>35</v>
      </c>
      <c r="H529" s="54" t="s">
        <v>48</v>
      </c>
      <c r="I529" s="52"/>
      <c r="J529" s="57">
        <v>18.510000000000002</v>
      </c>
      <c r="K529" s="52"/>
      <c r="L529" s="6">
        <v>13.8825</v>
      </c>
      <c r="M529" s="6">
        <v>0.75</v>
      </c>
      <c r="N529" s="6">
        <v>17.02</v>
      </c>
      <c r="O529" s="57">
        <v>12.765000000000001</v>
      </c>
      <c r="P529" s="52"/>
      <c r="Q529" s="6">
        <v>0.75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1.49</v>
      </c>
      <c r="AB529" s="6">
        <v>1.1174999999999999</v>
      </c>
      <c r="AC529" s="6">
        <v>0.75</v>
      </c>
      <c r="AD529" s="6">
        <v>-1.490000000000002</v>
      </c>
      <c r="AE529" s="6">
        <v>1.490000000000002</v>
      </c>
    </row>
    <row r="530" spans="2:31" x14ac:dyDescent="0.25">
      <c r="B530" s="55"/>
      <c r="C530" s="55"/>
      <c r="D530" s="55"/>
      <c r="E530" s="4" t="s">
        <v>860</v>
      </c>
      <c r="F530" s="4" t="s">
        <v>51</v>
      </c>
      <c r="G530" s="4" t="s">
        <v>35</v>
      </c>
      <c r="H530" s="54" t="s">
        <v>48</v>
      </c>
      <c r="I530" s="52"/>
      <c r="J530" s="57">
        <v>11.64</v>
      </c>
      <c r="K530" s="52"/>
      <c r="L530" s="6">
        <v>8.73</v>
      </c>
      <c r="M530" s="6">
        <v>0.75</v>
      </c>
      <c r="N530" s="6">
        <v>10.96</v>
      </c>
      <c r="O530" s="57">
        <v>8.2200000000000006</v>
      </c>
      <c r="P530" s="52"/>
      <c r="Q530" s="6">
        <v>0.75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0.68</v>
      </c>
      <c r="AB530" s="6">
        <v>0.51</v>
      </c>
      <c r="AC530" s="6">
        <v>0.75</v>
      </c>
      <c r="AD530" s="6">
        <v>-0.67999999999999972</v>
      </c>
      <c r="AE530" s="6">
        <v>0.67999999999999972</v>
      </c>
    </row>
    <row r="531" spans="2:31" x14ac:dyDescent="0.25">
      <c r="B531" s="55"/>
      <c r="C531" s="55"/>
      <c r="D531" s="55"/>
      <c r="E531" s="4" t="s">
        <v>861</v>
      </c>
      <c r="F531" s="4" t="s">
        <v>51</v>
      </c>
      <c r="G531" s="4" t="s">
        <v>35</v>
      </c>
      <c r="H531" s="54" t="s">
        <v>48</v>
      </c>
      <c r="I531" s="52"/>
      <c r="J531" s="57">
        <v>17.36</v>
      </c>
      <c r="K531" s="52"/>
      <c r="L531" s="6">
        <v>13.02</v>
      </c>
      <c r="M531" s="6">
        <v>0.75</v>
      </c>
      <c r="N531" s="6">
        <v>15.83</v>
      </c>
      <c r="O531" s="57">
        <v>11.8725</v>
      </c>
      <c r="P531" s="52"/>
      <c r="Q531" s="6">
        <v>0.75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1.53</v>
      </c>
      <c r="AB531" s="6">
        <v>1.1475</v>
      </c>
      <c r="AC531" s="6">
        <v>0.75</v>
      </c>
      <c r="AD531" s="6">
        <v>-1.5299999999999994</v>
      </c>
      <c r="AE531" s="6">
        <v>1.5299999999999994</v>
      </c>
    </row>
    <row r="532" spans="2:31" x14ac:dyDescent="0.25">
      <c r="B532" s="55"/>
      <c r="C532" s="55"/>
      <c r="D532" s="55"/>
      <c r="E532" s="4" t="s">
        <v>862</v>
      </c>
      <c r="F532" s="4" t="s">
        <v>51</v>
      </c>
      <c r="G532" s="4" t="s">
        <v>35</v>
      </c>
      <c r="H532" s="54" t="s">
        <v>48</v>
      </c>
      <c r="I532" s="52"/>
      <c r="J532" s="57">
        <v>20.88</v>
      </c>
      <c r="K532" s="52"/>
      <c r="L532" s="6">
        <v>15.66</v>
      </c>
      <c r="M532" s="6">
        <v>0.75</v>
      </c>
      <c r="N532" s="6">
        <v>19.399999999999999</v>
      </c>
      <c r="O532" s="57">
        <v>14.55</v>
      </c>
      <c r="P532" s="52"/>
      <c r="Q532" s="6">
        <v>0.75000000000000011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1.48</v>
      </c>
      <c r="AB532" s="6">
        <v>1.1100000000000001</v>
      </c>
      <c r="AC532" s="6">
        <v>0.75000000000000011</v>
      </c>
      <c r="AD532" s="6">
        <v>-1.4800000000000004</v>
      </c>
      <c r="AE532" s="6">
        <v>1.4800000000000004</v>
      </c>
    </row>
    <row r="533" spans="2:31" x14ac:dyDescent="0.25">
      <c r="B533" s="55"/>
      <c r="C533" s="55"/>
      <c r="D533" s="55"/>
      <c r="E533" s="4" t="s">
        <v>863</v>
      </c>
      <c r="F533" s="4" t="s">
        <v>51</v>
      </c>
      <c r="G533" s="4" t="s">
        <v>35</v>
      </c>
      <c r="H533" s="54" t="s">
        <v>48</v>
      </c>
      <c r="I533" s="52"/>
      <c r="J533" s="57">
        <v>20.22</v>
      </c>
      <c r="K533" s="52"/>
      <c r="L533" s="6">
        <v>15.164999999999999</v>
      </c>
      <c r="M533" s="6">
        <v>0.75</v>
      </c>
      <c r="N533" s="6">
        <v>18.829999999999998</v>
      </c>
      <c r="O533" s="57">
        <v>14.1225</v>
      </c>
      <c r="P533" s="52"/>
      <c r="Q533" s="6">
        <v>0.75000000000000011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1.39</v>
      </c>
      <c r="AB533" s="6">
        <v>1.0425</v>
      </c>
      <c r="AC533" s="6">
        <v>0.75</v>
      </c>
      <c r="AD533" s="6">
        <v>-1.3900000000000006</v>
      </c>
      <c r="AE533" s="6">
        <v>1.3900000000000006</v>
      </c>
    </row>
    <row r="534" spans="2:31" x14ac:dyDescent="0.25">
      <c r="B534" s="55"/>
      <c r="C534" s="55"/>
      <c r="D534" s="56"/>
      <c r="E534" s="4" t="s">
        <v>864</v>
      </c>
      <c r="F534" s="4" t="s">
        <v>51</v>
      </c>
      <c r="G534" s="4" t="s">
        <v>35</v>
      </c>
      <c r="H534" s="54" t="s">
        <v>48</v>
      </c>
      <c r="I534" s="52"/>
      <c r="J534" s="57">
        <v>18.700600000000001</v>
      </c>
      <c r="K534" s="52"/>
      <c r="L534" s="6">
        <v>14.025449999999999</v>
      </c>
      <c r="M534" s="6">
        <v>0.74999999999999989</v>
      </c>
      <c r="N534" s="6">
        <v>16.880600000000001</v>
      </c>
      <c r="O534" s="57">
        <v>12.660450000000001</v>
      </c>
      <c r="P534" s="52"/>
      <c r="Q534" s="6">
        <v>0.75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1.82</v>
      </c>
      <c r="AB534" s="6">
        <v>1.365</v>
      </c>
      <c r="AC534" s="6">
        <v>0.75</v>
      </c>
      <c r="AD534" s="6">
        <v>-1.8200000000000003</v>
      </c>
      <c r="AE534" s="6">
        <v>1.8200000000000003</v>
      </c>
    </row>
    <row r="535" spans="2:31" ht="20" x14ac:dyDescent="0.25">
      <c r="B535" s="55"/>
      <c r="C535" s="55"/>
      <c r="D535" s="4" t="s">
        <v>865</v>
      </c>
      <c r="E535" s="4" t="s">
        <v>866</v>
      </c>
      <c r="F535" s="4" t="s">
        <v>51</v>
      </c>
      <c r="G535" s="4" t="s">
        <v>35</v>
      </c>
      <c r="H535" s="54" t="s">
        <v>48</v>
      </c>
      <c r="I535" s="52"/>
      <c r="J535" s="57">
        <v>35.979999999999997</v>
      </c>
      <c r="K535" s="52"/>
      <c r="L535" s="6">
        <v>26.984999999999999</v>
      </c>
      <c r="M535" s="6">
        <v>0.75</v>
      </c>
      <c r="N535" s="6">
        <v>35.28</v>
      </c>
      <c r="O535" s="57">
        <v>26.46</v>
      </c>
      <c r="P535" s="52"/>
      <c r="Q535" s="6">
        <v>0.75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0.7</v>
      </c>
      <c r="AB535" s="6">
        <v>0.52500000000000002</v>
      </c>
      <c r="AC535" s="6">
        <v>0.75000000000000011</v>
      </c>
      <c r="AD535" s="6">
        <v>-0.69999999999999574</v>
      </c>
      <c r="AE535" s="6">
        <v>0.69999999999999574</v>
      </c>
    </row>
    <row r="536" spans="2:31" ht="20" x14ac:dyDescent="0.25">
      <c r="B536" s="55"/>
      <c r="C536" s="55"/>
      <c r="D536" s="4" t="s">
        <v>867</v>
      </c>
      <c r="E536" s="4" t="s">
        <v>868</v>
      </c>
      <c r="F536" s="4" t="s">
        <v>51</v>
      </c>
      <c r="G536" s="4" t="s">
        <v>35</v>
      </c>
      <c r="H536" s="54" t="s">
        <v>36</v>
      </c>
      <c r="I536" s="52"/>
      <c r="J536" s="57">
        <v>1.36</v>
      </c>
      <c r="K536" s="52"/>
      <c r="L536" s="6">
        <v>1.24712</v>
      </c>
      <c r="M536" s="6">
        <v>0.91699999999999993</v>
      </c>
      <c r="N536" s="6">
        <v>1.27</v>
      </c>
      <c r="O536" s="57">
        <v>1.16459</v>
      </c>
      <c r="P536" s="52"/>
      <c r="Q536" s="6">
        <v>0.91700000000000004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0.09</v>
      </c>
      <c r="AB536" s="6">
        <v>8.2530000000000006E-2</v>
      </c>
      <c r="AC536" s="6">
        <v>0.91700000000000015</v>
      </c>
      <c r="AD536" s="6">
        <v>-9.000000000000008E-2</v>
      </c>
      <c r="AE536" s="6">
        <v>9.000000000000008E-2</v>
      </c>
    </row>
    <row r="537" spans="2:31" ht="20" x14ac:dyDescent="0.25">
      <c r="B537" s="55"/>
      <c r="C537" s="55"/>
      <c r="D537" s="4" t="s">
        <v>869</v>
      </c>
      <c r="E537" s="4" t="s">
        <v>870</v>
      </c>
      <c r="F537" s="4" t="s">
        <v>51</v>
      </c>
      <c r="G537" s="4" t="s">
        <v>35</v>
      </c>
      <c r="H537" s="54" t="s">
        <v>36</v>
      </c>
      <c r="I537" s="52"/>
      <c r="J537" s="57">
        <v>3.07</v>
      </c>
      <c r="K537" s="52"/>
      <c r="L537" s="6">
        <v>2.8151899999999999</v>
      </c>
      <c r="M537" s="6">
        <v>0.91700000000000004</v>
      </c>
      <c r="N537" s="6">
        <v>2.85</v>
      </c>
      <c r="O537" s="57">
        <v>2.6134499999999998</v>
      </c>
      <c r="P537" s="52"/>
      <c r="Q537" s="6">
        <v>0.91699999999999993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0.22</v>
      </c>
      <c r="AB537" s="6">
        <v>0.20174</v>
      </c>
      <c r="AC537" s="6">
        <v>0.91700000000000004</v>
      </c>
      <c r="AD537" s="6">
        <v>-0.21999999999999975</v>
      </c>
      <c r="AE537" s="6">
        <v>0.21999999999999975</v>
      </c>
    </row>
    <row r="538" spans="2:31" ht="20" x14ac:dyDescent="0.25">
      <c r="B538" s="55"/>
      <c r="C538" s="55"/>
      <c r="D538" s="4" t="s">
        <v>871</v>
      </c>
      <c r="E538" s="4" t="s">
        <v>872</v>
      </c>
      <c r="F538" s="4" t="s">
        <v>51</v>
      </c>
      <c r="G538" s="4" t="s">
        <v>35</v>
      </c>
      <c r="H538" s="54" t="s">
        <v>48</v>
      </c>
      <c r="I538" s="52"/>
      <c r="J538" s="57">
        <v>19.010000000000002</v>
      </c>
      <c r="K538" s="52"/>
      <c r="L538" s="6">
        <v>14.2575</v>
      </c>
      <c r="M538" s="6">
        <v>0.75</v>
      </c>
      <c r="N538" s="6">
        <v>17.48</v>
      </c>
      <c r="O538" s="57">
        <v>13.11</v>
      </c>
      <c r="P538" s="52"/>
      <c r="Q538" s="6">
        <v>0.75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1.53</v>
      </c>
      <c r="AB538" s="6">
        <v>1.1475</v>
      </c>
      <c r="AC538" s="6">
        <v>0.75</v>
      </c>
      <c r="AD538" s="6">
        <v>-1.5300000000000011</v>
      </c>
      <c r="AE538" s="6">
        <v>1.5300000000000011</v>
      </c>
    </row>
    <row r="539" spans="2:31" ht="20" x14ac:dyDescent="0.25">
      <c r="B539" s="55"/>
      <c r="C539" s="55"/>
      <c r="D539" s="4" t="s">
        <v>873</v>
      </c>
      <c r="E539" s="4" t="s">
        <v>874</v>
      </c>
      <c r="F539" s="4" t="s">
        <v>51</v>
      </c>
      <c r="G539" s="4" t="s">
        <v>35</v>
      </c>
      <c r="H539" s="54" t="s">
        <v>36</v>
      </c>
      <c r="I539" s="52"/>
      <c r="J539" s="57">
        <v>1.21</v>
      </c>
      <c r="K539" s="52"/>
      <c r="L539" s="6">
        <v>1.1095699999999999</v>
      </c>
      <c r="M539" s="6">
        <v>0.91699999999999993</v>
      </c>
      <c r="N539" s="6">
        <v>1.17</v>
      </c>
      <c r="O539" s="57">
        <v>1.0728899999999999</v>
      </c>
      <c r="P539" s="52"/>
      <c r="Q539" s="6">
        <v>0.91699999999999993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0.04</v>
      </c>
      <c r="AB539" s="6">
        <v>3.6679999999999997E-2</v>
      </c>
      <c r="AC539" s="6">
        <v>0.91699999999999993</v>
      </c>
      <c r="AD539" s="6">
        <v>-4.0000000000000036E-2</v>
      </c>
      <c r="AE539" s="6">
        <v>4.0000000000000036E-2</v>
      </c>
    </row>
    <row r="540" spans="2:31" ht="20" x14ac:dyDescent="0.25">
      <c r="B540" s="55"/>
      <c r="C540" s="55"/>
      <c r="D540" s="4" t="s">
        <v>875</v>
      </c>
      <c r="E540" s="4" t="s">
        <v>876</v>
      </c>
      <c r="F540" s="4" t="s">
        <v>51</v>
      </c>
      <c r="G540" s="4" t="s">
        <v>35</v>
      </c>
      <c r="H540" s="54" t="s">
        <v>41</v>
      </c>
      <c r="I540" s="52"/>
      <c r="J540" s="57">
        <v>25.21</v>
      </c>
      <c r="K540" s="52"/>
      <c r="L540" s="6">
        <v>18.907499999999999</v>
      </c>
      <c r="M540" s="6">
        <v>0.74999999999999989</v>
      </c>
      <c r="N540" s="6">
        <v>22.48</v>
      </c>
      <c r="O540" s="57">
        <v>16.86</v>
      </c>
      <c r="P540" s="52"/>
      <c r="Q540" s="6">
        <v>0.75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2.73</v>
      </c>
      <c r="AB540" s="6">
        <v>2.0474999999999999</v>
      </c>
      <c r="AC540" s="6">
        <v>0.75</v>
      </c>
      <c r="AD540" s="6">
        <v>-2.7300000000000004</v>
      </c>
      <c r="AE540" s="6">
        <v>2.7300000000000004</v>
      </c>
    </row>
    <row r="541" spans="2:31" ht="20" x14ac:dyDescent="0.25">
      <c r="B541" s="55"/>
      <c r="C541" s="55"/>
      <c r="D541" s="4" t="s">
        <v>877</v>
      </c>
      <c r="E541" s="4" t="s">
        <v>878</v>
      </c>
      <c r="F541" s="4" t="s">
        <v>51</v>
      </c>
      <c r="G541" s="4" t="s">
        <v>35</v>
      </c>
      <c r="H541" s="54" t="s">
        <v>48</v>
      </c>
      <c r="I541" s="52"/>
      <c r="J541" s="57">
        <v>18.09</v>
      </c>
      <c r="K541" s="52"/>
      <c r="L541" s="6">
        <v>13.567500000000001</v>
      </c>
      <c r="M541" s="6">
        <v>0.75</v>
      </c>
      <c r="N541" s="6">
        <v>16.850000000000001</v>
      </c>
      <c r="O541" s="57">
        <v>12.637499999999999</v>
      </c>
      <c r="P541" s="52"/>
      <c r="Q541" s="6">
        <v>0.74999999999999989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1.24</v>
      </c>
      <c r="AB541" s="6">
        <v>0.93</v>
      </c>
      <c r="AC541" s="6">
        <v>0.75</v>
      </c>
      <c r="AD541" s="6">
        <v>-1.2399999999999984</v>
      </c>
      <c r="AE541" s="6">
        <v>1.2399999999999984</v>
      </c>
    </row>
    <row r="542" spans="2:31" ht="20" x14ac:dyDescent="0.25">
      <c r="B542" s="55"/>
      <c r="C542" s="55"/>
      <c r="D542" s="4" t="s">
        <v>879</v>
      </c>
      <c r="E542" s="4" t="s">
        <v>880</v>
      </c>
      <c r="F542" s="4" t="s">
        <v>51</v>
      </c>
      <c r="G542" s="4" t="s">
        <v>35</v>
      </c>
      <c r="H542" s="54" t="s">
        <v>36</v>
      </c>
      <c r="I542" s="52"/>
      <c r="J542" s="57">
        <v>68.099999999999994</v>
      </c>
      <c r="K542" s="52"/>
      <c r="L542" s="6">
        <v>62.447699999999998</v>
      </c>
      <c r="M542" s="6">
        <v>0.91700000000000004</v>
      </c>
      <c r="N542" s="6">
        <v>64.05</v>
      </c>
      <c r="O542" s="57">
        <v>58.733849999999997</v>
      </c>
      <c r="P542" s="52"/>
      <c r="Q542" s="6">
        <v>0.91700000000000004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4.05</v>
      </c>
      <c r="AB542" s="6">
        <v>3.7138499999999999</v>
      </c>
      <c r="AC542" s="6">
        <v>0.91700000000000004</v>
      </c>
      <c r="AD542" s="6">
        <v>-4.0499999999999972</v>
      </c>
      <c r="AE542" s="6">
        <v>4.0499999999999972</v>
      </c>
    </row>
    <row r="543" spans="2:31" ht="20" x14ac:dyDescent="0.25">
      <c r="B543" s="55"/>
      <c r="C543" s="55"/>
      <c r="D543" s="4" t="s">
        <v>881</v>
      </c>
      <c r="E543" s="4" t="s">
        <v>882</v>
      </c>
      <c r="F543" s="4" t="s">
        <v>51</v>
      </c>
      <c r="G543" s="4" t="s">
        <v>35</v>
      </c>
      <c r="H543" s="54" t="s">
        <v>36</v>
      </c>
      <c r="I543" s="52"/>
      <c r="J543" s="57">
        <v>129.33000000000001</v>
      </c>
      <c r="K543" s="52"/>
      <c r="L543" s="6">
        <v>118.59560999999999</v>
      </c>
      <c r="M543" s="6">
        <v>0.91699999999999982</v>
      </c>
      <c r="N543" s="6">
        <v>123.2</v>
      </c>
      <c r="O543" s="57">
        <v>112.9744</v>
      </c>
      <c r="P543" s="52"/>
      <c r="Q543" s="6">
        <v>0.91700000000000004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6.13</v>
      </c>
      <c r="AB543" s="6">
        <v>5.6212099999999996</v>
      </c>
      <c r="AC543" s="6">
        <v>0.91699999999999993</v>
      </c>
      <c r="AD543" s="6">
        <v>-6.1300000000000097</v>
      </c>
      <c r="AE543" s="6">
        <v>6.1300000000000097</v>
      </c>
    </row>
    <row r="544" spans="2:31" ht="20" x14ac:dyDescent="0.25">
      <c r="B544" s="55"/>
      <c r="C544" s="55"/>
      <c r="D544" s="4" t="s">
        <v>883</v>
      </c>
      <c r="E544" s="4" t="s">
        <v>884</v>
      </c>
      <c r="F544" s="4" t="s">
        <v>51</v>
      </c>
      <c r="G544" s="4" t="s">
        <v>35</v>
      </c>
      <c r="H544" s="54" t="s">
        <v>36</v>
      </c>
      <c r="I544" s="52"/>
      <c r="J544" s="57">
        <v>82.24</v>
      </c>
      <c r="K544" s="52"/>
      <c r="L544" s="6">
        <v>75.414079999999998</v>
      </c>
      <c r="M544" s="6">
        <v>0.91700000000000004</v>
      </c>
      <c r="N544" s="6">
        <v>77.02</v>
      </c>
      <c r="O544" s="57">
        <v>70.627340000000004</v>
      </c>
      <c r="P544" s="52"/>
      <c r="Q544" s="6">
        <v>0.91700000000000015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5.22</v>
      </c>
      <c r="AB544" s="6">
        <v>4.78674</v>
      </c>
      <c r="AC544" s="6">
        <v>0.91700000000000004</v>
      </c>
      <c r="AD544" s="6">
        <v>-5.2199999999999989</v>
      </c>
      <c r="AE544" s="6">
        <v>5.2199999999999989</v>
      </c>
    </row>
    <row r="545" spans="2:31" x14ac:dyDescent="0.25">
      <c r="B545" s="55"/>
      <c r="C545" s="55"/>
      <c r="D545" s="54" t="s">
        <v>885</v>
      </c>
      <c r="E545" s="4" t="s">
        <v>277</v>
      </c>
      <c r="F545" s="4" t="s">
        <v>51</v>
      </c>
      <c r="G545" s="4" t="s">
        <v>35</v>
      </c>
      <c r="H545" s="54" t="s">
        <v>36</v>
      </c>
      <c r="I545" s="52"/>
      <c r="J545" s="57">
        <v>7.47</v>
      </c>
      <c r="K545" s="52"/>
      <c r="L545" s="6">
        <v>6.84999</v>
      </c>
      <c r="M545" s="6">
        <v>0.91700000000000004</v>
      </c>
      <c r="N545" s="6">
        <v>7.09</v>
      </c>
      <c r="O545" s="57">
        <v>6.5015299999999998</v>
      </c>
      <c r="P545" s="52"/>
      <c r="Q545" s="6">
        <v>0.91700000000000004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0.38</v>
      </c>
      <c r="AB545" s="6">
        <v>0.34845999999999999</v>
      </c>
      <c r="AC545" s="6">
        <v>0.91699999999999993</v>
      </c>
      <c r="AD545" s="6">
        <v>-0.37999999999999989</v>
      </c>
      <c r="AE545" s="6">
        <v>0.37999999999999989</v>
      </c>
    </row>
    <row r="546" spans="2:31" x14ac:dyDescent="0.25">
      <c r="B546" s="55"/>
      <c r="C546" s="55"/>
      <c r="D546" s="56"/>
      <c r="E546" s="4" t="s">
        <v>886</v>
      </c>
      <c r="F546" s="4" t="s">
        <v>51</v>
      </c>
      <c r="G546" s="4" t="s">
        <v>35</v>
      </c>
      <c r="H546" s="54" t="s">
        <v>36</v>
      </c>
      <c r="I546" s="52"/>
      <c r="J546" s="57">
        <v>36.340000000000003</v>
      </c>
      <c r="K546" s="52"/>
      <c r="L546" s="6">
        <v>33.323779999999999</v>
      </c>
      <c r="M546" s="6">
        <v>0.91699999999999993</v>
      </c>
      <c r="N546" s="6">
        <v>35.42</v>
      </c>
      <c r="O546" s="57">
        <v>32.480139999999999</v>
      </c>
      <c r="P546" s="52"/>
      <c r="Q546" s="6">
        <v>0.91699999999999993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0.92</v>
      </c>
      <c r="AB546" s="6">
        <v>0.84363999999999995</v>
      </c>
      <c r="AC546" s="6">
        <v>0.91699999999999993</v>
      </c>
      <c r="AD546" s="6">
        <v>-0.92000000000000171</v>
      </c>
      <c r="AE546" s="6">
        <v>0.92000000000000171</v>
      </c>
    </row>
    <row r="547" spans="2:31" ht="20" x14ac:dyDescent="0.25">
      <c r="B547" s="55"/>
      <c r="C547" s="55"/>
      <c r="D547" s="4" t="s">
        <v>887</v>
      </c>
      <c r="E547" s="4" t="s">
        <v>888</v>
      </c>
      <c r="F547" s="4" t="s">
        <v>51</v>
      </c>
      <c r="G547" s="4" t="s">
        <v>35</v>
      </c>
      <c r="H547" s="54" t="s">
        <v>48</v>
      </c>
      <c r="I547" s="52"/>
      <c r="J547" s="57">
        <v>38.723999999999997</v>
      </c>
      <c r="K547" s="52"/>
      <c r="L547" s="6">
        <v>29.042999999999999</v>
      </c>
      <c r="M547" s="6">
        <v>0.75</v>
      </c>
      <c r="N547" s="6">
        <v>36.314</v>
      </c>
      <c r="O547" s="57">
        <v>27.235499999999998</v>
      </c>
      <c r="P547" s="52"/>
      <c r="Q547" s="6">
        <v>0.75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2.41</v>
      </c>
      <c r="AB547" s="6">
        <v>1.8075000000000001</v>
      </c>
      <c r="AC547" s="6">
        <v>0.75</v>
      </c>
      <c r="AD547" s="6">
        <v>-2.4099999999999966</v>
      </c>
      <c r="AE547" s="6">
        <v>2.4099999999999966</v>
      </c>
    </row>
    <row r="548" spans="2:31" ht="20" x14ac:dyDescent="0.25">
      <c r="B548" s="55"/>
      <c r="C548" s="55"/>
      <c r="D548" s="4" t="s">
        <v>889</v>
      </c>
      <c r="E548" s="4" t="s">
        <v>670</v>
      </c>
      <c r="F548" s="4" t="s">
        <v>51</v>
      </c>
      <c r="G548" s="4" t="s">
        <v>35</v>
      </c>
      <c r="H548" s="54" t="s">
        <v>48</v>
      </c>
      <c r="I548" s="52"/>
      <c r="J548" s="57">
        <v>8.19</v>
      </c>
      <c r="K548" s="52"/>
      <c r="L548" s="6">
        <v>6.1425000000000001</v>
      </c>
      <c r="M548" s="6">
        <v>0.75</v>
      </c>
      <c r="N548" s="6">
        <v>7.72</v>
      </c>
      <c r="O548" s="57">
        <v>5.79</v>
      </c>
      <c r="P548" s="52"/>
      <c r="Q548" s="6">
        <v>0.75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0.47</v>
      </c>
      <c r="AB548" s="6">
        <v>0.35249999999999998</v>
      </c>
      <c r="AC548" s="6">
        <v>0.75</v>
      </c>
      <c r="AD548" s="6">
        <v>-0.46999999999999975</v>
      </c>
      <c r="AE548" s="6">
        <v>0.46999999999999975</v>
      </c>
    </row>
    <row r="549" spans="2:31" ht="20" x14ac:dyDescent="0.25">
      <c r="B549" s="55"/>
      <c r="C549" s="55"/>
      <c r="D549" s="4" t="s">
        <v>890</v>
      </c>
      <c r="E549" s="4" t="s">
        <v>891</v>
      </c>
      <c r="F549" s="4" t="s">
        <v>51</v>
      </c>
      <c r="G549" s="4" t="s">
        <v>35</v>
      </c>
      <c r="H549" s="54" t="s">
        <v>36</v>
      </c>
      <c r="I549" s="52"/>
      <c r="J549" s="57">
        <v>14.82</v>
      </c>
      <c r="K549" s="52"/>
      <c r="L549" s="6">
        <v>13.58994</v>
      </c>
      <c r="M549" s="6">
        <v>0.91700000000000004</v>
      </c>
      <c r="N549" s="6">
        <v>13.83</v>
      </c>
      <c r="O549" s="57">
        <v>12.68211</v>
      </c>
      <c r="P549" s="52"/>
      <c r="Q549" s="6">
        <v>0.91699999999999993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0.99</v>
      </c>
      <c r="AB549" s="6">
        <v>0.90783000000000003</v>
      </c>
      <c r="AC549" s="6">
        <v>0.91700000000000004</v>
      </c>
      <c r="AD549" s="6">
        <v>-0.99000000000000021</v>
      </c>
      <c r="AE549" s="6">
        <v>0.99000000000000021</v>
      </c>
    </row>
    <row r="550" spans="2:31" x14ac:dyDescent="0.25">
      <c r="B550" s="55"/>
      <c r="C550" s="55"/>
      <c r="D550" s="54" t="s">
        <v>892</v>
      </c>
      <c r="E550" s="4" t="s">
        <v>275</v>
      </c>
      <c r="F550" s="4" t="s">
        <v>51</v>
      </c>
      <c r="G550" s="4" t="s">
        <v>35</v>
      </c>
      <c r="H550" s="54" t="s">
        <v>36</v>
      </c>
      <c r="I550" s="52"/>
      <c r="J550" s="57">
        <v>4.3099999999999996</v>
      </c>
      <c r="K550" s="52"/>
      <c r="L550" s="6">
        <v>3.9522699999999999</v>
      </c>
      <c r="M550" s="6">
        <v>0.91700000000000004</v>
      </c>
      <c r="N550" s="6">
        <v>4.0599999999999996</v>
      </c>
      <c r="O550" s="57">
        <v>3.72302</v>
      </c>
      <c r="P550" s="52"/>
      <c r="Q550" s="6">
        <v>0.91700000000000004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0.25</v>
      </c>
      <c r="AB550" s="6">
        <v>0.22925000000000001</v>
      </c>
      <c r="AC550" s="6">
        <v>0.91700000000000004</v>
      </c>
      <c r="AD550" s="6">
        <v>-0.25</v>
      </c>
      <c r="AE550" s="6">
        <v>0.25</v>
      </c>
    </row>
    <row r="551" spans="2:31" x14ac:dyDescent="0.25">
      <c r="B551" s="55"/>
      <c r="C551" s="55"/>
      <c r="D551" s="55"/>
      <c r="E551" s="4" t="s">
        <v>348</v>
      </c>
      <c r="F551" s="4" t="s">
        <v>51</v>
      </c>
      <c r="G551" s="4" t="s">
        <v>35</v>
      </c>
      <c r="H551" s="54" t="s">
        <v>36</v>
      </c>
      <c r="I551" s="52"/>
      <c r="J551" s="57">
        <v>12.7</v>
      </c>
      <c r="K551" s="52"/>
      <c r="L551" s="6">
        <v>11.645899999999999</v>
      </c>
      <c r="M551" s="6">
        <v>0.91700000000000004</v>
      </c>
      <c r="N551" s="6">
        <v>8.61</v>
      </c>
      <c r="O551" s="57">
        <v>7.8953699999999998</v>
      </c>
      <c r="P551" s="52"/>
      <c r="Q551" s="6">
        <v>0.91700000000000004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4.09</v>
      </c>
      <c r="AB551" s="6">
        <v>3.7505299999999999</v>
      </c>
      <c r="AC551" s="6">
        <v>0.91700000000000004</v>
      </c>
      <c r="AD551" s="6">
        <v>-4.09</v>
      </c>
      <c r="AE551" s="6">
        <v>4.09</v>
      </c>
    </row>
    <row r="552" spans="2:31" x14ac:dyDescent="0.25">
      <c r="B552" s="55"/>
      <c r="C552" s="55"/>
      <c r="D552" s="56"/>
      <c r="E552" s="4" t="s">
        <v>893</v>
      </c>
      <c r="F552" s="4" t="s">
        <v>51</v>
      </c>
      <c r="G552" s="4" t="s">
        <v>35</v>
      </c>
      <c r="H552" s="54" t="s">
        <v>36</v>
      </c>
      <c r="I552" s="52"/>
      <c r="J552" s="57">
        <v>48.38</v>
      </c>
      <c r="K552" s="52"/>
      <c r="L552" s="6">
        <v>44.364460000000001</v>
      </c>
      <c r="M552" s="6">
        <v>0.91699999999999993</v>
      </c>
      <c r="N552" s="6">
        <v>47.87</v>
      </c>
      <c r="O552" s="57">
        <v>43.896790000000003</v>
      </c>
      <c r="P552" s="52"/>
      <c r="Q552" s="6">
        <v>0.91700000000000015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0.51</v>
      </c>
      <c r="AB552" s="6">
        <v>0.46766999999999997</v>
      </c>
      <c r="AC552" s="6">
        <v>0.91699999999999993</v>
      </c>
      <c r="AD552" s="6">
        <v>-0.51000000000000512</v>
      </c>
      <c r="AE552" s="6">
        <v>0.51000000000000512</v>
      </c>
    </row>
    <row r="553" spans="2:31" x14ac:dyDescent="0.25">
      <c r="B553" s="55"/>
      <c r="C553" s="55"/>
      <c r="D553" s="54" t="s">
        <v>894</v>
      </c>
      <c r="E553" s="4" t="s">
        <v>895</v>
      </c>
      <c r="F553" s="4" t="s">
        <v>51</v>
      </c>
      <c r="G553" s="4" t="s">
        <v>35</v>
      </c>
      <c r="H553" s="54" t="s">
        <v>48</v>
      </c>
      <c r="I553" s="52"/>
      <c r="J553" s="57">
        <v>20.09</v>
      </c>
      <c r="K553" s="52"/>
      <c r="L553" s="6">
        <v>15.067500000000001</v>
      </c>
      <c r="M553" s="6">
        <v>0.75</v>
      </c>
      <c r="N553" s="6">
        <v>18.27</v>
      </c>
      <c r="O553" s="57">
        <v>13.702500000000001</v>
      </c>
      <c r="P553" s="52"/>
      <c r="Q553" s="6">
        <v>0.75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1.82</v>
      </c>
      <c r="AB553" s="6">
        <v>1.365</v>
      </c>
      <c r="AC553" s="6">
        <v>0.75</v>
      </c>
      <c r="AD553" s="6">
        <v>-1.8200000000000003</v>
      </c>
      <c r="AE553" s="6">
        <v>1.8200000000000003</v>
      </c>
    </row>
    <row r="554" spans="2:31" x14ac:dyDescent="0.25">
      <c r="B554" s="55"/>
      <c r="C554" s="55"/>
      <c r="D554" s="56"/>
      <c r="E554" s="4" t="s">
        <v>896</v>
      </c>
      <c r="F554" s="4" t="s">
        <v>51</v>
      </c>
      <c r="G554" s="4" t="s">
        <v>35</v>
      </c>
      <c r="H554" s="54" t="s">
        <v>48</v>
      </c>
      <c r="I554" s="52"/>
      <c r="J554" s="57">
        <v>19.7</v>
      </c>
      <c r="K554" s="52"/>
      <c r="L554" s="6">
        <v>14.775</v>
      </c>
      <c r="M554" s="6">
        <v>0.75</v>
      </c>
      <c r="N554" s="6">
        <v>18.489999999999998</v>
      </c>
      <c r="O554" s="57">
        <v>13.8675</v>
      </c>
      <c r="P554" s="52"/>
      <c r="Q554" s="6">
        <v>0.75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1.21</v>
      </c>
      <c r="AB554" s="6">
        <v>0.90749999999999997</v>
      </c>
      <c r="AC554" s="6">
        <v>0.75</v>
      </c>
      <c r="AD554" s="6">
        <v>-1.2100000000000009</v>
      </c>
      <c r="AE554" s="6">
        <v>1.2100000000000009</v>
      </c>
    </row>
    <row r="555" spans="2:31" ht="20" x14ac:dyDescent="0.25">
      <c r="B555" s="55"/>
      <c r="C555" s="55"/>
      <c r="D555" s="4" t="s">
        <v>897</v>
      </c>
      <c r="E555" s="4" t="s">
        <v>898</v>
      </c>
      <c r="F555" s="4" t="s">
        <v>51</v>
      </c>
      <c r="G555" s="4" t="s">
        <v>35</v>
      </c>
      <c r="H555" s="54" t="s">
        <v>36</v>
      </c>
      <c r="I555" s="52"/>
      <c r="J555" s="57">
        <v>14.05</v>
      </c>
      <c r="K555" s="52"/>
      <c r="L555" s="6">
        <v>12.883850000000001</v>
      </c>
      <c r="M555" s="6">
        <v>0.91700000000000004</v>
      </c>
      <c r="N555" s="6">
        <v>12.91</v>
      </c>
      <c r="O555" s="57">
        <v>11.838469999999999</v>
      </c>
      <c r="P555" s="52"/>
      <c r="Q555" s="6">
        <v>0.91699999999999993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1.1399999999999999</v>
      </c>
      <c r="AB555" s="6">
        <v>1.04538</v>
      </c>
      <c r="AC555" s="6">
        <v>0.91700000000000004</v>
      </c>
      <c r="AD555" s="6">
        <v>-1.1400000000000006</v>
      </c>
      <c r="AE555" s="6">
        <v>1.1400000000000006</v>
      </c>
    </row>
    <row r="556" spans="2:31" ht="20" x14ac:dyDescent="0.25">
      <c r="B556" s="55"/>
      <c r="C556" s="55"/>
      <c r="D556" s="4" t="s">
        <v>899</v>
      </c>
      <c r="E556" s="4" t="s">
        <v>769</v>
      </c>
      <c r="F556" s="4" t="s">
        <v>51</v>
      </c>
      <c r="G556" s="4" t="s">
        <v>35</v>
      </c>
      <c r="H556" s="54" t="s">
        <v>41</v>
      </c>
      <c r="I556" s="52"/>
      <c r="J556" s="57">
        <v>4.7699999999999996</v>
      </c>
      <c r="K556" s="52"/>
      <c r="L556" s="6">
        <v>3.5775000000000001</v>
      </c>
      <c r="M556" s="6">
        <v>0.75000000000000011</v>
      </c>
      <c r="N556" s="6">
        <v>4.54</v>
      </c>
      <c r="O556" s="57">
        <v>3.4049999999999998</v>
      </c>
      <c r="P556" s="52"/>
      <c r="Q556" s="6">
        <v>0.75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0.23</v>
      </c>
      <c r="AB556" s="6">
        <v>0.17249999999999999</v>
      </c>
      <c r="AC556" s="6">
        <v>0.74999999999999989</v>
      </c>
      <c r="AD556" s="6">
        <v>-0.22999999999999954</v>
      </c>
      <c r="AE556" s="6">
        <v>0.22999999999999954</v>
      </c>
    </row>
    <row r="557" spans="2:31" ht="20" x14ac:dyDescent="0.25">
      <c r="B557" s="55"/>
      <c r="C557" s="55"/>
      <c r="D557" s="4" t="s">
        <v>900</v>
      </c>
      <c r="E557" s="4" t="s">
        <v>293</v>
      </c>
      <c r="F557" s="4" t="s">
        <v>51</v>
      </c>
      <c r="G557" s="4" t="s">
        <v>35</v>
      </c>
      <c r="H557" s="54" t="s">
        <v>36</v>
      </c>
      <c r="I557" s="52"/>
      <c r="J557" s="57">
        <v>12.42</v>
      </c>
      <c r="K557" s="52"/>
      <c r="L557" s="6">
        <v>11.389139999999999</v>
      </c>
      <c r="M557" s="6">
        <v>0.91699999999999993</v>
      </c>
      <c r="N557" s="6">
        <v>12.28</v>
      </c>
      <c r="O557" s="57">
        <v>11.260759999999999</v>
      </c>
      <c r="P557" s="52"/>
      <c r="Q557" s="6">
        <v>0.91700000000000004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0.14000000000000001</v>
      </c>
      <c r="AB557" s="6">
        <v>0.12837999999999999</v>
      </c>
      <c r="AC557" s="6">
        <v>0.91699999999999982</v>
      </c>
      <c r="AD557" s="6">
        <v>-0.14000000000000057</v>
      </c>
      <c r="AE557" s="6">
        <v>0.14000000000000057</v>
      </c>
    </row>
    <row r="558" spans="2:31" x14ac:dyDescent="0.25">
      <c r="B558" s="55"/>
      <c r="C558" s="55"/>
      <c r="D558" s="54" t="s">
        <v>901</v>
      </c>
      <c r="E558" s="4" t="s">
        <v>902</v>
      </c>
      <c r="F558" s="4" t="s">
        <v>51</v>
      </c>
      <c r="G558" s="4" t="s">
        <v>35</v>
      </c>
      <c r="H558" s="54" t="s">
        <v>41</v>
      </c>
      <c r="I558" s="52"/>
      <c r="J558" s="57">
        <v>22.61</v>
      </c>
      <c r="K558" s="52"/>
      <c r="L558" s="6">
        <v>16.9575</v>
      </c>
      <c r="M558" s="6">
        <v>0.75</v>
      </c>
      <c r="N558" s="6">
        <v>21.27</v>
      </c>
      <c r="O558" s="57">
        <v>15.952500000000001</v>
      </c>
      <c r="P558" s="52"/>
      <c r="Q558" s="6">
        <v>0.75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1.34</v>
      </c>
      <c r="AB558" s="6">
        <v>1.0049999999999999</v>
      </c>
      <c r="AC558" s="6">
        <v>0.74999999999999989</v>
      </c>
      <c r="AD558" s="6">
        <v>-1.34</v>
      </c>
      <c r="AE558" s="6">
        <v>1.34</v>
      </c>
    </row>
    <row r="559" spans="2:31" x14ac:dyDescent="0.25">
      <c r="B559" s="55"/>
      <c r="C559" s="55"/>
      <c r="D559" s="55"/>
      <c r="E559" s="4" t="s">
        <v>903</v>
      </c>
      <c r="F559" s="4" t="s">
        <v>51</v>
      </c>
      <c r="G559" s="4" t="s">
        <v>35</v>
      </c>
      <c r="H559" s="54" t="s">
        <v>41</v>
      </c>
      <c r="I559" s="52"/>
      <c r="J559" s="57">
        <v>21.29</v>
      </c>
      <c r="K559" s="52"/>
      <c r="L559" s="6">
        <v>15.967499999999999</v>
      </c>
      <c r="M559" s="6">
        <v>0.75</v>
      </c>
      <c r="N559" s="6">
        <v>20.27</v>
      </c>
      <c r="O559" s="57">
        <v>15.202500000000001</v>
      </c>
      <c r="P559" s="52"/>
      <c r="Q559" s="6">
        <v>0.75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1.02</v>
      </c>
      <c r="AB559" s="6">
        <v>0.76500000000000001</v>
      </c>
      <c r="AC559" s="6">
        <v>0.75</v>
      </c>
      <c r="AD559" s="6">
        <v>-1.0199999999999996</v>
      </c>
      <c r="AE559" s="6">
        <v>1.0199999999999996</v>
      </c>
    </row>
    <row r="560" spans="2:31" x14ac:dyDescent="0.25">
      <c r="B560" s="55"/>
      <c r="C560" s="55"/>
      <c r="D560" s="55"/>
      <c r="E560" s="4" t="s">
        <v>717</v>
      </c>
      <c r="F560" s="4" t="s">
        <v>51</v>
      </c>
      <c r="G560" s="4" t="s">
        <v>35</v>
      </c>
      <c r="H560" s="54" t="s">
        <v>48</v>
      </c>
      <c r="I560" s="52"/>
      <c r="J560" s="57">
        <v>51.87</v>
      </c>
      <c r="K560" s="52"/>
      <c r="L560" s="6">
        <v>38.902500000000003</v>
      </c>
      <c r="M560" s="6">
        <v>0.75000000000000011</v>
      </c>
      <c r="N560" s="6">
        <v>51.56</v>
      </c>
      <c r="O560" s="57">
        <v>38.67</v>
      </c>
      <c r="P560" s="52"/>
      <c r="Q560" s="6">
        <v>0.75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0.31</v>
      </c>
      <c r="AB560" s="6">
        <v>0.23250000000000001</v>
      </c>
      <c r="AC560" s="6">
        <v>0.75</v>
      </c>
      <c r="AD560" s="6">
        <v>-0.30999999999999517</v>
      </c>
      <c r="AE560" s="6">
        <v>0.30999999999999517</v>
      </c>
    </row>
    <row r="561" spans="2:31" x14ac:dyDescent="0.25">
      <c r="B561" s="55"/>
      <c r="C561" s="55"/>
      <c r="D561" s="56"/>
      <c r="E561" s="4" t="s">
        <v>904</v>
      </c>
      <c r="F561" s="4" t="s">
        <v>51</v>
      </c>
      <c r="G561" s="4" t="s">
        <v>35</v>
      </c>
      <c r="H561" s="54" t="s">
        <v>48</v>
      </c>
      <c r="I561" s="52"/>
      <c r="J561" s="57">
        <v>20.78</v>
      </c>
      <c r="K561" s="52"/>
      <c r="L561" s="6">
        <v>15.585000000000001</v>
      </c>
      <c r="M561" s="6">
        <v>0.75</v>
      </c>
      <c r="N561" s="6">
        <v>19.309999999999999</v>
      </c>
      <c r="O561" s="57">
        <v>14.4825</v>
      </c>
      <c r="P561" s="52"/>
      <c r="Q561" s="6">
        <v>0.75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1.47</v>
      </c>
      <c r="AB561" s="6">
        <v>1.1025</v>
      </c>
      <c r="AC561" s="6">
        <v>0.75</v>
      </c>
      <c r="AD561" s="6">
        <v>-1.4700000000000024</v>
      </c>
      <c r="AE561" s="6">
        <v>1.4700000000000024</v>
      </c>
    </row>
    <row r="562" spans="2:31" x14ac:dyDescent="0.25">
      <c r="B562" s="55"/>
      <c r="C562" s="55"/>
      <c r="D562" s="54" t="s">
        <v>905</v>
      </c>
      <c r="E562" s="4" t="s">
        <v>290</v>
      </c>
      <c r="F562" s="4" t="s">
        <v>51</v>
      </c>
      <c r="G562" s="4" t="s">
        <v>35</v>
      </c>
      <c r="H562" s="54" t="s">
        <v>36</v>
      </c>
      <c r="I562" s="52"/>
      <c r="J562" s="57">
        <v>14.32</v>
      </c>
      <c r="K562" s="52"/>
      <c r="L562" s="6">
        <v>13.13144</v>
      </c>
      <c r="M562" s="6">
        <v>0.91699999999999993</v>
      </c>
      <c r="N562" s="6">
        <v>13.96</v>
      </c>
      <c r="O562" s="57">
        <v>12.80132</v>
      </c>
      <c r="P562" s="52"/>
      <c r="Q562" s="6">
        <v>0.91699999999999993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0.36</v>
      </c>
      <c r="AB562" s="6">
        <v>0.33012000000000002</v>
      </c>
      <c r="AC562" s="6">
        <v>0.91700000000000015</v>
      </c>
      <c r="AD562" s="6">
        <v>-0.35999999999999943</v>
      </c>
      <c r="AE562" s="6">
        <v>0.35999999999999943</v>
      </c>
    </row>
    <row r="563" spans="2:31" x14ac:dyDescent="0.25">
      <c r="B563" s="55"/>
      <c r="C563" s="55"/>
      <c r="D563" s="55"/>
      <c r="E563" s="4" t="s">
        <v>906</v>
      </c>
      <c r="F563" s="4" t="s">
        <v>51</v>
      </c>
      <c r="G563" s="4" t="s">
        <v>35</v>
      </c>
      <c r="H563" s="54" t="s">
        <v>36</v>
      </c>
      <c r="I563" s="52"/>
      <c r="J563" s="57">
        <v>14.24</v>
      </c>
      <c r="K563" s="52"/>
      <c r="L563" s="6">
        <v>13.05808</v>
      </c>
      <c r="M563" s="6">
        <v>0.91700000000000004</v>
      </c>
      <c r="N563" s="6">
        <v>13.84</v>
      </c>
      <c r="O563" s="57">
        <v>12.691280000000001</v>
      </c>
      <c r="P563" s="52"/>
      <c r="Q563" s="6">
        <v>0.91700000000000004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0.4</v>
      </c>
      <c r="AB563" s="6">
        <v>0.36680000000000001</v>
      </c>
      <c r="AC563" s="6">
        <v>0.91700000000000004</v>
      </c>
      <c r="AD563" s="6">
        <v>-0.40000000000000036</v>
      </c>
      <c r="AE563" s="6">
        <v>0.40000000000000036</v>
      </c>
    </row>
    <row r="564" spans="2:31" x14ac:dyDescent="0.25">
      <c r="B564" s="55"/>
      <c r="C564" s="55"/>
      <c r="D564" s="55"/>
      <c r="E564" s="4" t="s">
        <v>907</v>
      </c>
      <c r="F564" s="4" t="s">
        <v>51</v>
      </c>
      <c r="G564" s="4" t="s">
        <v>35</v>
      </c>
      <c r="H564" s="54" t="s">
        <v>36</v>
      </c>
      <c r="I564" s="52"/>
      <c r="J564" s="57">
        <v>11.56</v>
      </c>
      <c r="K564" s="52"/>
      <c r="L564" s="6">
        <v>10.600519999999999</v>
      </c>
      <c r="M564" s="6">
        <v>0.91699999999999993</v>
      </c>
      <c r="N564" s="6">
        <v>11.36</v>
      </c>
      <c r="O564" s="57">
        <v>10.417120000000001</v>
      </c>
      <c r="P564" s="52"/>
      <c r="Q564" s="6">
        <v>0.91700000000000015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0.2</v>
      </c>
      <c r="AB564" s="6">
        <v>0.18340000000000001</v>
      </c>
      <c r="AC564" s="6">
        <v>0.91700000000000004</v>
      </c>
      <c r="AD564" s="6">
        <v>-0.20000000000000107</v>
      </c>
      <c r="AE564" s="6">
        <v>0.20000000000000107</v>
      </c>
    </row>
    <row r="565" spans="2:31" x14ac:dyDescent="0.25">
      <c r="B565" s="55"/>
      <c r="C565" s="55"/>
      <c r="D565" s="55"/>
      <c r="E565" s="4" t="s">
        <v>276</v>
      </c>
      <c r="F565" s="4" t="s">
        <v>51</v>
      </c>
      <c r="G565" s="4" t="s">
        <v>35</v>
      </c>
      <c r="H565" s="54" t="s">
        <v>36</v>
      </c>
      <c r="I565" s="52"/>
      <c r="J565" s="57">
        <v>4.5599999999999996</v>
      </c>
      <c r="K565" s="52"/>
      <c r="L565" s="6">
        <v>4.1815199999999999</v>
      </c>
      <c r="M565" s="6">
        <v>0.91700000000000004</v>
      </c>
      <c r="N565" s="6">
        <v>4.5</v>
      </c>
      <c r="O565" s="57">
        <v>4.1265000000000001</v>
      </c>
      <c r="P565" s="52"/>
      <c r="Q565" s="6">
        <v>0.91700000000000004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0.06</v>
      </c>
      <c r="AB565" s="6">
        <v>5.5019999999999999E-2</v>
      </c>
      <c r="AC565" s="6">
        <v>0.91700000000000004</v>
      </c>
      <c r="AD565" s="6">
        <v>-5.9999999999999609E-2</v>
      </c>
      <c r="AE565" s="6">
        <v>5.9999999999999609E-2</v>
      </c>
    </row>
    <row r="566" spans="2:31" x14ac:dyDescent="0.25">
      <c r="B566" s="55"/>
      <c r="C566" s="55"/>
      <c r="D566" s="55"/>
      <c r="E566" s="4" t="s">
        <v>352</v>
      </c>
      <c r="F566" s="4" t="s">
        <v>51</v>
      </c>
      <c r="G566" s="4" t="s">
        <v>35</v>
      </c>
      <c r="H566" s="54" t="s">
        <v>36</v>
      </c>
      <c r="I566" s="52"/>
      <c r="J566" s="57">
        <v>2.66</v>
      </c>
      <c r="K566" s="52"/>
      <c r="L566" s="6">
        <v>2.4392200000000002</v>
      </c>
      <c r="M566" s="6">
        <v>0.91700000000000004</v>
      </c>
      <c r="N566" s="6">
        <v>2.61</v>
      </c>
      <c r="O566" s="57">
        <v>2.39337</v>
      </c>
      <c r="P566" s="52"/>
      <c r="Q566" s="6">
        <v>0.91700000000000004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0.05</v>
      </c>
      <c r="AB566" s="6">
        <v>4.5850000000000002E-2</v>
      </c>
      <c r="AC566" s="6">
        <v>0.91700000000000004</v>
      </c>
      <c r="AD566" s="6">
        <v>-5.0000000000000266E-2</v>
      </c>
      <c r="AE566" s="6">
        <v>5.0000000000000266E-2</v>
      </c>
    </row>
    <row r="567" spans="2:31" x14ac:dyDescent="0.25">
      <c r="B567" s="55"/>
      <c r="C567" s="55"/>
      <c r="D567" s="55"/>
      <c r="E567" s="4" t="s">
        <v>284</v>
      </c>
      <c r="F567" s="4" t="s">
        <v>51</v>
      </c>
      <c r="G567" s="4" t="s">
        <v>35</v>
      </c>
      <c r="H567" s="54" t="s">
        <v>36</v>
      </c>
      <c r="I567" s="52"/>
      <c r="J567" s="57">
        <v>7.97</v>
      </c>
      <c r="K567" s="52"/>
      <c r="L567" s="6">
        <v>7.3084899999999999</v>
      </c>
      <c r="M567" s="6">
        <v>0.91700000000000004</v>
      </c>
      <c r="N567" s="6">
        <v>7.83</v>
      </c>
      <c r="O567" s="57">
        <v>7.18011</v>
      </c>
      <c r="P567" s="52"/>
      <c r="Q567" s="6">
        <v>0.91700000000000004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0.14000000000000001</v>
      </c>
      <c r="AB567" s="6">
        <v>0.12837999999999999</v>
      </c>
      <c r="AC567" s="6">
        <v>0.91699999999999982</v>
      </c>
      <c r="AD567" s="6">
        <v>-0.13999999999999968</v>
      </c>
      <c r="AE567" s="6">
        <v>0.13999999999999968</v>
      </c>
    </row>
    <row r="568" spans="2:31" x14ac:dyDescent="0.25">
      <c r="B568" s="55"/>
      <c r="C568" s="55"/>
      <c r="D568" s="56"/>
      <c r="E568" s="4" t="s">
        <v>908</v>
      </c>
      <c r="F568" s="4" t="s">
        <v>51</v>
      </c>
      <c r="G568" s="4" t="s">
        <v>35</v>
      </c>
      <c r="H568" s="54" t="s">
        <v>36</v>
      </c>
      <c r="I568" s="52"/>
      <c r="J568" s="57">
        <v>19.170000000000002</v>
      </c>
      <c r="K568" s="52"/>
      <c r="L568" s="6">
        <v>17.578890000000001</v>
      </c>
      <c r="M568" s="6">
        <v>0.91700000000000004</v>
      </c>
      <c r="N568" s="6">
        <v>18.79</v>
      </c>
      <c r="O568" s="57">
        <v>17.230429999999998</v>
      </c>
      <c r="P568" s="52"/>
      <c r="Q568" s="6">
        <v>0.91699999999999993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0.38</v>
      </c>
      <c r="AB568" s="6">
        <v>0.34845999999999999</v>
      </c>
      <c r="AC568" s="6">
        <v>0.91699999999999993</v>
      </c>
      <c r="AD568" s="6">
        <v>-0.38000000000000256</v>
      </c>
      <c r="AE568" s="6">
        <v>0.38000000000000256</v>
      </c>
    </row>
    <row r="569" spans="2:31" x14ac:dyDescent="0.25">
      <c r="B569" s="55"/>
      <c r="C569" s="55"/>
      <c r="D569" s="54" t="s">
        <v>909</v>
      </c>
      <c r="E569" s="4" t="s">
        <v>910</v>
      </c>
      <c r="F569" s="4" t="s">
        <v>51</v>
      </c>
      <c r="G569" s="4" t="s">
        <v>35</v>
      </c>
      <c r="H569" s="54" t="s">
        <v>36</v>
      </c>
      <c r="I569" s="52"/>
      <c r="J569" s="57">
        <v>50.86</v>
      </c>
      <c r="K569" s="52"/>
      <c r="L569" s="6">
        <v>46.638620000000003</v>
      </c>
      <c r="M569" s="6">
        <v>0.91700000000000004</v>
      </c>
      <c r="N569" s="6">
        <v>47.12</v>
      </c>
      <c r="O569" s="57">
        <v>43.209040000000002</v>
      </c>
      <c r="P569" s="52"/>
      <c r="Q569" s="6">
        <v>0.91700000000000004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3.74</v>
      </c>
      <c r="AB569" s="6">
        <v>3.4295800000000001</v>
      </c>
      <c r="AC569" s="6">
        <v>0.91699999999999993</v>
      </c>
      <c r="AD569" s="6">
        <v>-3.740000000000002</v>
      </c>
      <c r="AE569" s="6">
        <v>3.740000000000002</v>
      </c>
    </row>
    <row r="570" spans="2:31" x14ac:dyDescent="0.25">
      <c r="B570" s="55"/>
      <c r="C570" s="55"/>
      <c r="D570" s="56"/>
      <c r="E570" s="4" t="s">
        <v>888</v>
      </c>
      <c r="F570" s="4" t="s">
        <v>51</v>
      </c>
      <c r="G570" s="4" t="s">
        <v>35</v>
      </c>
      <c r="H570" s="54" t="s">
        <v>48</v>
      </c>
      <c r="I570" s="52"/>
      <c r="J570" s="57">
        <v>35.463999999999999</v>
      </c>
      <c r="K570" s="52"/>
      <c r="L570" s="6">
        <v>26.597999999999999</v>
      </c>
      <c r="M570" s="6">
        <v>0.75</v>
      </c>
      <c r="N570" s="6">
        <v>35.463999999999999</v>
      </c>
      <c r="O570" s="57">
        <v>26.597999999999999</v>
      </c>
      <c r="P570" s="52"/>
      <c r="Q570" s="6">
        <v>0.75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</row>
    <row r="571" spans="2:31" x14ac:dyDescent="0.25">
      <c r="B571" s="55"/>
      <c r="C571" s="55"/>
      <c r="D571" s="54" t="s">
        <v>911</v>
      </c>
      <c r="E571" s="4" t="s">
        <v>912</v>
      </c>
      <c r="F571" s="4" t="s">
        <v>51</v>
      </c>
      <c r="G571" s="4" t="s">
        <v>35</v>
      </c>
      <c r="H571" s="54" t="s">
        <v>48</v>
      </c>
      <c r="I571" s="52"/>
      <c r="J571" s="57">
        <v>14.25</v>
      </c>
      <c r="K571" s="52"/>
      <c r="L571" s="6">
        <v>10.6875</v>
      </c>
      <c r="M571" s="6">
        <v>0.75</v>
      </c>
      <c r="N571" s="6">
        <v>12.85</v>
      </c>
      <c r="O571" s="57">
        <v>9.6374999999999993</v>
      </c>
      <c r="P571" s="52"/>
      <c r="Q571" s="6">
        <v>0.75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1.4</v>
      </c>
      <c r="AB571" s="6">
        <v>1.05</v>
      </c>
      <c r="AC571" s="6">
        <v>0.75000000000000011</v>
      </c>
      <c r="AD571" s="6">
        <v>-1.4000000000000004</v>
      </c>
      <c r="AE571" s="6">
        <v>1.4000000000000004</v>
      </c>
    </row>
    <row r="572" spans="2:31" x14ac:dyDescent="0.25">
      <c r="B572" s="55"/>
      <c r="C572" s="55"/>
      <c r="D572" s="55"/>
      <c r="E572" s="4" t="s">
        <v>765</v>
      </c>
      <c r="F572" s="4" t="s">
        <v>51</v>
      </c>
      <c r="G572" s="4" t="s">
        <v>35</v>
      </c>
      <c r="H572" s="54" t="s">
        <v>36</v>
      </c>
      <c r="I572" s="52"/>
      <c r="J572" s="57">
        <v>63.47</v>
      </c>
      <c r="K572" s="52"/>
      <c r="L572" s="6">
        <v>58.201990000000002</v>
      </c>
      <c r="M572" s="6">
        <v>0.91700000000000004</v>
      </c>
      <c r="N572" s="6">
        <v>59.12</v>
      </c>
      <c r="O572" s="57">
        <v>54.213039999999999</v>
      </c>
      <c r="P572" s="52"/>
      <c r="Q572" s="6">
        <v>0.91700000000000004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4.3499999999999996</v>
      </c>
      <c r="AB572" s="6">
        <v>3.98895</v>
      </c>
      <c r="AC572" s="6">
        <v>0.91700000000000004</v>
      </c>
      <c r="AD572" s="6">
        <v>-4.3500000000000014</v>
      </c>
      <c r="AE572" s="6">
        <v>4.3500000000000014</v>
      </c>
    </row>
    <row r="573" spans="2:31" x14ac:dyDescent="0.25">
      <c r="B573" s="55"/>
      <c r="C573" s="55"/>
      <c r="D573" s="55"/>
      <c r="E573" s="4" t="s">
        <v>913</v>
      </c>
      <c r="F573" s="4" t="s">
        <v>51</v>
      </c>
      <c r="G573" s="4" t="s">
        <v>35</v>
      </c>
      <c r="H573" s="54" t="s">
        <v>48</v>
      </c>
      <c r="I573" s="52"/>
      <c r="J573" s="57">
        <v>42.28</v>
      </c>
      <c r="K573" s="52"/>
      <c r="L573" s="6">
        <v>31.71</v>
      </c>
      <c r="M573" s="6">
        <v>0.75</v>
      </c>
      <c r="N573" s="6">
        <v>41.43</v>
      </c>
      <c r="O573" s="57">
        <v>31.072500000000002</v>
      </c>
      <c r="P573" s="52"/>
      <c r="Q573" s="6">
        <v>0.75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0.85</v>
      </c>
      <c r="AB573" s="6">
        <v>0.63749999999999996</v>
      </c>
      <c r="AC573" s="6">
        <v>0.75</v>
      </c>
      <c r="AD573" s="6">
        <v>-0.85000000000000142</v>
      </c>
      <c r="AE573" s="6">
        <v>0.85000000000000142</v>
      </c>
    </row>
    <row r="574" spans="2:31" x14ac:dyDescent="0.25">
      <c r="B574" s="55"/>
      <c r="C574" s="55"/>
      <c r="D574" s="56"/>
      <c r="E574" s="4" t="s">
        <v>914</v>
      </c>
      <c r="F574" s="4" t="s">
        <v>51</v>
      </c>
      <c r="G574" s="4" t="s">
        <v>35</v>
      </c>
      <c r="H574" s="54" t="s">
        <v>36</v>
      </c>
      <c r="I574" s="52"/>
      <c r="J574" s="57">
        <v>29.52</v>
      </c>
      <c r="K574" s="52"/>
      <c r="L574" s="6">
        <v>27.069839999999999</v>
      </c>
      <c r="M574" s="6">
        <v>0.91700000000000004</v>
      </c>
      <c r="N574" s="6">
        <v>29.5</v>
      </c>
      <c r="O574" s="57">
        <v>27.051500000000001</v>
      </c>
      <c r="P574" s="52"/>
      <c r="Q574" s="6">
        <v>0.91700000000000004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0.02</v>
      </c>
      <c r="AB574" s="6">
        <v>1.8339999999999999E-2</v>
      </c>
      <c r="AC574" s="6">
        <v>0.91699999999999993</v>
      </c>
      <c r="AD574" s="6">
        <v>-1.9999999999999574E-2</v>
      </c>
      <c r="AE574" s="6">
        <v>1.9999999999999574E-2</v>
      </c>
    </row>
    <row r="575" spans="2:31" ht="20" x14ac:dyDescent="0.25">
      <c r="B575" s="55"/>
      <c r="C575" s="55"/>
      <c r="D575" s="4" t="s">
        <v>915</v>
      </c>
      <c r="E575" s="4" t="s">
        <v>916</v>
      </c>
      <c r="F575" s="4" t="s">
        <v>51</v>
      </c>
      <c r="G575" s="4" t="s">
        <v>35</v>
      </c>
      <c r="H575" s="54" t="s">
        <v>48</v>
      </c>
      <c r="I575" s="52"/>
      <c r="J575" s="57">
        <v>17.829999999999998</v>
      </c>
      <c r="K575" s="52"/>
      <c r="L575" s="6">
        <v>13.3725</v>
      </c>
      <c r="M575" s="6">
        <v>0.75000000000000011</v>
      </c>
      <c r="N575" s="6">
        <v>14.43</v>
      </c>
      <c r="O575" s="57">
        <v>10.8225</v>
      </c>
      <c r="P575" s="52"/>
      <c r="Q575" s="6">
        <v>0.75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3.4</v>
      </c>
      <c r="AB575" s="6">
        <v>2.5499999999999998</v>
      </c>
      <c r="AC575" s="6">
        <v>0.75</v>
      </c>
      <c r="AD575" s="6">
        <v>-3.3999999999999986</v>
      </c>
      <c r="AE575" s="6">
        <v>3.3999999999999986</v>
      </c>
    </row>
    <row r="576" spans="2:31" ht="20" x14ac:dyDescent="0.25">
      <c r="B576" s="55"/>
      <c r="C576" s="55"/>
      <c r="D576" s="4" t="s">
        <v>917</v>
      </c>
      <c r="E576" s="4" t="s">
        <v>918</v>
      </c>
      <c r="F576" s="4" t="s">
        <v>51</v>
      </c>
      <c r="G576" s="4" t="s">
        <v>35</v>
      </c>
      <c r="H576" s="54" t="s">
        <v>36</v>
      </c>
      <c r="I576" s="52"/>
      <c r="J576" s="57">
        <v>87.35</v>
      </c>
      <c r="K576" s="52"/>
      <c r="L576" s="6">
        <v>80.099950000000007</v>
      </c>
      <c r="M576" s="6">
        <v>0.91700000000000015</v>
      </c>
      <c r="N576" s="6">
        <v>82.9</v>
      </c>
      <c r="O576" s="57">
        <v>76.019300000000001</v>
      </c>
      <c r="P576" s="52"/>
      <c r="Q576" s="6">
        <v>0.91699999999999993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4.45</v>
      </c>
      <c r="AB576" s="6">
        <v>4.0806500000000003</v>
      </c>
      <c r="AC576" s="6">
        <v>0.91700000000000004</v>
      </c>
      <c r="AD576" s="6">
        <v>-4.4499999999999886</v>
      </c>
      <c r="AE576" s="6">
        <v>4.4499999999999886</v>
      </c>
    </row>
    <row r="577" spans="2:31" x14ac:dyDescent="0.25">
      <c r="B577" s="55"/>
      <c r="C577" s="55"/>
      <c r="D577" s="54" t="s">
        <v>919</v>
      </c>
      <c r="E577" s="4" t="s">
        <v>920</v>
      </c>
      <c r="F577" s="4" t="s">
        <v>51</v>
      </c>
      <c r="G577" s="4" t="s">
        <v>35</v>
      </c>
      <c r="H577" s="54" t="s">
        <v>36</v>
      </c>
      <c r="I577" s="52"/>
      <c r="J577" s="57">
        <v>44.09</v>
      </c>
      <c r="K577" s="52"/>
      <c r="L577" s="6">
        <v>40.430529999999997</v>
      </c>
      <c r="M577" s="6">
        <v>0.91699999999999982</v>
      </c>
      <c r="N577" s="6">
        <v>40.99</v>
      </c>
      <c r="O577" s="57">
        <v>37.587829999999997</v>
      </c>
      <c r="P577" s="52"/>
      <c r="Q577" s="6">
        <v>0.91699999999999993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3.1</v>
      </c>
      <c r="AB577" s="6">
        <v>2.8426999999999998</v>
      </c>
      <c r="AC577" s="6">
        <v>0.91699999999999993</v>
      </c>
      <c r="AD577" s="6">
        <v>-3.1000000000000014</v>
      </c>
      <c r="AE577" s="6">
        <v>3.1000000000000014</v>
      </c>
    </row>
    <row r="578" spans="2:31" x14ac:dyDescent="0.25">
      <c r="B578" s="55"/>
      <c r="C578" s="55"/>
      <c r="D578" s="56"/>
      <c r="E578" s="4" t="s">
        <v>921</v>
      </c>
      <c r="F578" s="4" t="s">
        <v>51</v>
      </c>
      <c r="G578" s="4" t="s">
        <v>35</v>
      </c>
      <c r="H578" s="54" t="s">
        <v>36</v>
      </c>
      <c r="I578" s="52"/>
      <c r="J578" s="57">
        <v>31.02</v>
      </c>
      <c r="K578" s="52"/>
      <c r="L578" s="6">
        <v>28.445340000000002</v>
      </c>
      <c r="M578" s="6">
        <v>0.91700000000000004</v>
      </c>
      <c r="N578" s="6">
        <v>29.04</v>
      </c>
      <c r="O578" s="57">
        <v>26.62968</v>
      </c>
      <c r="P578" s="52"/>
      <c r="Q578" s="6">
        <v>0.91700000000000004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1.98</v>
      </c>
      <c r="AB578" s="6">
        <v>1.8156600000000001</v>
      </c>
      <c r="AC578" s="6">
        <v>0.91700000000000004</v>
      </c>
      <c r="AD578" s="6">
        <v>-1.9800000000000004</v>
      </c>
      <c r="AE578" s="6">
        <v>1.9800000000000004</v>
      </c>
    </row>
    <row r="579" spans="2:31" ht="20" x14ac:dyDescent="0.25">
      <c r="B579" s="55"/>
      <c r="C579" s="55"/>
      <c r="D579" s="4" t="s">
        <v>922</v>
      </c>
      <c r="E579" s="4" t="s">
        <v>923</v>
      </c>
      <c r="F579" s="4" t="s">
        <v>51</v>
      </c>
      <c r="G579" s="4" t="s">
        <v>35</v>
      </c>
      <c r="H579" s="54" t="s">
        <v>48</v>
      </c>
      <c r="I579" s="52"/>
      <c r="J579" s="57">
        <v>17.55</v>
      </c>
      <c r="K579" s="52"/>
      <c r="L579" s="6">
        <v>13.1625</v>
      </c>
      <c r="M579" s="6">
        <v>0.75</v>
      </c>
      <c r="N579" s="6">
        <v>16.079999999999998</v>
      </c>
      <c r="O579" s="57">
        <v>12.06</v>
      </c>
      <c r="P579" s="52"/>
      <c r="Q579" s="6">
        <v>0.75000000000000011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1.47</v>
      </c>
      <c r="AB579" s="6">
        <v>1.1025</v>
      </c>
      <c r="AC579" s="6">
        <v>0.75</v>
      </c>
      <c r="AD579" s="6">
        <v>-1.4700000000000024</v>
      </c>
      <c r="AE579" s="6">
        <v>1.4700000000000024</v>
      </c>
    </row>
    <row r="580" spans="2:31" ht="20" x14ac:dyDescent="0.25">
      <c r="B580" s="55"/>
      <c r="C580" s="55"/>
      <c r="D580" s="4" t="s">
        <v>924</v>
      </c>
      <c r="E580" s="4" t="s">
        <v>925</v>
      </c>
      <c r="F580" s="4" t="s">
        <v>51</v>
      </c>
      <c r="G580" s="4" t="s">
        <v>35</v>
      </c>
      <c r="H580" s="54" t="s">
        <v>36</v>
      </c>
      <c r="I580" s="52"/>
      <c r="J580" s="57">
        <v>11.87</v>
      </c>
      <c r="K580" s="52"/>
      <c r="L580" s="6">
        <v>10.884790000000001</v>
      </c>
      <c r="M580" s="6">
        <v>0.91700000000000015</v>
      </c>
      <c r="N580" s="6">
        <v>11.84</v>
      </c>
      <c r="O580" s="57">
        <v>10.857279999999999</v>
      </c>
      <c r="P580" s="52"/>
      <c r="Q580" s="6">
        <v>0.91699999999999993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0.03</v>
      </c>
      <c r="AB580" s="6">
        <v>2.751E-2</v>
      </c>
      <c r="AC580" s="6">
        <v>0.91700000000000004</v>
      </c>
      <c r="AD580" s="6">
        <v>-2.9999999999999361E-2</v>
      </c>
      <c r="AE580" s="6">
        <v>2.9999999999999361E-2</v>
      </c>
    </row>
    <row r="581" spans="2:31" ht="20" x14ac:dyDescent="0.25">
      <c r="B581" s="55"/>
      <c r="C581" s="55"/>
      <c r="D581" s="4" t="s">
        <v>926</v>
      </c>
      <c r="E581" s="4" t="s">
        <v>927</v>
      </c>
      <c r="F581" s="4" t="s">
        <v>51</v>
      </c>
      <c r="G581" s="4" t="s">
        <v>35</v>
      </c>
      <c r="H581" s="54" t="s">
        <v>36</v>
      </c>
      <c r="I581" s="52"/>
      <c r="J581" s="57">
        <v>10.08</v>
      </c>
      <c r="K581" s="52"/>
      <c r="L581" s="6">
        <v>9.2433599999999991</v>
      </c>
      <c r="M581" s="6">
        <v>0.91699999999999993</v>
      </c>
      <c r="N581" s="6">
        <v>9.94</v>
      </c>
      <c r="O581" s="57">
        <v>9.1149799999999992</v>
      </c>
      <c r="P581" s="52"/>
      <c r="Q581" s="6">
        <v>0.91699999999999993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0.14000000000000001</v>
      </c>
      <c r="AB581" s="6">
        <v>0.12837999999999999</v>
      </c>
      <c r="AC581" s="6">
        <v>0.91699999999999982</v>
      </c>
      <c r="AD581" s="6">
        <v>-0.14000000000000057</v>
      </c>
      <c r="AE581" s="6">
        <v>0.14000000000000057</v>
      </c>
    </row>
    <row r="582" spans="2:31" ht="20" x14ac:dyDescent="0.25">
      <c r="B582" s="55"/>
      <c r="C582" s="55"/>
      <c r="D582" s="4" t="s">
        <v>928</v>
      </c>
      <c r="E582" s="4" t="s">
        <v>929</v>
      </c>
      <c r="F582" s="4" t="s">
        <v>51</v>
      </c>
      <c r="G582" s="4" t="s">
        <v>35</v>
      </c>
      <c r="H582" s="54" t="s">
        <v>36</v>
      </c>
      <c r="I582" s="52"/>
      <c r="J582" s="57">
        <v>21.26</v>
      </c>
      <c r="K582" s="52"/>
      <c r="L582" s="6">
        <v>19.495419999999999</v>
      </c>
      <c r="M582" s="6">
        <v>0.91699999999999993</v>
      </c>
      <c r="N582" s="6">
        <v>19.760000000000002</v>
      </c>
      <c r="O582" s="57">
        <v>18.11992</v>
      </c>
      <c r="P582" s="52"/>
      <c r="Q582" s="6">
        <v>0.91699999999999993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1.5</v>
      </c>
      <c r="AB582" s="6">
        <v>1.3754999999999999</v>
      </c>
      <c r="AC582" s="6">
        <v>0.91699999999999993</v>
      </c>
      <c r="AD582" s="6">
        <v>-1.5</v>
      </c>
      <c r="AE582" s="6">
        <v>1.5</v>
      </c>
    </row>
    <row r="583" spans="2:31" x14ac:dyDescent="0.25">
      <c r="B583" s="55"/>
      <c r="C583" s="55"/>
      <c r="D583" s="54" t="s">
        <v>930</v>
      </c>
      <c r="E583" s="54" t="s">
        <v>338</v>
      </c>
      <c r="F583" s="54" t="s">
        <v>51</v>
      </c>
      <c r="G583" s="54" t="s">
        <v>35</v>
      </c>
      <c r="H583" s="54" t="s">
        <v>48</v>
      </c>
      <c r="I583" s="52"/>
      <c r="J583" s="57">
        <v>5.59</v>
      </c>
      <c r="K583" s="52"/>
      <c r="L583" s="6">
        <v>4.1924999999999999</v>
      </c>
      <c r="M583" s="6">
        <v>0.75</v>
      </c>
      <c r="N583" s="6">
        <v>4.78</v>
      </c>
      <c r="O583" s="57">
        <v>3.585</v>
      </c>
      <c r="P583" s="52"/>
      <c r="Q583" s="6">
        <v>0.75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0.81</v>
      </c>
      <c r="AB583" s="6">
        <v>0.60750000000000004</v>
      </c>
      <c r="AC583" s="6">
        <v>0.75</v>
      </c>
      <c r="AD583" s="6">
        <v>-0.80999999999999961</v>
      </c>
      <c r="AE583" s="6">
        <v>0.80999999999999961</v>
      </c>
    </row>
    <row r="584" spans="2:31" x14ac:dyDescent="0.25">
      <c r="B584" s="55"/>
      <c r="C584" s="56"/>
      <c r="D584" s="56"/>
      <c r="E584" s="56"/>
      <c r="F584" s="56"/>
      <c r="G584" s="56"/>
      <c r="H584" s="54" t="s">
        <v>41</v>
      </c>
      <c r="I584" s="52"/>
      <c r="J584" s="57">
        <v>10.16</v>
      </c>
      <c r="K584" s="52"/>
      <c r="L584" s="6">
        <v>7.62</v>
      </c>
      <c r="M584" s="6">
        <v>0.75</v>
      </c>
      <c r="N584" s="6">
        <v>10</v>
      </c>
      <c r="O584" s="57">
        <v>7.5</v>
      </c>
      <c r="P584" s="52"/>
      <c r="Q584" s="6">
        <v>0.75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0.16</v>
      </c>
      <c r="AB584" s="6">
        <v>0.12</v>
      </c>
      <c r="AC584" s="6">
        <v>0.75</v>
      </c>
      <c r="AD584" s="6">
        <v>-0.16000000000000014</v>
      </c>
      <c r="AE584" s="6">
        <v>0.16000000000000014</v>
      </c>
    </row>
    <row r="585" spans="2:31" x14ac:dyDescent="0.25">
      <c r="B585" s="55"/>
      <c r="C585" s="58">
        <v>46181</v>
      </c>
      <c r="D585" s="4" t="s">
        <v>931</v>
      </c>
      <c r="E585" s="4" t="s">
        <v>643</v>
      </c>
      <c r="F585" s="4" t="s">
        <v>34</v>
      </c>
      <c r="G585" s="4" t="s">
        <v>35</v>
      </c>
      <c r="H585" s="54" t="s">
        <v>36</v>
      </c>
      <c r="I585" s="52"/>
      <c r="J585" s="57">
        <v>102.58</v>
      </c>
      <c r="K585" s="52"/>
      <c r="L585" s="6">
        <v>94.065860000000001</v>
      </c>
      <c r="M585" s="6">
        <v>0.91700000000000004</v>
      </c>
      <c r="N585" s="6">
        <v>94.68</v>
      </c>
      <c r="O585" s="57">
        <v>86.821560000000005</v>
      </c>
      <c r="P585" s="52"/>
      <c r="Q585" s="6">
        <v>0.91700000000000004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7.9</v>
      </c>
      <c r="AB585" s="6">
        <v>7.2443</v>
      </c>
      <c r="AC585" s="6">
        <v>0.91699999999999993</v>
      </c>
      <c r="AD585" s="6">
        <v>-7.8999999999999915</v>
      </c>
      <c r="AE585" s="6">
        <v>7.8999999999999915</v>
      </c>
    </row>
    <row r="586" spans="2:31" x14ac:dyDescent="0.25">
      <c r="B586" s="55"/>
      <c r="C586" s="55"/>
      <c r="D586" s="4" t="s">
        <v>932</v>
      </c>
      <c r="E586" s="4" t="s">
        <v>933</v>
      </c>
      <c r="F586" s="4" t="s">
        <v>34</v>
      </c>
      <c r="G586" s="4" t="s">
        <v>35</v>
      </c>
      <c r="H586" s="54" t="s">
        <v>36</v>
      </c>
      <c r="I586" s="52"/>
      <c r="J586" s="57">
        <v>72.314999999999998</v>
      </c>
      <c r="K586" s="52"/>
      <c r="L586" s="6">
        <v>66.312854999999999</v>
      </c>
      <c r="M586" s="6">
        <v>0.91700000000000004</v>
      </c>
      <c r="N586" s="6">
        <v>68.704999999999998</v>
      </c>
      <c r="O586" s="57">
        <v>63.002485</v>
      </c>
      <c r="P586" s="52"/>
      <c r="Q586" s="6">
        <v>0.91700000000000004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3.61</v>
      </c>
      <c r="AB586" s="6">
        <v>3.3103699999999998</v>
      </c>
      <c r="AC586" s="6">
        <v>0.91699999999999993</v>
      </c>
      <c r="AD586" s="6">
        <v>-3.6099999999999994</v>
      </c>
      <c r="AE586" s="6">
        <v>3.6099999999999994</v>
      </c>
    </row>
    <row r="587" spans="2:31" x14ac:dyDescent="0.25">
      <c r="B587" s="55"/>
      <c r="C587" s="55"/>
      <c r="D587" s="4" t="s">
        <v>934</v>
      </c>
      <c r="E587" s="4" t="s">
        <v>935</v>
      </c>
      <c r="F587" s="4" t="s">
        <v>34</v>
      </c>
      <c r="G587" s="4" t="s">
        <v>35</v>
      </c>
      <c r="H587" s="54" t="s">
        <v>48</v>
      </c>
      <c r="I587" s="52"/>
      <c r="J587" s="57">
        <v>158.13999999999999</v>
      </c>
      <c r="K587" s="52"/>
      <c r="L587" s="6">
        <v>118.605</v>
      </c>
      <c r="M587" s="6">
        <v>0.75000000000000011</v>
      </c>
      <c r="N587" s="6">
        <v>143.44</v>
      </c>
      <c r="O587" s="57">
        <v>107.58</v>
      </c>
      <c r="P587" s="52"/>
      <c r="Q587" s="6">
        <v>0.75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14.7</v>
      </c>
      <c r="AB587" s="6">
        <v>11.025</v>
      </c>
      <c r="AC587" s="6">
        <v>0.75000000000000011</v>
      </c>
      <c r="AD587" s="6">
        <v>-14.699999999999989</v>
      </c>
      <c r="AE587" s="6">
        <v>14.699999999999989</v>
      </c>
    </row>
    <row r="588" spans="2:31" x14ac:dyDescent="0.25">
      <c r="B588" s="55"/>
      <c r="C588" s="55"/>
      <c r="D588" s="4" t="s">
        <v>936</v>
      </c>
      <c r="E588" s="4" t="s">
        <v>33</v>
      </c>
      <c r="F588" s="4" t="s">
        <v>34</v>
      </c>
      <c r="G588" s="4" t="s">
        <v>35</v>
      </c>
      <c r="H588" s="54" t="s">
        <v>36</v>
      </c>
      <c r="I588" s="52"/>
      <c r="J588" s="57">
        <v>271.52999999999997</v>
      </c>
      <c r="K588" s="52"/>
      <c r="L588" s="6">
        <v>248.99301</v>
      </c>
      <c r="M588" s="6">
        <v>0.91700000000000004</v>
      </c>
      <c r="N588" s="6">
        <v>266.51</v>
      </c>
      <c r="O588" s="57">
        <v>244.38967</v>
      </c>
      <c r="P588" s="52"/>
      <c r="Q588" s="6">
        <v>0.91700000000000004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5.0199999999999996</v>
      </c>
      <c r="AB588" s="6">
        <v>4.6033400000000002</v>
      </c>
      <c r="AC588" s="6">
        <v>0.91700000000000015</v>
      </c>
      <c r="AD588" s="6">
        <v>-5.0199999999999818</v>
      </c>
      <c r="AE588" s="6">
        <v>5.0199999999999818</v>
      </c>
    </row>
    <row r="589" spans="2:31" x14ac:dyDescent="0.25">
      <c r="B589" s="55"/>
      <c r="C589" s="55"/>
      <c r="D589" s="4" t="s">
        <v>937</v>
      </c>
      <c r="E589" s="4" t="s">
        <v>938</v>
      </c>
      <c r="F589" s="4" t="s">
        <v>34</v>
      </c>
      <c r="G589" s="4" t="s">
        <v>35</v>
      </c>
      <c r="H589" s="54" t="s">
        <v>48</v>
      </c>
      <c r="I589" s="52"/>
      <c r="J589" s="57">
        <v>108.04</v>
      </c>
      <c r="K589" s="52"/>
      <c r="L589" s="6">
        <v>81.03</v>
      </c>
      <c r="M589" s="6">
        <v>0.75</v>
      </c>
      <c r="N589" s="6">
        <v>99.84</v>
      </c>
      <c r="O589" s="57">
        <v>74.88</v>
      </c>
      <c r="P589" s="52"/>
      <c r="Q589" s="6">
        <v>0.74999999999999989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8.1999999999999993</v>
      </c>
      <c r="AB589" s="6">
        <v>6.15</v>
      </c>
      <c r="AC589" s="6">
        <v>0.75000000000000011</v>
      </c>
      <c r="AD589" s="6">
        <v>-8.2000000000000028</v>
      </c>
      <c r="AE589" s="6">
        <v>8.2000000000000028</v>
      </c>
    </row>
    <row r="590" spans="2:31" x14ac:dyDescent="0.25">
      <c r="B590" s="55"/>
      <c r="C590" s="55"/>
      <c r="D590" s="4" t="s">
        <v>939</v>
      </c>
      <c r="E590" s="4" t="s">
        <v>940</v>
      </c>
      <c r="F590" s="4" t="s">
        <v>34</v>
      </c>
      <c r="G590" s="4" t="s">
        <v>35</v>
      </c>
      <c r="H590" s="54" t="s">
        <v>48</v>
      </c>
      <c r="I590" s="52"/>
      <c r="J590" s="57">
        <v>60.24</v>
      </c>
      <c r="K590" s="52"/>
      <c r="L590" s="6">
        <v>45.18</v>
      </c>
      <c r="M590" s="6">
        <v>0.75</v>
      </c>
      <c r="N590" s="6">
        <v>54.23</v>
      </c>
      <c r="O590" s="57">
        <v>40.672499999999999</v>
      </c>
      <c r="P590" s="52"/>
      <c r="Q590" s="6">
        <v>0.75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6.01</v>
      </c>
      <c r="AB590" s="6">
        <v>4.5075000000000003</v>
      </c>
      <c r="AC590" s="6">
        <v>0.75000000000000011</v>
      </c>
      <c r="AD590" s="6">
        <v>-6.0100000000000051</v>
      </c>
      <c r="AE590" s="6">
        <v>6.0100000000000051</v>
      </c>
    </row>
    <row r="591" spans="2:31" x14ac:dyDescent="0.25">
      <c r="B591" s="55"/>
      <c r="C591" s="55"/>
      <c r="D591" s="4" t="s">
        <v>941</v>
      </c>
      <c r="E591" s="4" t="s">
        <v>942</v>
      </c>
      <c r="F591" s="4" t="s">
        <v>34</v>
      </c>
      <c r="G591" s="4" t="s">
        <v>35</v>
      </c>
      <c r="H591" s="54" t="s">
        <v>36</v>
      </c>
      <c r="I591" s="52"/>
      <c r="J591" s="57">
        <v>64.477999999999994</v>
      </c>
      <c r="K591" s="52"/>
      <c r="L591" s="6">
        <v>59.126325999999999</v>
      </c>
      <c r="M591" s="6">
        <v>0.91700000000000004</v>
      </c>
      <c r="N591" s="6">
        <v>61.497999999999998</v>
      </c>
      <c r="O591" s="57">
        <v>56.393666000000003</v>
      </c>
      <c r="P591" s="52"/>
      <c r="Q591" s="6">
        <v>0.91700000000000004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2.98</v>
      </c>
      <c r="AB591" s="6">
        <v>2.7326600000000001</v>
      </c>
      <c r="AC591" s="6">
        <v>0.91700000000000004</v>
      </c>
      <c r="AD591" s="6">
        <v>-2.9799999999999969</v>
      </c>
      <c r="AE591" s="6">
        <v>2.9799999999999969</v>
      </c>
    </row>
    <row r="592" spans="2:31" x14ac:dyDescent="0.25">
      <c r="B592" s="55"/>
      <c r="C592" s="55"/>
      <c r="D592" s="4" t="s">
        <v>943</v>
      </c>
      <c r="E592" s="4" t="s">
        <v>944</v>
      </c>
      <c r="F592" s="4" t="s">
        <v>34</v>
      </c>
      <c r="G592" s="4" t="s">
        <v>35</v>
      </c>
      <c r="H592" s="54" t="s">
        <v>41</v>
      </c>
      <c r="I592" s="52"/>
      <c r="J592" s="57">
        <v>50.03</v>
      </c>
      <c r="K592" s="52"/>
      <c r="L592" s="6">
        <v>37.522500000000001</v>
      </c>
      <c r="M592" s="6">
        <v>0.75</v>
      </c>
      <c r="N592" s="6">
        <v>46.17</v>
      </c>
      <c r="O592" s="57">
        <v>34.627499999999998</v>
      </c>
      <c r="P592" s="52"/>
      <c r="Q592" s="6">
        <v>0.74999999999999989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3.86</v>
      </c>
      <c r="AB592" s="6">
        <v>2.895</v>
      </c>
      <c r="AC592" s="6">
        <v>0.75</v>
      </c>
      <c r="AD592" s="6">
        <v>-3.8599999999999994</v>
      </c>
      <c r="AE592" s="6">
        <v>3.8599999999999994</v>
      </c>
    </row>
    <row r="593" spans="2:31" x14ac:dyDescent="0.25">
      <c r="B593" s="55"/>
      <c r="C593" s="55"/>
      <c r="D593" s="4" t="s">
        <v>945</v>
      </c>
      <c r="E593" s="4" t="s">
        <v>946</v>
      </c>
      <c r="F593" s="4" t="s">
        <v>34</v>
      </c>
      <c r="G593" s="4" t="s">
        <v>35</v>
      </c>
      <c r="H593" s="54" t="s">
        <v>36</v>
      </c>
      <c r="I593" s="52"/>
      <c r="J593" s="57">
        <v>94.438999999999993</v>
      </c>
      <c r="K593" s="52"/>
      <c r="L593" s="6">
        <v>86.600562999999994</v>
      </c>
      <c r="M593" s="6">
        <v>0.91700000000000004</v>
      </c>
      <c r="N593" s="6">
        <v>91.299000000000007</v>
      </c>
      <c r="O593" s="57">
        <v>83.721182999999996</v>
      </c>
      <c r="P593" s="52"/>
      <c r="Q593" s="6">
        <v>0.91699999999999993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3.14</v>
      </c>
      <c r="AB593" s="6">
        <v>2.8793799999999998</v>
      </c>
      <c r="AC593" s="6">
        <v>0.91699999999999993</v>
      </c>
      <c r="AD593" s="6">
        <v>-3.1399999999999864</v>
      </c>
      <c r="AE593" s="6">
        <v>3.1399999999999864</v>
      </c>
    </row>
    <row r="594" spans="2:31" x14ac:dyDescent="0.25">
      <c r="B594" s="55"/>
      <c r="C594" s="55"/>
      <c r="D594" s="4" t="s">
        <v>947</v>
      </c>
      <c r="E594" s="4" t="s">
        <v>948</v>
      </c>
      <c r="F594" s="4" t="s">
        <v>34</v>
      </c>
      <c r="G594" s="4" t="s">
        <v>35</v>
      </c>
      <c r="H594" s="54" t="s">
        <v>36</v>
      </c>
      <c r="I594" s="52"/>
      <c r="J594" s="57">
        <v>82.391999999999996</v>
      </c>
      <c r="K594" s="52"/>
      <c r="L594" s="6">
        <v>75.553464000000005</v>
      </c>
      <c r="M594" s="6">
        <v>0.91700000000000015</v>
      </c>
      <c r="N594" s="6">
        <v>78.361999999999995</v>
      </c>
      <c r="O594" s="57">
        <v>71.857954000000007</v>
      </c>
      <c r="P594" s="52"/>
      <c r="Q594" s="6">
        <v>0.91700000000000015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4.03</v>
      </c>
      <c r="AB594" s="6">
        <v>3.6955100000000001</v>
      </c>
      <c r="AC594" s="6">
        <v>0.91699999999999993</v>
      </c>
      <c r="AD594" s="6">
        <v>-4.0300000000000011</v>
      </c>
      <c r="AE594" s="6">
        <v>4.0300000000000011</v>
      </c>
    </row>
    <row r="595" spans="2:31" x14ac:dyDescent="0.25">
      <c r="B595" s="55"/>
      <c r="C595" s="55"/>
      <c r="D595" s="4" t="s">
        <v>949</v>
      </c>
      <c r="E595" s="4" t="s">
        <v>950</v>
      </c>
      <c r="F595" s="4" t="s">
        <v>34</v>
      </c>
      <c r="G595" s="4" t="s">
        <v>35</v>
      </c>
      <c r="H595" s="54" t="s">
        <v>48</v>
      </c>
      <c r="I595" s="52"/>
      <c r="J595" s="57">
        <v>117.33</v>
      </c>
      <c r="K595" s="52"/>
      <c r="L595" s="6">
        <v>87.997500000000002</v>
      </c>
      <c r="M595" s="6">
        <v>0.75</v>
      </c>
      <c r="N595" s="6">
        <v>104.09</v>
      </c>
      <c r="O595" s="57">
        <v>78.067499999999995</v>
      </c>
      <c r="P595" s="52"/>
      <c r="Q595" s="6">
        <v>0.74999999999999989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13.24</v>
      </c>
      <c r="AB595" s="6">
        <v>9.93</v>
      </c>
      <c r="AC595" s="6">
        <v>0.75</v>
      </c>
      <c r="AD595" s="6">
        <v>-13.239999999999995</v>
      </c>
      <c r="AE595" s="6">
        <v>13.239999999999995</v>
      </c>
    </row>
    <row r="596" spans="2:31" x14ac:dyDescent="0.25">
      <c r="B596" s="55"/>
      <c r="C596" s="55"/>
      <c r="D596" s="4" t="s">
        <v>951</v>
      </c>
      <c r="E596" s="4" t="s">
        <v>952</v>
      </c>
      <c r="F596" s="4" t="s">
        <v>34</v>
      </c>
      <c r="G596" s="4" t="s">
        <v>35</v>
      </c>
      <c r="H596" s="54" t="s">
        <v>48</v>
      </c>
      <c r="I596" s="52"/>
      <c r="J596" s="57">
        <v>9.18</v>
      </c>
      <c r="K596" s="52"/>
      <c r="L596" s="6">
        <v>6.8849999999999998</v>
      </c>
      <c r="M596" s="6">
        <v>0.75</v>
      </c>
      <c r="N596" s="6">
        <v>8.24</v>
      </c>
      <c r="O596" s="57">
        <v>6.18</v>
      </c>
      <c r="P596" s="52"/>
      <c r="Q596" s="6">
        <v>0.75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0.94</v>
      </c>
      <c r="AB596" s="6">
        <v>0.70499999999999996</v>
      </c>
      <c r="AC596" s="6">
        <v>0.75</v>
      </c>
      <c r="AD596" s="6">
        <v>-0.9399999999999995</v>
      </c>
      <c r="AE596" s="6">
        <v>0.9399999999999995</v>
      </c>
    </row>
    <row r="597" spans="2:31" x14ac:dyDescent="0.25">
      <c r="B597" s="55"/>
      <c r="C597" s="55"/>
      <c r="D597" s="4" t="s">
        <v>953</v>
      </c>
      <c r="E597" s="4" t="s">
        <v>954</v>
      </c>
      <c r="F597" s="4" t="s">
        <v>34</v>
      </c>
      <c r="G597" s="4" t="s">
        <v>35</v>
      </c>
      <c r="H597" s="54" t="s">
        <v>36</v>
      </c>
      <c r="I597" s="52"/>
      <c r="J597" s="57">
        <v>49.783000000000001</v>
      </c>
      <c r="K597" s="52"/>
      <c r="L597" s="6">
        <v>45.651010999999997</v>
      </c>
      <c r="M597" s="6">
        <v>0.91699999999999993</v>
      </c>
      <c r="N597" s="6">
        <v>46.762999999999998</v>
      </c>
      <c r="O597" s="57">
        <v>42.881670999999997</v>
      </c>
      <c r="P597" s="52"/>
      <c r="Q597" s="6">
        <v>0.91699999999999993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3.02</v>
      </c>
      <c r="AB597" s="6">
        <v>2.7693400000000001</v>
      </c>
      <c r="AC597" s="6">
        <v>0.91700000000000004</v>
      </c>
      <c r="AD597" s="6">
        <v>-3.0200000000000031</v>
      </c>
      <c r="AE597" s="6">
        <v>3.0200000000000031</v>
      </c>
    </row>
    <row r="598" spans="2:31" x14ac:dyDescent="0.25">
      <c r="B598" s="55"/>
      <c r="C598" s="55"/>
      <c r="D598" s="4" t="s">
        <v>955</v>
      </c>
      <c r="E598" s="4" t="s">
        <v>956</v>
      </c>
      <c r="F598" s="4" t="s">
        <v>34</v>
      </c>
      <c r="G598" s="4" t="s">
        <v>35</v>
      </c>
      <c r="H598" s="54" t="s">
        <v>48</v>
      </c>
      <c r="I598" s="52"/>
      <c r="J598" s="57">
        <v>143.13</v>
      </c>
      <c r="K598" s="52"/>
      <c r="L598" s="6">
        <v>107.3475</v>
      </c>
      <c r="M598" s="6">
        <v>0.75</v>
      </c>
      <c r="N598" s="6">
        <v>130.49</v>
      </c>
      <c r="O598" s="57">
        <v>97.867500000000007</v>
      </c>
      <c r="P598" s="52"/>
      <c r="Q598" s="6">
        <v>0.75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12.64</v>
      </c>
      <c r="AB598" s="6">
        <v>9.48</v>
      </c>
      <c r="AC598" s="6">
        <v>0.75</v>
      </c>
      <c r="AD598" s="6">
        <v>-12.639999999999986</v>
      </c>
      <c r="AE598" s="6">
        <v>12.639999999999986</v>
      </c>
    </row>
    <row r="599" spans="2:31" x14ac:dyDescent="0.25">
      <c r="B599" s="55"/>
      <c r="C599" s="55"/>
      <c r="D599" s="4" t="s">
        <v>957</v>
      </c>
      <c r="E599" s="4" t="s">
        <v>958</v>
      </c>
      <c r="F599" s="4" t="s">
        <v>34</v>
      </c>
      <c r="G599" s="4" t="s">
        <v>35</v>
      </c>
      <c r="H599" s="54" t="s">
        <v>36</v>
      </c>
      <c r="I599" s="52"/>
      <c r="J599" s="57">
        <v>195.76</v>
      </c>
      <c r="K599" s="52"/>
      <c r="L599" s="6">
        <v>179.51192</v>
      </c>
      <c r="M599" s="6">
        <v>0.91700000000000004</v>
      </c>
      <c r="N599" s="6">
        <v>184.87</v>
      </c>
      <c r="O599" s="57">
        <v>169.52579</v>
      </c>
      <c r="P599" s="52"/>
      <c r="Q599" s="6">
        <v>0.91699999999999993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10.89</v>
      </c>
      <c r="AB599" s="6">
        <v>9.9861299999999993</v>
      </c>
      <c r="AC599" s="6">
        <v>0.91699999999999993</v>
      </c>
      <c r="AD599" s="6">
        <v>-10.889999999999986</v>
      </c>
      <c r="AE599" s="6">
        <v>10.889999999999986</v>
      </c>
    </row>
    <row r="600" spans="2:31" x14ac:dyDescent="0.25">
      <c r="B600" s="55"/>
      <c r="C600" s="55"/>
      <c r="D600" s="4" t="s">
        <v>959</v>
      </c>
      <c r="E600" s="4" t="s">
        <v>960</v>
      </c>
      <c r="F600" s="4" t="s">
        <v>34</v>
      </c>
      <c r="G600" s="4" t="s">
        <v>35</v>
      </c>
      <c r="H600" s="54" t="s">
        <v>36</v>
      </c>
      <c r="I600" s="52"/>
      <c r="J600" s="57">
        <v>79.668000000000006</v>
      </c>
      <c r="K600" s="52"/>
      <c r="L600" s="6">
        <v>73.055555999999996</v>
      </c>
      <c r="M600" s="6">
        <v>0.91699999999999993</v>
      </c>
      <c r="N600" s="6">
        <v>76.218000000000004</v>
      </c>
      <c r="O600" s="57">
        <v>69.891906000000006</v>
      </c>
      <c r="P600" s="52"/>
      <c r="Q600" s="6">
        <v>0.91700000000000004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3.45</v>
      </c>
      <c r="AB600" s="6">
        <v>3.1636500000000001</v>
      </c>
      <c r="AC600" s="6">
        <v>0.91699999999999993</v>
      </c>
      <c r="AD600" s="6">
        <v>-3.4500000000000028</v>
      </c>
      <c r="AE600" s="6">
        <v>3.4500000000000028</v>
      </c>
    </row>
    <row r="601" spans="2:31" x14ac:dyDescent="0.25">
      <c r="B601" s="55"/>
      <c r="C601" s="55"/>
      <c r="D601" s="4" t="s">
        <v>961</v>
      </c>
      <c r="E601" s="4" t="s">
        <v>962</v>
      </c>
      <c r="F601" s="4" t="s">
        <v>34</v>
      </c>
      <c r="G601" s="4" t="s">
        <v>35</v>
      </c>
      <c r="H601" s="54" t="s">
        <v>48</v>
      </c>
      <c r="I601" s="52"/>
      <c r="J601" s="57">
        <v>56.51</v>
      </c>
      <c r="K601" s="52"/>
      <c r="L601" s="6">
        <v>42.3825</v>
      </c>
      <c r="M601" s="6">
        <v>0.75</v>
      </c>
      <c r="N601" s="6">
        <v>53.19</v>
      </c>
      <c r="O601" s="57">
        <v>39.892499999999998</v>
      </c>
      <c r="P601" s="52"/>
      <c r="Q601" s="6">
        <v>0.75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3.32</v>
      </c>
      <c r="AB601" s="6">
        <v>2.4900000000000002</v>
      </c>
      <c r="AC601" s="6">
        <v>0.75000000000000011</v>
      </c>
      <c r="AD601" s="6">
        <v>-3.32</v>
      </c>
      <c r="AE601" s="6">
        <v>3.32</v>
      </c>
    </row>
    <row r="602" spans="2:31" x14ac:dyDescent="0.25">
      <c r="B602" s="55"/>
      <c r="C602" s="55"/>
      <c r="D602" s="4" t="s">
        <v>963</v>
      </c>
      <c r="E602" s="4" t="s">
        <v>964</v>
      </c>
      <c r="F602" s="4" t="s">
        <v>34</v>
      </c>
      <c r="G602" s="4" t="s">
        <v>35</v>
      </c>
      <c r="H602" s="54" t="s">
        <v>36</v>
      </c>
      <c r="I602" s="52"/>
      <c r="J602" s="57">
        <v>88.41</v>
      </c>
      <c r="K602" s="52"/>
      <c r="L602" s="6">
        <v>81.071969999999993</v>
      </c>
      <c r="M602" s="6">
        <v>0.91699999999999993</v>
      </c>
      <c r="N602" s="6">
        <v>83.79</v>
      </c>
      <c r="O602" s="57">
        <v>76.835430000000002</v>
      </c>
      <c r="P602" s="52"/>
      <c r="Q602" s="6">
        <v>0.91699999999999993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4.62</v>
      </c>
      <c r="AB602" s="6">
        <v>4.2365399999999998</v>
      </c>
      <c r="AC602" s="6">
        <v>0.91699999999999993</v>
      </c>
      <c r="AD602" s="6">
        <v>-4.6199999999999903</v>
      </c>
      <c r="AE602" s="6">
        <v>4.6199999999999903</v>
      </c>
    </row>
    <row r="603" spans="2:31" x14ac:dyDescent="0.25">
      <c r="B603" s="55"/>
      <c r="C603" s="55"/>
      <c r="D603" s="4" t="s">
        <v>965</v>
      </c>
      <c r="E603" s="4" t="s">
        <v>966</v>
      </c>
      <c r="F603" s="4" t="s">
        <v>34</v>
      </c>
      <c r="G603" s="4" t="s">
        <v>35</v>
      </c>
      <c r="H603" s="54" t="s">
        <v>48</v>
      </c>
      <c r="I603" s="52"/>
      <c r="J603" s="57">
        <v>88.83</v>
      </c>
      <c r="K603" s="52"/>
      <c r="L603" s="6">
        <v>66.622500000000002</v>
      </c>
      <c r="M603" s="6">
        <v>0.75</v>
      </c>
      <c r="N603" s="6">
        <v>81.97</v>
      </c>
      <c r="O603" s="57">
        <v>61.477499999999999</v>
      </c>
      <c r="P603" s="52"/>
      <c r="Q603" s="6">
        <v>0.75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6.86</v>
      </c>
      <c r="AB603" s="6">
        <v>5.1449999999999996</v>
      </c>
      <c r="AC603" s="6">
        <v>0.74999999999999989</v>
      </c>
      <c r="AD603" s="6">
        <v>-6.86</v>
      </c>
      <c r="AE603" s="6">
        <v>6.86</v>
      </c>
    </row>
    <row r="604" spans="2:31" x14ac:dyDescent="0.25">
      <c r="B604" s="55"/>
      <c r="C604" s="55"/>
      <c r="D604" s="4" t="s">
        <v>967</v>
      </c>
      <c r="E604" s="4" t="s">
        <v>956</v>
      </c>
      <c r="F604" s="4" t="s">
        <v>34</v>
      </c>
      <c r="G604" s="4" t="s">
        <v>35</v>
      </c>
      <c r="H604" s="54" t="s">
        <v>48</v>
      </c>
      <c r="I604" s="52"/>
      <c r="J604" s="57">
        <v>130.49</v>
      </c>
      <c r="K604" s="52"/>
      <c r="L604" s="6">
        <v>97.867500000000007</v>
      </c>
      <c r="M604" s="6">
        <v>0.75</v>
      </c>
      <c r="N604" s="6">
        <v>130.35</v>
      </c>
      <c r="O604" s="57">
        <v>97.762500000000003</v>
      </c>
      <c r="P604" s="52"/>
      <c r="Q604" s="6">
        <v>0.75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0.14000000000000001</v>
      </c>
      <c r="AB604" s="6">
        <v>0.105</v>
      </c>
      <c r="AC604" s="6">
        <v>0.74999999999999989</v>
      </c>
      <c r="AD604" s="6">
        <v>-0.14000000000001478</v>
      </c>
      <c r="AE604" s="6">
        <v>0.14000000000001478</v>
      </c>
    </row>
    <row r="605" spans="2:31" ht="20" x14ac:dyDescent="0.25">
      <c r="B605" s="55"/>
      <c r="C605" s="55"/>
      <c r="D605" s="4" t="s">
        <v>968</v>
      </c>
      <c r="E605" s="4" t="s">
        <v>969</v>
      </c>
      <c r="F605" s="4" t="s">
        <v>51</v>
      </c>
      <c r="G605" s="4" t="s">
        <v>35</v>
      </c>
      <c r="H605" s="54" t="s">
        <v>48</v>
      </c>
      <c r="I605" s="52"/>
      <c r="J605" s="57">
        <v>23.83</v>
      </c>
      <c r="K605" s="52"/>
      <c r="L605" s="6">
        <v>17.872499999999999</v>
      </c>
      <c r="M605" s="6">
        <v>0.75</v>
      </c>
      <c r="N605" s="6">
        <v>22.24</v>
      </c>
      <c r="O605" s="57">
        <v>16.68</v>
      </c>
      <c r="P605" s="52"/>
      <c r="Q605" s="6">
        <v>0.75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1.59</v>
      </c>
      <c r="AB605" s="6">
        <v>1.1924999999999999</v>
      </c>
      <c r="AC605" s="6">
        <v>0.74999999999999989</v>
      </c>
      <c r="AD605" s="6">
        <v>-1.59</v>
      </c>
      <c r="AE605" s="6">
        <v>1.59</v>
      </c>
    </row>
    <row r="606" spans="2:31" ht="20" x14ac:dyDescent="0.25">
      <c r="B606" s="55"/>
      <c r="C606" s="55"/>
      <c r="D606" s="4" t="s">
        <v>970</v>
      </c>
      <c r="E606" s="4" t="s">
        <v>971</v>
      </c>
      <c r="F606" s="4" t="s">
        <v>51</v>
      </c>
      <c r="G606" s="4" t="s">
        <v>35</v>
      </c>
      <c r="H606" s="54" t="s">
        <v>36</v>
      </c>
      <c r="I606" s="52"/>
      <c r="J606" s="57">
        <v>65.66</v>
      </c>
      <c r="K606" s="52"/>
      <c r="L606" s="6">
        <v>60.21022</v>
      </c>
      <c r="M606" s="6">
        <v>0.91700000000000004</v>
      </c>
      <c r="N606" s="6">
        <v>61.78</v>
      </c>
      <c r="O606" s="57">
        <v>56.652259999999998</v>
      </c>
      <c r="P606" s="52"/>
      <c r="Q606" s="6">
        <v>0.91699999999999993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3.88</v>
      </c>
      <c r="AB606" s="6">
        <v>3.55796</v>
      </c>
      <c r="AC606" s="6">
        <v>0.91700000000000004</v>
      </c>
      <c r="AD606" s="6">
        <v>-3.8799999999999955</v>
      </c>
      <c r="AE606" s="6">
        <v>3.8799999999999955</v>
      </c>
    </row>
    <row r="607" spans="2:31" ht="20" x14ac:dyDescent="0.25">
      <c r="B607" s="55"/>
      <c r="C607" s="55"/>
      <c r="D607" s="4" t="s">
        <v>972</v>
      </c>
      <c r="E607" s="4" t="s">
        <v>973</v>
      </c>
      <c r="F607" s="4" t="s">
        <v>51</v>
      </c>
      <c r="G607" s="4" t="s">
        <v>35</v>
      </c>
      <c r="H607" s="54" t="s">
        <v>36</v>
      </c>
      <c r="I607" s="52"/>
      <c r="J607" s="57">
        <v>54.24</v>
      </c>
      <c r="K607" s="52"/>
      <c r="L607" s="6">
        <v>49.738079999999997</v>
      </c>
      <c r="M607" s="6">
        <v>0.91699999999999993</v>
      </c>
      <c r="N607" s="6">
        <v>49.99</v>
      </c>
      <c r="O607" s="57">
        <v>45.840829999999997</v>
      </c>
      <c r="P607" s="52"/>
      <c r="Q607" s="6">
        <v>0.91699999999999993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4.25</v>
      </c>
      <c r="AB607" s="6">
        <v>3.8972500000000001</v>
      </c>
      <c r="AC607" s="6">
        <v>0.91700000000000004</v>
      </c>
      <c r="AD607" s="6">
        <v>-4.25</v>
      </c>
      <c r="AE607" s="6">
        <v>4.25</v>
      </c>
    </row>
    <row r="608" spans="2:31" ht="20" x14ac:dyDescent="0.25">
      <c r="B608" s="55"/>
      <c r="C608" s="55"/>
      <c r="D608" s="4" t="s">
        <v>974</v>
      </c>
      <c r="E608" s="4" t="s">
        <v>975</v>
      </c>
      <c r="F608" s="4" t="s">
        <v>51</v>
      </c>
      <c r="G608" s="4" t="s">
        <v>35</v>
      </c>
      <c r="H608" s="54" t="s">
        <v>48</v>
      </c>
      <c r="I608" s="52"/>
      <c r="J608" s="57">
        <v>10.16</v>
      </c>
      <c r="K608" s="52"/>
      <c r="L608" s="6">
        <v>7.62</v>
      </c>
      <c r="M608" s="6">
        <v>0.75</v>
      </c>
      <c r="N608" s="6">
        <v>9.57</v>
      </c>
      <c r="O608" s="57">
        <v>7.1775000000000002</v>
      </c>
      <c r="P608" s="52"/>
      <c r="Q608" s="6">
        <v>0.75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0.59</v>
      </c>
      <c r="AB608" s="6">
        <v>0.4425</v>
      </c>
      <c r="AC608" s="6">
        <v>0.75</v>
      </c>
      <c r="AD608" s="6">
        <v>-0.58999999999999986</v>
      </c>
      <c r="AE608" s="6">
        <v>0.58999999999999986</v>
      </c>
    </row>
    <row r="609" spans="2:31" ht="20" x14ac:dyDescent="0.25">
      <c r="B609" s="55"/>
      <c r="C609" s="55"/>
      <c r="D609" s="4" t="s">
        <v>976</v>
      </c>
      <c r="E609" s="4" t="s">
        <v>977</v>
      </c>
      <c r="F609" s="4" t="s">
        <v>51</v>
      </c>
      <c r="G609" s="4" t="s">
        <v>35</v>
      </c>
      <c r="H609" s="54" t="s">
        <v>48</v>
      </c>
      <c r="I609" s="52"/>
      <c r="J609" s="57">
        <v>8.6999999999999993</v>
      </c>
      <c r="K609" s="52"/>
      <c r="L609" s="6">
        <v>6.5250000000000004</v>
      </c>
      <c r="M609" s="6">
        <v>0.75000000000000011</v>
      </c>
      <c r="N609" s="6">
        <v>7.55</v>
      </c>
      <c r="O609" s="57">
        <v>5.6624999999999996</v>
      </c>
      <c r="P609" s="52"/>
      <c r="Q609" s="6">
        <v>0.75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1.1499999999999999</v>
      </c>
      <c r="AB609" s="6">
        <v>0.86250000000000004</v>
      </c>
      <c r="AC609" s="6">
        <v>0.75000000000000011</v>
      </c>
      <c r="AD609" s="6">
        <v>-1.1499999999999995</v>
      </c>
      <c r="AE609" s="6">
        <v>1.1499999999999995</v>
      </c>
    </row>
    <row r="610" spans="2:31" x14ac:dyDescent="0.25">
      <c r="B610" s="55"/>
      <c r="C610" s="55"/>
      <c r="D610" s="54" t="s">
        <v>978</v>
      </c>
      <c r="E610" s="4" t="s">
        <v>979</v>
      </c>
      <c r="F610" s="4" t="s">
        <v>51</v>
      </c>
      <c r="G610" s="4" t="s">
        <v>35</v>
      </c>
      <c r="H610" s="54" t="s">
        <v>48</v>
      </c>
      <c r="I610" s="52"/>
      <c r="J610" s="57">
        <v>23.44</v>
      </c>
      <c r="K610" s="52"/>
      <c r="L610" s="6">
        <v>17.579999999999998</v>
      </c>
      <c r="M610" s="6">
        <v>0.74999999999999989</v>
      </c>
      <c r="N610" s="6">
        <v>23.19</v>
      </c>
      <c r="O610" s="57">
        <v>17.392499999999998</v>
      </c>
      <c r="P610" s="52"/>
      <c r="Q610" s="6">
        <v>0.74999999999999989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0.25</v>
      </c>
      <c r="AB610" s="6">
        <v>0.1875</v>
      </c>
      <c r="AC610" s="6">
        <v>0.75</v>
      </c>
      <c r="AD610" s="6">
        <v>-0.25</v>
      </c>
      <c r="AE610" s="6">
        <v>0.25</v>
      </c>
    </row>
    <row r="611" spans="2:31" x14ac:dyDescent="0.25">
      <c r="B611" s="55"/>
      <c r="C611" s="55"/>
      <c r="D611" s="56"/>
      <c r="E611" s="4" t="s">
        <v>581</v>
      </c>
      <c r="F611" s="4" t="s">
        <v>51</v>
      </c>
      <c r="G611" s="4" t="s">
        <v>35</v>
      </c>
      <c r="H611" s="54" t="s">
        <v>48</v>
      </c>
      <c r="I611" s="52"/>
      <c r="J611" s="57">
        <v>41.5</v>
      </c>
      <c r="K611" s="52"/>
      <c r="L611" s="6">
        <v>31.125</v>
      </c>
      <c r="M611" s="6">
        <v>0.75</v>
      </c>
      <c r="N611" s="6">
        <v>41.4</v>
      </c>
      <c r="O611" s="57">
        <v>31.05</v>
      </c>
      <c r="P611" s="52"/>
      <c r="Q611" s="6">
        <v>0.75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0.1</v>
      </c>
      <c r="AB611" s="6">
        <v>7.4999999999999997E-2</v>
      </c>
      <c r="AC611" s="6">
        <v>0.74999999999999989</v>
      </c>
      <c r="AD611" s="6">
        <v>-0.10000000000000142</v>
      </c>
      <c r="AE611" s="6">
        <v>0.10000000000000142</v>
      </c>
    </row>
    <row r="612" spans="2:31" ht="20" x14ac:dyDescent="0.25">
      <c r="B612" s="55"/>
      <c r="C612" s="55"/>
      <c r="D612" s="4" t="s">
        <v>980</v>
      </c>
      <c r="E612" s="4" t="s">
        <v>585</v>
      </c>
      <c r="F612" s="4" t="s">
        <v>51</v>
      </c>
      <c r="G612" s="4" t="s">
        <v>35</v>
      </c>
      <c r="H612" s="54" t="s">
        <v>36</v>
      </c>
      <c r="I612" s="52"/>
      <c r="J612" s="57">
        <v>5.48</v>
      </c>
      <c r="K612" s="52"/>
      <c r="L612" s="6">
        <v>5.0251599999999996</v>
      </c>
      <c r="M612" s="6">
        <v>0.91699999999999982</v>
      </c>
      <c r="N612" s="6">
        <v>5.22</v>
      </c>
      <c r="O612" s="57">
        <v>4.78674</v>
      </c>
      <c r="P612" s="52"/>
      <c r="Q612" s="6">
        <v>0.91700000000000004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0.26</v>
      </c>
      <c r="AB612" s="6">
        <v>0.23841999999999999</v>
      </c>
      <c r="AC612" s="6">
        <v>0.91699999999999993</v>
      </c>
      <c r="AD612" s="6">
        <v>-0.26000000000000068</v>
      </c>
      <c r="AE612" s="6">
        <v>0.26000000000000068</v>
      </c>
    </row>
    <row r="613" spans="2:31" ht="20" x14ac:dyDescent="0.25">
      <c r="B613" s="55"/>
      <c r="C613" s="55"/>
      <c r="D613" s="4" t="s">
        <v>981</v>
      </c>
      <c r="E613" s="4" t="s">
        <v>583</v>
      </c>
      <c r="F613" s="4" t="s">
        <v>51</v>
      </c>
      <c r="G613" s="4" t="s">
        <v>35</v>
      </c>
      <c r="H613" s="54" t="s">
        <v>36</v>
      </c>
      <c r="I613" s="52"/>
      <c r="J613" s="57">
        <v>4.18</v>
      </c>
      <c r="K613" s="52"/>
      <c r="L613" s="6">
        <v>3.8330600000000001</v>
      </c>
      <c r="M613" s="6">
        <v>0.91700000000000015</v>
      </c>
      <c r="N613" s="6">
        <v>3.63</v>
      </c>
      <c r="O613" s="57">
        <v>3.3287100000000001</v>
      </c>
      <c r="P613" s="52"/>
      <c r="Q613" s="6">
        <v>0.91700000000000004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0.55000000000000004</v>
      </c>
      <c r="AB613" s="6">
        <v>0.50434999999999997</v>
      </c>
      <c r="AC613" s="6">
        <v>0.91699999999999982</v>
      </c>
      <c r="AD613" s="6">
        <v>-0.54999999999999982</v>
      </c>
      <c r="AE613" s="6">
        <v>0.54999999999999982</v>
      </c>
    </row>
    <row r="614" spans="2:31" ht="20" x14ac:dyDescent="0.25">
      <c r="B614" s="55"/>
      <c r="C614" s="55"/>
      <c r="D614" s="4" t="s">
        <v>982</v>
      </c>
      <c r="E614" s="4" t="s">
        <v>58</v>
      </c>
      <c r="F614" s="4" t="s">
        <v>51</v>
      </c>
      <c r="G614" s="4" t="s">
        <v>35</v>
      </c>
      <c r="H614" s="54" t="s">
        <v>36</v>
      </c>
      <c r="I614" s="52"/>
      <c r="J614" s="57">
        <v>9.5500000000000007</v>
      </c>
      <c r="K614" s="52"/>
      <c r="L614" s="6">
        <v>8.7573500000000006</v>
      </c>
      <c r="M614" s="6">
        <v>0.91700000000000004</v>
      </c>
      <c r="N614" s="6">
        <v>9.08</v>
      </c>
      <c r="O614" s="57">
        <v>8.3263599999999993</v>
      </c>
      <c r="P614" s="52"/>
      <c r="Q614" s="6">
        <v>0.91699999999999993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0.47</v>
      </c>
      <c r="AB614" s="6">
        <v>0.43098999999999998</v>
      </c>
      <c r="AC614" s="6">
        <v>0.91700000000000004</v>
      </c>
      <c r="AD614" s="6">
        <v>-0.47000000000000064</v>
      </c>
      <c r="AE614" s="6">
        <v>0.47000000000000064</v>
      </c>
    </row>
    <row r="615" spans="2:31" ht="20" x14ac:dyDescent="0.25">
      <c r="B615" s="55"/>
      <c r="C615" s="55"/>
      <c r="D615" s="4" t="s">
        <v>983</v>
      </c>
      <c r="E615" s="4" t="s">
        <v>984</v>
      </c>
      <c r="F615" s="4" t="s">
        <v>51</v>
      </c>
      <c r="G615" s="4" t="s">
        <v>35</v>
      </c>
      <c r="H615" s="54" t="s">
        <v>41</v>
      </c>
      <c r="I615" s="52"/>
      <c r="J615" s="57">
        <v>21.41</v>
      </c>
      <c r="K615" s="52"/>
      <c r="L615" s="6">
        <v>16.057500000000001</v>
      </c>
      <c r="M615" s="6">
        <v>0.75</v>
      </c>
      <c r="N615" s="6">
        <v>19.73</v>
      </c>
      <c r="O615" s="57">
        <v>14.797499999999999</v>
      </c>
      <c r="P615" s="52"/>
      <c r="Q615" s="6">
        <v>0.75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1.68</v>
      </c>
      <c r="AB615" s="6">
        <v>1.26</v>
      </c>
      <c r="AC615" s="6">
        <v>0.75</v>
      </c>
      <c r="AD615" s="6">
        <v>-1.6799999999999997</v>
      </c>
      <c r="AE615" s="6">
        <v>1.6799999999999997</v>
      </c>
    </row>
    <row r="616" spans="2:31" ht="20" x14ac:dyDescent="0.25">
      <c r="B616" s="55"/>
      <c r="C616" s="55"/>
      <c r="D616" s="4" t="s">
        <v>985</v>
      </c>
      <c r="E616" s="4" t="s">
        <v>986</v>
      </c>
      <c r="F616" s="4" t="s">
        <v>51</v>
      </c>
      <c r="G616" s="4" t="s">
        <v>35</v>
      </c>
      <c r="H616" s="54" t="s">
        <v>48</v>
      </c>
      <c r="I616" s="52"/>
      <c r="J616" s="57">
        <v>21.79</v>
      </c>
      <c r="K616" s="52"/>
      <c r="L616" s="6">
        <v>16.342500000000001</v>
      </c>
      <c r="M616" s="6">
        <v>0.75000000000000011</v>
      </c>
      <c r="N616" s="6">
        <v>20.12</v>
      </c>
      <c r="O616" s="57">
        <v>15.09</v>
      </c>
      <c r="P616" s="52"/>
      <c r="Q616" s="6">
        <v>0.75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1.67</v>
      </c>
      <c r="AB616" s="6">
        <v>1.2524999999999999</v>
      </c>
      <c r="AC616" s="6">
        <v>0.75</v>
      </c>
      <c r="AD616" s="6">
        <v>-1.6699999999999982</v>
      </c>
      <c r="AE616" s="6">
        <v>1.6699999999999982</v>
      </c>
    </row>
    <row r="617" spans="2:31" ht="20" x14ac:dyDescent="0.25">
      <c r="B617" s="55"/>
      <c r="C617" s="55"/>
      <c r="D617" s="4" t="s">
        <v>987</v>
      </c>
      <c r="E617" s="4" t="s">
        <v>770</v>
      </c>
      <c r="F617" s="4" t="s">
        <v>51</v>
      </c>
      <c r="G617" s="4" t="s">
        <v>35</v>
      </c>
      <c r="H617" s="54" t="s">
        <v>41</v>
      </c>
      <c r="I617" s="52"/>
      <c r="J617" s="57">
        <v>4.0599999999999996</v>
      </c>
      <c r="K617" s="52"/>
      <c r="L617" s="6">
        <v>3.0449999999999999</v>
      </c>
      <c r="M617" s="6">
        <v>0.75</v>
      </c>
      <c r="N617" s="6">
        <v>3.88</v>
      </c>
      <c r="O617" s="57">
        <v>2.91</v>
      </c>
      <c r="P617" s="52"/>
      <c r="Q617" s="6">
        <v>0.75000000000000011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0.18</v>
      </c>
      <c r="AB617" s="6">
        <v>0.13500000000000001</v>
      </c>
      <c r="AC617" s="6">
        <v>0.75000000000000011</v>
      </c>
      <c r="AD617" s="6">
        <v>-0.17999999999999972</v>
      </c>
      <c r="AE617" s="6">
        <v>0.17999999999999972</v>
      </c>
    </row>
    <row r="618" spans="2:31" ht="20" x14ac:dyDescent="0.25">
      <c r="B618" s="55"/>
      <c r="C618" s="55"/>
      <c r="D618" s="4" t="s">
        <v>988</v>
      </c>
      <c r="E618" s="4" t="s">
        <v>989</v>
      </c>
      <c r="F618" s="4" t="s">
        <v>51</v>
      </c>
      <c r="G618" s="4" t="s">
        <v>35</v>
      </c>
      <c r="H618" s="54" t="s">
        <v>48</v>
      </c>
      <c r="I618" s="52"/>
      <c r="J618" s="57">
        <v>9.56</v>
      </c>
      <c r="K618" s="52"/>
      <c r="L618" s="6">
        <v>7.17</v>
      </c>
      <c r="M618" s="6">
        <v>0.75</v>
      </c>
      <c r="N618" s="6">
        <v>8.9</v>
      </c>
      <c r="O618" s="57">
        <v>6.6749999999999998</v>
      </c>
      <c r="P618" s="52"/>
      <c r="Q618" s="6">
        <v>0.75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0.66</v>
      </c>
      <c r="AB618" s="6">
        <v>0.495</v>
      </c>
      <c r="AC618" s="6">
        <v>0.75</v>
      </c>
      <c r="AD618" s="6">
        <v>-0.66000000000000014</v>
      </c>
      <c r="AE618" s="6">
        <v>0.66000000000000014</v>
      </c>
    </row>
    <row r="619" spans="2:31" ht="20" x14ac:dyDescent="0.25">
      <c r="B619" s="55"/>
      <c r="C619" s="55"/>
      <c r="D619" s="4" t="s">
        <v>990</v>
      </c>
      <c r="E619" s="4" t="s">
        <v>991</v>
      </c>
      <c r="F619" s="4" t="s">
        <v>51</v>
      </c>
      <c r="G619" s="4" t="s">
        <v>35</v>
      </c>
      <c r="H619" s="54" t="s">
        <v>48</v>
      </c>
      <c r="I619" s="52"/>
      <c r="J619" s="57">
        <v>18.07</v>
      </c>
      <c r="K619" s="52"/>
      <c r="L619" s="6">
        <v>13.5525</v>
      </c>
      <c r="M619" s="6">
        <v>0.75</v>
      </c>
      <c r="N619" s="6">
        <v>16.82</v>
      </c>
      <c r="O619" s="57">
        <v>12.615</v>
      </c>
      <c r="P619" s="52"/>
      <c r="Q619" s="6">
        <v>0.75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1.25</v>
      </c>
      <c r="AB619" s="6">
        <v>0.9375</v>
      </c>
      <c r="AC619" s="6">
        <v>0.75</v>
      </c>
      <c r="AD619" s="6">
        <v>-1.25</v>
      </c>
      <c r="AE619" s="6">
        <v>1.25</v>
      </c>
    </row>
    <row r="620" spans="2:31" x14ac:dyDescent="0.25">
      <c r="B620" s="55"/>
      <c r="C620" s="55"/>
      <c r="D620" s="54" t="s">
        <v>992</v>
      </c>
      <c r="E620" s="4" t="s">
        <v>993</v>
      </c>
      <c r="F620" s="4" t="s">
        <v>51</v>
      </c>
      <c r="G620" s="4" t="s">
        <v>35</v>
      </c>
      <c r="H620" s="54" t="s">
        <v>36</v>
      </c>
      <c r="I620" s="52"/>
      <c r="J620" s="57">
        <v>22.93</v>
      </c>
      <c r="K620" s="52"/>
      <c r="L620" s="6">
        <v>21.026810000000001</v>
      </c>
      <c r="M620" s="6">
        <v>0.91700000000000004</v>
      </c>
      <c r="N620" s="6">
        <v>21.82</v>
      </c>
      <c r="O620" s="57">
        <v>20.008939999999999</v>
      </c>
      <c r="P620" s="52"/>
      <c r="Q620" s="6">
        <v>0.91699999999999993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1.1100000000000001</v>
      </c>
      <c r="AB620" s="6">
        <v>1.0178700000000001</v>
      </c>
      <c r="AC620" s="6">
        <v>0.91699999999999993</v>
      </c>
      <c r="AD620" s="6">
        <v>-1.1099999999999994</v>
      </c>
      <c r="AE620" s="6">
        <v>1.1099999999999994</v>
      </c>
    </row>
    <row r="621" spans="2:31" x14ac:dyDescent="0.25">
      <c r="B621" s="55"/>
      <c r="C621" s="55"/>
      <c r="D621" s="56"/>
      <c r="E621" s="4" t="s">
        <v>994</v>
      </c>
      <c r="F621" s="4" t="s">
        <v>51</v>
      </c>
      <c r="G621" s="4" t="s">
        <v>35</v>
      </c>
      <c r="H621" s="54" t="s">
        <v>36</v>
      </c>
      <c r="I621" s="52"/>
      <c r="J621" s="57">
        <v>27.05</v>
      </c>
      <c r="K621" s="52"/>
      <c r="L621" s="6">
        <v>24.804849999999998</v>
      </c>
      <c r="M621" s="6">
        <v>0.91699999999999993</v>
      </c>
      <c r="N621" s="6">
        <v>25.09</v>
      </c>
      <c r="O621" s="57">
        <v>23.007529999999999</v>
      </c>
      <c r="P621" s="52"/>
      <c r="Q621" s="6">
        <v>0.91699999999999993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1.96</v>
      </c>
      <c r="AB621" s="6">
        <v>1.79732</v>
      </c>
      <c r="AC621" s="6">
        <v>0.91700000000000004</v>
      </c>
      <c r="AD621" s="6">
        <v>-1.9600000000000009</v>
      </c>
      <c r="AE621" s="6">
        <v>1.9600000000000009</v>
      </c>
    </row>
    <row r="622" spans="2:31" x14ac:dyDescent="0.25">
      <c r="B622" s="55"/>
      <c r="C622" s="55"/>
      <c r="D622" s="54" t="s">
        <v>995</v>
      </c>
      <c r="E622" s="4" t="s">
        <v>508</v>
      </c>
      <c r="F622" s="4" t="s">
        <v>51</v>
      </c>
      <c r="G622" s="4" t="s">
        <v>35</v>
      </c>
      <c r="H622" s="54" t="s">
        <v>48</v>
      </c>
      <c r="I622" s="52"/>
      <c r="J622" s="57">
        <v>16.68</v>
      </c>
      <c r="K622" s="52"/>
      <c r="L622" s="6">
        <v>12.51</v>
      </c>
      <c r="M622" s="6">
        <v>0.75</v>
      </c>
      <c r="N622" s="6">
        <v>16.64</v>
      </c>
      <c r="O622" s="57">
        <v>12.48</v>
      </c>
      <c r="P622" s="52"/>
      <c r="Q622" s="6">
        <v>0.75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0.04</v>
      </c>
      <c r="AB622" s="6">
        <v>0.03</v>
      </c>
      <c r="AC622" s="6">
        <v>0.75</v>
      </c>
      <c r="AD622" s="6">
        <v>-3.9999999999999147E-2</v>
      </c>
      <c r="AE622" s="6">
        <v>3.9999999999999147E-2</v>
      </c>
    </row>
    <row r="623" spans="2:31" x14ac:dyDescent="0.25">
      <c r="B623" s="55"/>
      <c r="C623" s="55"/>
      <c r="D623" s="55"/>
      <c r="E623" s="4" t="s">
        <v>671</v>
      </c>
      <c r="F623" s="4" t="s">
        <v>51</v>
      </c>
      <c r="G623" s="4" t="s">
        <v>35</v>
      </c>
      <c r="H623" s="54" t="s">
        <v>36</v>
      </c>
      <c r="I623" s="52"/>
      <c r="J623" s="57">
        <v>137.91999999999999</v>
      </c>
      <c r="K623" s="52"/>
      <c r="L623" s="6">
        <v>126.47264</v>
      </c>
      <c r="M623" s="6">
        <v>0.91700000000000004</v>
      </c>
      <c r="N623" s="6">
        <v>130.18</v>
      </c>
      <c r="O623" s="57">
        <v>119.37506</v>
      </c>
      <c r="P623" s="52"/>
      <c r="Q623" s="6">
        <v>0.91700000000000004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7.74</v>
      </c>
      <c r="AB623" s="6">
        <v>7.0975799999999998</v>
      </c>
      <c r="AC623" s="6">
        <v>0.91699999999999993</v>
      </c>
      <c r="AD623" s="6">
        <v>-7.7399999999999807</v>
      </c>
      <c r="AE623" s="6">
        <v>7.7399999999999807</v>
      </c>
    </row>
    <row r="624" spans="2:31" x14ac:dyDescent="0.25">
      <c r="B624" s="55"/>
      <c r="C624" s="55"/>
      <c r="D624" s="55"/>
      <c r="E624" s="4" t="s">
        <v>996</v>
      </c>
      <c r="F624" s="4" t="s">
        <v>51</v>
      </c>
      <c r="G624" s="4" t="s">
        <v>35</v>
      </c>
      <c r="H624" s="54" t="s">
        <v>36</v>
      </c>
      <c r="I624" s="52"/>
      <c r="J624" s="57">
        <v>14.45</v>
      </c>
      <c r="K624" s="52"/>
      <c r="L624" s="6">
        <v>13.25065</v>
      </c>
      <c r="M624" s="6">
        <v>0.91700000000000004</v>
      </c>
      <c r="N624" s="6">
        <v>12.93</v>
      </c>
      <c r="O624" s="57">
        <v>11.856809999999999</v>
      </c>
      <c r="P624" s="52"/>
      <c r="Q624" s="6">
        <v>0.91699999999999993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1.52</v>
      </c>
      <c r="AB624" s="6">
        <v>1.39384</v>
      </c>
      <c r="AC624" s="6">
        <v>0.91699999999999993</v>
      </c>
      <c r="AD624" s="6">
        <v>-1.5199999999999996</v>
      </c>
      <c r="AE624" s="6">
        <v>1.5199999999999996</v>
      </c>
    </row>
    <row r="625" spans="2:31" x14ac:dyDescent="0.25">
      <c r="B625" s="55"/>
      <c r="C625" s="55"/>
      <c r="D625" s="56"/>
      <c r="E625" s="4" t="s">
        <v>997</v>
      </c>
      <c r="F625" s="4" t="s">
        <v>51</v>
      </c>
      <c r="G625" s="4" t="s">
        <v>35</v>
      </c>
      <c r="H625" s="54" t="s">
        <v>36</v>
      </c>
      <c r="I625" s="52"/>
      <c r="J625" s="57">
        <v>12.89</v>
      </c>
      <c r="K625" s="52"/>
      <c r="L625" s="6">
        <v>11.820130000000001</v>
      </c>
      <c r="M625" s="6">
        <v>0.91700000000000004</v>
      </c>
      <c r="N625" s="6">
        <v>12.2</v>
      </c>
      <c r="O625" s="57">
        <v>11.1874</v>
      </c>
      <c r="P625" s="52"/>
      <c r="Q625" s="6">
        <v>0.91700000000000004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0.69</v>
      </c>
      <c r="AB625" s="6">
        <v>0.63273000000000001</v>
      </c>
      <c r="AC625" s="6">
        <v>0.91700000000000004</v>
      </c>
      <c r="AD625" s="6">
        <v>-0.69000000000000128</v>
      </c>
      <c r="AE625" s="6">
        <v>0.69000000000000128</v>
      </c>
    </row>
    <row r="626" spans="2:31" ht="20" x14ac:dyDescent="0.25">
      <c r="B626" s="55"/>
      <c r="C626" s="55"/>
      <c r="D626" s="4" t="s">
        <v>998</v>
      </c>
      <c r="E626" s="4" t="s">
        <v>999</v>
      </c>
      <c r="F626" s="4" t="s">
        <v>51</v>
      </c>
      <c r="G626" s="4" t="s">
        <v>35</v>
      </c>
      <c r="H626" s="54" t="s">
        <v>41</v>
      </c>
      <c r="I626" s="52"/>
      <c r="J626" s="57">
        <v>9.77</v>
      </c>
      <c r="K626" s="52"/>
      <c r="L626" s="6">
        <v>7.3274999999999997</v>
      </c>
      <c r="M626" s="6">
        <v>0.75</v>
      </c>
      <c r="N626" s="6">
        <v>9.1199999999999992</v>
      </c>
      <c r="O626" s="57">
        <v>6.84</v>
      </c>
      <c r="P626" s="52"/>
      <c r="Q626" s="6">
        <v>0.75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0.65</v>
      </c>
      <c r="AB626" s="6">
        <v>0.48749999999999999</v>
      </c>
      <c r="AC626" s="6">
        <v>0.75</v>
      </c>
      <c r="AD626" s="6">
        <v>-0.65000000000000036</v>
      </c>
      <c r="AE626" s="6">
        <v>0.65000000000000036</v>
      </c>
    </row>
    <row r="627" spans="2:31" ht="20" x14ac:dyDescent="0.25">
      <c r="B627" s="55"/>
      <c r="C627" s="55"/>
      <c r="D627" s="4" t="s">
        <v>1000</v>
      </c>
      <c r="E627" s="4" t="s">
        <v>348</v>
      </c>
      <c r="F627" s="4" t="s">
        <v>51</v>
      </c>
      <c r="G627" s="4" t="s">
        <v>35</v>
      </c>
      <c r="H627" s="54" t="s">
        <v>36</v>
      </c>
      <c r="I627" s="52"/>
      <c r="J627" s="57">
        <v>8.61</v>
      </c>
      <c r="K627" s="52"/>
      <c r="L627" s="6">
        <v>7.8953699999999998</v>
      </c>
      <c r="M627" s="6">
        <v>0.91700000000000004</v>
      </c>
      <c r="N627" s="6">
        <v>8.61</v>
      </c>
      <c r="O627" s="57">
        <v>7.8953699999999998</v>
      </c>
      <c r="P627" s="52"/>
      <c r="Q627" s="6">
        <v>0.91700000000000004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</row>
    <row r="628" spans="2:31" ht="20" x14ac:dyDescent="0.25">
      <c r="B628" s="55"/>
      <c r="C628" s="55"/>
      <c r="D628" s="4" t="s">
        <v>1001</v>
      </c>
      <c r="E628" s="4" t="s">
        <v>477</v>
      </c>
      <c r="F628" s="4" t="s">
        <v>51</v>
      </c>
      <c r="G628" s="4" t="s">
        <v>35</v>
      </c>
      <c r="H628" s="54" t="s">
        <v>41</v>
      </c>
      <c r="I628" s="52"/>
      <c r="J628" s="57">
        <v>158.76</v>
      </c>
      <c r="K628" s="52"/>
      <c r="L628" s="6">
        <v>119.07</v>
      </c>
      <c r="M628" s="6">
        <v>0.75</v>
      </c>
      <c r="N628" s="6">
        <v>158.76</v>
      </c>
      <c r="O628" s="57">
        <v>119.07</v>
      </c>
      <c r="P628" s="52"/>
      <c r="Q628" s="6">
        <v>0.75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</row>
    <row r="629" spans="2:31" ht="20" x14ac:dyDescent="0.25">
      <c r="B629" s="55"/>
      <c r="C629" s="55"/>
      <c r="D629" s="4" t="s">
        <v>1002</v>
      </c>
      <c r="E629" s="4" t="s">
        <v>477</v>
      </c>
      <c r="F629" s="4" t="s">
        <v>51</v>
      </c>
      <c r="G629" s="4" t="s">
        <v>35</v>
      </c>
      <c r="H629" s="54" t="s">
        <v>41</v>
      </c>
      <c r="I629" s="52"/>
      <c r="J629" s="57">
        <v>158.87</v>
      </c>
      <c r="K629" s="52"/>
      <c r="L629" s="6">
        <v>119.1525</v>
      </c>
      <c r="M629" s="6">
        <v>0.75</v>
      </c>
      <c r="N629" s="6">
        <v>158.87</v>
      </c>
      <c r="O629" s="57">
        <v>119.1525</v>
      </c>
      <c r="P629" s="52"/>
      <c r="Q629" s="6">
        <v>0.75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</row>
    <row r="630" spans="2:31" ht="20" x14ac:dyDescent="0.25">
      <c r="B630" s="55"/>
      <c r="C630" s="55"/>
      <c r="D630" s="4" t="s">
        <v>1003</v>
      </c>
      <c r="E630" s="4" t="s">
        <v>348</v>
      </c>
      <c r="F630" s="4" t="s">
        <v>51</v>
      </c>
      <c r="G630" s="4" t="s">
        <v>133</v>
      </c>
      <c r="H630" s="54" t="s">
        <v>36</v>
      </c>
      <c r="I630" s="52"/>
      <c r="J630" s="57">
        <v>12.72</v>
      </c>
      <c r="K630" s="52"/>
      <c r="L630" s="6">
        <v>11.664239999999999</v>
      </c>
      <c r="M630" s="6">
        <v>0.91699999999999993</v>
      </c>
      <c r="N630" s="6">
        <v>12.72</v>
      </c>
      <c r="O630" s="57">
        <v>11.664239999999999</v>
      </c>
      <c r="P630" s="52"/>
      <c r="Q630" s="6">
        <v>0.91699999999999993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</row>
    <row r="631" spans="2:31" ht="20" x14ac:dyDescent="0.25">
      <c r="B631" s="55"/>
      <c r="C631" s="55"/>
      <c r="D631" s="4" t="s">
        <v>1004</v>
      </c>
      <c r="E631" s="4" t="s">
        <v>1005</v>
      </c>
      <c r="F631" s="4" t="s">
        <v>51</v>
      </c>
      <c r="G631" s="4" t="s">
        <v>35</v>
      </c>
      <c r="H631" s="54" t="s">
        <v>36</v>
      </c>
      <c r="I631" s="52"/>
      <c r="J631" s="57">
        <v>24.88</v>
      </c>
      <c r="K631" s="52"/>
      <c r="L631" s="6">
        <v>22.814959999999999</v>
      </c>
      <c r="M631" s="6">
        <v>0.91700000000000004</v>
      </c>
      <c r="N631" s="6">
        <v>23.41</v>
      </c>
      <c r="O631" s="57">
        <v>21.46697</v>
      </c>
      <c r="P631" s="52"/>
      <c r="Q631" s="6">
        <v>0.91700000000000004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1.47</v>
      </c>
      <c r="AB631" s="6">
        <v>1.34799</v>
      </c>
      <c r="AC631" s="6">
        <v>0.91700000000000004</v>
      </c>
      <c r="AD631" s="6">
        <v>-1.4699999999999989</v>
      </c>
      <c r="AE631" s="6">
        <v>1.4699999999999989</v>
      </c>
    </row>
    <row r="632" spans="2:31" ht="20" x14ac:dyDescent="0.25">
      <c r="B632" s="55"/>
      <c r="C632" s="55"/>
      <c r="D632" s="4" t="s">
        <v>1006</v>
      </c>
      <c r="E632" s="4" t="s">
        <v>1007</v>
      </c>
      <c r="F632" s="4" t="s">
        <v>51</v>
      </c>
      <c r="G632" s="4" t="s">
        <v>35</v>
      </c>
      <c r="H632" s="54" t="s">
        <v>36</v>
      </c>
      <c r="I632" s="52"/>
      <c r="J632" s="57">
        <v>23.49</v>
      </c>
      <c r="K632" s="52"/>
      <c r="L632" s="6">
        <v>21.540330000000001</v>
      </c>
      <c r="M632" s="6">
        <v>0.91700000000000015</v>
      </c>
      <c r="N632" s="6">
        <v>21.48</v>
      </c>
      <c r="O632" s="57">
        <v>19.69716</v>
      </c>
      <c r="P632" s="52"/>
      <c r="Q632" s="6">
        <v>0.91700000000000004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2.0099999999999998</v>
      </c>
      <c r="AB632" s="6">
        <v>1.84317</v>
      </c>
      <c r="AC632" s="6">
        <v>0.91700000000000004</v>
      </c>
      <c r="AD632" s="6">
        <v>-2.009999999999998</v>
      </c>
      <c r="AE632" s="6">
        <v>2.009999999999998</v>
      </c>
    </row>
    <row r="633" spans="2:31" ht="20" x14ac:dyDescent="0.25">
      <c r="B633" s="55"/>
      <c r="C633" s="55"/>
      <c r="D633" s="4" t="s">
        <v>1008</v>
      </c>
      <c r="E633" s="4" t="s">
        <v>1009</v>
      </c>
      <c r="F633" s="4" t="s">
        <v>51</v>
      </c>
      <c r="G633" s="4" t="s">
        <v>35</v>
      </c>
      <c r="H633" s="54" t="s">
        <v>48</v>
      </c>
      <c r="I633" s="52"/>
      <c r="J633" s="57">
        <v>22.54</v>
      </c>
      <c r="K633" s="52"/>
      <c r="L633" s="6">
        <v>16.905000000000001</v>
      </c>
      <c r="M633" s="6">
        <v>0.75000000000000011</v>
      </c>
      <c r="N633" s="6">
        <v>20.86</v>
      </c>
      <c r="O633" s="57">
        <v>15.645</v>
      </c>
      <c r="P633" s="52"/>
      <c r="Q633" s="6">
        <v>0.75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1.68</v>
      </c>
      <c r="AB633" s="6">
        <v>1.26</v>
      </c>
      <c r="AC633" s="6">
        <v>0.75</v>
      </c>
      <c r="AD633" s="6">
        <v>-1.6799999999999997</v>
      </c>
      <c r="AE633" s="6">
        <v>1.6799999999999997</v>
      </c>
    </row>
    <row r="634" spans="2:31" ht="20" x14ac:dyDescent="0.25">
      <c r="B634" s="55"/>
      <c r="C634" s="55"/>
      <c r="D634" s="4" t="s">
        <v>1010</v>
      </c>
      <c r="E634" s="4" t="s">
        <v>1011</v>
      </c>
      <c r="F634" s="4" t="s">
        <v>51</v>
      </c>
      <c r="G634" s="4" t="s">
        <v>35</v>
      </c>
      <c r="H634" s="54" t="s">
        <v>48</v>
      </c>
      <c r="I634" s="52"/>
      <c r="J634" s="57">
        <v>20.079999999999998</v>
      </c>
      <c r="K634" s="52"/>
      <c r="L634" s="6">
        <v>15.06</v>
      </c>
      <c r="M634" s="6">
        <v>0.75000000000000011</v>
      </c>
      <c r="N634" s="6">
        <v>18.79</v>
      </c>
      <c r="O634" s="57">
        <v>14.092499999999999</v>
      </c>
      <c r="P634" s="52"/>
      <c r="Q634" s="6">
        <v>0.75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1.29</v>
      </c>
      <c r="AB634" s="6">
        <v>0.96750000000000003</v>
      </c>
      <c r="AC634" s="6">
        <v>0.75</v>
      </c>
      <c r="AD634" s="6">
        <v>-1.2899999999999991</v>
      </c>
      <c r="AE634" s="6">
        <v>1.2899999999999991</v>
      </c>
    </row>
    <row r="635" spans="2:31" ht="20" x14ac:dyDescent="0.25">
      <c r="B635" s="55"/>
      <c r="C635" s="55"/>
      <c r="D635" s="4" t="s">
        <v>1012</v>
      </c>
      <c r="E635" s="4" t="s">
        <v>1013</v>
      </c>
      <c r="F635" s="4" t="s">
        <v>51</v>
      </c>
      <c r="G635" s="4" t="s">
        <v>35</v>
      </c>
      <c r="H635" s="54" t="s">
        <v>48</v>
      </c>
      <c r="I635" s="52"/>
      <c r="J635" s="57">
        <v>17.82</v>
      </c>
      <c r="K635" s="52"/>
      <c r="L635" s="6">
        <v>13.365</v>
      </c>
      <c r="M635" s="6">
        <v>0.75</v>
      </c>
      <c r="N635" s="6">
        <v>16.079999999999998</v>
      </c>
      <c r="O635" s="57">
        <v>12.06</v>
      </c>
      <c r="P635" s="52"/>
      <c r="Q635" s="6">
        <v>0.75000000000000011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1.74</v>
      </c>
      <c r="AB635" s="6">
        <v>1.3049999999999999</v>
      </c>
      <c r="AC635" s="6">
        <v>0.75</v>
      </c>
      <c r="AD635" s="6">
        <v>-1.740000000000002</v>
      </c>
      <c r="AE635" s="6">
        <v>1.740000000000002</v>
      </c>
    </row>
    <row r="636" spans="2:31" ht="20" x14ac:dyDescent="0.25">
      <c r="B636" s="55"/>
      <c r="C636" s="55"/>
      <c r="D636" s="4" t="s">
        <v>1014</v>
      </c>
      <c r="E636" s="4" t="s">
        <v>1015</v>
      </c>
      <c r="F636" s="4" t="s">
        <v>51</v>
      </c>
      <c r="G636" s="4" t="s">
        <v>35</v>
      </c>
      <c r="H636" s="54" t="s">
        <v>48</v>
      </c>
      <c r="I636" s="52"/>
      <c r="J636" s="57">
        <v>17.05</v>
      </c>
      <c r="K636" s="52"/>
      <c r="L636" s="6">
        <v>12.7875</v>
      </c>
      <c r="M636" s="6">
        <v>0.75</v>
      </c>
      <c r="N636" s="6">
        <v>15.96</v>
      </c>
      <c r="O636" s="57">
        <v>11.97</v>
      </c>
      <c r="P636" s="52"/>
      <c r="Q636" s="6">
        <v>0.75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1.0900000000000001</v>
      </c>
      <c r="AB636" s="6">
        <v>0.8175</v>
      </c>
      <c r="AC636" s="6">
        <v>0.75</v>
      </c>
      <c r="AD636" s="6">
        <v>-1.0899999999999999</v>
      </c>
      <c r="AE636" s="6">
        <v>1.0899999999999999</v>
      </c>
    </row>
    <row r="637" spans="2:31" ht="20" x14ac:dyDescent="0.25">
      <c r="B637" s="55"/>
      <c r="C637" s="55"/>
      <c r="D637" s="4" t="s">
        <v>1016</v>
      </c>
      <c r="E637" s="4" t="s">
        <v>914</v>
      </c>
      <c r="F637" s="4" t="s">
        <v>51</v>
      </c>
      <c r="G637" s="4" t="s">
        <v>35</v>
      </c>
      <c r="H637" s="54" t="s">
        <v>36</v>
      </c>
      <c r="I637" s="52"/>
      <c r="J637" s="57">
        <v>29.5</v>
      </c>
      <c r="K637" s="52"/>
      <c r="L637" s="6">
        <v>27.051500000000001</v>
      </c>
      <c r="M637" s="6">
        <v>0.91700000000000004</v>
      </c>
      <c r="N637" s="6">
        <v>28.41</v>
      </c>
      <c r="O637" s="57">
        <v>26.051970000000001</v>
      </c>
      <c r="P637" s="52"/>
      <c r="Q637" s="6">
        <v>0.91700000000000004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1.0900000000000001</v>
      </c>
      <c r="AB637" s="6">
        <v>0.99953000000000003</v>
      </c>
      <c r="AC637" s="6">
        <v>0.91699999999999993</v>
      </c>
      <c r="AD637" s="6">
        <v>-1.0899999999999999</v>
      </c>
      <c r="AE637" s="6">
        <v>1.0899999999999999</v>
      </c>
    </row>
    <row r="638" spans="2:31" ht="20" x14ac:dyDescent="0.25">
      <c r="B638" s="55"/>
      <c r="C638" s="55"/>
      <c r="D638" s="4" t="s">
        <v>1017</v>
      </c>
      <c r="E638" s="4" t="s">
        <v>1018</v>
      </c>
      <c r="F638" s="4" t="s">
        <v>51</v>
      </c>
      <c r="G638" s="4" t="s">
        <v>35</v>
      </c>
      <c r="H638" s="54" t="s">
        <v>48</v>
      </c>
      <c r="I638" s="52"/>
      <c r="J638" s="57">
        <v>20.49</v>
      </c>
      <c r="K638" s="52"/>
      <c r="L638" s="6">
        <v>15.3675</v>
      </c>
      <c r="M638" s="6">
        <v>0.75</v>
      </c>
      <c r="N638" s="6">
        <v>18.600000000000001</v>
      </c>
      <c r="O638" s="57">
        <v>13.95</v>
      </c>
      <c r="P638" s="52"/>
      <c r="Q638" s="6">
        <v>0.74999999999999989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1.89</v>
      </c>
      <c r="AB638" s="6">
        <v>1.4175</v>
      </c>
      <c r="AC638" s="6">
        <v>0.75</v>
      </c>
      <c r="AD638" s="6">
        <v>-1.889999999999997</v>
      </c>
      <c r="AE638" s="6">
        <v>1.889999999999997</v>
      </c>
    </row>
    <row r="639" spans="2:31" ht="20" x14ac:dyDescent="0.25">
      <c r="B639" s="55"/>
      <c r="C639" s="55"/>
      <c r="D639" s="4" t="s">
        <v>1019</v>
      </c>
      <c r="E639" s="4" t="s">
        <v>1020</v>
      </c>
      <c r="F639" s="4" t="s">
        <v>51</v>
      </c>
      <c r="G639" s="4" t="s">
        <v>35</v>
      </c>
      <c r="H639" s="54" t="s">
        <v>36</v>
      </c>
      <c r="I639" s="52"/>
      <c r="J639" s="57">
        <v>21.95</v>
      </c>
      <c r="K639" s="52"/>
      <c r="L639" s="6">
        <v>20.128150000000002</v>
      </c>
      <c r="M639" s="6">
        <v>0.91700000000000015</v>
      </c>
      <c r="N639" s="6">
        <v>21.13</v>
      </c>
      <c r="O639" s="57">
        <v>19.37621</v>
      </c>
      <c r="P639" s="52"/>
      <c r="Q639" s="6">
        <v>0.91700000000000004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0.82</v>
      </c>
      <c r="AB639" s="6">
        <v>0.75194000000000005</v>
      </c>
      <c r="AC639" s="6">
        <v>0.91700000000000015</v>
      </c>
      <c r="AD639" s="6">
        <v>-0.82000000000000028</v>
      </c>
      <c r="AE639" s="6">
        <v>0.82000000000000028</v>
      </c>
    </row>
    <row r="640" spans="2:31" ht="20" x14ac:dyDescent="0.25">
      <c r="B640" s="55"/>
      <c r="C640" s="55"/>
      <c r="D640" s="4" t="s">
        <v>1021</v>
      </c>
      <c r="E640" s="4" t="s">
        <v>1022</v>
      </c>
      <c r="F640" s="4" t="s">
        <v>51</v>
      </c>
      <c r="G640" s="4" t="s">
        <v>35</v>
      </c>
      <c r="H640" s="54" t="s">
        <v>48</v>
      </c>
      <c r="I640" s="52"/>
      <c r="J640" s="57">
        <v>15.8</v>
      </c>
      <c r="K640" s="52"/>
      <c r="L640" s="6">
        <v>11.85</v>
      </c>
      <c r="M640" s="6">
        <v>0.74999999999999989</v>
      </c>
      <c r="N640" s="6">
        <v>14.73</v>
      </c>
      <c r="O640" s="57">
        <v>11.047499999999999</v>
      </c>
      <c r="P640" s="52"/>
      <c r="Q640" s="6">
        <v>0.74999999999999989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1.07</v>
      </c>
      <c r="AB640" s="6">
        <v>0.80249999999999999</v>
      </c>
      <c r="AC640" s="6">
        <v>0.75</v>
      </c>
      <c r="AD640" s="6">
        <v>-1.0700000000000003</v>
      </c>
      <c r="AE640" s="6">
        <v>1.0700000000000003</v>
      </c>
    </row>
    <row r="641" spans="2:31" ht="20" x14ac:dyDescent="0.25">
      <c r="B641" s="55"/>
      <c r="C641" s="55"/>
      <c r="D641" s="4" t="s">
        <v>1023</v>
      </c>
      <c r="E641" s="4" t="s">
        <v>1024</v>
      </c>
      <c r="F641" s="4" t="s">
        <v>51</v>
      </c>
      <c r="G641" s="4" t="s">
        <v>35</v>
      </c>
      <c r="H641" s="54" t="s">
        <v>48</v>
      </c>
      <c r="I641" s="52"/>
      <c r="J641" s="57">
        <v>4.87</v>
      </c>
      <c r="K641" s="52"/>
      <c r="L641" s="6">
        <v>3.6524999999999999</v>
      </c>
      <c r="M641" s="6">
        <v>0.75</v>
      </c>
      <c r="N641" s="6">
        <v>4.38</v>
      </c>
      <c r="O641" s="57">
        <v>3.2850000000000001</v>
      </c>
      <c r="P641" s="52"/>
      <c r="Q641" s="6">
        <v>0.75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0.49</v>
      </c>
      <c r="AB641" s="6">
        <v>0.36749999999999999</v>
      </c>
      <c r="AC641" s="6">
        <v>0.75</v>
      </c>
      <c r="AD641" s="6">
        <v>-0.49000000000000021</v>
      </c>
      <c r="AE641" s="6">
        <v>0.49000000000000021</v>
      </c>
    </row>
    <row r="642" spans="2:31" ht="20" x14ac:dyDescent="0.25">
      <c r="B642" s="55"/>
      <c r="C642" s="55"/>
      <c r="D642" s="4" t="s">
        <v>1025</v>
      </c>
      <c r="E642" s="4" t="s">
        <v>1026</v>
      </c>
      <c r="F642" s="4" t="s">
        <v>51</v>
      </c>
      <c r="G642" s="4" t="s">
        <v>35</v>
      </c>
      <c r="H642" s="54" t="s">
        <v>48</v>
      </c>
      <c r="I642" s="52"/>
      <c r="J642" s="57">
        <v>4.1900000000000004</v>
      </c>
      <c r="K642" s="52"/>
      <c r="L642" s="6">
        <v>3.1425000000000001</v>
      </c>
      <c r="M642" s="6">
        <v>0.75</v>
      </c>
      <c r="N642" s="6">
        <v>3.8</v>
      </c>
      <c r="O642" s="57">
        <v>2.85</v>
      </c>
      <c r="P642" s="52"/>
      <c r="Q642" s="6">
        <v>0.75000000000000011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0.39</v>
      </c>
      <c r="AB642" s="6">
        <v>0.29249999999999998</v>
      </c>
      <c r="AC642" s="6">
        <v>0.74999999999999989</v>
      </c>
      <c r="AD642" s="6">
        <v>-0.39000000000000057</v>
      </c>
      <c r="AE642" s="6">
        <v>0.39000000000000057</v>
      </c>
    </row>
    <row r="643" spans="2:31" ht="20" x14ac:dyDescent="0.25">
      <c r="B643" s="55"/>
      <c r="C643" s="55"/>
      <c r="D643" s="4" t="s">
        <v>1027</v>
      </c>
      <c r="E643" s="4" t="s">
        <v>1028</v>
      </c>
      <c r="F643" s="4" t="s">
        <v>51</v>
      </c>
      <c r="G643" s="4" t="s">
        <v>35</v>
      </c>
      <c r="H643" s="54" t="s">
        <v>48</v>
      </c>
      <c r="I643" s="52"/>
      <c r="J643" s="57">
        <v>3.92</v>
      </c>
      <c r="K643" s="52"/>
      <c r="L643" s="6">
        <v>2.94</v>
      </c>
      <c r="M643" s="6">
        <v>0.75</v>
      </c>
      <c r="N643" s="6">
        <v>3.42</v>
      </c>
      <c r="O643" s="57">
        <v>2.5649999999999999</v>
      </c>
      <c r="P643" s="52"/>
      <c r="Q643" s="6">
        <v>0.75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0.5</v>
      </c>
      <c r="AB643" s="6">
        <v>0.375</v>
      </c>
      <c r="AC643" s="6">
        <v>0.75</v>
      </c>
      <c r="AD643" s="6">
        <v>-0.5</v>
      </c>
      <c r="AE643" s="6">
        <v>0.5</v>
      </c>
    </row>
    <row r="644" spans="2:31" ht="20" x14ac:dyDescent="0.25">
      <c r="B644" s="55"/>
      <c r="C644" s="55"/>
      <c r="D644" s="4" t="s">
        <v>1029</v>
      </c>
      <c r="E644" s="4" t="s">
        <v>1030</v>
      </c>
      <c r="F644" s="4" t="s">
        <v>51</v>
      </c>
      <c r="G644" s="4" t="s">
        <v>35</v>
      </c>
      <c r="H644" s="54" t="s">
        <v>48</v>
      </c>
      <c r="I644" s="52"/>
      <c r="J644" s="57">
        <v>4.76</v>
      </c>
      <c r="K644" s="52"/>
      <c r="L644" s="6">
        <v>3.57</v>
      </c>
      <c r="M644" s="6">
        <v>0.75</v>
      </c>
      <c r="N644" s="6">
        <v>4.41</v>
      </c>
      <c r="O644" s="57">
        <v>3.3075000000000001</v>
      </c>
      <c r="P644" s="52"/>
      <c r="Q644" s="6">
        <v>0.75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0.35</v>
      </c>
      <c r="AB644" s="6">
        <v>0.26250000000000001</v>
      </c>
      <c r="AC644" s="6">
        <v>0.75000000000000011</v>
      </c>
      <c r="AD644" s="6">
        <v>-0.34999999999999964</v>
      </c>
      <c r="AE644" s="6">
        <v>0.34999999999999964</v>
      </c>
    </row>
    <row r="645" spans="2:31" ht="20" x14ac:dyDescent="0.25">
      <c r="B645" s="55"/>
      <c r="C645" s="55"/>
      <c r="D645" s="4" t="s">
        <v>1031</v>
      </c>
      <c r="E645" s="4" t="s">
        <v>1032</v>
      </c>
      <c r="F645" s="4" t="s">
        <v>51</v>
      </c>
      <c r="G645" s="4" t="s">
        <v>35</v>
      </c>
      <c r="H645" s="54" t="s">
        <v>41</v>
      </c>
      <c r="I645" s="52"/>
      <c r="J645" s="57">
        <v>21.32</v>
      </c>
      <c r="K645" s="52"/>
      <c r="L645" s="6">
        <v>15.99</v>
      </c>
      <c r="M645" s="6">
        <v>0.75</v>
      </c>
      <c r="N645" s="6">
        <v>19.91</v>
      </c>
      <c r="O645" s="57">
        <v>14.932499999999999</v>
      </c>
      <c r="P645" s="52"/>
      <c r="Q645" s="6">
        <v>0.75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1.41</v>
      </c>
      <c r="AB645" s="6">
        <v>1.0575000000000001</v>
      </c>
      <c r="AC645" s="6">
        <v>0.75000000000000011</v>
      </c>
      <c r="AD645" s="6">
        <v>-1.41</v>
      </c>
      <c r="AE645" s="6">
        <v>1.41</v>
      </c>
    </row>
    <row r="646" spans="2:31" ht="20" x14ac:dyDescent="0.25">
      <c r="B646" s="55"/>
      <c r="C646" s="55"/>
      <c r="D646" s="4" t="s">
        <v>1033</v>
      </c>
      <c r="E646" s="4" t="s">
        <v>1034</v>
      </c>
      <c r="F646" s="4" t="s">
        <v>51</v>
      </c>
      <c r="G646" s="4" t="s">
        <v>35</v>
      </c>
      <c r="H646" s="54" t="s">
        <v>48</v>
      </c>
      <c r="I646" s="52"/>
      <c r="J646" s="57">
        <v>4.28</v>
      </c>
      <c r="K646" s="52"/>
      <c r="L646" s="6">
        <v>3.21</v>
      </c>
      <c r="M646" s="6">
        <v>0.75</v>
      </c>
      <c r="N646" s="6">
        <v>3.74</v>
      </c>
      <c r="O646" s="57">
        <v>2.8050000000000002</v>
      </c>
      <c r="P646" s="52"/>
      <c r="Q646" s="6">
        <v>0.75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0.54</v>
      </c>
      <c r="AB646" s="6">
        <v>0.40500000000000003</v>
      </c>
      <c r="AC646" s="6">
        <v>0.75</v>
      </c>
      <c r="AD646" s="6">
        <v>-0.54</v>
      </c>
      <c r="AE646" s="6">
        <v>0.54</v>
      </c>
    </row>
    <row r="647" spans="2:31" ht="20" x14ac:dyDescent="0.25">
      <c r="B647" s="55"/>
      <c r="C647" s="55"/>
      <c r="D647" s="4" t="s">
        <v>1035</v>
      </c>
      <c r="E647" s="4" t="s">
        <v>1036</v>
      </c>
      <c r="F647" s="4" t="s">
        <v>51</v>
      </c>
      <c r="G647" s="4" t="s">
        <v>35</v>
      </c>
      <c r="H647" s="54" t="s">
        <v>48</v>
      </c>
      <c r="I647" s="52"/>
      <c r="J647" s="57">
        <v>8.0399999999999991</v>
      </c>
      <c r="K647" s="52"/>
      <c r="L647" s="6">
        <v>6.03</v>
      </c>
      <c r="M647" s="6">
        <v>0.75000000000000011</v>
      </c>
      <c r="N647" s="6">
        <v>7.36</v>
      </c>
      <c r="O647" s="57">
        <v>5.52</v>
      </c>
      <c r="P647" s="52"/>
      <c r="Q647" s="6">
        <v>0.74999999999999989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0.68</v>
      </c>
      <c r="AB647" s="6">
        <v>0.51</v>
      </c>
      <c r="AC647" s="6">
        <v>0.75</v>
      </c>
      <c r="AD647" s="6">
        <v>-0.67999999999999883</v>
      </c>
      <c r="AE647" s="6">
        <v>0.67999999999999883</v>
      </c>
    </row>
    <row r="648" spans="2:31" ht="20" x14ac:dyDescent="0.25">
      <c r="B648" s="55"/>
      <c r="C648" s="55"/>
      <c r="D648" s="4" t="s">
        <v>1037</v>
      </c>
      <c r="E648" s="4" t="s">
        <v>1038</v>
      </c>
      <c r="F648" s="4" t="s">
        <v>51</v>
      </c>
      <c r="G648" s="4" t="s">
        <v>35</v>
      </c>
      <c r="H648" s="54" t="s">
        <v>48</v>
      </c>
      <c r="I648" s="52"/>
      <c r="J648" s="57">
        <v>17.41</v>
      </c>
      <c r="K648" s="52"/>
      <c r="L648" s="6">
        <v>13.057499999999999</v>
      </c>
      <c r="M648" s="6">
        <v>0.75</v>
      </c>
      <c r="N648" s="6">
        <v>16.3</v>
      </c>
      <c r="O648" s="57">
        <v>12.225</v>
      </c>
      <c r="P648" s="52"/>
      <c r="Q648" s="6">
        <v>0.75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1.1100000000000001</v>
      </c>
      <c r="AB648" s="6">
        <v>0.83250000000000002</v>
      </c>
      <c r="AC648" s="6">
        <v>0.75</v>
      </c>
      <c r="AD648" s="6">
        <v>-1.1099999999999994</v>
      </c>
      <c r="AE648" s="6">
        <v>1.1099999999999994</v>
      </c>
    </row>
    <row r="649" spans="2:31" ht="20" x14ac:dyDescent="0.25">
      <c r="B649" s="55"/>
      <c r="C649" s="55"/>
      <c r="D649" s="4" t="s">
        <v>1039</v>
      </c>
      <c r="E649" s="4" t="s">
        <v>1040</v>
      </c>
      <c r="F649" s="4" t="s">
        <v>51</v>
      </c>
      <c r="G649" s="4" t="s">
        <v>35</v>
      </c>
      <c r="H649" s="54" t="s">
        <v>48</v>
      </c>
      <c r="I649" s="52"/>
      <c r="J649" s="57">
        <v>3.46</v>
      </c>
      <c r="K649" s="52"/>
      <c r="L649" s="6">
        <v>2.5950000000000002</v>
      </c>
      <c r="M649" s="6">
        <v>0.75000000000000011</v>
      </c>
      <c r="N649" s="6">
        <v>3.09</v>
      </c>
      <c r="O649" s="57">
        <v>2.3174999999999999</v>
      </c>
      <c r="P649" s="52"/>
      <c r="Q649" s="6">
        <v>0.75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0.37</v>
      </c>
      <c r="AB649" s="6">
        <v>0.27750000000000002</v>
      </c>
      <c r="AC649" s="6">
        <v>0.75000000000000011</v>
      </c>
      <c r="AD649" s="6">
        <v>-0.37000000000000011</v>
      </c>
      <c r="AE649" s="6">
        <v>0.37000000000000011</v>
      </c>
    </row>
    <row r="650" spans="2:31" ht="20" x14ac:dyDescent="0.25">
      <c r="B650" s="55"/>
      <c r="C650" s="55"/>
      <c r="D650" s="4" t="s">
        <v>1041</v>
      </c>
      <c r="E650" s="4" t="s">
        <v>682</v>
      </c>
      <c r="F650" s="4" t="s">
        <v>51</v>
      </c>
      <c r="G650" s="4" t="s">
        <v>35</v>
      </c>
      <c r="H650" s="54" t="s">
        <v>36</v>
      </c>
      <c r="I650" s="52"/>
      <c r="J650" s="57">
        <v>9.16</v>
      </c>
      <c r="K650" s="52"/>
      <c r="L650" s="6">
        <v>8.3997200000000003</v>
      </c>
      <c r="M650" s="6">
        <v>0.91700000000000004</v>
      </c>
      <c r="N650" s="6">
        <v>8.67</v>
      </c>
      <c r="O650" s="57">
        <v>7.9503899999999996</v>
      </c>
      <c r="P650" s="52"/>
      <c r="Q650" s="6">
        <v>0.91699999999999993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0.49</v>
      </c>
      <c r="AB650" s="6">
        <v>0.44933000000000001</v>
      </c>
      <c r="AC650" s="6">
        <v>0.91700000000000004</v>
      </c>
      <c r="AD650" s="6">
        <v>-0.49000000000000021</v>
      </c>
      <c r="AE650" s="6">
        <v>0.49000000000000021</v>
      </c>
    </row>
    <row r="651" spans="2:31" x14ac:dyDescent="0.25">
      <c r="B651" s="55"/>
      <c r="C651" s="55"/>
      <c r="D651" s="54" t="s">
        <v>1042</v>
      </c>
      <c r="E651" s="4" t="s">
        <v>1043</v>
      </c>
      <c r="F651" s="4" t="s">
        <v>51</v>
      </c>
      <c r="G651" s="4" t="s">
        <v>35</v>
      </c>
      <c r="H651" s="54" t="s">
        <v>41</v>
      </c>
      <c r="I651" s="52"/>
      <c r="J651" s="57">
        <v>20.64</v>
      </c>
      <c r="K651" s="52"/>
      <c r="L651" s="6">
        <v>15.48</v>
      </c>
      <c r="M651" s="6">
        <v>0.75</v>
      </c>
      <c r="N651" s="6">
        <v>18.760000000000002</v>
      </c>
      <c r="O651" s="57">
        <v>14.07</v>
      </c>
      <c r="P651" s="52"/>
      <c r="Q651" s="6">
        <v>0.75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1.88</v>
      </c>
      <c r="AB651" s="6">
        <v>1.41</v>
      </c>
      <c r="AC651" s="6">
        <v>0.75</v>
      </c>
      <c r="AD651" s="6">
        <v>-1.879999999999999</v>
      </c>
      <c r="AE651" s="6">
        <v>1.879999999999999</v>
      </c>
    </row>
    <row r="652" spans="2:31" x14ac:dyDescent="0.25">
      <c r="B652" s="55"/>
      <c r="C652" s="55"/>
      <c r="D652" s="55"/>
      <c r="E652" s="4" t="s">
        <v>1044</v>
      </c>
      <c r="F652" s="4" t="s">
        <v>51</v>
      </c>
      <c r="G652" s="4" t="s">
        <v>35</v>
      </c>
      <c r="H652" s="54" t="s">
        <v>48</v>
      </c>
      <c r="I652" s="52"/>
      <c r="J652" s="57">
        <v>19.72</v>
      </c>
      <c r="K652" s="52"/>
      <c r="L652" s="6">
        <v>14.79</v>
      </c>
      <c r="M652" s="6">
        <v>0.75</v>
      </c>
      <c r="N652" s="6">
        <v>18.190000000000001</v>
      </c>
      <c r="O652" s="57">
        <v>13.6425</v>
      </c>
      <c r="P652" s="52"/>
      <c r="Q652" s="6">
        <v>0.75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1.53</v>
      </c>
      <c r="AB652" s="6">
        <v>1.1475</v>
      </c>
      <c r="AC652" s="6">
        <v>0.75</v>
      </c>
      <c r="AD652" s="6">
        <v>-1.5299999999999976</v>
      </c>
      <c r="AE652" s="6">
        <v>1.5299999999999976</v>
      </c>
    </row>
    <row r="653" spans="2:31" x14ac:dyDescent="0.25">
      <c r="B653" s="55"/>
      <c r="C653" s="55"/>
      <c r="D653" s="55"/>
      <c r="E653" s="4" t="s">
        <v>1045</v>
      </c>
      <c r="F653" s="4" t="s">
        <v>51</v>
      </c>
      <c r="G653" s="4" t="s">
        <v>35</v>
      </c>
      <c r="H653" s="54" t="s">
        <v>48</v>
      </c>
      <c r="I653" s="52"/>
      <c r="J653" s="57">
        <v>3.99</v>
      </c>
      <c r="K653" s="52"/>
      <c r="L653" s="6">
        <v>2.9925000000000002</v>
      </c>
      <c r="M653" s="6">
        <v>0.75</v>
      </c>
      <c r="N653" s="6">
        <v>3.54</v>
      </c>
      <c r="O653" s="57">
        <v>2.6549999999999998</v>
      </c>
      <c r="P653" s="52"/>
      <c r="Q653" s="6">
        <v>0.74999999999999989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0.45</v>
      </c>
      <c r="AB653" s="6">
        <v>0.33750000000000002</v>
      </c>
      <c r="AC653" s="6">
        <v>0.75</v>
      </c>
      <c r="AD653" s="6">
        <v>-0.45000000000000018</v>
      </c>
      <c r="AE653" s="6">
        <v>0.45000000000000018</v>
      </c>
    </row>
    <row r="654" spans="2:31" x14ac:dyDescent="0.25">
      <c r="B654" s="55"/>
      <c r="C654" s="55"/>
      <c r="D654" s="55"/>
      <c r="E654" s="4" t="s">
        <v>1046</v>
      </c>
      <c r="F654" s="4" t="s">
        <v>51</v>
      </c>
      <c r="G654" s="4" t="s">
        <v>35</v>
      </c>
      <c r="H654" s="54" t="s">
        <v>48</v>
      </c>
      <c r="I654" s="52"/>
      <c r="J654" s="57">
        <v>5.19</v>
      </c>
      <c r="K654" s="52"/>
      <c r="L654" s="6">
        <v>3.8925000000000001</v>
      </c>
      <c r="M654" s="6">
        <v>0.75</v>
      </c>
      <c r="N654" s="6">
        <v>4.96</v>
      </c>
      <c r="O654" s="57">
        <v>3.72</v>
      </c>
      <c r="P654" s="52"/>
      <c r="Q654" s="6">
        <v>0.75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0.23</v>
      </c>
      <c r="AB654" s="6">
        <v>0.17249999999999999</v>
      </c>
      <c r="AC654" s="6">
        <v>0.74999999999999989</v>
      </c>
      <c r="AD654" s="6">
        <v>-0.23000000000000043</v>
      </c>
      <c r="AE654" s="6">
        <v>0.23000000000000043</v>
      </c>
    </row>
    <row r="655" spans="2:31" x14ac:dyDescent="0.25">
      <c r="B655" s="55"/>
      <c r="C655" s="55"/>
      <c r="D655" s="55"/>
      <c r="E655" s="4" t="s">
        <v>1047</v>
      </c>
      <c r="F655" s="4" t="s">
        <v>51</v>
      </c>
      <c r="G655" s="4" t="s">
        <v>35</v>
      </c>
      <c r="H655" s="54" t="s">
        <v>41</v>
      </c>
      <c r="I655" s="52"/>
      <c r="J655" s="57">
        <v>4.07</v>
      </c>
      <c r="K655" s="52"/>
      <c r="L655" s="6">
        <v>3.0525000000000002</v>
      </c>
      <c r="M655" s="6">
        <v>0.75</v>
      </c>
      <c r="N655" s="6">
        <v>3.55</v>
      </c>
      <c r="O655" s="57">
        <v>2.6625000000000001</v>
      </c>
      <c r="P655" s="52"/>
      <c r="Q655" s="6">
        <v>0.75000000000000011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0.52</v>
      </c>
      <c r="AB655" s="6">
        <v>0.39</v>
      </c>
      <c r="AC655" s="6">
        <v>0.75</v>
      </c>
      <c r="AD655" s="6">
        <v>-0.52000000000000046</v>
      </c>
      <c r="AE655" s="6">
        <v>0.52000000000000046</v>
      </c>
    </row>
    <row r="656" spans="2:31" x14ac:dyDescent="0.25">
      <c r="B656" s="55"/>
      <c r="C656" s="55"/>
      <c r="D656" s="55"/>
      <c r="E656" s="4" t="s">
        <v>1048</v>
      </c>
      <c r="F656" s="4" t="s">
        <v>51</v>
      </c>
      <c r="G656" s="4" t="s">
        <v>35</v>
      </c>
      <c r="H656" s="54" t="s">
        <v>41</v>
      </c>
      <c r="I656" s="52"/>
      <c r="J656" s="57">
        <v>4.79</v>
      </c>
      <c r="K656" s="52"/>
      <c r="L656" s="6">
        <v>3.5924999999999998</v>
      </c>
      <c r="M656" s="6">
        <v>0.75</v>
      </c>
      <c r="N656" s="6">
        <v>4.33</v>
      </c>
      <c r="O656" s="57">
        <v>3.2475000000000001</v>
      </c>
      <c r="P656" s="52"/>
      <c r="Q656" s="6">
        <v>0.75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0.46</v>
      </c>
      <c r="AB656" s="6">
        <v>0.34499999999999997</v>
      </c>
      <c r="AC656" s="6">
        <v>0.74999999999999989</v>
      </c>
      <c r="AD656" s="6">
        <v>-0.46</v>
      </c>
      <c r="AE656" s="6">
        <v>0.46</v>
      </c>
    </row>
    <row r="657" spans="2:31" x14ac:dyDescent="0.25">
      <c r="B657" s="55"/>
      <c r="C657" s="55"/>
      <c r="D657" s="56"/>
      <c r="E657" s="4" t="s">
        <v>1049</v>
      </c>
      <c r="F657" s="4" t="s">
        <v>51</v>
      </c>
      <c r="G657" s="4" t="s">
        <v>35</v>
      </c>
      <c r="H657" s="54" t="s">
        <v>41</v>
      </c>
      <c r="I657" s="52"/>
      <c r="J657" s="57">
        <v>3.73</v>
      </c>
      <c r="K657" s="52"/>
      <c r="L657" s="6">
        <v>2.7974999999999999</v>
      </c>
      <c r="M657" s="6">
        <v>0.75</v>
      </c>
      <c r="N657" s="6">
        <v>3.24</v>
      </c>
      <c r="O657" s="57">
        <v>2.4300000000000002</v>
      </c>
      <c r="P657" s="52"/>
      <c r="Q657" s="6">
        <v>0.75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0.49</v>
      </c>
      <c r="AB657" s="6">
        <v>0.36749999999999999</v>
      </c>
      <c r="AC657" s="6">
        <v>0.75</v>
      </c>
      <c r="AD657" s="6">
        <v>-0.48999999999999977</v>
      </c>
      <c r="AE657" s="6">
        <v>0.48999999999999977</v>
      </c>
    </row>
    <row r="658" spans="2:31" ht="20" x14ac:dyDescent="0.25">
      <c r="B658" s="55"/>
      <c r="C658" s="55"/>
      <c r="D658" s="4" t="s">
        <v>1050</v>
      </c>
      <c r="E658" s="4" t="s">
        <v>1051</v>
      </c>
      <c r="F658" s="4" t="s">
        <v>51</v>
      </c>
      <c r="G658" s="4" t="s">
        <v>35</v>
      </c>
      <c r="H658" s="54" t="s">
        <v>36</v>
      </c>
      <c r="I658" s="52"/>
      <c r="J658" s="57">
        <v>29.28</v>
      </c>
      <c r="K658" s="52"/>
      <c r="L658" s="6">
        <v>26.84976</v>
      </c>
      <c r="M658" s="6">
        <v>0.91699999999999993</v>
      </c>
      <c r="N658" s="6">
        <v>28.48</v>
      </c>
      <c r="O658" s="57">
        <v>26.116160000000001</v>
      </c>
      <c r="P658" s="52"/>
      <c r="Q658" s="6">
        <v>0.91700000000000004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0.8</v>
      </c>
      <c r="AB658" s="6">
        <v>0.73360000000000003</v>
      </c>
      <c r="AC658" s="6">
        <v>0.91700000000000004</v>
      </c>
      <c r="AD658" s="6">
        <v>-0.80000000000000071</v>
      </c>
      <c r="AE658" s="6">
        <v>0.80000000000000071</v>
      </c>
    </row>
    <row r="659" spans="2:31" x14ac:dyDescent="0.25">
      <c r="B659" s="55"/>
      <c r="C659" s="55"/>
      <c r="D659" s="54" t="s">
        <v>1052</v>
      </c>
      <c r="E659" s="4" t="s">
        <v>293</v>
      </c>
      <c r="F659" s="4" t="s">
        <v>51</v>
      </c>
      <c r="G659" s="4" t="s">
        <v>35</v>
      </c>
      <c r="H659" s="54" t="s">
        <v>36</v>
      </c>
      <c r="I659" s="52"/>
      <c r="J659" s="57">
        <v>12.64</v>
      </c>
      <c r="K659" s="52"/>
      <c r="L659" s="6">
        <v>11.59088</v>
      </c>
      <c r="M659" s="6">
        <v>0.91700000000000004</v>
      </c>
      <c r="N659" s="6">
        <v>12.52</v>
      </c>
      <c r="O659" s="57">
        <v>11.480840000000001</v>
      </c>
      <c r="P659" s="52"/>
      <c r="Q659" s="6">
        <v>0.91700000000000004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0.12</v>
      </c>
      <c r="AB659" s="6">
        <v>0.11004</v>
      </c>
      <c r="AC659" s="6">
        <v>0.91700000000000004</v>
      </c>
      <c r="AD659" s="6">
        <v>-0.12000000000000099</v>
      </c>
      <c r="AE659" s="6">
        <v>0.12000000000000099</v>
      </c>
    </row>
    <row r="660" spans="2:31" x14ac:dyDescent="0.25">
      <c r="B660" s="55"/>
      <c r="C660" s="55"/>
      <c r="D660" s="55"/>
      <c r="E660" s="4" t="s">
        <v>54</v>
      </c>
      <c r="F660" s="4" t="s">
        <v>51</v>
      </c>
      <c r="G660" s="4" t="s">
        <v>35</v>
      </c>
      <c r="H660" s="54" t="s">
        <v>48</v>
      </c>
      <c r="I660" s="52"/>
      <c r="J660" s="57">
        <v>14.41</v>
      </c>
      <c r="K660" s="52"/>
      <c r="L660" s="6">
        <v>10.807499999999999</v>
      </c>
      <c r="M660" s="6">
        <v>0.74999999999999989</v>
      </c>
      <c r="N660" s="6">
        <v>14.41</v>
      </c>
      <c r="O660" s="57">
        <v>10.807499999999999</v>
      </c>
      <c r="P660" s="52"/>
      <c r="Q660" s="6">
        <v>0.74999999999999989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</row>
    <row r="661" spans="2:31" x14ac:dyDescent="0.25">
      <c r="B661" s="55"/>
      <c r="C661" s="55"/>
      <c r="D661" s="56"/>
      <c r="E661" s="4" t="s">
        <v>921</v>
      </c>
      <c r="F661" s="4" t="s">
        <v>51</v>
      </c>
      <c r="G661" s="4" t="s">
        <v>35</v>
      </c>
      <c r="H661" s="54" t="s">
        <v>36</v>
      </c>
      <c r="I661" s="52"/>
      <c r="J661" s="57">
        <v>29.01</v>
      </c>
      <c r="K661" s="52"/>
      <c r="L661" s="6">
        <v>26.602170000000001</v>
      </c>
      <c r="M661" s="6">
        <v>0.91700000000000004</v>
      </c>
      <c r="N661" s="6">
        <v>28.37</v>
      </c>
      <c r="O661" s="57">
        <v>26.01529</v>
      </c>
      <c r="P661" s="52"/>
      <c r="Q661" s="6">
        <v>0.91699999999999993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0.64</v>
      </c>
      <c r="AB661" s="6">
        <v>0.58687999999999996</v>
      </c>
      <c r="AC661" s="6">
        <v>0.91699999999999993</v>
      </c>
      <c r="AD661" s="6">
        <v>-0.64000000000000057</v>
      </c>
      <c r="AE661" s="6">
        <v>0.64000000000000057</v>
      </c>
    </row>
    <row r="662" spans="2:31" x14ac:dyDescent="0.25">
      <c r="B662" s="55"/>
      <c r="C662" s="55"/>
      <c r="D662" s="54" t="s">
        <v>1053</v>
      </c>
      <c r="E662" s="4" t="s">
        <v>991</v>
      </c>
      <c r="F662" s="4" t="s">
        <v>51</v>
      </c>
      <c r="G662" s="4" t="s">
        <v>35</v>
      </c>
      <c r="H662" s="54" t="s">
        <v>48</v>
      </c>
      <c r="I662" s="52"/>
      <c r="J662" s="57">
        <v>16.82</v>
      </c>
      <c r="K662" s="52"/>
      <c r="L662" s="6">
        <v>12.615</v>
      </c>
      <c r="M662" s="6">
        <v>0.75</v>
      </c>
      <c r="N662" s="6">
        <v>16.8</v>
      </c>
      <c r="O662" s="57">
        <v>12.6</v>
      </c>
      <c r="P662" s="52"/>
      <c r="Q662" s="6">
        <v>0.75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0.02</v>
      </c>
      <c r="AB662" s="6">
        <v>1.4999999999999999E-2</v>
      </c>
      <c r="AC662" s="6">
        <v>0.75</v>
      </c>
      <c r="AD662" s="6">
        <v>-1.9999999999999574E-2</v>
      </c>
      <c r="AE662" s="6">
        <v>1.9999999999999574E-2</v>
      </c>
    </row>
    <row r="663" spans="2:31" x14ac:dyDescent="0.25">
      <c r="B663" s="55"/>
      <c r="C663" s="55"/>
      <c r="D663" s="55"/>
      <c r="E663" s="4" t="s">
        <v>1054</v>
      </c>
      <c r="F663" s="4" t="s">
        <v>51</v>
      </c>
      <c r="G663" s="4" t="s">
        <v>35</v>
      </c>
      <c r="H663" s="54" t="s">
        <v>48</v>
      </c>
      <c r="I663" s="52"/>
      <c r="J663" s="57">
        <v>4.63</v>
      </c>
      <c r="K663" s="52"/>
      <c r="L663" s="6">
        <v>3.4725000000000001</v>
      </c>
      <c r="M663" s="6">
        <v>0.75</v>
      </c>
      <c r="N663" s="6">
        <v>4.4800000000000004</v>
      </c>
      <c r="O663" s="57">
        <v>3.36</v>
      </c>
      <c r="P663" s="52"/>
      <c r="Q663" s="6">
        <v>0.74999999999999989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0.15</v>
      </c>
      <c r="AB663" s="6">
        <v>0.1125</v>
      </c>
      <c r="AC663" s="6">
        <v>0.75</v>
      </c>
      <c r="AD663" s="6">
        <v>-0.14999999999999947</v>
      </c>
      <c r="AE663" s="6">
        <v>0.14999999999999947</v>
      </c>
    </row>
    <row r="664" spans="2:31" x14ac:dyDescent="0.25">
      <c r="B664" s="55"/>
      <c r="C664" s="55"/>
      <c r="D664" s="55"/>
      <c r="E664" s="4" t="s">
        <v>1055</v>
      </c>
      <c r="F664" s="4" t="s">
        <v>51</v>
      </c>
      <c r="G664" s="4" t="s">
        <v>35</v>
      </c>
      <c r="H664" s="54" t="s">
        <v>48</v>
      </c>
      <c r="I664" s="52"/>
      <c r="J664" s="57">
        <v>6.25</v>
      </c>
      <c r="K664" s="52"/>
      <c r="L664" s="6">
        <v>4.6875</v>
      </c>
      <c r="M664" s="6">
        <v>0.75</v>
      </c>
      <c r="N664" s="6">
        <v>5.59</v>
      </c>
      <c r="O664" s="57">
        <v>4.1924999999999999</v>
      </c>
      <c r="P664" s="52"/>
      <c r="Q664" s="6">
        <v>0.75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0.66</v>
      </c>
      <c r="AB664" s="6">
        <v>0.495</v>
      </c>
      <c r="AC664" s="6">
        <v>0.75</v>
      </c>
      <c r="AD664" s="6">
        <v>-0.66000000000000014</v>
      </c>
      <c r="AE664" s="6">
        <v>0.66000000000000014</v>
      </c>
    </row>
    <row r="665" spans="2:31" x14ac:dyDescent="0.25">
      <c r="B665" s="55"/>
      <c r="C665" s="55"/>
      <c r="D665" s="55"/>
      <c r="E665" s="4" t="s">
        <v>1056</v>
      </c>
      <c r="F665" s="4" t="s">
        <v>51</v>
      </c>
      <c r="G665" s="4" t="s">
        <v>35</v>
      </c>
      <c r="H665" s="54" t="s">
        <v>48</v>
      </c>
      <c r="I665" s="52"/>
      <c r="J665" s="57">
        <v>7.06</v>
      </c>
      <c r="K665" s="52"/>
      <c r="L665" s="6">
        <v>5.2949999999999999</v>
      </c>
      <c r="M665" s="6">
        <v>0.75</v>
      </c>
      <c r="N665" s="6">
        <v>6.77</v>
      </c>
      <c r="O665" s="57">
        <v>5.0774999999999997</v>
      </c>
      <c r="P665" s="52"/>
      <c r="Q665" s="6">
        <v>0.75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0.28999999999999998</v>
      </c>
      <c r="AB665" s="6">
        <v>0.2175</v>
      </c>
      <c r="AC665" s="6">
        <v>0.75</v>
      </c>
      <c r="AD665" s="6">
        <v>-0.29000000000000004</v>
      </c>
      <c r="AE665" s="6">
        <v>0.29000000000000004</v>
      </c>
    </row>
    <row r="666" spans="2:31" x14ac:dyDescent="0.25">
      <c r="B666" s="55"/>
      <c r="C666" s="55"/>
      <c r="D666" s="55"/>
      <c r="E666" s="4" t="s">
        <v>1057</v>
      </c>
      <c r="F666" s="4" t="s">
        <v>51</v>
      </c>
      <c r="G666" s="4" t="s">
        <v>35</v>
      </c>
      <c r="H666" s="54" t="s">
        <v>41</v>
      </c>
      <c r="I666" s="52"/>
      <c r="J666" s="57">
        <v>3.89</v>
      </c>
      <c r="K666" s="52"/>
      <c r="L666" s="6">
        <v>2.9175</v>
      </c>
      <c r="M666" s="6">
        <v>0.75</v>
      </c>
      <c r="N666" s="6">
        <v>3.39</v>
      </c>
      <c r="O666" s="57">
        <v>2.5425</v>
      </c>
      <c r="P666" s="52"/>
      <c r="Q666" s="6">
        <v>0.75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0.5</v>
      </c>
      <c r="AB666" s="6">
        <v>0.375</v>
      </c>
      <c r="AC666" s="6">
        <v>0.75</v>
      </c>
      <c r="AD666" s="6">
        <v>-0.5</v>
      </c>
      <c r="AE666" s="6">
        <v>0.5</v>
      </c>
    </row>
    <row r="667" spans="2:31" x14ac:dyDescent="0.25">
      <c r="B667" s="55"/>
      <c r="C667" s="55"/>
      <c r="D667" s="56"/>
      <c r="E667" s="4" t="s">
        <v>1058</v>
      </c>
      <c r="F667" s="4" t="s">
        <v>51</v>
      </c>
      <c r="G667" s="4" t="s">
        <v>35</v>
      </c>
      <c r="H667" s="54" t="s">
        <v>41</v>
      </c>
      <c r="I667" s="52"/>
      <c r="J667" s="57">
        <v>3.67</v>
      </c>
      <c r="K667" s="52"/>
      <c r="L667" s="6">
        <v>2.7524999999999999</v>
      </c>
      <c r="M667" s="6">
        <v>0.75</v>
      </c>
      <c r="N667" s="6">
        <v>3.15</v>
      </c>
      <c r="O667" s="57">
        <v>2.3624999999999998</v>
      </c>
      <c r="P667" s="52"/>
      <c r="Q667" s="6">
        <v>0.75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0.52</v>
      </c>
      <c r="AB667" s="6">
        <v>0.39</v>
      </c>
      <c r="AC667" s="6">
        <v>0.75</v>
      </c>
      <c r="AD667" s="6">
        <v>-0.52</v>
      </c>
      <c r="AE667" s="6">
        <v>0.52</v>
      </c>
    </row>
    <row r="668" spans="2:31" ht="20" x14ac:dyDescent="0.25">
      <c r="B668" s="55"/>
      <c r="C668" s="55"/>
      <c r="D668" s="4" t="s">
        <v>1059</v>
      </c>
      <c r="E668" s="4" t="s">
        <v>1060</v>
      </c>
      <c r="F668" s="4" t="s">
        <v>51</v>
      </c>
      <c r="G668" s="4" t="s">
        <v>35</v>
      </c>
      <c r="H668" s="54" t="s">
        <v>41</v>
      </c>
      <c r="I668" s="52"/>
      <c r="J668" s="57">
        <v>9.9</v>
      </c>
      <c r="K668" s="52"/>
      <c r="L668" s="6">
        <v>7.4249999999999998</v>
      </c>
      <c r="M668" s="6">
        <v>0.75</v>
      </c>
      <c r="N668" s="6">
        <v>9.2799999999999994</v>
      </c>
      <c r="O668" s="57">
        <v>6.96</v>
      </c>
      <c r="P668" s="52"/>
      <c r="Q668" s="6">
        <v>0.75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0.62</v>
      </c>
      <c r="AB668" s="6">
        <v>0.46500000000000002</v>
      </c>
      <c r="AC668" s="6">
        <v>0.75</v>
      </c>
      <c r="AD668" s="6">
        <v>-0.62000000000000099</v>
      </c>
      <c r="AE668" s="6">
        <v>0.62000000000000099</v>
      </c>
    </row>
    <row r="669" spans="2:31" ht="20" x14ac:dyDescent="0.25">
      <c r="B669" s="55"/>
      <c r="C669" s="55"/>
      <c r="D669" s="4" t="s">
        <v>1061</v>
      </c>
      <c r="E669" s="4" t="s">
        <v>1062</v>
      </c>
      <c r="F669" s="4" t="s">
        <v>51</v>
      </c>
      <c r="G669" s="4" t="s">
        <v>35</v>
      </c>
      <c r="H669" s="54" t="s">
        <v>36</v>
      </c>
      <c r="I669" s="52"/>
      <c r="J669" s="57">
        <v>119.04</v>
      </c>
      <c r="K669" s="52"/>
      <c r="L669" s="6">
        <v>109.15967999999999</v>
      </c>
      <c r="M669" s="6">
        <v>0.91699999999999993</v>
      </c>
      <c r="N669" s="6">
        <v>115.12</v>
      </c>
      <c r="O669" s="57">
        <v>105.56504</v>
      </c>
      <c r="P669" s="52"/>
      <c r="Q669" s="6">
        <v>0.91699999999999993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3.92</v>
      </c>
      <c r="AB669" s="6">
        <v>3.5946400000000001</v>
      </c>
      <c r="AC669" s="6">
        <v>0.91700000000000004</v>
      </c>
      <c r="AD669" s="6">
        <v>-3.9200000000000017</v>
      </c>
      <c r="AE669" s="6">
        <v>3.9200000000000017</v>
      </c>
    </row>
    <row r="670" spans="2:31" ht="20" x14ac:dyDescent="0.25">
      <c r="B670" s="55"/>
      <c r="C670" s="55"/>
      <c r="D670" s="4" t="s">
        <v>1063</v>
      </c>
      <c r="E670" s="4" t="s">
        <v>1064</v>
      </c>
      <c r="F670" s="4" t="s">
        <v>51</v>
      </c>
      <c r="G670" s="4" t="s">
        <v>35</v>
      </c>
      <c r="H670" s="54" t="s">
        <v>48</v>
      </c>
      <c r="I670" s="52"/>
      <c r="J670" s="57">
        <v>20.18</v>
      </c>
      <c r="K670" s="52"/>
      <c r="L670" s="6">
        <v>15.135</v>
      </c>
      <c r="M670" s="6">
        <v>0.75</v>
      </c>
      <c r="N670" s="6">
        <v>15.49</v>
      </c>
      <c r="O670" s="57">
        <v>11.6175</v>
      </c>
      <c r="P670" s="52"/>
      <c r="Q670" s="6">
        <v>0.75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4.6900000000000004</v>
      </c>
      <c r="AB670" s="6">
        <v>3.5175000000000001</v>
      </c>
      <c r="AC670" s="6">
        <v>0.75</v>
      </c>
      <c r="AD670" s="6">
        <v>-4.6899999999999995</v>
      </c>
      <c r="AE670" s="6">
        <v>4.6899999999999995</v>
      </c>
    </row>
    <row r="671" spans="2:31" x14ac:dyDescent="0.25">
      <c r="B671" s="55"/>
      <c r="C671" s="55"/>
      <c r="D671" s="54" t="s">
        <v>1065</v>
      </c>
      <c r="E671" s="4" t="s">
        <v>1066</v>
      </c>
      <c r="F671" s="4" t="s">
        <v>51</v>
      </c>
      <c r="G671" s="4" t="s">
        <v>35</v>
      </c>
      <c r="H671" s="54" t="s">
        <v>41</v>
      </c>
      <c r="I671" s="52"/>
      <c r="J671" s="57">
        <v>28.39</v>
      </c>
      <c r="K671" s="52"/>
      <c r="L671" s="6">
        <v>21.2925</v>
      </c>
      <c r="M671" s="6">
        <v>0.75</v>
      </c>
      <c r="N671" s="6">
        <v>26.59</v>
      </c>
      <c r="O671" s="57">
        <v>19.942499999999999</v>
      </c>
      <c r="P671" s="52"/>
      <c r="Q671" s="6">
        <v>0.75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1.8</v>
      </c>
      <c r="AB671" s="6">
        <v>1.35</v>
      </c>
      <c r="AC671" s="6">
        <v>0.75</v>
      </c>
      <c r="AD671" s="6">
        <v>-1.8000000000000007</v>
      </c>
      <c r="AE671" s="6">
        <v>1.8000000000000007</v>
      </c>
    </row>
    <row r="672" spans="2:31" x14ac:dyDescent="0.25">
      <c r="B672" s="55"/>
      <c r="C672" s="55"/>
      <c r="D672" s="56"/>
      <c r="E672" s="4" t="s">
        <v>1067</v>
      </c>
      <c r="F672" s="4" t="s">
        <v>51</v>
      </c>
      <c r="G672" s="4" t="s">
        <v>35</v>
      </c>
      <c r="H672" s="54" t="s">
        <v>41</v>
      </c>
      <c r="I672" s="52"/>
      <c r="J672" s="57">
        <v>24.11</v>
      </c>
      <c r="K672" s="52"/>
      <c r="L672" s="6">
        <v>18.0825</v>
      </c>
      <c r="M672" s="6">
        <v>0.75</v>
      </c>
      <c r="N672" s="6">
        <v>21.75</v>
      </c>
      <c r="O672" s="57">
        <v>16.3125</v>
      </c>
      <c r="P672" s="52"/>
      <c r="Q672" s="6">
        <v>0.75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2.36</v>
      </c>
      <c r="AB672" s="6">
        <v>1.77</v>
      </c>
      <c r="AC672" s="6">
        <v>0.75</v>
      </c>
      <c r="AD672" s="6">
        <v>-2.3599999999999994</v>
      </c>
      <c r="AE672" s="6">
        <v>2.3599999999999994</v>
      </c>
    </row>
    <row r="673" spans="2:31" ht="20" x14ac:dyDescent="0.25">
      <c r="B673" s="55"/>
      <c r="C673" s="55"/>
      <c r="D673" s="4" t="s">
        <v>1068</v>
      </c>
      <c r="E673" s="4" t="s">
        <v>1069</v>
      </c>
      <c r="F673" s="4" t="s">
        <v>51</v>
      </c>
      <c r="G673" s="4" t="s">
        <v>35</v>
      </c>
      <c r="H673" s="54" t="s">
        <v>41</v>
      </c>
      <c r="I673" s="52"/>
      <c r="J673" s="57">
        <v>21.67</v>
      </c>
      <c r="K673" s="52"/>
      <c r="L673" s="6">
        <v>16.252500000000001</v>
      </c>
      <c r="M673" s="6">
        <v>0.75</v>
      </c>
      <c r="N673" s="6">
        <v>19.399999999999999</v>
      </c>
      <c r="O673" s="57">
        <v>14.55</v>
      </c>
      <c r="P673" s="52"/>
      <c r="Q673" s="6">
        <v>0.75000000000000011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2.27</v>
      </c>
      <c r="AB673" s="6">
        <v>1.7024999999999999</v>
      </c>
      <c r="AC673" s="6">
        <v>0.75</v>
      </c>
      <c r="AD673" s="6">
        <v>-2.2700000000000031</v>
      </c>
      <c r="AE673" s="6">
        <v>2.2700000000000031</v>
      </c>
    </row>
    <row r="674" spans="2:31" ht="20" x14ac:dyDescent="0.25">
      <c r="B674" s="55"/>
      <c r="C674" s="55"/>
      <c r="D674" s="4" t="s">
        <v>1070</v>
      </c>
      <c r="E674" s="4" t="s">
        <v>1071</v>
      </c>
      <c r="F674" s="4" t="s">
        <v>51</v>
      </c>
      <c r="G674" s="4" t="s">
        <v>35</v>
      </c>
      <c r="H674" s="54" t="s">
        <v>36</v>
      </c>
      <c r="I674" s="52"/>
      <c r="J674" s="57">
        <v>99.08</v>
      </c>
      <c r="K674" s="52"/>
      <c r="L674" s="6">
        <v>90.856359999999995</v>
      </c>
      <c r="M674" s="6">
        <v>0.91699999999999993</v>
      </c>
      <c r="N674" s="6">
        <v>90.69</v>
      </c>
      <c r="O674" s="57">
        <v>83.162729999999996</v>
      </c>
      <c r="P674" s="52"/>
      <c r="Q674" s="6">
        <v>0.91700000000000004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8.39</v>
      </c>
      <c r="AB674" s="6">
        <v>7.6936299999999997</v>
      </c>
      <c r="AC674" s="6">
        <v>0.91699999999999993</v>
      </c>
      <c r="AD674" s="6">
        <v>-8.39</v>
      </c>
      <c r="AE674" s="6">
        <v>8.39</v>
      </c>
    </row>
    <row r="675" spans="2:31" ht="20" x14ac:dyDescent="0.25">
      <c r="B675" s="55"/>
      <c r="C675" s="55"/>
      <c r="D675" s="4" t="s">
        <v>1072</v>
      </c>
      <c r="E675" s="4" t="s">
        <v>1073</v>
      </c>
      <c r="F675" s="4" t="s">
        <v>51</v>
      </c>
      <c r="G675" s="4" t="s">
        <v>35</v>
      </c>
      <c r="H675" s="54" t="s">
        <v>41</v>
      </c>
      <c r="I675" s="52"/>
      <c r="J675" s="57">
        <v>2.73</v>
      </c>
      <c r="K675" s="52"/>
      <c r="L675" s="6">
        <v>2.0474999999999999</v>
      </c>
      <c r="M675" s="6">
        <v>0.75</v>
      </c>
      <c r="N675" s="6">
        <v>2.48</v>
      </c>
      <c r="O675" s="57">
        <v>1.86</v>
      </c>
      <c r="P675" s="52"/>
      <c r="Q675" s="6">
        <v>0.75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0.25</v>
      </c>
      <c r="AB675" s="6">
        <v>0.1875</v>
      </c>
      <c r="AC675" s="6">
        <v>0.75</v>
      </c>
      <c r="AD675" s="6">
        <v>-0.25</v>
      </c>
      <c r="AE675" s="6">
        <v>0.25</v>
      </c>
    </row>
    <row r="676" spans="2:31" ht="20" x14ac:dyDescent="0.25">
      <c r="B676" s="55"/>
      <c r="C676" s="55"/>
      <c r="D676" s="4" t="s">
        <v>1074</v>
      </c>
      <c r="E676" s="4" t="s">
        <v>1075</v>
      </c>
      <c r="F676" s="4" t="s">
        <v>51</v>
      </c>
      <c r="G676" s="4" t="s">
        <v>35</v>
      </c>
      <c r="H676" s="54" t="s">
        <v>36</v>
      </c>
      <c r="I676" s="52"/>
      <c r="J676" s="57">
        <v>41.95</v>
      </c>
      <c r="K676" s="52"/>
      <c r="L676" s="6">
        <v>38.468150000000001</v>
      </c>
      <c r="M676" s="6">
        <v>0.91699999999999993</v>
      </c>
      <c r="N676" s="6">
        <v>37.82</v>
      </c>
      <c r="O676" s="57">
        <v>34.68094</v>
      </c>
      <c r="P676" s="52"/>
      <c r="Q676" s="6">
        <v>0.91700000000000004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4.13</v>
      </c>
      <c r="AB676" s="6">
        <v>3.78721</v>
      </c>
      <c r="AC676" s="6">
        <v>0.91700000000000004</v>
      </c>
      <c r="AD676" s="6">
        <v>-4.1300000000000026</v>
      </c>
      <c r="AE676" s="6">
        <v>4.1300000000000026</v>
      </c>
    </row>
    <row r="677" spans="2:31" ht="20" x14ac:dyDescent="0.25">
      <c r="B677" s="55"/>
      <c r="C677" s="55"/>
      <c r="D677" s="4" t="s">
        <v>1076</v>
      </c>
      <c r="E677" s="4" t="s">
        <v>1077</v>
      </c>
      <c r="F677" s="4" t="s">
        <v>51</v>
      </c>
      <c r="G677" s="4" t="s">
        <v>35</v>
      </c>
      <c r="H677" s="54" t="s">
        <v>41</v>
      </c>
      <c r="I677" s="52"/>
      <c r="J677" s="57">
        <v>4.62</v>
      </c>
      <c r="K677" s="52"/>
      <c r="L677" s="6">
        <v>3.4649999999999999</v>
      </c>
      <c r="M677" s="6">
        <v>0.75</v>
      </c>
      <c r="N677" s="6">
        <v>4.0199999999999996</v>
      </c>
      <c r="O677" s="57">
        <v>3.0150000000000001</v>
      </c>
      <c r="P677" s="52"/>
      <c r="Q677" s="6">
        <v>0.75000000000000011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0.6</v>
      </c>
      <c r="AB677" s="6">
        <v>0.45</v>
      </c>
      <c r="AC677" s="6">
        <v>0.75</v>
      </c>
      <c r="AD677" s="6">
        <v>-0.60000000000000053</v>
      </c>
      <c r="AE677" s="6">
        <v>0.60000000000000053</v>
      </c>
    </row>
    <row r="678" spans="2:31" ht="20" x14ac:dyDescent="0.25">
      <c r="B678" s="55"/>
      <c r="C678" s="55"/>
      <c r="D678" s="4" t="s">
        <v>1078</v>
      </c>
      <c r="E678" s="4" t="s">
        <v>198</v>
      </c>
      <c r="F678" s="4" t="s">
        <v>51</v>
      </c>
      <c r="G678" s="4" t="s">
        <v>35</v>
      </c>
      <c r="H678" s="54" t="s">
        <v>36</v>
      </c>
      <c r="I678" s="52"/>
      <c r="J678" s="57">
        <v>1.9</v>
      </c>
      <c r="K678" s="52"/>
      <c r="L678" s="6">
        <v>1.7423</v>
      </c>
      <c r="M678" s="6">
        <v>0.91700000000000004</v>
      </c>
      <c r="N678" s="6">
        <v>1.84</v>
      </c>
      <c r="O678" s="57">
        <v>1.6872799999999999</v>
      </c>
      <c r="P678" s="52"/>
      <c r="Q678" s="6">
        <v>0.91699999999999993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0.06</v>
      </c>
      <c r="AB678" s="6">
        <v>5.5019999999999999E-2</v>
      </c>
      <c r="AC678" s="6">
        <v>0.91700000000000004</v>
      </c>
      <c r="AD678" s="6">
        <v>-5.9999999999999831E-2</v>
      </c>
      <c r="AE678" s="6">
        <v>5.9999999999999831E-2</v>
      </c>
    </row>
    <row r="679" spans="2:31" ht="20" x14ac:dyDescent="0.25">
      <c r="B679" s="55"/>
      <c r="C679" s="55"/>
      <c r="D679" s="4" t="s">
        <v>1079</v>
      </c>
      <c r="E679" s="4" t="s">
        <v>886</v>
      </c>
      <c r="F679" s="4" t="s">
        <v>51</v>
      </c>
      <c r="G679" s="4" t="s">
        <v>35</v>
      </c>
      <c r="H679" s="54" t="s">
        <v>36</v>
      </c>
      <c r="I679" s="52"/>
      <c r="J679" s="57">
        <v>35.46</v>
      </c>
      <c r="K679" s="52"/>
      <c r="L679" s="6">
        <v>32.516820000000003</v>
      </c>
      <c r="M679" s="6">
        <v>0.91700000000000004</v>
      </c>
      <c r="N679" s="6">
        <v>33.130000000000003</v>
      </c>
      <c r="O679" s="57">
        <v>30.380210000000002</v>
      </c>
      <c r="P679" s="52"/>
      <c r="Q679" s="6">
        <v>0.91699999999999993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2.33</v>
      </c>
      <c r="AB679" s="6">
        <v>2.1366100000000001</v>
      </c>
      <c r="AC679" s="6">
        <v>0.91700000000000004</v>
      </c>
      <c r="AD679" s="6">
        <v>-2.3299999999999983</v>
      </c>
      <c r="AE679" s="6">
        <v>2.3299999999999983</v>
      </c>
    </row>
    <row r="680" spans="2:31" ht="20" x14ac:dyDescent="0.25">
      <c r="B680" s="55"/>
      <c r="C680" s="55"/>
      <c r="D680" s="4" t="s">
        <v>1080</v>
      </c>
      <c r="E680" s="4" t="s">
        <v>1081</v>
      </c>
      <c r="F680" s="4" t="s">
        <v>51</v>
      </c>
      <c r="G680" s="4" t="s">
        <v>35</v>
      </c>
      <c r="H680" s="54" t="s">
        <v>48</v>
      </c>
      <c r="I680" s="52"/>
      <c r="J680" s="57">
        <v>17.97</v>
      </c>
      <c r="K680" s="52"/>
      <c r="L680" s="6">
        <v>13.477499999999999</v>
      </c>
      <c r="M680" s="6">
        <v>0.75</v>
      </c>
      <c r="N680" s="6">
        <v>14.66</v>
      </c>
      <c r="O680" s="57">
        <v>10.994999999999999</v>
      </c>
      <c r="P680" s="52"/>
      <c r="Q680" s="6">
        <v>0.74999999999999989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3.31</v>
      </c>
      <c r="AB680" s="6">
        <v>2.4824999999999999</v>
      </c>
      <c r="AC680" s="6">
        <v>0.75</v>
      </c>
      <c r="AD680" s="6">
        <v>-3.3099999999999987</v>
      </c>
      <c r="AE680" s="6">
        <v>3.3099999999999987</v>
      </c>
    </row>
    <row r="681" spans="2:31" ht="20" x14ac:dyDescent="0.25">
      <c r="B681" s="55"/>
      <c r="C681" s="55"/>
      <c r="D681" s="4" t="s">
        <v>1082</v>
      </c>
      <c r="E681" s="4" t="s">
        <v>1083</v>
      </c>
      <c r="F681" s="4" t="s">
        <v>51</v>
      </c>
      <c r="G681" s="4" t="s">
        <v>35</v>
      </c>
      <c r="H681" s="54" t="s">
        <v>48</v>
      </c>
      <c r="I681" s="52"/>
      <c r="J681" s="57">
        <v>25.11</v>
      </c>
      <c r="K681" s="52"/>
      <c r="L681" s="6">
        <v>18.8325</v>
      </c>
      <c r="M681" s="6">
        <v>0.75</v>
      </c>
      <c r="N681" s="6">
        <v>22.34</v>
      </c>
      <c r="O681" s="57">
        <v>16.754999999999999</v>
      </c>
      <c r="P681" s="52"/>
      <c r="Q681" s="6">
        <v>0.75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2.77</v>
      </c>
      <c r="AB681" s="6">
        <v>2.0775000000000001</v>
      </c>
      <c r="AC681" s="6">
        <v>0.75</v>
      </c>
      <c r="AD681" s="6">
        <v>-2.7699999999999996</v>
      </c>
      <c r="AE681" s="6">
        <v>2.7699999999999996</v>
      </c>
    </row>
    <row r="682" spans="2:31" x14ac:dyDescent="0.25">
      <c r="B682" s="55"/>
      <c r="C682" s="55"/>
      <c r="D682" s="54" t="s">
        <v>1084</v>
      </c>
      <c r="E682" s="54" t="s">
        <v>338</v>
      </c>
      <c r="F682" s="54" t="s">
        <v>51</v>
      </c>
      <c r="G682" s="54" t="s">
        <v>35</v>
      </c>
      <c r="H682" s="54" t="s">
        <v>48</v>
      </c>
      <c r="I682" s="52"/>
      <c r="J682" s="57">
        <v>4.78</v>
      </c>
      <c r="K682" s="52"/>
      <c r="L682" s="6">
        <v>3.585</v>
      </c>
      <c r="M682" s="6">
        <v>0.75</v>
      </c>
      <c r="N682" s="6">
        <v>3.36</v>
      </c>
      <c r="O682" s="57">
        <v>2.52</v>
      </c>
      <c r="P682" s="52"/>
      <c r="Q682" s="6">
        <v>0.75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1.42</v>
      </c>
      <c r="AB682" s="6">
        <v>1.0649999999999999</v>
      </c>
      <c r="AC682" s="6">
        <v>0.75</v>
      </c>
      <c r="AD682" s="6">
        <v>-1.4200000000000004</v>
      </c>
      <c r="AE682" s="6">
        <v>1.4200000000000004</v>
      </c>
    </row>
    <row r="683" spans="2:31" x14ac:dyDescent="0.25">
      <c r="B683" s="55"/>
      <c r="C683" s="56"/>
      <c r="D683" s="56"/>
      <c r="E683" s="56"/>
      <c r="F683" s="56"/>
      <c r="G683" s="56"/>
      <c r="H683" s="54" t="s">
        <v>41</v>
      </c>
      <c r="I683" s="52"/>
      <c r="J683" s="57">
        <v>10</v>
      </c>
      <c r="K683" s="52"/>
      <c r="L683" s="6">
        <v>7.5</v>
      </c>
      <c r="M683" s="6">
        <v>0.75</v>
      </c>
      <c r="N683" s="6">
        <v>8.08</v>
      </c>
      <c r="O683" s="57">
        <v>6.06</v>
      </c>
      <c r="P683" s="52"/>
      <c r="Q683" s="6">
        <v>0.75</v>
      </c>
      <c r="R683" s="6">
        <v>0.11</v>
      </c>
      <c r="S683" s="6">
        <v>8.2500000000000004E-2</v>
      </c>
      <c r="T683" s="6">
        <v>0.75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1.81</v>
      </c>
      <c r="AB683" s="6">
        <v>1.3574999999999999</v>
      </c>
      <c r="AC683" s="6">
        <v>0.74999999999999989</v>
      </c>
      <c r="AD683" s="6">
        <v>-2.0299999999999998</v>
      </c>
      <c r="AE683" s="6">
        <v>1.8099999999999998</v>
      </c>
    </row>
    <row r="684" spans="2:31" x14ac:dyDescent="0.25">
      <c r="B684" s="55"/>
      <c r="C684" s="58">
        <v>46182</v>
      </c>
      <c r="D684" s="4" t="s">
        <v>1085</v>
      </c>
      <c r="E684" s="4" t="s">
        <v>1086</v>
      </c>
      <c r="F684" s="4" t="s">
        <v>34</v>
      </c>
      <c r="G684" s="4" t="s">
        <v>35</v>
      </c>
      <c r="H684" s="54" t="s">
        <v>36</v>
      </c>
      <c r="I684" s="52"/>
      <c r="J684" s="57">
        <v>59.07</v>
      </c>
      <c r="K684" s="52"/>
      <c r="L684" s="6">
        <v>54.167189999999998</v>
      </c>
      <c r="M684" s="6">
        <v>0.91699999999999993</v>
      </c>
      <c r="N684" s="6">
        <v>55.2</v>
      </c>
      <c r="O684" s="57">
        <v>50.618400000000001</v>
      </c>
      <c r="P684" s="52"/>
      <c r="Q684" s="6">
        <v>0.91699999999999993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3.87</v>
      </c>
      <c r="AB684" s="6">
        <v>3.5487899999999999</v>
      </c>
      <c r="AC684" s="6">
        <v>0.91699999999999993</v>
      </c>
      <c r="AD684" s="6">
        <v>-3.8699999999999974</v>
      </c>
      <c r="AE684" s="6">
        <v>3.8699999999999974</v>
      </c>
    </row>
    <row r="685" spans="2:31" x14ac:dyDescent="0.25">
      <c r="B685" s="55"/>
      <c r="C685" s="55"/>
      <c r="D685" s="4" t="s">
        <v>1087</v>
      </c>
      <c r="E685" s="4" t="s">
        <v>1088</v>
      </c>
      <c r="F685" s="4" t="s">
        <v>34</v>
      </c>
      <c r="G685" s="4" t="s">
        <v>35</v>
      </c>
      <c r="H685" s="54" t="s">
        <v>36</v>
      </c>
      <c r="I685" s="52"/>
      <c r="J685" s="57">
        <v>52.6</v>
      </c>
      <c r="K685" s="52"/>
      <c r="L685" s="6">
        <v>48.234200000000001</v>
      </c>
      <c r="M685" s="6">
        <v>0.91700000000000004</v>
      </c>
      <c r="N685" s="6">
        <v>49.13</v>
      </c>
      <c r="O685" s="57">
        <v>45.052210000000002</v>
      </c>
      <c r="P685" s="52"/>
      <c r="Q685" s="6">
        <v>0.91700000000000004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3.47</v>
      </c>
      <c r="AB685" s="6">
        <v>3.1819899999999999</v>
      </c>
      <c r="AC685" s="6">
        <v>0.91699999999999993</v>
      </c>
      <c r="AD685" s="6">
        <v>-3.4699999999999989</v>
      </c>
      <c r="AE685" s="6">
        <v>3.4699999999999989</v>
      </c>
    </row>
    <row r="686" spans="2:31" x14ac:dyDescent="0.25">
      <c r="B686" s="55"/>
      <c r="C686" s="55"/>
      <c r="D686" s="4" t="s">
        <v>1089</v>
      </c>
      <c r="E686" s="4" t="s">
        <v>33</v>
      </c>
      <c r="F686" s="4" t="s">
        <v>34</v>
      </c>
      <c r="G686" s="4" t="s">
        <v>35</v>
      </c>
      <c r="H686" s="54" t="s">
        <v>36</v>
      </c>
      <c r="I686" s="52"/>
      <c r="J686" s="57">
        <v>263.88</v>
      </c>
      <c r="K686" s="52"/>
      <c r="L686" s="6">
        <v>241.97796</v>
      </c>
      <c r="M686" s="6">
        <v>0.91700000000000004</v>
      </c>
      <c r="N686" s="6">
        <v>263.86</v>
      </c>
      <c r="O686" s="57">
        <v>241.95962</v>
      </c>
      <c r="P686" s="52"/>
      <c r="Q686" s="6">
        <v>0.91699999999999993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0.02</v>
      </c>
      <c r="AB686" s="6">
        <v>1.8339999999999999E-2</v>
      </c>
      <c r="AC686" s="6">
        <v>0.91699999999999993</v>
      </c>
      <c r="AD686" s="6">
        <v>-1.999999999998181E-2</v>
      </c>
      <c r="AE686" s="6">
        <v>1.999999999998181E-2</v>
      </c>
    </row>
    <row r="687" spans="2:31" x14ac:dyDescent="0.25">
      <c r="B687" s="55"/>
      <c r="C687" s="55"/>
      <c r="D687" s="4" t="s">
        <v>1090</v>
      </c>
      <c r="E687" s="4" t="s">
        <v>38</v>
      </c>
      <c r="F687" s="4" t="s">
        <v>34</v>
      </c>
      <c r="G687" s="4" t="s">
        <v>35</v>
      </c>
      <c r="H687" s="54" t="s">
        <v>36</v>
      </c>
      <c r="I687" s="52"/>
      <c r="J687" s="57">
        <v>65.366</v>
      </c>
      <c r="K687" s="52"/>
      <c r="L687" s="6">
        <v>59.940621999999998</v>
      </c>
      <c r="M687" s="6">
        <v>0.91699999999999993</v>
      </c>
      <c r="N687" s="6">
        <v>65.366</v>
      </c>
      <c r="O687" s="57">
        <v>59.940621999999998</v>
      </c>
      <c r="P687" s="52"/>
      <c r="Q687" s="6">
        <v>0.91699999999999993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</row>
    <row r="688" spans="2:31" x14ac:dyDescent="0.25">
      <c r="B688" s="55"/>
      <c r="C688" s="55"/>
      <c r="D688" s="4" t="s">
        <v>1091</v>
      </c>
      <c r="E688" s="4" t="s">
        <v>1092</v>
      </c>
      <c r="F688" s="4" t="s">
        <v>34</v>
      </c>
      <c r="G688" s="4" t="s">
        <v>35</v>
      </c>
      <c r="H688" s="54" t="s">
        <v>48</v>
      </c>
      <c r="I688" s="52"/>
      <c r="J688" s="57">
        <v>129.15</v>
      </c>
      <c r="K688" s="52"/>
      <c r="L688" s="6">
        <v>96.862499999999997</v>
      </c>
      <c r="M688" s="6">
        <v>0.75</v>
      </c>
      <c r="N688" s="6">
        <v>116.54</v>
      </c>
      <c r="O688" s="57">
        <v>87.405000000000001</v>
      </c>
      <c r="P688" s="52"/>
      <c r="Q688" s="6">
        <v>0.75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12.61</v>
      </c>
      <c r="AB688" s="6">
        <v>9.4574999999999996</v>
      </c>
      <c r="AC688" s="6">
        <v>0.75</v>
      </c>
      <c r="AD688" s="6">
        <v>-12.61</v>
      </c>
      <c r="AE688" s="6">
        <v>12.61</v>
      </c>
    </row>
    <row r="689" spans="2:31" x14ac:dyDescent="0.25">
      <c r="B689" s="55"/>
      <c r="C689" s="55"/>
      <c r="D689" s="4" t="s">
        <v>1093</v>
      </c>
      <c r="E689" s="4" t="s">
        <v>1094</v>
      </c>
      <c r="F689" s="4" t="s">
        <v>34</v>
      </c>
      <c r="G689" s="4" t="s">
        <v>35</v>
      </c>
      <c r="H689" s="54" t="s">
        <v>48</v>
      </c>
      <c r="I689" s="52"/>
      <c r="J689" s="57">
        <v>212.67</v>
      </c>
      <c r="K689" s="52"/>
      <c r="L689" s="6">
        <v>159.5025</v>
      </c>
      <c r="M689" s="6">
        <v>0.75</v>
      </c>
      <c r="N689" s="6">
        <v>189.26</v>
      </c>
      <c r="O689" s="57">
        <v>141.94499999999999</v>
      </c>
      <c r="P689" s="52"/>
      <c r="Q689" s="6">
        <v>0.75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23.41</v>
      </c>
      <c r="AB689" s="6">
        <v>17.557500000000001</v>
      </c>
      <c r="AC689" s="6">
        <v>0.75</v>
      </c>
      <c r="AD689" s="6">
        <v>-23.409999999999997</v>
      </c>
      <c r="AE689" s="6">
        <v>23.409999999999997</v>
      </c>
    </row>
    <row r="690" spans="2:31" x14ac:dyDescent="0.25">
      <c r="B690" s="55"/>
      <c r="C690" s="55"/>
      <c r="D690" s="4" t="s">
        <v>1095</v>
      </c>
      <c r="E690" s="4" t="s">
        <v>1096</v>
      </c>
      <c r="F690" s="4" t="s">
        <v>34</v>
      </c>
      <c r="G690" s="4" t="s">
        <v>35</v>
      </c>
      <c r="H690" s="54" t="s">
        <v>36</v>
      </c>
      <c r="I690" s="52"/>
      <c r="J690" s="57">
        <v>45.43</v>
      </c>
      <c r="K690" s="52"/>
      <c r="L690" s="6">
        <v>41.659309999999998</v>
      </c>
      <c r="M690" s="6">
        <v>0.91699999999999993</v>
      </c>
      <c r="N690" s="6">
        <v>40.64</v>
      </c>
      <c r="O690" s="57">
        <v>37.26688</v>
      </c>
      <c r="P690" s="52"/>
      <c r="Q690" s="6">
        <v>0.91700000000000004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4.79</v>
      </c>
      <c r="AB690" s="6">
        <v>4.3924300000000001</v>
      </c>
      <c r="AC690" s="6">
        <v>0.91700000000000004</v>
      </c>
      <c r="AD690" s="6">
        <v>-4.7899999999999991</v>
      </c>
      <c r="AE690" s="6">
        <v>4.7899999999999991</v>
      </c>
    </row>
    <row r="691" spans="2:31" x14ac:dyDescent="0.25">
      <c r="B691" s="55"/>
      <c r="C691" s="55"/>
      <c r="D691" s="4" t="s">
        <v>1097</v>
      </c>
      <c r="E691" s="4" t="s">
        <v>1098</v>
      </c>
      <c r="F691" s="4" t="s">
        <v>34</v>
      </c>
      <c r="G691" s="4" t="s">
        <v>35</v>
      </c>
      <c r="H691" s="54" t="s">
        <v>48</v>
      </c>
      <c r="I691" s="52"/>
      <c r="J691" s="57">
        <v>228.19</v>
      </c>
      <c r="K691" s="52"/>
      <c r="L691" s="6">
        <v>171.14250000000001</v>
      </c>
      <c r="M691" s="6">
        <v>0.75000000000000011</v>
      </c>
      <c r="N691" s="6">
        <v>208.07</v>
      </c>
      <c r="O691" s="57">
        <v>156.05250000000001</v>
      </c>
      <c r="P691" s="52"/>
      <c r="Q691" s="6">
        <v>0.75000000000000011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20.12</v>
      </c>
      <c r="AB691" s="6">
        <v>15.09</v>
      </c>
      <c r="AC691" s="6">
        <v>0.75</v>
      </c>
      <c r="AD691" s="6">
        <v>-20.120000000000005</v>
      </c>
      <c r="AE691" s="6">
        <v>20.120000000000005</v>
      </c>
    </row>
    <row r="692" spans="2:31" x14ac:dyDescent="0.25">
      <c r="B692" s="55"/>
      <c r="C692" s="55"/>
      <c r="D692" s="4" t="s">
        <v>1099</v>
      </c>
      <c r="E692" s="4" t="s">
        <v>1100</v>
      </c>
      <c r="F692" s="4" t="s">
        <v>34</v>
      </c>
      <c r="G692" s="4" t="s">
        <v>35</v>
      </c>
      <c r="H692" s="54" t="s">
        <v>36</v>
      </c>
      <c r="I692" s="52"/>
      <c r="J692" s="57">
        <v>72.459999999999994</v>
      </c>
      <c r="K692" s="52"/>
      <c r="L692" s="6">
        <v>66.445819999999998</v>
      </c>
      <c r="M692" s="6">
        <v>0.91700000000000004</v>
      </c>
      <c r="N692" s="6">
        <v>63.83</v>
      </c>
      <c r="O692" s="57">
        <v>58.532110000000003</v>
      </c>
      <c r="P692" s="52"/>
      <c r="Q692" s="6">
        <v>0.91700000000000004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8.6300000000000008</v>
      </c>
      <c r="AB692" s="6">
        <v>7.91371</v>
      </c>
      <c r="AC692" s="6">
        <v>0.91699999999999993</v>
      </c>
      <c r="AD692" s="6">
        <v>-8.6299999999999955</v>
      </c>
      <c r="AE692" s="6">
        <v>8.6299999999999955</v>
      </c>
    </row>
    <row r="693" spans="2:31" x14ac:dyDescent="0.25">
      <c r="B693" s="55"/>
      <c r="C693" s="55"/>
      <c r="D693" s="54" t="s">
        <v>1101</v>
      </c>
      <c r="E693" s="4" t="s">
        <v>1036</v>
      </c>
      <c r="F693" s="4" t="s">
        <v>51</v>
      </c>
      <c r="G693" s="4" t="s">
        <v>35</v>
      </c>
      <c r="H693" s="54" t="s">
        <v>48</v>
      </c>
      <c r="I693" s="52"/>
      <c r="J693" s="57">
        <v>7.34</v>
      </c>
      <c r="K693" s="52"/>
      <c r="L693" s="6">
        <v>5.5049999999999999</v>
      </c>
      <c r="M693" s="6">
        <v>0.75</v>
      </c>
      <c r="N693" s="6">
        <v>7.26</v>
      </c>
      <c r="O693" s="57">
        <v>5.4450000000000003</v>
      </c>
      <c r="P693" s="52"/>
      <c r="Q693" s="6">
        <v>0.75000000000000011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0.08</v>
      </c>
      <c r="AB693" s="6">
        <v>0.06</v>
      </c>
      <c r="AC693" s="6">
        <v>0.75</v>
      </c>
      <c r="AD693" s="6">
        <v>-8.0000000000000071E-2</v>
      </c>
      <c r="AE693" s="6">
        <v>8.0000000000000071E-2</v>
      </c>
    </row>
    <row r="694" spans="2:31" x14ac:dyDescent="0.25">
      <c r="B694" s="55"/>
      <c r="C694" s="55"/>
      <c r="D694" s="55"/>
      <c r="E694" s="4" t="s">
        <v>1102</v>
      </c>
      <c r="F694" s="4" t="s">
        <v>51</v>
      </c>
      <c r="G694" s="4" t="s">
        <v>35</v>
      </c>
      <c r="H694" s="54" t="s">
        <v>41</v>
      </c>
      <c r="I694" s="52"/>
      <c r="J694" s="57">
        <v>33.75</v>
      </c>
      <c r="K694" s="52"/>
      <c r="L694" s="6">
        <v>25.3125</v>
      </c>
      <c r="M694" s="6">
        <v>0.75</v>
      </c>
      <c r="N694" s="6">
        <v>32.630000000000003</v>
      </c>
      <c r="O694" s="57">
        <v>24.4725</v>
      </c>
      <c r="P694" s="52"/>
      <c r="Q694" s="6">
        <v>0.75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1.1200000000000001</v>
      </c>
      <c r="AB694" s="6">
        <v>0.84</v>
      </c>
      <c r="AC694" s="6">
        <v>0.74999999999999989</v>
      </c>
      <c r="AD694" s="6">
        <v>-1.1199999999999974</v>
      </c>
      <c r="AE694" s="6">
        <v>1.1199999999999974</v>
      </c>
    </row>
    <row r="695" spans="2:31" x14ac:dyDescent="0.25">
      <c r="B695" s="55"/>
      <c r="C695" s="55"/>
      <c r="D695" s="56"/>
      <c r="E695" s="4" t="s">
        <v>1103</v>
      </c>
      <c r="F695" s="4" t="s">
        <v>51</v>
      </c>
      <c r="G695" s="4" t="s">
        <v>35</v>
      </c>
      <c r="H695" s="54" t="s">
        <v>41</v>
      </c>
      <c r="I695" s="52"/>
      <c r="J695" s="57">
        <v>20.184000000000001</v>
      </c>
      <c r="K695" s="52"/>
      <c r="L695" s="6">
        <v>15.138</v>
      </c>
      <c r="M695" s="6">
        <v>0.75</v>
      </c>
      <c r="N695" s="6">
        <v>20.09</v>
      </c>
      <c r="O695" s="57">
        <v>15.067500000000001</v>
      </c>
      <c r="P695" s="52"/>
      <c r="Q695" s="6">
        <v>0.75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9.4E-2</v>
      </c>
      <c r="AB695" s="6">
        <v>7.0499999999999993E-2</v>
      </c>
      <c r="AC695" s="6">
        <v>0.74999999999999989</v>
      </c>
      <c r="AD695" s="6">
        <v>-9.4000000000001194E-2</v>
      </c>
      <c r="AE695" s="6">
        <v>9.4000000000001194E-2</v>
      </c>
    </row>
    <row r="696" spans="2:31" ht="20" x14ac:dyDescent="0.25">
      <c r="B696" s="55"/>
      <c r="C696" s="55"/>
      <c r="D696" s="4" t="s">
        <v>1104</v>
      </c>
      <c r="E696" s="4" t="s">
        <v>50</v>
      </c>
      <c r="F696" s="4" t="s">
        <v>51</v>
      </c>
      <c r="G696" s="4" t="s">
        <v>35</v>
      </c>
      <c r="H696" s="54" t="s">
        <v>48</v>
      </c>
      <c r="I696" s="52"/>
      <c r="J696" s="57">
        <v>39.28</v>
      </c>
      <c r="K696" s="52"/>
      <c r="L696" s="6">
        <v>29.46</v>
      </c>
      <c r="M696" s="6">
        <v>0.75</v>
      </c>
      <c r="N696" s="6">
        <v>36.11</v>
      </c>
      <c r="O696" s="57">
        <v>27.0825</v>
      </c>
      <c r="P696" s="52"/>
      <c r="Q696" s="6">
        <v>0.75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3.17</v>
      </c>
      <c r="AB696" s="6">
        <v>2.3774999999999999</v>
      </c>
      <c r="AC696" s="6">
        <v>0.75</v>
      </c>
      <c r="AD696" s="6">
        <v>-3.1700000000000017</v>
      </c>
      <c r="AE696" s="6">
        <v>3.1700000000000017</v>
      </c>
    </row>
    <row r="697" spans="2:31" ht="20" x14ac:dyDescent="0.25">
      <c r="B697" s="55"/>
      <c r="C697" s="55"/>
      <c r="D697" s="4" t="s">
        <v>1105</v>
      </c>
      <c r="E697" s="4" t="s">
        <v>1106</v>
      </c>
      <c r="F697" s="4" t="s">
        <v>51</v>
      </c>
      <c r="G697" s="4" t="s">
        <v>35</v>
      </c>
      <c r="H697" s="54" t="s">
        <v>36</v>
      </c>
      <c r="I697" s="52"/>
      <c r="J697" s="57">
        <v>27.66</v>
      </c>
      <c r="K697" s="52"/>
      <c r="L697" s="6">
        <v>25.36422</v>
      </c>
      <c r="M697" s="6">
        <v>0.91699999999999993</v>
      </c>
      <c r="N697" s="6">
        <v>25.99</v>
      </c>
      <c r="O697" s="57">
        <v>23.832830000000001</v>
      </c>
      <c r="P697" s="52"/>
      <c r="Q697" s="6">
        <v>0.91700000000000015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1.67</v>
      </c>
      <c r="AB697" s="6">
        <v>1.53139</v>
      </c>
      <c r="AC697" s="6">
        <v>0.91700000000000004</v>
      </c>
      <c r="AD697" s="6">
        <v>-1.6700000000000017</v>
      </c>
      <c r="AE697" s="6">
        <v>1.6700000000000017</v>
      </c>
    </row>
    <row r="698" spans="2:31" ht="20" x14ac:dyDescent="0.25">
      <c r="B698" s="55"/>
      <c r="C698" s="55"/>
      <c r="D698" s="4" t="s">
        <v>1107</v>
      </c>
      <c r="E698" s="4" t="s">
        <v>1108</v>
      </c>
      <c r="F698" s="4" t="s">
        <v>51</v>
      </c>
      <c r="G698" s="4" t="s">
        <v>35</v>
      </c>
      <c r="H698" s="54" t="s">
        <v>36</v>
      </c>
      <c r="I698" s="52"/>
      <c r="J698" s="57">
        <v>8.5</v>
      </c>
      <c r="K698" s="52"/>
      <c r="L698" s="6">
        <v>7.7945000000000002</v>
      </c>
      <c r="M698" s="6">
        <v>0.91700000000000004</v>
      </c>
      <c r="N698" s="6">
        <v>7.92</v>
      </c>
      <c r="O698" s="57">
        <v>7.2626400000000002</v>
      </c>
      <c r="P698" s="52"/>
      <c r="Q698" s="6">
        <v>0.91700000000000004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0.57999999999999996</v>
      </c>
      <c r="AB698" s="6">
        <v>0.53186</v>
      </c>
      <c r="AC698" s="6">
        <v>0.91700000000000004</v>
      </c>
      <c r="AD698" s="6">
        <v>-0.58000000000000007</v>
      </c>
      <c r="AE698" s="6">
        <v>0.58000000000000007</v>
      </c>
    </row>
    <row r="699" spans="2:31" ht="20" x14ac:dyDescent="0.25">
      <c r="B699" s="55"/>
      <c r="C699" s="55"/>
      <c r="D699" s="4" t="s">
        <v>1109</v>
      </c>
      <c r="E699" s="4" t="s">
        <v>1110</v>
      </c>
      <c r="F699" s="4" t="s">
        <v>51</v>
      </c>
      <c r="G699" s="4" t="s">
        <v>35</v>
      </c>
      <c r="H699" s="54" t="s">
        <v>36</v>
      </c>
      <c r="I699" s="52"/>
      <c r="J699" s="57">
        <v>8.5399999999999991</v>
      </c>
      <c r="K699" s="52"/>
      <c r="L699" s="6">
        <v>7.8311799999999998</v>
      </c>
      <c r="M699" s="6">
        <v>0.91700000000000004</v>
      </c>
      <c r="N699" s="6">
        <v>7.97</v>
      </c>
      <c r="O699" s="57">
        <v>7.3084899999999999</v>
      </c>
      <c r="P699" s="52"/>
      <c r="Q699" s="6">
        <v>0.91700000000000004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0.56999999999999995</v>
      </c>
      <c r="AB699" s="6">
        <v>0.52268999999999999</v>
      </c>
      <c r="AC699" s="6">
        <v>0.91700000000000004</v>
      </c>
      <c r="AD699" s="6">
        <v>-0.5699999999999994</v>
      </c>
      <c r="AE699" s="6">
        <v>0.5699999999999994</v>
      </c>
    </row>
    <row r="700" spans="2:31" ht="20" x14ac:dyDescent="0.25">
      <c r="B700" s="55"/>
      <c r="C700" s="55"/>
      <c r="D700" s="4" t="s">
        <v>1111</v>
      </c>
      <c r="E700" s="4" t="s">
        <v>1112</v>
      </c>
      <c r="F700" s="4" t="s">
        <v>51</v>
      </c>
      <c r="G700" s="4" t="s">
        <v>35</v>
      </c>
      <c r="H700" s="54" t="s">
        <v>36</v>
      </c>
      <c r="I700" s="52"/>
      <c r="J700" s="57">
        <v>8.5399999999999991</v>
      </c>
      <c r="K700" s="52"/>
      <c r="L700" s="6">
        <v>7.8311799999999998</v>
      </c>
      <c r="M700" s="6">
        <v>0.91700000000000004</v>
      </c>
      <c r="N700" s="6">
        <v>7.95</v>
      </c>
      <c r="O700" s="57">
        <v>7.2901499999999997</v>
      </c>
      <c r="P700" s="52"/>
      <c r="Q700" s="6">
        <v>0.91699999999999993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0.59</v>
      </c>
      <c r="AB700" s="6">
        <v>0.54103000000000001</v>
      </c>
      <c r="AC700" s="6">
        <v>0.91700000000000004</v>
      </c>
      <c r="AD700" s="6">
        <v>-0.58999999999999897</v>
      </c>
      <c r="AE700" s="6">
        <v>0.58999999999999897</v>
      </c>
    </row>
    <row r="701" spans="2:31" ht="20" x14ac:dyDescent="0.25">
      <c r="B701" s="55"/>
      <c r="C701" s="55"/>
      <c r="D701" s="4" t="s">
        <v>1113</v>
      </c>
      <c r="E701" s="4" t="s">
        <v>1114</v>
      </c>
      <c r="F701" s="4" t="s">
        <v>51</v>
      </c>
      <c r="G701" s="4" t="s">
        <v>35</v>
      </c>
      <c r="H701" s="54" t="s">
        <v>36</v>
      </c>
      <c r="I701" s="52"/>
      <c r="J701" s="57">
        <v>8.61</v>
      </c>
      <c r="K701" s="52"/>
      <c r="L701" s="6">
        <v>7.8953699999999998</v>
      </c>
      <c r="M701" s="6">
        <v>0.91700000000000004</v>
      </c>
      <c r="N701" s="6">
        <v>7.95</v>
      </c>
      <c r="O701" s="57">
        <v>7.2901499999999997</v>
      </c>
      <c r="P701" s="52"/>
      <c r="Q701" s="6">
        <v>0.91699999999999993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0.66</v>
      </c>
      <c r="AB701" s="6">
        <v>0.60521999999999998</v>
      </c>
      <c r="AC701" s="6">
        <v>0.91699999999999993</v>
      </c>
      <c r="AD701" s="6">
        <v>-0.65999999999999925</v>
      </c>
      <c r="AE701" s="6">
        <v>0.65999999999999925</v>
      </c>
    </row>
    <row r="702" spans="2:31" ht="20" x14ac:dyDescent="0.25">
      <c r="B702" s="55"/>
      <c r="C702" s="55"/>
      <c r="D702" s="4" t="s">
        <v>1115</v>
      </c>
      <c r="E702" s="4" t="s">
        <v>1116</v>
      </c>
      <c r="F702" s="4" t="s">
        <v>51</v>
      </c>
      <c r="G702" s="4" t="s">
        <v>35</v>
      </c>
      <c r="H702" s="54" t="s">
        <v>36</v>
      </c>
      <c r="I702" s="52"/>
      <c r="J702" s="57">
        <v>8.5399999999999991</v>
      </c>
      <c r="K702" s="52"/>
      <c r="L702" s="6">
        <v>7.8311799999999998</v>
      </c>
      <c r="M702" s="6">
        <v>0.91700000000000004</v>
      </c>
      <c r="N702" s="6">
        <v>7.99</v>
      </c>
      <c r="O702" s="57">
        <v>7.3268300000000002</v>
      </c>
      <c r="P702" s="52"/>
      <c r="Q702" s="6">
        <v>0.91700000000000004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0.55000000000000004</v>
      </c>
      <c r="AB702" s="6">
        <v>0.50434999999999997</v>
      </c>
      <c r="AC702" s="6">
        <v>0.91699999999999982</v>
      </c>
      <c r="AD702" s="6">
        <v>-0.54999999999999893</v>
      </c>
      <c r="AE702" s="6">
        <v>0.54999999999999893</v>
      </c>
    </row>
    <row r="703" spans="2:31" ht="20" x14ac:dyDescent="0.25">
      <c r="B703" s="55"/>
      <c r="C703" s="55"/>
      <c r="D703" s="4" t="s">
        <v>1117</v>
      </c>
      <c r="E703" s="4" t="s">
        <v>1118</v>
      </c>
      <c r="F703" s="4" t="s">
        <v>51</v>
      </c>
      <c r="G703" s="4" t="s">
        <v>35</v>
      </c>
      <c r="H703" s="54" t="s">
        <v>36</v>
      </c>
      <c r="I703" s="52"/>
      <c r="J703" s="57">
        <v>8.44</v>
      </c>
      <c r="K703" s="52"/>
      <c r="L703" s="6">
        <v>7.7394800000000004</v>
      </c>
      <c r="M703" s="6">
        <v>0.91700000000000015</v>
      </c>
      <c r="N703" s="6">
        <v>7.89</v>
      </c>
      <c r="O703" s="57">
        <v>7.2351299999999998</v>
      </c>
      <c r="P703" s="52"/>
      <c r="Q703" s="6">
        <v>0.91700000000000004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0.55000000000000004</v>
      </c>
      <c r="AB703" s="6">
        <v>0.50434999999999997</v>
      </c>
      <c r="AC703" s="6">
        <v>0.91699999999999982</v>
      </c>
      <c r="AD703" s="6">
        <v>-0.54999999999999982</v>
      </c>
      <c r="AE703" s="6">
        <v>0.54999999999999982</v>
      </c>
    </row>
    <row r="704" spans="2:31" x14ac:dyDescent="0.25">
      <c r="B704" s="55"/>
      <c r="C704" s="55"/>
      <c r="D704" s="54" t="s">
        <v>1119</v>
      </c>
      <c r="E704" s="4" t="s">
        <v>1120</v>
      </c>
      <c r="F704" s="4" t="s">
        <v>51</v>
      </c>
      <c r="G704" s="4" t="s">
        <v>35</v>
      </c>
      <c r="H704" s="54" t="s">
        <v>36</v>
      </c>
      <c r="I704" s="52"/>
      <c r="J704" s="57">
        <v>20.68</v>
      </c>
      <c r="K704" s="52"/>
      <c r="L704" s="6">
        <v>18.963560000000001</v>
      </c>
      <c r="M704" s="6">
        <v>0.91700000000000004</v>
      </c>
      <c r="N704" s="6">
        <v>19.75</v>
      </c>
      <c r="O704" s="57">
        <v>18.110749999999999</v>
      </c>
      <c r="P704" s="52"/>
      <c r="Q704" s="6">
        <v>0.91699999999999993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0.93</v>
      </c>
      <c r="AB704" s="6">
        <v>0.85280999999999996</v>
      </c>
      <c r="AC704" s="6">
        <v>0.91699999999999993</v>
      </c>
      <c r="AD704" s="6">
        <v>-0.92999999999999972</v>
      </c>
      <c r="AE704" s="6">
        <v>0.92999999999999972</v>
      </c>
    </row>
    <row r="705" spans="2:31" x14ac:dyDescent="0.25">
      <c r="B705" s="55"/>
      <c r="C705" s="55"/>
      <c r="D705" s="56"/>
      <c r="E705" s="4" t="s">
        <v>1121</v>
      </c>
      <c r="F705" s="4" t="s">
        <v>51</v>
      </c>
      <c r="G705" s="4" t="s">
        <v>35</v>
      </c>
      <c r="H705" s="54" t="s">
        <v>48</v>
      </c>
      <c r="I705" s="52"/>
      <c r="J705" s="57">
        <v>30.866</v>
      </c>
      <c r="K705" s="52"/>
      <c r="L705" s="6">
        <v>23.1495</v>
      </c>
      <c r="M705" s="6">
        <v>0.75</v>
      </c>
      <c r="N705" s="6">
        <v>29.315999999999999</v>
      </c>
      <c r="O705" s="57">
        <v>21.986999999999998</v>
      </c>
      <c r="P705" s="52"/>
      <c r="Q705" s="6">
        <v>0.75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1.55</v>
      </c>
      <c r="AB705" s="6">
        <v>1.1625000000000001</v>
      </c>
      <c r="AC705" s="6">
        <v>0.75</v>
      </c>
      <c r="AD705" s="6">
        <v>-1.5500000000000007</v>
      </c>
      <c r="AE705" s="6">
        <v>1.5500000000000007</v>
      </c>
    </row>
    <row r="706" spans="2:31" ht="20" x14ac:dyDescent="0.25">
      <c r="B706" s="55"/>
      <c r="C706" s="55"/>
      <c r="D706" s="4" t="s">
        <v>1122</v>
      </c>
      <c r="E706" s="4" t="s">
        <v>1123</v>
      </c>
      <c r="F706" s="4" t="s">
        <v>51</v>
      </c>
      <c r="G706" s="4" t="s">
        <v>35</v>
      </c>
      <c r="H706" s="54" t="s">
        <v>36</v>
      </c>
      <c r="I706" s="52"/>
      <c r="J706" s="57">
        <v>25.58</v>
      </c>
      <c r="K706" s="52"/>
      <c r="L706" s="6">
        <v>23.456859999999999</v>
      </c>
      <c r="M706" s="6">
        <v>0.91700000000000004</v>
      </c>
      <c r="N706" s="6">
        <v>24.5</v>
      </c>
      <c r="O706" s="57">
        <v>22.4665</v>
      </c>
      <c r="P706" s="52"/>
      <c r="Q706" s="6">
        <v>0.91700000000000004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1.08</v>
      </c>
      <c r="AB706" s="6">
        <v>0.99036000000000002</v>
      </c>
      <c r="AC706" s="6">
        <v>0.91699999999999993</v>
      </c>
      <c r="AD706" s="6">
        <v>-1.0799999999999983</v>
      </c>
      <c r="AE706" s="6">
        <v>1.0799999999999983</v>
      </c>
    </row>
    <row r="707" spans="2:31" x14ac:dyDescent="0.25">
      <c r="B707" s="55"/>
      <c r="C707" s="55"/>
      <c r="D707" s="54" t="s">
        <v>1124</v>
      </c>
      <c r="E707" s="4" t="s">
        <v>1125</v>
      </c>
      <c r="F707" s="4" t="s">
        <v>51</v>
      </c>
      <c r="G707" s="4" t="s">
        <v>35</v>
      </c>
      <c r="H707" s="54" t="s">
        <v>36</v>
      </c>
      <c r="I707" s="52"/>
      <c r="J707" s="57">
        <v>37.47</v>
      </c>
      <c r="K707" s="52"/>
      <c r="L707" s="6">
        <v>34.359990000000003</v>
      </c>
      <c r="M707" s="6">
        <v>0.91700000000000015</v>
      </c>
      <c r="N707" s="6">
        <v>36.58</v>
      </c>
      <c r="O707" s="57">
        <v>33.543860000000002</v>
      </c>
      <c r="P707" s="52"/>
      <c r="Q707" s="6">
        <v>0.91700000000000015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0.89</v>
      </c>
      <c r="AB707" s="6">
        <v>0.81613000000000002</v>
      </c>
      <c r="AC707" s="6">
        <v>0.91700000000000004</v>
      </c>
      <c r="AD707" s="6">
        <v>-0.89000000000000057</v>
      </c>
      <c r="AE707" s="6">
        <v>0.89000000000000057</v>
      </c>
    </row>
    <row r="708" spans="2:31" x14ac:dyDescent="0.25">
      <c r="B708" s="55"/>
      <c r="C708" s="55"/>
      <c r="D708" s="55"/>
      <c r="E708" s="4" t="s">
        <v>1126</v>
      </c>
      <c r="F708" s="4" t="s">
        <v>51</v>
      </c>
      <c r="G708" s="4" t="s">
        <v>35</v>
      </c>
      <c r="H708" s="54" t="s">
        <v>36</v>
      </c>
      <c r="I708" s="52"/>
      <c r="J708" s="57">
        <v>12.4</v>
      </c>
      <c r="K708" s="52"/>
      <c r="L708" s="6">
        <v>11.370799999999999</v>
      </c>
      <c r="M708" s="6">
        <v>0.91699999999999993</v>
      </c>
      <c r="N708" s="6">
        <v>12.12</v>
      </c>
      <c r="O708" s="57">
        <v>11.114039999999999</v>
      </c>
      <c r="P708" s="52"/>
      <c r="Q708" s="6">
        <v>0.91700000000000004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0.28000000000000003</v>
      </c>
      <c r="AB708" s="6">
        <v>0.25675999999999999</v>
      </c>
      <c r="AC708" s="6">
        <v>0.91699999999999982</v>
      </c>
      <c r="AD708" s="6">
        <v>-0.28000000000000114</v>
      </c>
      <c r="AE708" s="6">
        <v>0.28000000000000114</v>
      </c>
    </row>
    <row r="709" spans="2:31" x14ac:dyDescent="0.25">
      <c r="B709" s="55"/>
      <c r="C709" s="55"/>
      <c r="D709" s="56"/>
      <c r="E709" s="4" t="s">
        <v>86</v>
      </c>
      <c r="F709" s="4" t="s">
        <v>51</v>
      </c>
      <c r="G709" s="4" t="s">
        <v>35</v>
      </c>
      <c r="H709" s="54" t="s">
        <v>48</v>
      </c>
      <c r="I709" s="52"/>
      <c r="J709" s="57">
        <v>20.46</v>
      </c>
      <c r="K709" s="52"/>
      <c r="L709" s="6">
        <v>15.345000000000001</v>
      </c>
      <c r="M709" s="6">
        <v>0.75</v>
      </c>
      <c r="N709" s="6">
        <v>20.25</v>
      </c>
      <c r="O709" s="57">
        <v>15.1875</v>
      </c>
      <c r="P709" s="52"/>
      <c r="Q709" s="6">
        <v>0.75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0.21</v>
      </c>
      <c r="AB709" s="6">
        <v>0.1575</v>
      </c>
      <c r="AC709" s="6">
        <v>0.75</v>
      </c>
      <c r="AD709" s="6">
        <v>-0.21000000000000085</v>
      </c>
      <c r="AE709" s="6">
        <v>0.21000000000000085</v>
      </c>
    </row>
    <row r="710" spans="2:31" x14ac:dyDescent="0.25">
      <c r="B710" s="55"/>
      <c r="C710" s="55"/>
      <c r="D710" s="54" t="s">
        <v>1127</v>
      </c>
      <c r="E710" s="4" t="s">
        <v>1128</v>
      </c>
      <c r="F710" s="4" t="s">
        <v>51</v>
      </c>
      <c r="G710" s="4" t="s">
        <v>35</v>
      </c>
      <c r="H710" s="54" t="s">
        <v>41</v>
      </c>
      <c r="I710" s="52"/>
      <c r="J710" s="57">
        <v>35.57</v>
      </c>
      <c r="K710" s="52"/>
      <c r="L710" s="6">
        <v>26.677499999999998</v>
      </c>
      <c r="M710" s="6">
        <v>0.75</v>
      </c>
      <c r="N710" s="6">
        <v>34.65</v>
      </c>
      <c r="O710" s="57">
        <v>25.987500000000001</v>
      </c>
      <c r="P710" s="52"/>
      <c r="Q710" s="6">
        <v>0.75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0.92</v>
      </c>
      <c r="AB710" s="6">
        <v>0.69</v>
      </c>
      <c r="AC710" s="6">
        <v>0.74999999999999989</v>
      </c>
      <c r="AD710" s="6">
        <v>-0.92000000000000171</v>
      </c>
      <c r="AE710" s="6">
        <v>0.92000000000000171</v>
      </c>
    </row>
    <row r="711" spans="2:31" x14ac:dyDescent="0.25">
      <c r="B711" s="55"/>
      <c r="C711" s="55"/>
      <c r="D711" s="56"/>
      <c r="E711" s="4" t="s">
        <v>1020</v>
      </c>
      <c r="F711" s="4" t="s">
        <v>51</v>
      </c>
      <c r="G711" s="4" t="s">
        <v>35</v>
      </c>
      <c r="H711" s="54" t="s">
        <v>36</v>
      </c>
      <c r="I711" s="52"/>
      <c r="J711" s="57">
        <v>21.13</v>
      </c>
      <c r="K711" s="52"/>
      <c r="L711" s="6">
        <v>19.37621</v>
      </c>
      <c r="M711" s="6">
        <v>0.91700000000000004</v>
      </c>
      <c r="N711" s="6">
        <v>20.97</v>
      </c>
      <c r="O711" s="57">
        <v>19.229489999999998</v>
      </c>
      <c r="P711" s="52"/>
      <c r="Q711" s="6">
        <v>0.91699999999999993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0.16</v>
      </c>
      <c r="AB711" s="6">
        <v>0.14671999999999999</v>
      </c>
      <c r="AC711" s="6">
        <v>0.91699999999999993</v>
      </c>
      <c r="AD711" s="6">
        <v>-0.16000000000000014</v>
      </c>
      <c r="AE711" s="6">
        <v>0.16000000000000014</v>
      </c>
    </row>
    <row r="712" spans="2:31" ht="20" x14ac:dyDescent="0.25">
      <c r="B712" s="55"/>
      <c r="C712" s="55"/>
      <c r="D712" s="4" t="s">
        <v>1129</v>
      </c>
      <c r="E712" s="4" t="s">
        <v>1130</v>
      </c>
      <c r="F712" s="4" t="s">
        <v>51</v>
      </c>
      <c r="G712" s="4" t="s">
        <v>35</v>
      </c>
      <c r="H712" s="54" t="s">
        <v>36</v>
      </c>
      <c r="I712" s="52"/>
      <c r="J712" s="57">
        <v>8.5</v>
      </c>
      <c r="K712" s="52"/>
      <c r="L712" s="6">
        <v>7.7945000000000002</v>
      </c>
      <c r="M712" s="6">
        <v>0.91700000000000004</v>
      </c>
      <c r="N712" s="6">
        <v>7.88</v>
      </c>
      <c r="O712" s="57">
        <v>7.2259599999999997</v>
      </c>
      <c r="P712" s="52"/>
      <c r="Q712" s="6">
        <v>0.91699999999999993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0.62</v>
      </c>
      <c r="AB712" s="6">
        <v>0.56854000000000005</v>
      </c>
      <c r="AC712" s="6">
        <v>0.91700000000000004</v>
      </c>
      <c r="AD712" s="6">
        <v>-0.62000000000000011</v>
      </c>
      <c r="AE712" s="6">
        <v>0.62000000000000011</v>
      </c>
    </row>
    <row r="713" spans="2:31" ht="20" x14ac:dyDescent="0.25">
      <c r="B713" s="55"/>
      <c r="C713" s="55"/>
      <c r="D713" s="4" t="s">
        <v>1131</v>
      </c>
      <c r="E713" s="4" t="s">
        <v>1132</v>
      </c>
      <c r="F713" s="4" t="s">
        <v>51</v>
      </c>
      <c r="G713" s="4" t="s">
        <v>35</v>
      </c>
      <c r="H713" s="54" t="s">
        <v>36</v>
      </c>
      <c r="I713" s="52"/>
      <c r="J713" s="57">
        <v>25.83</v>
      </c>
      <c r="K713" s="52"/>
      <c r="L713" s="6">
        <v>23.686109999999999</v>
      </c>
      <c r="M713" s="6">
        <v>0.91700000000000004</v>
      </c>
      <c r="N713" s="6">
        <v>24.29</v>
      </c>
      <c r="O713" s="57">
        <v>22.27393</v>
      </c>
      <c r="P713" s="52"/>
      <c r="Q713" s="6">
        <v>0.91700000000000004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1.54</v>
      </c>
      <c r="AB713" s="6">
        <v>1.41218</v>
      </c>
      <c r="AC713" s="6">
        <v>0.91699999999999993</v>
      </c>
      <c r="AD713" s="6">
        <v>-1.5399999999999991</v>
      </c>
      <c r="AE713" s="6">
        <v>1.5399999999999991</v>
      </c>
    </row>
    <row r="714" spans="2:31" ht="20" x14ac:dyDescent="0.25">
      <c r="B714" s="55"/>
      <c r="C714" s="55"/>
      <c r="D714" s="4" t="s">
        <v>1133</v>
      </c>
      <c r="E714" s="4" t="s">
        <v>1134</v>
      </c>
      <c r="F714" s="4" t="s">
        <v>51</v>
      </c>
      <c r="G714" s="4" t="s">
        <v>35</v>
      </c>
      <c r="H714" s="54" t="s">
        <v>48</v>
      </c>
      <c r="I714" s="52"/>
      <c r="J714" s="57">
        <v>27.91</v>
      </c>
      <c r="K714" s="52"/>
      <c r="L714" s="6">
        <v>20.932500000000001</v>
      </c>
      <c r="M714" s="6">
        <v>0.75</v>
      </c>
      <c r="N714" s="6">
        <v>25.29</v>
      </c>
      <c r="O714" s="57">
        <v>18.967500000000001</v>
      </c>
      <c r="P714" s="52"/>
      <c r="Q714" s="6">
        <v>0.75000000000000011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2.62</v>
      </c>
      <c r="AB714" s="6">
        <v>1.9650000000000001</v>
      </c>
      <c r="AC714" s="6">
        <v>0.75</v>
      </c>
      <c r="AD714" s="6">
        <v>-2.620000000000001</v>
      </c>
      <c r="AE714" s="6">
        <v>2.620000000000001</v>
      </c>
    </row>
    <row r="715" spans="2:31" ht="20" x14ac:dyDescent="0.25">
      <c r="B715" s="55"/>
      <c r="C715" s="55"/>
      <c r="D715" s="4" t="s">
        <v>1135</v>
      </c>
      <c r="E715" s="4" t="s">
        <v>1136</v>
      </c>
      <c r="F715" s="4" t="s">
        <v>51</v>
      </c>
      <c r="G715" s="4" t="s">
        <v>35</v>
      </c>
      <c r="H715" s="54" t="s">
        <v>48</v>
      </c>
      <c r="I715" s="52"/>
      <c r="J715" s="57">
        <v>18.579999999999998</v>
      </c>
      <c r="K715" s="52"/>
      <c r="L715" s="6">
        <v>13.935</v>
      </c>
      <c r="M715" s="6">
        <v>0.75000000000000011</v>
      </c>
      <c r="N715" s="6">
        <v>15.99</v>
      </c>
      <c r="O715" s="57">
        <v>11.9925</v>
      </c>
      <c r="P715" s="52"/>
      <c r="Q715" s="6">
        <v>0.75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2.59</v>
      </c>
      <c r="AB715" s="6">
        <v>1.9424999999999999</v>
      </c>
      <c r="AC715" s="6">
        <v>0.75</v>
      </c>
      <c r="AD715" s="6">
        <v>-2.5899999999999981</v>
      </c>
      <c r="AE715" s="6">
        <v>2.5899999999999981</v>
      </c>
    </row>
    <row r="716" spans="2:31" x14ac:dyDescent="0.25">
      <c r="B716" s="55"/>
      <c r="C716" s="55"/>
      <c r="D716" s="54" t="s">
        <v>1137</v>
      </c>
      <c r="E716" s="4" t="s">
        <v>1138</v>
      </c>
      <c r="F716" s="4" t="s">
        <v>51</v>
      </c>
      <c r="G716" s="4" t="s">
        <v>35</v>
      </c>
      <c r="H716" s="54" t="s">
        <v>36</v>
      </c>
      <c r="I716" s="52"/>
      <c r="J716" s="57">
        <v>26.24</v>
      </c>
      <c r="K716" s="52"/>
      <c r="L716" s="6">
        <v>24.062080000000002</v>
      </c>
      <c r="M716" s="6">
        <v>0.91700000000000015</v>
      </c>
      <c r="N716" s="6">
        <v>25.05</v>
      </c>
      <c r="O716" s="57">
        <v>22.970849999999999</v>
      </c>
      <c r="P716" s="52"/>
      <c r="Q716" s="6">
        <v>0.91699999999999993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1.19</v>
      </c>
      <c r="AB716" s="6">
        <v>1.0912299999999999</v>
      </c>
      <c r="AC716" s="6">
        <v>0.91699999999999993</v>
      </c>
      <c r="AD716" s="6">
        <v>-1.1899999999999977</v>
      </c>
      <c r="AE716" s="6">
        <v>1.1899999999999977</v>
      </c>
    </row>
    <row r="717" spans="2:31" x14ac:dyDescent="0.25">
      <c r="B717" s="55"/>
      <c r="C717" s="55"/>
      <c r="D717" s="56"/>
      <c r="E717" s="4" t="s">
        <v>1139</v>
      </c>
      <c r="F717" s="4" t="s">
        <v>51</v>
      </c>
      <c r="G717" s="4" t="s">
        <v>35</v>
      </c>
      <c r="H717" s="54" t="s">
        <v>36</v>
      </c>
      <c r="I717" s="52"/>
      <c r="J717" s="57">
        <v>30.44</v>
      </c>
      <c r="K717" s="52"/>
      <c r="L717" s="6">
        <v>27.91348</v>
      </c>
      <c r="M717" s="6">
        <v>0.91699999999999993</v>
      </c>
      <c r="N717" s="6">
        <v>28.15</v>
      </c>
      <c r="O717" s="57">
        <v>25.813549999999999</v>
      </c>
      <c r="P717" s="52"/>
      <c r="Q717" s="6">
        <v>0.91700000000000004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2.29</v>
      </c>
      <c r="AB717" s="6">
        <v>2.0999300000000001</v>
      </c>
      <c r="AC717" s="6">
        <v>0.91700000000000004</v>
      </c>
      <c r="AD717" s="6">
        <v>-2.2900000000000027</v>
      </c>
      <c r="AE717" s="6">
        <v>2.2900000000000027</v>
      </c>
    </row>
    <row r="718" spans="2:31" x14ac:dyDescent="0.25">
      <c r="B718" s="55"/>
      <c r="C718" s="55"/>
      <c r="D718" s="54" t="s">
        <v>1140</v>
      </c>
      <c r="E718" s="4" t="s">
        <v>1141</v>
      </c>
      <c r="F718" s="4" t="s">
        <v>51</v>
      </c>
      <c r="G718" s="4" t="s">
        <v>35</v>
      </c>
      <c r="H718" s="54" t="s">
        <v>41</v>
      </c>
      <c r="I718" s="52"/>
      <c r="J718" s="57">
        <v>331.22</v>
      </c>
      <c r="K718" s="52"/>
      <c r="L718" s="6">
        <v>248.41499999999999</v>
      </c>
      <c r="M718" s="6">
        <v>0.74999999999999989</v>
      </c>
      <c r="N718" s="6">
        <v>331.22</v>
      </c>
      <c r="O718" s="57">
        <v>248.41499999999999</v>
      </c>
      <c r="P718" s="52"/>
      <c r="Q718" s="6">
        <v>0.74999999999999989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</row>
    <row r="719" spans="2:31" x14ac:dyDescent="0.25">
      <c r="B719" s="55"/>
      <c r="C719" s="55"/>
      <c r="D719" s="56"/>
      <c r="E719" s="4" t="s">
        <v>1142</v>
      </c>
      <c r="F719" s="4" t="s">
        <v>51</v>
      </c>
      <c r="G719" s="4" t="s">
        <v>35</v>
      </c>
      <c r="H719" s="54" t="s">
        <v>41</v>
      </c>
      <c r="I719" s="52"/>
      <c r="J719" s="57">
        <v>254.81</v>
      </c>
      <c r="K719" s="52"/>
      <c r="L719" s="6">
        <v>191.10749999999999</v>
      </c>
      <c r="M719" s="6">
        <v>0.74999999999999989</v>
      </c>
      <c r="N719" s="6">
        <v>254.81</v>
      </c>
      <c r="O719" s="57">
        <v>191.10749999999999</v>
      </c>
      <c r="P719" s="52"/>
      <c r="Q719" s="6">
        <v>0.74999999999999989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</row>
    <row r="720" spans="2:31" ht="20" x14ac:dyDescent="0.25">
      <c r="B720" s="55"/>
      <c r="C720" s="55"/>
      <c r="D720" s="4" t="s">
        <v>1143</v>
      </c>
      <c r="E720" s="4" t="s">
        <v>1144</v>
      </c>
      <c r="F720" s="4" t="s">
        <v>51</v>
      </c>
      <c r="G720" s="4" t="s">
        <v>35</v>
      </c>
      <c r="H720" s="54" t="s">
        <v>48</v>
      </c>
      <c r="I720" s="52"/>
      <c r="J720" s="57">
        <v>24.34</v>
      </c>
      <c r="K720" s="52"/>
      <c r="L720" s="6">
        <v>18.254999999999999</v>
      </c>
      <c r="M720" s="6">
        <v>0.75</v>
      </c>
      <c r="N720" s="6">
        <v>22.55</v>
      </c>
      <c r="O720" s="57">
        <v>16.912500000000001</v>
      </c>
      <c r="P720" s="52"/>
      <c r="Q720" s="6">
        <v>0.75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1.79</v>
      </c>
      <c r="AB720" s="6">
        <v>1.3425</v>
      </c>
      <c r="AC720" s="6">
        <v>0.75</v>
      </c>
      <c r="AD720" s="6">
        <v>-1.7899999999999991</v>
      </c>
      <c r="AE720" s="6">
        <v>1.7899999999999991</v>
      </c>
    </row>
    <row r="721" spans="2:31" x14ac:dyDescent="0.25">
      <c r="B721" s="55"/>
      <c r="C721" s="55"/>
      <c r="D721" s="54" t="s">
        <v>1145</v>
      </c>
      <c r="E721" s="4" t="s">
        <v>291</v>
      </c>
      <c r="F721" s="4" t="s">
        <v>51</v>
      </c>
      <c r="G721" s="4" t="s">
        <v>35</v>
      </c>
      <c r="H721" s="54" t="s">
        <v>36</v>
      </c>
      <c r="I721" s="52"/>
      <c r="J721" s="57">
        <v>9.3000000000000007</v>
      </c>
      <c r="K721" s="52"/>
      <c r="L721" s="6">
        <v>8.5281000000000002</v>
      </c>
      <c r="M721" s="6">
        <v>0.91699999999999993</v>
      </c>
      <c r="N721" s="6">
        <v>8.8699999999999992</v>
      </c>
      <c r="O721" s="57">
        <v>8.1337899999999994</v>
      </c>
      <c r="P721" s="52"/>
      <c r="Q721" s="6">
        <v>0.91700000000000004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0.43</v>
      </c>
      <c r="AB721" s="6">
        <v>0.39430999999999999</v>
      </c>
      <c r="AC721" s="6">
        <v>0.91700000000000004</v>
      </c>
      <c r="AD721" s="6">
        <v>-0.43000000000000149</v>
      </c>
      <c r="AE721" s="6">
        <v>0.43000000000000149</v>
      </c>
    </row>
    <row r="722" spans="2:31" x14ac:dyDescent="0.25">
      <c r="B722" s="55"/>
      <c r="C722" s="55"/>
      <c r="D722" s="55"/>
      <c r="E722" s="4" t="s">
        <v>346</v>
      </c>
      <c r="F722" s="4" t="s">
        <v>51</v>
      </c>
      <c r="G722" s="4" t="s">
        <v>35</v>
      </c>
      <c r="H722" s="54" t="s">
        <v>36</v>
      </c>
      <c r="I722" s="52"/>
      <c r="J722" s="57">
        <v>7.0839999999999996</v>
      </c>
      <c r="K722" s="52"/>
      <c r="L722" s="6">
        <v>6.4960279999999999</v>
      </c>
      <c r="M722" s="6">
        <v>0.91700000000000004</v>
      </c>
      <c r="N722" s="6">
        <v>6.9740000000000002</v>
      </c>
      <c r="O722" s="57">
        <v>6.3951580000000003</v>
      </c>
      <c r="P722" s="52"/>
      <c r="Q722" s="6">
        <v>0.91700000000000004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0.11</v>
      </c>
      <c r="AB722" s="6">
        <v>0.10087</v>
      </c>
      <c r="AC722" s="6">
        <v>0.91700000000000004</v>
      </c>
      <c r="AD722" s="6">
        <v>-0.10999999999999943</v>
      </c>
      <c r="AE722" s="6">
        <v>0.10999999999999943</v>
      </c>
    </row>
    <row r="723" spans="2:31" x14ac:dyDescent="0.25">
      <c r="B723" s="55"/>
      <c r="C723" s="55"/>
      <c r="D723" s="56"/>
      <c r="E723" s="4" t="s">
        <v>295</v>
      </c>
      <c r="F723" s="4" t="s">
        <v>51</v>
      </c>
      <c r="G723" s="4" t="s">
        <v>35</v>
      </c>
      <c r="H723" s="54" t="s">
        <v>36</v>
      </c>
      <c r="I723" s="52"/>
      <c r="J723" s="57">
        <v>5.28</v>
      </c>
      <c r="K723" s="52"/>
      <c r="L723" s="6">
        <v>4.8417599999999998</v>
      </c>
      <c r="M723" s="6">
        <v>0.91699999999999993</v>
      </c>
      <c r="N723" s="6">
        <v>5.19</v>
      </c>
      <c r="O723" s="57">
        <v>4.7592299999999996</v>
      </c>
      <c r="P723" s="52"/>
      <c r="Q723" s="6">
        <v>0.91699999999999982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0.09</v>
      </c>
      <c r="AB723" s="6">
        <v>8.2530000000000006E-2</v>
      </c>
      <c r="AC723" s="6">
        <v>0.91700000000000015</v>
      </c>
      <c r="AD723" s="6">
        <v>-8.9999999999999858E-2</v>
      </c>
      <c r="AE723" s="6">
        <v>8.9999999999999858E-2</v>
      </c>
    </row>
    <row r="724" spans="2:31" x14ac:dyDescent="0.25">
      <c r="B724" s="55"/>
      <c r="C724" s="55"/>
      <c r="D724" s="54" t="s">
        <v>1146</v>
      </c>
      <c r="E724" s="4" t="s">
        <v>585</v>
      </c>
      <c r="F724" s="4" t="s">
        <v>51</v>
      </c>
      <c r="G724" s="4" t="s">
        <v>35</v>
      </c>
      <c r="H724" s="54" t="s">
        <v>36</v>
      </c>
      <c r="I724" s="52"/>
      <c r="J724" s="57">
        <v>5.82</v>
      </c>
      <c r="K724" s="52"/>
      <c r="L724" s="6">
        <v>5.3369400000000002</v>
      </c>
      <c r="M724" s="6">
        <v>0.91700000000000004</v>
      </c>
      <c r="N724" s="6">
        <v>5.66</v>
      </c>
      <c r="O724" s="57">
        <v>5.1902200000000001</v>
      </c>
      <c r="P724" s="52"/>
      <c r="Q724" s="6">
        <v>0.91700000000000004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0.16</v>
      </c>
      <c r="AB724" s="6">
        <v>0.14671999999999999</v>
      </c>
      <c r="AC724" s="6">
        <v>0.91699999999999993</v>
      </c>
      <c r="AD724" s="6">
        <v>-0.16000000000000014</v>
      </c>
      <c r="AE724" s="6">
        <v>0.16000000000000014</v>
      </c>
    </row>
    <row r="725" spans="2:31" x14ac:dyDescent="0.25">
      <c r="B725" s="55"/>
      <c r="C725" s="55"/>
      <c r="D725" s="56"/>
      <c r="E725" s="4" t="s">
        <v>1051</v>
      </c>
      <c r="F725" s="4" t="s">
        <v>51</v>
      </c>
      <c r="G725" s="4" t="s">
        <v>35</v>
      </c>
      <c r="H725" s="54" t="s">
        <v>36</v>
      </c>
      <c r="I725" s="52"/>
      <c r="J725" s="57">
        <v>29.18</v>
      </c>
      <c r="K725" s="52"/>
      <c r="L725" s="6">
        <v>26.75806</v>
      </c>
      <c r="M725" s="6">
        <v>0.91700000000000004</v>
      </c>
      <c r="N725" s="6">
        <v>28.6</v>
      </c>
      <c r="O725" s="57">
        <v>26.226199999999999</v>
      </c>
      <c r="P725" s="52"/>
      <c r="Q725" s="6">
        <v>0.91699999999999993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0.57999999999999996</v>
      </c>
      <c r="AB725" s="6">
        <v>0.53186</v>
      </c>
      <c r="AC725" s="6">
        <v>0.91700000000000004</v>
      </c>
      <c r="AD725" s="6">
        <v>-0.57999999999999829</v>
      </c>
      <c r="AE725" s="6">
        <v>0.57999999999999829</v>
      </c>
    </row>
    <row r="726" spans="2:31" x14ac:dyDescent="0.25">
      <c r="B726" s="55"/>
      <c r="C726" s="55"/>
      <c r="D726" s="54" t="s">
        <v>1147</v>
      </c>
      <c r="E726" s="4" t="s">
        <v>583</v>
      </c>
      <c r="F726" s="4" t="s">
        <v>51</v>
      </c>
      <c r="G726" s="4" t="s">
        <v>35</v>
      </c>
      <c r="H726" s="54" t="s">
        <v>36</v>
      </c>
      <c r="I726" s="52"/>
      <c r="J726" s="57">
        <v>4.82</v>
      </c>
      <c r="K726" s="52"/>
      <c r="L726" s="6">
        <v>4.4199400000000004</v>
      </c>
      <c r="M726" s="6">
        <v>0.91700000000000004</v>
      </c>
      <c r="N726" s="6">
        <v>4.74</v>
      </c>
      <c r="O726" s="57">
        <v>4.3465800000000003</v>
      </c>
      <c r="P726" s="52"/>
      <c r="Q726" s="6">
        <v>0.91700000000000004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0.08</v>
      </c>
      <c r="AB726" s="6">
        <v>7.3359999999999995E-2</v>
      </c>
      <c r="AC726" s="6">
        <v>0.91699999999999993</v>
      </c>
      <c r="AD726" s="6">
        <v>-8.0000000000000071E-2</v>
      </c>
      <c r="AE726" s="6">
        <v>8.0000000000000071E-2</v>
      </c>
    </row>
    <row r="727" spans="2:31" x14ac:dyDescent="0.25">
      <c r="B727" s="55"/>
      <c r="C727" s="55"/>
      <c r="D727" s="55"/>
      <c r="E727" s="4" t="s">
        <v>292</v>
      </c>
      <c r="F727" s="4" t="s">
        <v>51</v>
      </c>
      <c r="G727" s="4" t="s">
        <v>35</v>
      </c>
      <c r="H727" s="54" t="s">
        <v>36</v>
      </c>
      <c r="I727" s="52"/>
      <c r="J727" s="57">
        <v>16.21</v>
      </c>
      <c r="K727" s="52"/>
      <c r="L727" s="6">
        <v>14.864570000000001</v>
      </c>
      <c r="M727" s="6">
        <v>0.91700000000000004</v>
      </c>
      <c r="N727" s="6">
        <v>15.52</v>
      </c>
      <c r="O727" s="57">
        <v>14.23184</v>
      </c>
      <c r="P727" s="52"/>
      <c r="Q727" s="6">
        <v>0.91700000000000004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0.69</v>
      </c>
      <c r="AB727" s="6">
        <v>0.63273000000000001</v>
      </c>
      <c r="AC727" s="6">
        <v>0.91700000000000004</v>
      </c>
      <c r="AD727" s="6">
        <v>-0.69000000000000128</v>
      </c>
      <c r="AE727" s="6">
        <v>0.69000000000000128</v>
      </c>
    </row>
    <row r="728" spans="2:31" x14ac:dyDescent="0.25">
      <c r="B728" s="55"/>
      <c r="C728" s="55"/>
      <c r="D728" s="55"/>
      <c r="E728" s="4" t="s">
        <v>58</v>
      </c>
      <c r="F728" s="4" t="s">
        <v>51</v>
      </c>
      <c r="G728" s="4" t="s">
        <v>35</v>
      </c>
      <c r="H728" s="54" t="s">
        <v>36</v>
      </c>
      <c r="I728" s="52"/>
      <c r="J728" s="57">
        <v>4.8099999999999996</v>
      </c>
      <c r="K728" s="52"/>
      <c r="L728" s="6">
        <v>4.4107700000000003</v>
      </c>
      <c r="M728" s="6">
        <v>0.91700000000000015</v>
      </c>
      <c r="N728" s="6">
        <v>4.8099999999999996</v>
      </c>
      <c r="O728" s="57">
        <v>4.4107700000000003</v>
      </c>
      <c r="P728" s="52"/>
      <c r="Q728" s="6">
        <v>0.91700000000000015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</row>
    <row r="729" spans="2:31" x14ac:dyDescent="0.25">
      <c r="B729" s="55"/>
      <c r="C729" s="55"/>
      <c r="D729" s="55"/>
      <c r="E729" s="4" t="s">
        <v>660</v>
      </c>
      <c r="F729" s="4" t="s">
        <v>51</v>
      </c>
      <c r="G729" s="4" t="s">
        <v>35</v>
      </c>
      <c r="H729" s="54" t="s">
        <v>36</v>
      </c>
      <c r="I729" s="52"/>
      <c r="J729" s="57">
        <v>98.73</v>
      </c>
      <c r="K729" s="52"/>
      <c r="L729" s="6">
        <v>90.535409999999999</v>
      </c>
      <c r="M729" s="6">
        <v>0.91699999999999993</v>
      </c>
      <c r="N729" s="6">
        <v>98.66</v>
      </c>
      <c r="O729" s="57">
        <v>90.471220000000002</v>
      </c>
      <c r="P729" s="52"/>
      <c r="Q729" s="6">
        <v>0.91700000000000004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7.0000000000000007E-2</v>
      </c>
      <c r="AB729" s="6">
        <v>6.4189999999999997E-2</v>
      </c>
      <c r="AC729" s="6">
        <v>0.91699999999999982</v>
      </c>
      <c r="AD729" s="6">
        <v>-7.000000000000739E-2</v>
      </c>
      <c r="AE729" s="6">
        <v>7.000000000000739E-2</v>
      </c>
    </row>
    <row r="730" spans="2:31" x14ac:dyDescent="0.25">
      <c r="B730" s="55"/>
      <c r="C730" s="55"/>
      <c r="D730" s="55"/>
      <c r="E730" s="4" t="s">
        <v>1148</v>
      </c>
      <c r="F730" s="4" t="s">
        <v>51</v>
      </c>
      <c r="G730" s="4" t="s">
        <v>35</v>
      </c>
      <c r="H730" s="54" t="s">
        <v>48</v>
      </c>
      <c r="I730" s="52"/>
      <c r="J730" s="57">
        <v>17.260000000000002</v>
      </c>
      <c r="K730" s="52"/>
      <c r="L730" s="6">
        <v>12.945</v>
      </c>
      <c r="M730" s="6">
        <v>0.75</v>
      </c>
      <c r="N730" s="6">
        <v>17.12</v>
      </c>
      <c r="O730" s="57">
        <v>12.84</v>
      </c>
      <c r="P730" s="52"/>
      <c r="Q730" s="6">
        <v>0.75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0.14000000000000001</v>
      </c>
      <c r="AB730" s="6">
        <v>0.105</v>
      </c>
      <c r="AC730" s="6">
        <v>0.74999999999999989</v>
      </c>
      <c r="AD730" s="6">
        <v>-0.14000000000000057</v>
      </c>
      <c r="AE730" s="6">
        <v>0.14000000000000057</v>
      </c>
    </row>
    <row r="731" spans="2:31" x14ac:dyDescent="0.25">
      <c r="B731" s="55"/>
      <c r="C731" s="55"/>
      <c r="D731" s="56"/>
      <c r="E731" s="4" t="s">
        <v>1149</v>
      </c>
      <c r="F731" s="4" t="s">
        <v>51</v>
      </c>
      <c r="G731" s="4" t="s">
        <v>35</v>
      </c>
      <c r="H731" s="54" t="s">
        <v>41</v>
      </c>
      <c r="I731" s="52"/>
      <c r="J731" s="57">
        <v>21.5</v>
      </c>
      <c r="K731" s="52"/>
      <c r="L731" s="6">
        <v>16.125</v>
      </c>
      <c r="M731" s="6">
        <v>0.75</v>
      </c>
      <c r="N731" s="6">
        <v>20.28</v>
      </c>
      <c r="O731" s="57">
        <v>15.21</v>
      </c>
      <c r="P731" s="52"/>
      <c r="Q731" s="6">
        <v>0.75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1.22</v>
      </c>
      <c r="AB731" s="6">
        <v>0.91500000000000004</v>
      </c>
      <c r="AC731" s="6">
        <v>0.75</v>
      </c>
      <c r="AD731" s="6">
        <v>-1.2199999999999989</v>
      </c>
      <c r="AE731" s="6">
        <v>1.2199999999999989</v>
      </c>
    </row>
    <row r="732" spans="2:31" ht="20" x14ac:dyDescent="0.25">
      <c r="B732" s="55"/>
      <c r="C732" s="55"/>
      <c r="D732" s="4" t="s">
        <v>1150</v>
      </c>
      <c r="E732" s="4" t="s">
        <v>1151</v>
      </c>
      <c r="F732" s="4" t="s">
        <v>51</v>
      </c>
      <c r="G732" s="4" t="s">
        <v>35</v>
      </c>
      <c r="H732" s="54" t="s">
        <v>41</v>
      </c>
      <c r="I732" s="52"/>
      <c r="J732" s="57">
        <v>8.8000000000000007</v>
      </c>
      <c r="K732" s="52"/>
      <c r="L732" s="6">
        <v>6.6</v>
      </c>
      <c r="M732" s="6">
        <v>0.74999999999999989</v>
      </c>
      <c r="N732" s="6">
        <v>8.3800000000000008</v>
      </c>
      <c r="O732" s="57">
        <v>6.2850000000000001</v>
      </c>
      <c r="P732" s="52"/>
      <c r="Q732" s="6">
        <v>0.75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0.42</v>
      </c>
      <c r="AB732" s="6">
        <v>0.315</v>
      </c>
      <c r="AC732" s="6">
        <v>0.75</v>
      </c>
      <c r="AD732" s="6">
        <v>-0.41999999999999993</v>
      </c>
      <c r="AE732" s="6">
        <v>0.41999999999999993</v>
      </c>
    </row>
    <row r="733" spans="2:31" ht="20" x14ac:dyDescent="0.25">
      <c r="B733" s="55"/>
      <c r="C733" s="55"/>
      <c r="D733" s="4" t="s">
        <v>1152</v>
      </c>
      <c r="E733" s="4" t="s">
        <v>1153</v>
      </c>
      <c r="F733" s="4" t="s">
        <v>51</v>
      </c>
      <c r="G733" s="4" t="s">
        <v>35</v>
      </c>
      <c r="H733" s="54" t="s">
        <v>41</v>
      </c>
      <c r="I733" s="52"/>
      <c r="J733" s="57">
        <v>4.8600000000000003</v>
      </c>
      <c r="K733" s="52"/>
      <c r="L733" s="6">
        <v>3.645</v>
      </c>
      <c r="M733" s="6">
        <v>0.75</v>
      </c>
      <c r="N733" s="6">
        <v>4.6500000000000004</v>
      </c>
      <c r="O733" s="57">
        <v>3.4874999999999998</v>
      </c>
      <c r="P733" s="52"/>
      <c r="Q733" s="6">
        <v>0.74999999999999989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0.21</v>
      </c>
      <c r="AB733" s="6">
        <v>0.1575</v>
      </c>
      <c r="AC733" s="6">
        <v>0.75</v>
      </c>
      <c r="AD733" s="6">
        <v>-0.20999999999999996</v>
      </c>
      <c r="AE733" s="6">
        <v>0.20999999999999996</v>
      </c>
    </row>
    <row r="734" spans="2:31" ht="20" x14ac:dyDescent="0.25">
      <c r="B734" s="55"/>
      <c r="C734" s="55"/>
      <c r="D734" s="4" t="s">
        <v>1154</v>
      </c>
      <c r="E734" s="4" t="s">
        <v>1155</v>
      </c>
      <c r="F734" s="4" t="s">
        <v>51</v>
      </c>
      <c r="G734" s="4" t="s">
        <v>35</v>
      </c>
      <c r="H734" s="54" t="s">
        <v>41</v>
      </c>
      <c r="I734" s="52"/>
      <c r="J734" s="57">
        <v>7.93</v>
      </c>
      <c r="K734" s="52"/>
      <c r="L734" s="6">
        <v>5.9474999999999998</v>
      </c>
      <c r="M734" s="6">
        <v>0.75</v>
      </c>
      <c r="N734" s="6">
        <v>7.46</v>
      </c>
      <c r="O734" s="57">
        <v>5.5949999999999998</v>
      </c>
      <c r="P734" s="52"/>
      <c r="Q734" s="6">
        <v>0.75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0.47</v>
      </c>
      <c r="AB734" s="6">
        <v>0.35249999999999998</v>
      </c>
      <c r="AC734" s="6">
        <v>0.75</v>
      </c>
      <c r="AD734" s="6">
        <v>-0.46999999999999975</v>
      </c>
      <c r="AE734" s="6">
        <v>0.46999999999999975</v>
      </c>
    </row>
    <row r="735" spans="2:31" ht="20" x14ac:dyDescent="0.25">
      <c r="B735" s="55"/>
      <c r="C735" s="55"/>
      <c r="D735" s="4" t="s">
        <v>1156</v>
      </c>
      <c r="E735" s="4" t="s">
        <v>1157</v>
      </c>
      <c r="F735" s="4" t="s">
        <v>51</v>
      </c>
      <c r="G735" s="4" t="s">
        <v>35</v>
      </c>
      <c r="H735" s="54" t="s">
        <v>36</v>
      </c>
      <c r="I735" s="52"/>
      <c r="J735" s="57">
        <v>32.299999999999997</v>
      </c>
      <c r="K735" s="52"/>
      <c r="L735" s="6">
        <v>29.6191</v>
      </c>
      <c r="M735" s="6">
        <v>0.91700000000000004</v>
      </c>
      <c r="N735" s="6">
        <v>30.57</v>
      </c>
      <c r="O735" s="57">
        <v>28.032689999999999</v>
      </c>
      <c r="P735" s="52"/>
      <c r="Q735" s="6">
        <v>0.91699999999999993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1.73</v>
      </c>
      <c r="AB735" s="6">
        <v>1.5864100000000001</v>
      </c>
      <c r="AC735" s="6">
        <v>0.91700000000000004</v>
      </c>
      <c r="AD735" s="6">
        <v>-1.7299999999999969</v>
      </c>
      <c r="AE735" s="6">
        <v>1.7299999999999969</v>
      </c>
    </row>
    <row r="736" spans="2:31" ht="20" x14ac:dyDescent="0.25">
      <c r="B736" s="55"/>
      <c r="C736" s="55"/>
      <c r="D736" s="4" t="s">
        <v>1158</v>
      </c>
      <c r="E736" s="4" t="s">
        <v>1159</v>
      </c>
      <c r="F736" s="4" t="s">
        <v>51</v>
      </c>
      <c r="G736" s="4" t="s">
        <v>35</v>
      </c>
      <c r="H736" s="54" t="s">
        <v>41</v>
      </c>
      <c r="I736" s="52"/>
      <c r="J736" s="57">
        <v>5.41</v>
      </c>
      <c r="K736" s="52"/>
      <c r="L736" s="6">
        <v>4.0575000000000001</v>
      </c>
      <c r="M736" s="6">
        <v>0.75</v>
      </c>
      <c r="N736" s="6">
        <v>5.33</v>
      </c>
      <c r="O736" s="57">
        <v>3.9975000000000001</v>
      </c>
      <c r="P736" s="52"/>
      <c r="Q736" s="6">
        <v>0.75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0.08</v>
      </c>
      <c r="AB736" s="6">
        <v>0.06</v>
      </c>
      <c r="AC736" s="6">
        <v>0.75</v>
      </c>
      <c r="AD736" s="6">
        <v>-8.0000000000000071E-2</v>
      </c>
      <c r="AE736" s="6">
        <v>8.0000000000000071E-2</v>
      </c>
    </row>
    <row r="737" spans="2:31" ht="20" x14ac:dyDescent="0.25">
      <c r="B737" s="55"/>
      <c r="C737" s="55"/>
      <c r="D737" s="4" t="s">
        <v>1160</v>
      </c>
      <c r="E737" s="4" t="s">
        <v>1161</v>
      </c>
      <c r="F737" s="4" t="s">
        <v>51</v>
      </c>
      <c r="G737" s="4" t="s">
        <v>35</v>
      </c>
      <c r="H737" s="54" t="s">
        <v>48</v>
      </c>
      <c r="I737" s="52"/>
      <c r="J737" s="57">
        <v>20.8</v>
      </c>
      <c r="K737" s="52"/>
      <c r="L737" s="6">
        <v>15.6</v>
      </c>
      <c r="M737" s="6">
        <v>0.75</v>
      </c>
      <c r="N737" s="6">
        <v>19.2</v>
      </c>
      <c r="O737" s="57">
        <v>14.4</v>
      </c>
      <c r="P737" s="52"/>
      <c r="Q737" s="6">
        <v>0.75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1.6</v>
      </c>
      <c r="AB737" s="6">
        <v>1.2</v>
      </c>
      <c r="AC737" s="6">
        <v>0.74999999999999989</v>
      </c>
      <c r="AD737" s="6">
        <v>-1.6000000000000014</v>
      </c>
      <c r="AE737" s="6">
        <v>1.6000000000000014</v>
      </c>
    </row>
    <row r="738" spans="2:31" ht="20" x14ac:dyDescent="0.25">
      <c r="B738" s="55"/>
      <c r="C738" s="55"/>
      <c r="D738" s="4" t="s">
        <v>1162</v>
      </c>
      <c r="E738" s="4" t="s">
        <v>1163</v>
      </c>
      <c r="F738" s="4" t="s">
        <v>51</v>
      </c>
      <c r="G738" s="4" t="s">
        <v>35</v>
      </c>
      <c r="H738" s="54" t="s">
        <v>48</v>
      </c>
      <c r="I738" s="52"/>
      <c r="J738" s="57">
        <v>16.350000000000001</v>
      </c>
      <c r="K738" s="52"/>
      <c r="L738" s="6">
        <v>12.262499999999999</v>
      </c>
      <c r="M738" s="6">
        <v>0.74999999999999989</v>
      </c>
      <c r="N738" s="6">
        <v>14.67</v>
      </c>
      <c r="O738" s="57">
        <v>11.0025</v>
      </c>
      <c r="P738" s="52"/>
      <c r="Q738" s="6">
        <v>0.75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1.68</v>
      </c>
      <c r="AB738" s="6">
        <v>1.26</v>
      </c>
      <c r="AC738" s="6">
        <v>0.75</v>
      </c>
      <c r="AD738" s="6">
        <v>-1.6800000000000015</v>
      </c>
      <c r="AE738" s="6">
        <v>1.6800000000000015</v>
      </c>
    </row>
    <row r="739" spans="2:31" ht="20" x14ac:dyDescent="0.25">
      <c r="B739" s="55"/>
      <c r="C739" s="55"/>
      <c r="D739" s="4" t="s">
        <v>1164</v>
      </c>
      <c r="E739" s="4" t="s">
        <v>1165</v>
      </c>
      <c r="F739" s="4" t="s">
        <v>51</v>
      </c>
      <c r="G739" s="4" t="s">
        <v>35</v>
      </c>
      <c r="H739" s="54" t="s">
        <v>48</v>
      </c>
      <c r="I739" s="52"/>
      <c r="J739" s="57">
        <v>29.16</v>
      </c>
      <c r="K739" s="52"/>
      <c r="L739" s="6">
        <v>21.87</v>
      </c>
      <c r="M739" s="6">
        <v>0.75</v>
      </c>
      <c r="N739" s="6">
        <v>26.43</v>
      </c>
      <c r="O739" s="57">
        <v>19.822500000000002</v>
      </c>
      <c r="P739" s="52"/>
      <c r="Q739" s="6">
        <v>0.75000000000000011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2.73</v>
      </c>
      <c r="AB739" s="6">
        <v>2.0474999999999999</v>
      </c>
      <c r="AC739" s="6">
        <v>0.75</v>
      </c>
      <c r="AD739" s="6">
        <v>-2.7300000000000004</v>
      </c>
      <c r="AE739" s="6">
        <v>2.7300000000000004</v>
      </c>
    </row>
    <row r="740" spans="2:31" ht="20" x14ac:dyDescent="0.25">
      <c r="B740" s="55"/>
      <c r="C740" s="55"/>
      <c r="D740" s="4" t="s">
        <v>1166</v>
      </c>
      <c r="E740" s="4" t="s">
        <v>513</v>
      </c>
      <c r="F740" s="4" t="s">
        <v>51</v>
      </c>
      <c r="G740" s="4" t="s">
        <v>35</v>
      </c>
      <c r="H740" s="54" t="s">
        <v>36</v>
      </c>
      <c r="I740" s="52"/>
      <c r="J740" s="57">
        <v>6.6210000000000004</v>
      </c>
      <c r="K740" s="52"/>
      <c r="L740" s="6">
        <v>6.0714569999999997</v>
      </c>
      <c r="M740" s="6">
        <v>0.91699999999999993</v>
      </c>
      <c r="N740" s="6">
        <v>6.5810000000000004</v>
      </c>
      <c r="O740" s="57">
        <v>6.0347770000000001</v>
      </c>
      <c r="P740" s="52"/>
      <c r="Q740" s="6">
        <v>0.91699999999999993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0.04</v>
      </c>
      <c r="AB740" s="6">
        <v>3.6679999999999997E-2</v>
      </c>
      <c r="AC740" s="6">
        <v>0.91699999999999993</v>
      </c>
      <c r="AD740" s="6">
        <v>-4.0000000000000036E-2</v>
      </c>
      <c r="AE740" s="6">
        <v>4.0000000000000036E-2</v>
      </c>
    </row>
    <row r="741" spans="2:31" ht="20" x14ac:dyDescent="0.25">
      <c r="B741" s="55"/>
      <c r="C741" s="55"/>
      <c r="D741" s="4" t="s">
        <v>1167</v>
      </c>
      <c r="E741" s="4" t="s">
        <v>1168</v>
      </c>
      <c r="F741" s="4" t="s">
        <v>51</v>
      </c>
      <c r="G741" s="4" t="s">
        <v>35</v>
      </c>
      <c r="H741" s="54" t="s">
        <v>36</v>
      </c>
      <c r="I741" s="52"/>
      <c r="J741" s="57">
        <v>18.940000000000001</v>
      </c>
      <c r="K741" s="52"/>
      <c r="L741" s="6">
        <v>17.367979999999999</v>
      </c>
      <c r="M741" s="6">
        <v>0.91699999999999993</v>
      </c>
      <c r="N741" s="6">
        <v>17.62</v>
      </c>
      <c r="O741" s="57">
        <v>16.157540000000001</v>
      </c>
      <c r="P741" s="52"/>
      <c r="Q741" s="6">
        <v>0.91700000000000004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1.32</v>
      </c>
      <c r="AB741" s="6">
        <v>1.21044</v>
      </c>
      <c r="AC741" s="6">
        <v>0.91699999999999993</v>
      </c>
      <c r="AD741" s="6">
        <v>-1.3200000000000003</v>
      </c>
      <c r="AE741" s="6">
        <v>1.3200000000000003</v>
      </c>
    </row>
    <row r="742" spans="2:31" ht="20" x14ac:dyDescent="0.25">
      <c r="B742" s="55"/>
      <c r="C742" s="55"/>
      <c r="D742" s="4" t="s">
        <v>1169</v>
      </c>
      <c r="E742" s="4" t="s">
        <v>1170</v>
      </c>
      <c r="F742" s="4" t="s">
        <v>51</v>
      </c>
      <c r="G742" s="4" t="s">
        <v>35</v>
      </c>
      <c r="H742" s="54" t="s">
        <v>36</v>
      </c>
      <c r="I742" s="52"/>
      <c r="J742" s="57">
        <v>27.17</v>
      </c>
      <c r="K742" s="52"/>
      <c r="L742" s="6">
        <v>24.91489</v>
      </c>
      <c r="M742" s="6">
        <v>0.91699999999999993</v>
      </c>
      <c r="N742" s="6">
        <v>24.29</v>
      </c>
      <c r="O742" s="57">
        <v>22.27393</v>
      </c>
      <c r="P742" s="52"/>
      <c r="Q742" s="6">
        <v>0.91700000000000004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2.88</v>
      </c>
      <c r="AB742" s="6">
        <v>2.6409600000000002</v>
      </c>
      <c r="AC742" s="6">
        <v>0.91700000000000015</v>
      </c>
      <c r="AD742" s="6">
        <v>-2.8800000000000026</v>
      </c>
      <c r="AE742" s="6">
        <v>2.8800000000000026</v>
      </c>
    </row>
    <row r="743" spans="2:31" ht="20" x14ac:dyDescent="0.25">
      <c r="B743" s="55"/>
      <c r="C743" s="55"/>
      <c r="D743" s="4" t="s">
        <v>1171</v>
      </c>
      <c r="E743" s="4" t="s">
        <v>1172</v>
      </c>
      <c r="F743" s="4" t="s">
        <v>51</v>
      </c>
      <c r="G743" s="4" t="s">
        <v>35</v>
      </c>
      <c r="H743" s="54" t="s">
        <v>48</v>
      </c>
      <c r="I743" s="52"/>
      <c r="J743" s="57">
        <v>59.22</v>
      </c>
      <c r="K743" s="52"/>
      <c r="L743" s="6">
        <v>44.414999999999999</v>
      </c>
      <c r="M743" s="6">
        <v>0.75</v>
      </c>
      <c r="N743" s="6">
        <v>50.96</v>
      </c>
      <c r="O743" s="57">
        <v>38.22</v>
      </c>
      <c r="P743" s="52"/>
      <c r="Q743" s="6">
        <v>0.75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8.26</v>
      </c>
      <c r="AB743" s="6">
        <v>6.1950000000000003</v>
      </c>
      <c r="AC743" s="6">
        <v>0.75</v>
      </c>
      <c r="AD743" s="6">
        <v>-8.259999999999998</v>
      </c>
      <c r="AE743" s="6">
        <v>8.259999999999998</v>
      </c>
    </row>
    <row r="744" spans="2:31" ht="20" x14ac:dyDescent="0.25">
      <c r="B744" s="55"/>
      <c r="C744" s="55"/>
      <c r="D744" s="4" t="s">
        <v>1173</v>
      </c>
      <c r="E744" s="4" t="s">
        <v>1174</v>
      </c>
      <c r="F744" s="4" t="s">
        <v>51</v>
      </c>
      <c r="G744" s="4" t="s">
        <v>35</v>
      </c>
      <c r="H744" s="54" t="s">
        <v>48</v>
      </c>
      <c r="I744" s="52"/>
      <c r="J744" s="57">
        <v>26.53</v>
      </c>
      <c r="K744" s="52"/>
      <c r="L744" s="6">
        <v>19.897500000000001</v>
      </c>
      <c r="M744" s="6">
        <v>0.75</v>
      </c>
      <c r="N744" s="6">
        <v>26.46</v>
      </c>
      <c r="O744" s="57">
        <v>19.844999999999999</v>
      </c>
      <c r="P744" s="52"/>
      <c r="Q744" s="6">
        <v>0.74999999999999989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7.0000000000000007E-2</v>
      </c>
      <c r="AB744" s="6">
        <v>5.2499999999999998E-2</v>
      </c>
      <c r="AC744" s="6">
        <v>0.74999999999999989</v>
      </c>
      <c r="AD744" s="6">
        <v>-7.0000000000000284E-2</v>
      </c>
      <c r="AE744" s="6">
        <v>7.0000000000000284E-2</v>
      </c>
    </row>
    <row r="745" spans="2:31" ht="20" x14ac:dyDescent="0.25">
      <c r="B745" s="55"/>
      <c r="C745" s="55"/>
      <c r="D745" s="4" t="s">
        <v>1175</v>
      </c>
      <c r="E745" s="4" t="s">
        <v>1176</v>
      </c>
      <c r="F745" s="4" t="s">
        <v>51</v>
      </c>
      <c r="G745" s="4" t="s">
        <v>35</v>
      </c>
      <c r="H745" s="54" t="s">
        <v>48</v>
      </c>
      <c r="I745" s="52"/>
      <c r="J745" s="57">
        <v>61.71</v>
      </c>
      <c r="K745" s="52"/>
      <c r="L745" s="6">
        <v>46.282499999999999</v>
      </c>
      <c r="M745" s="6">
        <v>0.75</v>
      </c>
      <c r="N745" s="6">
        <v>61.57</v>
      </c>
      <c r="O745" s="57">
        <v>46.177500000000002</v>
      </c>
      <c r="P745" s="52"/>
      <c r="Q745" s="6">
        <v>0.75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0.14000000000000001</v>
      </c>
      <c r="AB745" s="6">
        <v>0.105</v>
      </c>
      <c r="AC745" s="6">
        <v>0.74999999999999989</v>
      </c>
      <c r="AD745" s="6">
        <v>-0.14000000000000057</v>
      </c>
      <c r="AE745" s="6">
        <v>0.14000000000000057</v>
      </c>
    </row>
    <row r="746" spans="2:31" ht="20" x14ac:dyDescent="0.25">
      <c r="B746" s="55"/>
      <c r="C746" s="55"/>
      <c r="D746" s="4" t="s">
        <v>1177</v>
      </c>
      <c r="E746" s="4" t="s">
        <v>1178</v>
      </c>
      <c r="F746" s="4" t="s">
        <v>51</v>
      </c>
      <c r="G746" s="4" t="s">
        <v>35</v>
      </c>
      <c r="H746" s="54" t="s">
        <v>48</v>
      </c>
      <c r="I746" s="52"/>
      <c r="J746" s="57">
        <v>57.37</v>
      </c>
      <c r="K746" s="52"/>
      <c r="L746" s="6">
        <v>43.027500000000003</v>
      </c>
      <c r="M746" s="6">
        <v>0.75000000000000011</v>
      </c>
      <c r="N746" s="6">
        <v>57.22</v>
      </c>
      <c r="O746" s="57">
        <v>42.914999999999999</v>
      </c>
      <c r="P746" s="52"/>
      <c r="Q746" s="6">
        <v>0.75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0.15</v>
      </c>
      <c r="AB746" s="6">
        <v>0.1125</v>
      </c>
      <c r="AC746" s="6">
        <v>0.75</v>
      </c>
      <c r="AD746" s="6">
        <v>-0.14999999999999858</v>
      </c>
      <c r="AE746" s="6">
        <v>0.14999999999999858</v>
      </c>
    </row>
    <row r="747" spans="2:31" ht="20" x14ac:dyDescent="0.25">
      <c r="B747" s="55"/>
      <c r="C747" s="55"/>
      <c r="D747" s="4" t="s">
        <v>1179</v>
      </c>
      <c r="E747" s="4" t="s">
        <v>1180</v>
      </c>
      <c r="F747" s="4" t="s">
        <v>51</v>
      </c>
      <c r="G747" s="4" t="s">
        <v>35</v>
      </c>
      <c r="H747" s="54" t="s">
        <v>48</v>
      </c>
      <c r="I747" s="52"/>
      <c r="J747" s="57">
        <v>60.75</v>
      </c>
      <c r="K747" s="52"/>
      <c r="L747" s="6">
        <v>45.5625</v>
      </c>
      <c r="M747" s="6">
        <v>0.75</v>
      </c>
      <c r="N747" s="6">
        <v>60.59</v>
      </c>
      <c r="O747" s="57">
        <v>45.442500000000003</v>
      </c>
      <c r="P747" s="52"/>
      <c r="Q747" s="6">
        <v>0.75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0.16</v>
      </c>
      <c r="AB747" s="6">
        <v>0.12</v>
      </c>
      <c r="AC747" s="6">
        <v>0.75</v>
      </c>
      <c r="AD747" s="6">
        <v>-0.15999999999999659</v>
      </c>
      <c r="AE747" s="6">
        <v>0.15999999999999659</v>
      </c>
    </row>
    <row r="748" spans="2:31" ht="20" x14ac:dyDescent="0.25">
      <c r="B748" s="55"/>
      <c r="C748" s="55"/>
      <c r="D748" s="4" t="s">
        <v>1181</v>
      </c>
      <c r="E748" s="4" t="s">
        <v>1182</v>
      </c>
      <c r="F748" s="4" t="s">
        <v>51</v>
      </c>
      <c r="G748" s="4" t="s">
        <v>35</v>
      </c>
      <c r="H748" s="54" t="s">
        <v>41</v>
      </c>
      <c r="I748" s="52"/>
      <c r="J748" s="57">
        <v>8.67</v>
      </c>
      <c r="K748" s="52"/>
      <c r="L748" s="6">
        <v>6.5025000000000004</v>
      </c>
      <c r="M748" s="6">
        <v>0.75</v>
      </c>
      <c r="N748" s="6">
        <v>8.42</v>
      </c>
      <c r="O748" s="57">
        <v>6.3150000000000004</v>
      </c>
      <c r="P748" s="52"/>
      <c r="Q748" s="6">
        <v>0.75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0.25</v>
      </c>
      <c r="AB748" s="6">
        <v>0.1875</v>
      </c>
      <c r="AC748" s="6">
        <v>0.75</v>
      </c>
      <c r="AD748" s="6">
        <v>-0.25</v>
      </c>
      <c r="AE748" s="6">
        <v>0.25</v>
      </c>
    </row>
    <row r="749" spans="2:31" ht="20" x14ac:dyDescent="0.25">
      <c r="B749" s="55"/>
      <c r="C749" s="55"/>
      <c r="D749" s="4" t="s">
        <v>1183</v>
      </c>
      <c r="E749" s="4" t="s">
        <v>1184</v>
      </c>
      <c r="F749" s="4" t="s">
        <v>51</v>
      </c>
      <c r="G749" s="4" t="s">
        <v>35</v>
      </c>
      <c r="H749" s="54" t="s">
        <v>41</v>
      </c>
      <c r="I749" s="52"/>
      <c r="J749" s="57">
        <v>22.68</v>
      </c>
      <c r="K749" s="52"/>
      <c r="L749" s="6">
        <v>17.010000000000002</v>
      </c>
      <c r="M749" s="6">
        <v>0.75000000000000011</v>
      </c>
      <c r="N749" s="6">
        <v>21.77</v>
      </c>
      <c r="O749" s="57">
        <v>16.327500000000001</v>
      </c>
      <c r="P749" s="52"/>
      <c r="Q749" s="6">
        <v>0.75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0.91</v>
      </c>
      <c r="AB749" s="6">
        <v>0.6825</v>
      </c>
      <c r="AC749" s="6">
        <v>0.75</v>
      </c>
      <c r="AD749" s="6">
        <v>-0.91000000000000014</v>
      </c>
      <c r="AE749" s="6">
        <v>0.91000000000000014</v>
      </c>
    </row>
    <row r="750" spans="2:31" ht="20" x14ac:dyDescent="0.25">
      <c r="B750" s="55"/>
      <c r="C750" s="55"/>
      <c r="D750" s="4" t="s">
        <v>1185</v>
      </c>
      <c r="E750" s="4" t="s">
        <v>1186</v>
      </c>
      <c r="F750" s="4" t="s">
        <v>51</v>
      </c>
      <c r="G750" s="4" t="s">
        <v>35</v>
      </c>
      <c r="H750" s="54" t="s">
        <v>48</v>
      </c>
      <c r="I750" s="52"/>
      <c r="J750" s="57">
        <v>18.22</v>
      </c>
      <c r="K750" s="52"/>
      <c r="L750" s="6">
        <v>13.664999999999999</v>
      </c>
      <c r="M750" s="6">
        <v>0.75</v>
      </c>
      <c r="N750" s="6">
        <v>17.3</v>
      </c>
      <c r="O750" s="57">
        <v>12.975</v>
      </c>
      <c r="P750" s="52"/>
      <c r="Q750" s="6">
        <v>0.75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0.92</v>
      </c>
      <c r="AB750" s="6">
        <v>0.69</v>
      </c>
      <c r="AC750" s="6">
        <v>0.74999999999999989</v>
      </c>
      <c r="AD750" s="6">
        <v>-0.91999999999999815</v>
      </c>
      <c r="AE750" s="6">
        <v>0.91999999999999815</v>
      </c>
    </row>
    <row r="751" spans="2:31" ht="20" x14ac:dyDescent="0.25">
      <c r="B751" s="55"/>
      <c r="C751" s="55"/>
      <c r="D751" s="4" t="s">
        <v>1187</v>
      </c>
      <c r="E751" s="4" t="s">
        <v>1188</v>
      </c>
      <c r="F751" s="4" t="s">
        <v>51</v>
      </c>
      <c r="G751" s="4" t="s">
        <v>35</v>
      </c>
      <c r="H751" s="54" t="s">
        <v>36</v>
      </c>
      <c r="I751" s="52"/>
      <c r="J751" s="57">
        <v>23.67</v>
      </c>
      <c r="K751" s="52"/>
      <c r="L751" s="6">
        <v>21.705390000000001</v>
      </c>
      <c r="M751" s="6">
        <v>0.91700000000000004</v>
      </c>
      <c r="N751" s="6">
        <v>22.21</v>
      </c>
      <c r="O751" s="57">
        <v>20.366569999999999</v>
      </c>
      <c r="P751" s="52"/>
      <c r="Q751" s="6">
        <v>0.91699999999999993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1.46</v>
      </c>
      <c r="AB751" s="6">
        <v>1.3388199999999999</v>
      </c>
      <c r="AC751" s="6">
        <v>0.91699999999999993</v>
      </c>
      <c r="AD751" s="6">
        <v>-1.4600000000000009</v>
      </c>
      <c r="AE751" s="6">
        <v>1.4600000000000009</v>
      </c>
    </row>
    <row r="752" spans="2:31" ht="20" x14ac:dyDescent="0.25">
      <c r="B752" s="55"/>
      <c r="C752" s="55"/>
      <c r="D752" s="4" t="s">
        <v>1189</v>
      </c>
      <c r="E752" s="4" t="s">
        <v>1190</v>
      </c>
      <c r="F752" s="4" t="s">
        <v>51</v>
      </c>
      <c r="G752" s="4" t="s">
        <v>35</v>
      </c>
      <c r="H752" s="54" t="s">
        <v>48</v>
      </c>
      <c r="I752" s="52"/>
      <c r="J752" s="57">
        <v>20.010000000000002</v>
      </c>
      <c r="K752" s="52"/>
      <c r="L752" s="6">
        <v>15.0075</v>
      </c>
      <c r="M752" s="6">
        <v>0.75</v>
      </c>
      <c r="N752" s="6">
        <v>15.63</v>
      </c>
      <c r="O752" s="57">
        <v>11.7225</v>
      </c>
      <c r="P752" s="52"/>
      <c r="Q752" s="6">
        <v>0.75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4.38</v>
      </c>
      <c r="AB752" s="6">
        <v>3.2850000000000001</v>
      </c>
      <c r="AC752" s="6">
        <v>0.75</v>
      </c>
      <c r="AD752" s="6">
        <v>-4.3800000000000008</v>
      </c>
      <c r="AE752" s="6">
        <v>4.3800000000000008</v>
      </c>
    </row>
    <row r="753" spans="2:31" ht="20" x14ac:dyDescent="0.25">
      <c r="B753" s="55"/>
      <c r="C753" s="55"/>
      <c r="D753" s="4" t="s">
        <v>1191</v>
      </c>
      <c r="E753" s="4" t="s">
        <v>1192</v>
      </c>
      <c r="F753" s="4" t="s">
        <v>51</v>
      </c>
      <c r="G753" s="4" t="s">
        <v>35</v>
      </c>
      <c r="H753" s="54" t="s">
        <v>48</v>
      </c>
      <c r="I753" s="52"/>
      <c r="J753" s="57">
        <v>40.25</v>
      </c>
      <c r="K753" s="52"/>
      <c r="L753" s="6">
        <v>30.1875</v>
      </c>
      <c r="M753" s="6">
        <v>0.75</v>
      </c>
      <c r="N753" s="6">
        <v>35.51</v>
      </c>
      <c r="O753" s="57">
        <v>26.6325</v>
      </c>
      <c r="P753" s="52"/>
      <c r="Q753" s="6">
        <v>0.75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4.74</v>
      </c>
      <c r="AB753" s="6">
        <v>3.5550000000000002</v>
      </c>
      <c r="AC753" s="6">
        <v>0.75</v>
      </c>
      <c r="AD753" s="6">
        <v>-4.740000000000002</v>
      </c>
      <c r="AE753" s="6">
        <v>4.740000000000002</v>
      </c>
    </row>
    <row r="754" spans="2:31" ht="20" x14ac:dyDescent="0.25">
      <c r="B754" s="55"/>
      <c r="C754" s="55"/>
      <c r="D754" s="4" t="s">
        <v>1193</v>
      </c>
      <c r="E754" s="4" t="s">
        <v>1194</v>
      </c>
      <c r="F754" s="4" t="s">
        <v>51</v>
      </c>
      <c r="G754" s="4" t="s">
        <v>35</v>
      </c>
      <c r="H754" s="54" t="s">
        <v>41</v>
      </c>
      <c r="I754" s="52"/>
      <c r="J754" s="57">
        <v>6.96</v>
      </c>
      <c r="K754" s="52"/>
      <c r="L754" s="6">
        <v>5.22</v>
      </c>
      <c r="M754" s="6">
        <v>0.75</v>
      </c>
      <c r="N754" s="6">
        <v>6.71</v>
      </c>
      <c r="O754" s="57">
        <v>5.0324999999999998</v>
      </c>
      <c r="P754" s="52"/>
      <c r="Q754" s="6">
        <v>0.75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0.25</v>
      </c>
      <c r="AB754" s="6">
        <v>0.1875</v>
      </c>
      <c r="AC754" s="6">
        <v>0.75</v>
      </c>
      <c r="AD754" s="6">
        <v>-0.25</v>
      </c>
      <c r="AE754" s="6">
        <v>0.25</v>
      </c>
    </row>
    <row r="755" spans="2:31" ht="20" x14ac:dyDescent="0.25">
      <c r="B755" s="55"/>
      <c r="C755" s="55"/>
      <c r="D755" s="4" t="s">
        <v>1195</v>
      </c>
      <c r="E755" s="4" t="s">
        <v>1196</v>
      </c>
      <c r="F755" s="4" t="s">
        <v>51</v>
      </c>
      <c r="G755" s="4" t="s">
        <v>35</v>
      </c>
      <c r="H755" s="54" t="s">
        <v>48</v>
      </c>
      <c r="I755" s="52"/>
      <c r="J755" s="57">
        <v>67.61</v>
      </c>
      <c r="K755" s="52"/>
      <c r="L755" s="6">
        <v>50.707500000000003</v>
      </c>
      <c r="M755" s="6">
        <v>0.75</v>
      </c>
      <c r="N755" s="6">
        <v>59.54</v>
      </c>
      <c r="O755" s="57">
        <v>44.655000000000001</v>
      </c>
      <c r="P755" s="52"/>
      <c r="Q755" s="6">
        <v>0.75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8.07</v>
      </c>
      <c r="AB755" s="6">
        <v>6.0525000000000002</v>
      </c>
      <c r="AC755" s="6">
        <v>0.75</v>
      </c>
      <c r="AD755" s="6">
        <v>-8.07</v>
      </c>
      <c r="AE755" s="6">
        <v>8.07</v>
      </c>
    </row>
    <row r="756" spans="2:31" ht="20" x14ac:dyDescent="0.25">
      <c r="B756" s="55"/>
      <c r="C756" s="55"/>
      <c r="D756" s="4" t="s">
        <v>1197</v>
      </c>
      <c r="E756" s="4" t="s">
        <v>916</v>
      </c>
      <c r="F756" s="4" t="s">
        <v>51</v>
      </c>
      <c r="G756" s="4" t="s">
        <v>35</v>
      </c>
      <c r="H756" s="54" t="s">
        <v>48</v>
      </c>
      <c r="I756" s="52"/>
      <c r="J756" s="57">
        <v>13.43</v>
      </c>
      <c r="K756" s="52"/>
      <c r="L756" s="6">
        <v>10.0725</v>
      </c>
      <c r="M756" s="6">
        <v>0.75</v>
      </c>
      <c r="N756" s="6">
        <v>13.38</v>
      </c>
      <c r="O756" s="57">
        <v>10.035</v>
      </c>
      <c r="P756" s="52"/>
      <c r="Q756" s="6">
        <v>0.75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0.05</v>
      </c>
      <c r="AB756" s="6">
        <v>3.7499999999999999E-2</v>
      </c>
      <c r="AC756" s="6">
        <v>0.74999999999999989</v>
      </c>
      <c r="AD756" s="6">
        <v>-4.9999999999998934E-2</v>
      </c>
      <c r="AE756" s="6">
        <v>4.9999999999998934E-2</v>
      </c>
    </row>
    <row r="757" spans="2:31" ht="20" x14ac:dyDescent="0.25">
      <c r="B757" s="55"/>
      <c r="C757" s="55"/>
      <c r="D757" s="4" t="s">
        <v>1198</v>
      </c>
      <c r="E757" s="4" t="s">
        <v>1199</v>
      </c>
      <c r="F757" s="4" t="s">
        <v>51</v>
      </c>
      <c r="G757" s="4" t="s">
        <v>35</v>
      </c>
      <c r="H757" s="54" t="s">
        <v>41</v>
      </c>
      <c r="I757" s="52"/>
      <c r="J757" s="57">
        <v>12.96</v>
      </c>
      <c r="K757" s="52"/>
      <c r="L757" s="6">
        <v>9.7200000000000006</v>
      </c>
      <c r="M757" s="6">
        <v>0.75</v>
      </c>
      <c r="N757" s="6">
        <v>12.71</v>
      </c>
      <c r="O757" s="57">
        <v>9.5325000000000006</v>
      </c>
      <c r="P757" s="52"/>
      <c r="Q757" s="6">
        <v>0.75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0.25</v>
      </c>
      <c r="AB757" s="6">
        <v>0.1875</v>
      </c>
      <c r="AC757" s="6">
        <v>0.75</v>
      </c>
      <c r="AD757" s="6">
        <v>-0.25</v>
      </c>
      <c r="AE757" s="6">
        <v>0.25</v>
      </c>
    </row>
    <row r="758" spans="2:31" ht="20" x14ac:dyDescent="0.25">
      <c r="B758" s="55"/>
      <c r="C758" s="55"/>
      <c r="D758" s="4" t="s">
        <v>1200</v>
      </c>
      <c r="E758" s="4" t="s">
        <v>1201</v>
      </c>
      <c r="F758" s="4" t="s">
        <v>51</v>
      </c>
      <c r="G758" s="4" t="s">
        <v>35</v>
      </c>
      <c r="H758" s="54" t="s">
        <v>36</v>
      </c>
      <c r="I758" s="52"/>
      <c r="J758" s="57">
        <v>38.33</v>
      </c>
      <c r="K758" s="52"/>
      <c r="L758" s="6">
        <v>35.148609999999998</v>
      </c>
      <c r="M758" s="6">
        <v>0.91700000000000004</v>
      </c>
      <c r="N758" s="6">
        <v>37.119999999999997</v>
      </c>
      <c r="O758" s="57">
        <v>34.03904</v>
      </c>
      <c r="P758" s="52"/>
      <c r="Q758" s="6">
        <v>0.91700000000000004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1.21</v>
      </c>
      <c r="AB758" s="6">
        <v>1.1095699999999999</v>
      </c>
      <c r="AC758" s="6">
        <v>0.91699999999999993</v>
      </c>
      <c r="AD758" s="6">
        <v>-1.2100000000000009</v>
      </c>
      <c r="AE758" s="6">
        <v>1.2100000000000009</v>
      </c>
    </row>
    <row r="759" spans="2:31" ht="20" x14ac:dyDescent="0.25">
      <c r="B759" s="55"/>
      <c r="C759" s="55"/>
      <c r="D759" s="4" t="s">
        <v>1202</v>
      </c>
      <c r="E759" s="4" t="s">
        <v>1203</v>
      </c>
      <c r="F759" s="4" t="s">
        <v>51</v>
      </c>
      <c r="G759" s="4" t="s">
        <v>35</v>
      </c>
      <c r="H759" s="54" t="s">
        <v>36</v>
      </c>
      <c r="I759" s="52"/>
      <c r="J759" s="57">
        <v>43.33</v>
      </c>
      <c r="K759" s="52"/>
      <c r="L759" s="6">
        <v>39.733609999999999</v>
      </c>
      <c r="M759" s="6">
        <v>0.91700000000000004</v>
      </c>
      <c r="N759" s="6">
        <v>41.08</v>
      </c>
      <c r="O759" s="57">
        <v>37.670360000000002</v>
      </c>
      <c r="P759" s="52"/>
      <c r="Q759" s="6">
        <v>0.91700000000000015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2.25</v>
      </c>
      <c r="AB759" s="6">
        <v>2.06325</v>
      </c>
      <c r="AC759" s="6">
        <v>0.91700000000000004</v>
      </c>
      <c r="AD759" s="6">
        <v>-2.25</v>
      </c>
      <c r="AE759" s="6">
        <v>2.25</v>
      </c>
    </row>
    <row r="760" spans="2:31" ht="20" x14ac:dyDescent="0.25">
      <c r="B760" s="55"/>
      <c r="C760" s="55"/>
      <c r="D760" s="4" t="s">
        <v>1204</v>
      </c>
      <c r="E760" s="4" t="s">
        <v>1051</v>
      </c>
      <c r="F760" s="4" t="s">
        <v>51</v>
      </c>
      <c r="G760" s="4" t="s">
        <v>35</v>
      </c>
      <c r="H760" s="54" t="s">
        <v>36</v>
      </c>
      <c r="I760" s="52"/>
      <c r="J760" s="57">
        <v>27.63</v>
      </c>
      <c r="K760" s="52"/>
      <c r="L760" s="6">
        <v>25.33671</v>
      </c>
      <c r="M760" s="6">
        <v>0.91700000000000004</v>
      </c>
      <c r="N760" s="6">
        <v>27.4</v>
      </c>
      <c r="O760" s="57">
        <v>25.125800000000002</v>
      </c>
      <c r="P760" s="52"/>
      <c r="Q760" s="6">
        <v>0.91700000000000015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0.23</v>
      </c>
      <c r="AB760" s="6">
        <v>0.21090999999999999</v>
      </c>
      <c r="AC760" s="6">
        <v>0.91699999999999993</v>
      </c>
      <c r="AD760" s="6">
        <v>-0.23000000000000043</v>
      </c>
      <c r="AE760" s="6">
        <v>0.23000000000000043</v>
      </c>
    </row>
    <row r="761" spans="2:31" ht="20" x14ac:dyDescent="0.25">
      <c r="B761" s="55"/>
      <c r="C761" s="55"/>
      <c r="D761" s="4" t="s">
        <v>1205</v>
      </c>
      <c r="E761" s="4" t="s">
        <v>1206</v>
      </c>
      <c r="F761" s="4" t="s">
        <v>51</v>
      </c>
      <c r="G761" s="4" t="s">
        <v>35</v>
      </c>
      <c r="H761" s="54" t="s">
        <v>41</v>
      </c>
      <c r="I761" s="52"/>
      <c r="J761" s="57">
        <v>6.7</v>
      </c>
      <c r="K761" s="52"/>
      <c r="L761" s="6">
        <v>5.0250000000000004</v>
      </c>
      <c r="M761" s="6">
        <v>0.75</v>
      </c>
      <c r="N761" s="6">
        <v>6.27</v>
      </c>
      <c r="O761" s="57">
        <v>4.7024999999999997</v>
      </c>
      <c r="P761" s="52"/>
      <c r="Q761" s="6">
        <v>0.75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0.43</v>
      </c>
      <c r="AB761" s="6">
        <v>0.32250000000000001</v>
      </c>
      <c r="AC761" s="6">
        <v>0.75</v>
      </c>
      <c r="AD761" s="6">
        <v>-0.4300000000000006</v>
      </c>
      <c r="AE761" s="6">
        <v>0.4300000000000006</v>
      </c>
    </row>
    <row r="762" spans="2:31" x14ac:dyDescent="0.25">
      <c r="B762" s="55"/>
      <c r="C762" s="55"/>
      <c r="D762" s="54" t="s">
        <v>1207</v>
      </c>
      <c r="E762" s="4" t="s">
        <v>1208</v>
      </c>
      <c r="F762" s="4" t="s">
        <v>51</v>
      </c>
      <c r="G762" s="4" t="s">
        <v>35</v>
      </c>
      <c r="H762" s="54" t="s">
        <v>36</v>
      </c>
      <c r="I762" s="52"/>
      <c r="J762" s="57">
        <v>43.33</v>
      </c>
      <c r="K762" s="52"/>
      <c r="L762" s="6">
        <v>39.733609999999999</v>
      </c>
      <c r="M762" s="6">
        <v>0.91700000000000004</v>
      </c>
      <c r="N762" s="6">
        <v>39.630000000000003</v>
      </c>
      <c r="O762" s="57">
        <v>36.340710000000001</v>
      </c>
      <c r="P762" s="52"/>
      <c r="Q762" s="6">
        <v>0.91699999999999993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3.7</v>
      </c>
      <c r="AB762" s="6">
        <v>3.3929</v>
      </c>
      <c r="AC762" s="6">
        <v>0.91699999999999993</v>
      </c>
      <c r="AD762" s="6">
        <v>-3.6999999999999957</v>
      </c>
      <c r="AE762" s="6">
        <v>3.6999999999999957</v>
      </c>
    </row>
    <row r="763" spans="2:31" x14ac:dyDescent="0.25">
      <c r="B763" s="55"/>
      <c r="C763" s="55"/>
      <c r="D763" s="55"/>
      <c r="E763" s="4" t="s">
        <v>1209</v>
      </c>
      <c r="F763" s="4" t="s">
        <v>51</v>
      </c>
      <c r="G763" s="4" t="s">
        <v>35</v>
      </c>
      <c r="H763" s="54" t="s">
        <v>41</v>
      </c>
      <c r="I763" s="52"/>
      <c r="J763" s="57">
        <v>5.82</v>
      </c>
      <c r="K763" s="52"/>
      <c r="L763" s="6">
        <v>4.3650000000000002</v>
      </c>
      <c r="M763" s="6">
        <v>0.75</v>
      </c>
      <c r="N763" s="6">
        <v>5.59</v>
      </c>
      <c r="O763" s="57">
        <v>4.1924999999999999</v>
      </c>
      <c r="P763" s="52"/>
      <c r="Q763" s="6">
        <v>0.75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0.23</v>
      </c>
      <c r="AB763" s="6">
        <v>0.17249999999999999</v>
      </c>
      <c r="AC763" s="6">
        <v>0.74999999999999989</v>
      </c>
      <c r="AD763" s="6">
        <v>-0.23000000000000043</v>
      </c>
      <c r="AE763" s="6">
        <v>0.23000000000000043</v>
      </c>
    </row>
    <row r="764" spans="2:31" x14ac:dyDescent="0.25">
      <c r="B764" s="55"/>
      <c r="C764" s="55"/>
      <c r="D764" s="55"/>
      <c r="E764" s="4" t="s">
        <v>1210</v>
      </c>
      <c r="F764" s="4" t="s">
        <v>51</v>
      </c>
      <c r="G764" s="4" t="s">
        <v>35</v>
      </c>
      <c r="H764" s="54" t="s">
        <v>36</v>
      </c>
      <c r="I764" s="52"/>
      <c r="J764" s="57">
        <v>5.37</v>
      </c>
      <c r="K764" s="52"/>
      <c r="L764" s="6">
        <v>4.9242900000000001</v>
      </c>
      <c r="M764" s="6">
        <v>0.91700000000000004</v>
      </c>
      <c r="N764" s="6">
        <v>5.2</v>
      </c>
      <c r="O764" s="57">
        <v>4.7683999999999997</v>
      </c>
      <c r="P764" s="52"/>
      <c r="Q764" s="6">
        <v>0.91699999999999993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0.17</v>
      </c>
      <c r="AB764" s="6">
        <v>0.15589</v>
      </c>
      <c r="AC764" s="6">
        <v>0.91699999999999993</v>
      </c>
      <c r="AD764" s="6">
        <v>-0.16999999999999993</v>
      </c>
      <c r="AE764" s="6">
        <v>0.16999999999999993</v>
      </c>
    </row>
    <row r="765" spans="2:31" x14ac:dyDescent="0.25">
      <c r="B765" s="55"/>
      <c r="C765" s="55"/>
      <c r="D765" s="56"/>
      <c r="E765" s="4" t="s">
        <v>1211</v>
      </c>
      <c r="F765" s="4" t="s">
        <v>51</v>
      </c>
      <c r="G765" s="4" t="s">
        <v>35</v>
      </c>
      <c r="H765" s="54" t="s">
        <v>36</v>
      </c>
      <c r="I765" s="52"/>
      <c r="J765" s="57">
        <v>6.25</v>
      </c>
      <c r="K765" s="52"/>
      <c r="L765" s="6">
        <v>5.7312500000000002</v>
      </c>
      <c r="M765" s="6">
        <v>0.91700000000000004</v>
      </c>
      <c r="N765" s="6">
        <v>5.93</v>
      </c>
      <c r="O765" s="57">
        <v>5.4378099999999998</v>
      </c>
      <c r="P765" s="52"/>
      <c r="Q765" s="6">
        <v>0.91700000000000004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0.32</v>
      </c>
      <c r="AB765" s="6">
        <v>0.29343999999999998</v>
      </c>
      <c r="AC765" s="6">
        <v>0.91699999999999993</v>
      </c>
      <c r="AD765" s="6">
        <v>-0.32000000000000028</v>
      </c>
      <c r="AE765" s="6">
        <v>0.32000000000000028</v>
      </c>
    </row>
    <row r="766" spans="2:31" ht="20" x14ac:dyDescent="0.25">
      <c r="B766" s="55"/>
      <c r="C766" s="55"/>
      <c r="D766" s="4" t="s">
        <v>1212</v>
      </c>
      <c r="E766" s="4" t="s">
        <v>1213</v>
      </c>
      <c r="F766" s="4" t="s">
        <v>51</v>
      </c>
      <c r="G766" s="4" t="s">
        <v>35</v>
      </c>
      <c r="H766" s="54" t="s">
        <v>36</v>
      </c>
      <c r="I766" s="52"/>
      <c r="J766" s="57">
        <v>3.44</v>
      </c>
      <c r="K766" s="52"/>
      <c r="L766" s="6">
        <v>3.15448</v>
      </c>
      <c r="M766" s="6">
        <v>0.91700000000000004</v>
      </c>
      <c r="N766" s="6">
        <v>3.28</v>
      </c>
      <c r="O766" s="57">
        <v>3.0077600000000002</v>
      </c>
      <c r="P766" s="52"/>
      <c r="Q766" s="6">
        <v>0.91700000000000015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0.16</v>
      </c>
      <c r="AB766" s="6">
        <v>0.14671999999999999</v>
      </c>
      <c r="AC766" s="6">
        <v>0.91699999999999993</v>
      </c>
      <c r="AD766" s="6">
        <v>-0.16000000000000014</v>
      </c>
      <c r="AE766" s="6">
        <v>0.16000000000000014</v>
      </c>
    </row>
    <row r="767" spans="2:31" x14ac:dyDescent="0.25">
      <c r="B767" s="55"/>
      <c r="C767" s="55"/>
      <c r="D767" s="54" t="s">
        <v>1214</v>
      </c>
      <c r="E767" s="4" t="s">
        <v>1215</v>
      </c>
      <c r="F767" s="4" t="s">
        <v>51</v>
      </c>
      <c r="G767" s="4" t="s">
        <v>35</v>
      </c>
      <c r="H767" s="54" t="s">
        <v>36</v>
      </c>
      <c r="I767" s="52"/>
      <c r="J767" s="57">
        <v>4.8</v>
      </c>
      <c r="K767" s="52"/>
      <c r="L767" s="6">
        <v>4.4016000000000002</v>
      </c>
      <c r="M767" s="6">
        <v>0.91700000000000004</v>
      </c>
      <c r="N767" s="6">
        <v>4.6500000000000004</v>
      </c>
      <c r="O767" s="57">
        <v>4.2640500000000001</v>
      </c>
      <c r="P767" s="52"/>
      <c r="Q767" s="6">
        <v>0.91699999999999993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0.15</v>
      </c>
      <c r="AB767" s="6">
        <v>0.13755000000000001</v>
      </c>
      <c r="AC767" s="6">
        <v>0.91700000000000004</v>
      </c>
      <c r="AD767" s="6">
        <v>-0.14999999999999947</v>
      </c>
      <c r="AE767" s="6">
        <v>0.14999999999999947</v>
      </c>
    </row>
    <row r="768" spans="2:31" x14ac:dyDescent="0.25">
      <c r="B768" s="55"/>
      <c r="C768" s="56"/>
      <c r="D768" s="56"/>
      <c r="E768" s="4" t="s">
        <v>1216</v>
      </c>
      <c r="F768" s="4" t="s">
        <v>51</v>
      </c>
      <c r="G768" s="4" t="s">
        <v>35</v>
      </c>
      <c r="H768" s="54" t="s">
        <v>36</v>
      </c>
      <c r="I768" s="52"/>
      <c r="J768" s="57">
        <v>4.17</v>
      </c>
      <c r="K768" s="52"/>
      <c r="L768" s="6">
        <v>3.82389</v>
      </c>
      <c r="M768" s="6">
        <v>0.91700000000000004</v>
      </c>
      <c r="N768" s="6">
        <v>4.01</v>
      </c>
      <c r="O768" s="57">
        <v>3.6771699999999998</v>
      </c>
      <c r="P768" s="52"/>
      <c r="Q768" s="6">
        <v>0.91700000000000004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0.16</v>
      </c>
      <c r="AB768" s="6">
        <v>0.14671999999999999</v>
      </c>
      <c r="AC768" s="6">
        <v>0.91699999999999993</v>
      </c>
      <c r="AD768" s="6">
        <v>-0.16000000000000014</v>
      </c>
      <c r="AE768" s="6">
        <v>0.16000000000000014</v>
      </c>
    </row>
    <row r="769" spans="2:31" x14ac:dyDescent="0.25">
      <c r="B769" s="55"/>
      <c r="C769" s="58">
        <v>46183</v>
      </c>
      <c r="D769" s="4" t="s">
        <v>1217</v>
      </c>
      <c r="E769" s="4" t="s">
        <v>1218</v>
      </c>
      <c r="F769" s="4" t="s">
        <v>34</v>
      </c>
      <c r="G769" s="4" t="s">
        <v>35</v>
      </c>
      <c r="H769" s="54" t="s">
        <v>36</v>
      </c>
      <c r="I769" s="52"/>
      <c r="J769" s="57">
        <v>158.11000000000001</v>
      </c>
      <c r="K769" s="52"/>
      <c r="L769" s="6">
        <v>144.98687000000001</v>
      </c>
      <c r="M769" s="6">
        <v>0.91700000000000004</v>
      </c>
      <c r="N769" s="6">
        <v>147.09</v>
      </c>
      <c r="O769" s="57">
        <v>134.88153</v>
      </c>
      <c r="P769" s="52"/>
      <c r="Q769" s="6">
        <v>0.91699999999999993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11.02</v>
      </c>
      <c r="AB769" s="6">
        <v>10.10534</v>
      </c>
      <c r="AC769" s="6">
        <v>0.91700000000000004</v>
      </c>
      <c r="AD769" s="6">
        <v>-11.02000000000001</v>
      </c>
      <c r="AE769" s="6">
        <v>11.02000000000001</v>
      </c>
    </row>
    <row r="770" spans="2:31" x14ac:dyDescent="0.25">
      <c r="B770" s="55"/>
      <c r="C770" s="55"/>
      <c r="D770" s="4" t="s">
        <v>1219</v>
      </c>
      <c r="E770" s="4" t="s">
        <v>1220</v>
      </c>
      <c r="F770" s="4" t="s">
        <v>34</v>
      </c>
      <c r="G770" s="4" t="s">
        <v>35</v>
      </c>
      <c r="H770" s="54" t="s">
        <v>36</v>
      </c>
      <c r="I770" s="52"/>
      <c r="J770" s="57">
        <v>193.05</v>
      </c>
      <c r="K770" s="52"/>
      <c r="L770" s="6">
        <v>177.02685</v>
      </c>
      <c r="M770" s="6">
        <v>0.91699999999999993</v>
      </c>
      <c r="N770" s="6">
        <v>178.92</v>
      </c>
      <c r="O770" s="57">
        <v>164.06963999999999</v>
      </c>
      <c r="P770" s="52"/>
      <c r="Q770" s="6">
        <v>0.91700000000000004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14.13</v>
      </c>
      <c r="AB770" s="6">
        <v>12.95721</v>
      </c>
      <c r="AC770" s="6">
        <v>0.91699999999999993</v>
      </c>
      <c r="AD770" s="6">
        <v>-14.130000000000024</v>
      </c>
      <c r="AE770" s="6">
        <v>14.130000000000024</v>
      </c>
    </row>
    <row r="771" spans="2:31" x14ac:dyDescent="0.25">
      <c r="B771" s="55"/>
      <c r="C771" s="55"/>
      <c r="D771" s="4" t="s">
        <v>1221</v>
      </c>
      <c r="E771" s="4" t="s">
        <v>1222</v>
      </c>
      <c r="F771" s="4" t="s">
        <v>34</v>
      </c>
      <c r="G771" s="4" t="s">
        <v>35</v>
      </c>
      <c r="H771" s="54" t="s">
        <v>36</v>
      </c>
      <c r="I771" s="52"/>
      <c r="J771" s="57">
        <v>234.64</v>
      </c>
      <c r="K771" s="52"/>
      <c r="L771" s="6">
        <v>215.16488000000001</v>
      </c>
      <c r="M771" s="6">
        <v>0.91700000000000015</v>
      </c>
      <c r="N771" s="6">
        <v>215.21</v>
      </c>
      <c r="O771" s="57">
        <v>197.34756999999999</v>
      </c>
      <c r="P771" s="52"/>
      <c r="Q771" s="6">
        <v>0.91699999999999993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19.43</v>
      </c>
      <c r="AB771" s="6">
        <v>17.817309999999999</v>
      </c>
      <c r="AC771" s="6">
        <v>0.91699999999999993</v>
      </c>
      <c r="AD771" s="6">
        <v>-19.429999999999978</v>
      </c>
      <c r="AE771" s="6">
        <v>19.429999999999978</v>
      </c>
    </row>
    <row r="772" spans="2:31" x14ac:dyDescent="0.25">
      <c r="B772" s="55"/>
      <c r="C772" s="55"/>
      <c r="D772" s="54" t="s">
        <v>1223</v>
      </c>
      <c r="E772" s="4" t="s">
        <v>1224</v>
      </c>
      <c r="F772" s="4" t="s">
        <v>51</v>
      </c>
      <c r="G772" s="4" t="s">
        <v>35</v>
      </c>
      <c r="H772" s="54" t="s">
        <v>36</v>
      </c>
      <c r="I772" s="52"/>
      <c r="J772" s="57">
        <v>7.67</v>
      </c>
      <c r="K772" s="52"/>
      <c r="L772" s="6">
        <v>7.0333899999999998</v>
      </c>
      <c r="M772" s="6">
        <v>0.91700000000000004</v>
      </c>
      <c r="N772" s="6">
        <v>6.6</v>
      </c>
      <c r="O772" s="57">
        <v>6.0522</v>
      </c>
      <c r="P772" s="52"/>
      <c r="Q772" s="6">
        <v>0.91700000000000004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1.07</v>
      </c>
      <c r="AB772" s="6">
        <v>0.98119000000000001</v>
      </c>
      <c r="AC772" s="6">
        <v>0.91699999999999993</v>
      </c>
      <c r="AD772" s="6">
        <v>-1.0700000000000003</v>
      </c>
      <c r="AE772" s="6">
        <v>1.0700000000000003</v>
      </c>
    </row>
    <row r="773" spans="2:31" x14ac:dyDescent="0.25">
      <c r="B773" s="55"/>
      <c r="C773" s="55"/>
      <c r="D773" s="55"/>
      <c r="E773" s="4" t="s">
        <v>1225</v>
      </c>
      <c r="F773" s="4" t="s">
        <v>51</v>
      </c>
      <c r="G773" s="4" t="s">
        <v>35</v>
      </c>
      <c r="H773" s="54" t="s">
        <v>36</v>
      </c>
      <c r="I773" s="52"/>
      <c r="J773" s="57">
        <v>8.7899999999999991</v>
      </c>
      <c r="K773" s="52"/>
      <c r="L773" s="6">
        <v>8.0604300000000002</v>
      </c>
      <c r="M773" s="6">
        <v>0.91700000000000015</v>
      </c>
      <c r="N773" s="6">
        <v>8.4</v>
      </c>
      <c r="O773" s="57">
        <v>7.7027999999999999</v>
      </c>
      <c r="P773" s="52"/>
      <c r="Q773" s="6">
        <v>0.91699999999999993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0.39</v>
      </c>
      <c r="AB773" s="6">
        <v>0.35763</v>
      </c>
      <c r="AC773" s="6">
        <v>0.91699999999999993</v>
      </c>
      <c r="AD773" s="6">
        <v>-0.38999999999999879</v>
      </c>
      <c r="AE773" s="6">
        <v>0.38999999999999879</v>
      </c>
    </row>
    <row r="774" spans="2:31" x14ac:dyDescent="0.25">
      <c r="B774" s="55"/>
      <c r="C774" s="55"/>
      <c r="D774" s="55"/>
      <c r="E774" s="4" t="s">
        <v>1226</v>
      </c>
      <c r="F774" s="4" t="s">
        <v>51</v>
      </c>
      <c r="G774" s="4" t="s">
        <v>35</v>
      </c>
      <c r="H774" s="54" t="s">
        <v>36</v>
      </c>
      <c r="I774" s="52"/>
      <c r="J774" s="57">
        <v>7.08</v>
      </c>
      <c r="K774" s="52"/>
      <c r="L774" s="6">
        <v>6.4923599999999997</v>
      </c>
      <c r="M774" s="6">
        <v>0.91699999999999993</v>
      </c>
      <c r="N774" s="6">
        <v>6.74</v>
      </c>
      <c r="O774" s="57">
        <v>6.18058</v>
      </c>
      <c r="P774" s="52"/>
      <c r="Q774" s="6">
        <v>0.91699999999999993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0.34</v>
      </c>
      <c r="AB774" s="6">
        <v>0.31178</v>
      </c>
      <c r="AC774" s="6">
        <v>0.91699999999999993</v>
      </c>
      <c r="AD774" s="6">
        <v>-0.33999999999999986</v>
      </c>
      <c r="AE774" s="6">
        <v>0.33999999999999986</v>
      </c>
    </row>
    <row r="775" spans="2:31" x14ac:dyDescent="0.25">
      <c r="B775" s="55"/>
      <c r="C775" s="55"/>
      <c r="D775" s="55"/>
      <c r="E775" s="4" t="s">
        <v>1227</v>
      </c>
      <c r="F775" s="4" t="s">
        <v>51</v>
      </c>
      <c r="G775" s="4" t="s">
        <v>35</v>
      </c>
      <c r="H775" s="54" t="s">
        <v>36</v>
      </c>
      <c r="I775" s="52"/>
      <c r="J775" s="57">
        <v>4.0999999999999996</v>
      </c>
      <c r="K775" s="52"/>
      <c r="L775" s="6">
        <v>3.7597</v>
      </c>
      <c r="M775" s="6">
        <v>0.91700000000000004</v>
      </c>
      <c r="N775" s="6">
        <v>3.88</v>
      </c>
      <c r="O775" s="57">
        <v>3.55796</v>
      </c>
      <c r="P775" s="52"/>
      <c r="Q775" s="6">
        <v>0.91700000000000004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0.22</v>
      </c>
      <c r="AB775" s="6">
        <v>0.20174</v>
      </c>
      <c r="AC775" s="6">
        <v>0.91700000000000004</v>
      </c>
      <c r="AD775" s="6">
        <v>-0.21999999999999975</v>
      </c>
      <c r="AE775" s="6">
        <v>0.21999999999999975</v>
      </c>
    </row>
    <row r="776" spans="2:31" x14ac:dyDescent="0.25">
      <c r="B776" s="55"/>
      <c r="C776" s="55"/>
      <c r="D776" s="55"/>
      <c r="E776" s="4" t="s">
        <v>1228</v>
      </c>
      <c r="F776" s="4" t="s">
        <v>51</v>
      </c>
      <c r="G776" s="4" t="s">
        <v>35</v>
      </c>
      <c r="H776" s="54" t="s">
        <v>36</v>
      </c>
      <c r="I776" s="52"/>
      <c r="J776" s="57">
        <v>3.75</v>
      </c>
      <c r="K776" s="52"/>
      <c r="L776" s="6">
        <v>3.4387500000000002</v>
      </c>
      <c r="M776" s="6">
        <v>0.91700000000000004</v>
      </c>
      <c r="N776" s="6">
        <v>3.48</v>
      </c>
      <c r="O776" s="57">
        <v>3.19116</v>
      </c>
      <c r="P776" s="52"/>
      <c r="Q776" s="6">
        <v>0.91700000000000004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0.27</v>
      </c>
      <c r="AB776" s="6">
        <v>0.24759</v>
      </c>
      <c r="AC776" s="6">
        <v>0.91699999999999993</v>
      </c>
      <c r="AD776" s="6">
        <v>-0.27</v>
      </c>
      <c r="AE776" s="6">
        <v>0.27</v>
      </c>
    </row>
    <row r="777" spans="2:31" x14ac:dyDescent="0.25">
      <c r="B777" s="55"/>
      <c r="C777" s="55"/>
      <c r="D777" s="55"/>
      <c r="E777" s="4" t="s">
        <v>1229</v>
      </c>
      <c r="F777" s="4" t="s">
        <v>51</v>
      </c>
      <c r="G777" s="4" t="s">
        <v>35</v>
      </c>
      <c r="H777" s="54" t="s">
        <v>36</v>
      </c>
      <c r="I777" s="52"/>
      <c r="J777" s="57">
        <v>5.63</v>
      </c>
      <c r="K777" s="52"/>
      <c r="L777" s="6">
        <v>5.1627099999999997</v>
      </c>
      <c r="M777" s="6">
        <v>0.91699999999999993</v>
      </c>
      <c r="N777" s="6">
        <v>5.3</v>
      </c>
      <c r="O777" s="57">
        <v>4.8601000000000001</v>
      </c>
      <c r="P777" s="52"/>
      <c r="Q777" s="6">
        <v>0.91700000000000004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0.33</v>
      </c>
      <c r="AB777" s="6">
        <v>0.30260999999999999</v>
      </c>
      <c r="AC777" s="6">
        <v>0.91699999999999993</v>
      </c>
      <c r="AD777" s="6">
        <v>-0.33000000000000007</v>
      </c>
      <c r="AE777" s="6">
        <v>0.33000000000000007</v>
      </c>
    </row>
    <row r="778" spans="2:31" x14ac:dyDescent="0.25">
      <c r="B778" s="55"/>
      <c r="C778" s="55"/>
      <c r="D778" s="55"/>
      <c r="E778" s="4" t="s">
        <v>1230</v>
      </c>
      <c r="F778" s="4" t="s">
        <v>51</v>
      </c>
      <c r="G778" s="4" t="s">
        <v>35</v>
      </c>
      <c r="H778" s="54" t="s">
        <v>36</v>
      </c>
      <c r="I778" s="52"/>
      <c r="J778" s="57">
        <v>3.85</v>
      </c>
      <c r="K778" s="52"/>
      <c r="L778" s="6">
        <v>3.5304500000000001</v>
      </c>
      <c r="M778" s="6">
        <v>0.91700000000000004</v>
      </c>
      <c r="N778" s="6">
        <v>3.7</v>
      </c>
      <c r="O778" s="57">
        <v>3.3929</v>
      </c>
      <c r="P778" s="52"/>
      <c r="Q778" s="6">
        <v>0.91699999999999993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0.15</v>
      </c>
      <c r="AB778" s="6">
        <v>0.13755000000000001</v>
      </c>
      <c r="AC778" s="6">
        <v>0.91700000000000004</v>
      </c>
      <c r="AD778" s="6">
        <v>-0.14999999999999991</v>
      </c>
      <c r="AE778" s="6">
        <v>0.14999999999999991</v>
      </c>
    </row>
    <row r="779" spans="2:31" x14ac:dyDescent="0.25">
      <c r="B779" s="55"/>
      <c r="C779" s="55"/>
      <c r="D779" s="55"/>
      <c r="E779" s="4" t="s">
        <v>1231</v>
      </c>
      <c r="F779" s="4" t="s">
        <v>51</v>
      </c>
      <c r="G779" s="4" t="s">
        <v>35</v>
      </c>
      <c r="H779" s="54" t="s">
        <v>36</v>
      </c>
      <c r="I779" s="52"/>
      <c r="J779" s="57">
        <v>3.77</v>
      </c>
      <c r="K779" s="52"/>
      <c r="L779" s="6">
        <v>3.45709</v>
      </c>
      <c r="M779" s="6">
        <v>0.91700000000000004</v>
      </c>
      <c r="N779" s="6">
        <v>3.65</v>
      </c>
      <c r="O779" s="57">
        <v>3.3470499999999999</v>
      </c>
      <c r="P779" s="52"/>
      <c r="Q779" s="6">
        <v>0.91700000000000004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0.12</v>
      </c>
      <c r="AB779" s="6">
        <v>0.11004</v>
      </c>
      <c r="AC779" s="6">
        <v>0.91700000000000004</v>
      </c>
      <c r="AD779" s="6">
        <v>-0.12000000000000011</v>
      </c>
      <c r="AE779" s="6">
        <v>0.12000000000000011</v>
      </c>
    </row>
    <row r="780" spans="2:31" x14ac:dyDescent="0.25">
      <c r="B780" s="55"/>
      <c r="C780" s="55"/>
      <c r="D780" s="55"/>
      <c r="E780" s="4" t="s">
        <v>1232</v>
      </c>
      <c r="F780" s="4" t="s">
        <v>51</v>
      </c>
      <c r="G780" s="4" t="s">
        <v>35</v>
      </c>
      <c r="H780" s="54" t="s">
        <v>36</v>
      </c>
      <c r="I780" s="52"/>
      <c r="J780" s="57">
        <v>3.46</v>
      </c>
      <c r="K780" s="52"/>
      <c r="L780" s="6">
        <v>3.1728200000000002</v>
      </c>
      <c r="M780" s="6">
        <v>0.91700000000000004</v>
      </c>
      <c r="N780" s="6">
        <v>3.21</v>
      </c>
      <c r="O780" s="57">
        <v>2.9435699999999998</v>
      </c>
      <c r="P780" s="52"/>
      <c r="Q780" s="6">
        <v>0.91699999999999993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0.25</v>
      </c>
      <c r="AB780" s="6">
        <v>0.22925000000000001</v>
      </c>
      <c r="AC780" s="6">
        <v>0.91700000000000004</v>
      </c>
      <c r="AD780" s="6">
        <v>-0.25</v>
      </c>
      <c r="AE780" s="6">
        <v>0.25</v>
      </c>
    </row>
    <row r="781" spans="2:31" x14ac:dyDescent="0.25">
      <c r="B781" s="55"/>
      <c r="C781" s="55"/>
      <c r="D781" s="55"/>
      <c r="E781" s="4" t="s">
        <v>1233</v>
      </c>
      <c r="F781" s="4" t="s">
        <v>51</v>
      </c>
      <c r="G781" s="4" t="s">
        <v>35</v>
      </c>
      <c r="H781" s="54" t="s">
        <v>36</v>
      </c>
      <c r="I781" s="52"/>
      <c r="J781" s="57">
        <v>3.15</v>
      </c>
      <c r="K781" s="52"/>
      <c r="L781" s="6">
        <v>2.88855</v>
      </c>
      <c r="M781" s="6">
        <v>0.91700000000000004</v>
      </c>
      <c r="N781" s="6">
        <v>2.87</v>
      </c>
      <c r="O781" s="57">
        <v>2.6317900000000001</v>
      </c>
      <c r="P781" s="52"/>
      <c r="Q781" s="6">
        <v>0.91700000000000004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0.28000000000000003</v>
      </c>
      <c r="AB781" s="6">
        <v>0.25675999999999999</v>
      </c>
      <c r="AC781" s="6">
        <v>0.91699999999999982</v>
      </c>
      <c r="AD781" s="6">
        <v>-0.2799999999999998</v>
      </c>
      <c r="AE781" s="6">
        <v>0.2799999999999998</v>
      </c>
    </row>
    <row r="782" spans="2:31" x14ac:dyDescent="0.25">
      <c r="B782" s="55"/>
      <c r="C782" s="55"/>
      <c r="D782" s="55"/>
      <c r="E782" s="4" t="s">
        <v>1234</v>
      </c>
      <c r="F782" s="4" t="s">
        <v>51</v>
      </c>
      <c r="G782" s="4" t="s">
        <v>35</v>
      </c>
      <c r="H782" s="54" t="s">
        <v>36</v>
      </c>
      <c r="I782" s="52"/>
      <c r="J782" s="57">
        <v>5.05</v>
      </c>
      <c r="K782" s="52"/>
      <c r="L782" s="6">
        <v>4.6308499999999997</v>
      </c>
      <c r="M782" s="6">
        <v>0.91699999999999993</v>
      </c>
      <c r="N782" s="6">
        <v>4.9000000000000004</v>
      </c>
      <c r="O782" s="57">
        <v>4.4932999999999996</v>
      </c>
      <c r="P782" s="52"/>
      <c r="Q782" s="6">
        <v>0.91699999999999982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0.15</v>
      </c>
      <c r="AB782" s="6">
        <v>0.13755000000000001</v>
      </c>
      <c r="AC782" s="6">
        <v>0.91700000000000004</v>
      </c>
      <c r="AD782" s="6">
        <v>-0.14999999999999947</v>
      </c>
      <c r="AE782" s="6">
        <v>0.14999999999999947</v>
      </c>
    </row>
    <row r="783" spans="2:31" x14ac:dyDescent="0.25">
      <c r="B783" s="55"/>
      <c r="C783" s="55"/>
      <c r="D783" s="56"/>
      <c r="E783" s="4" t="s">
        <v>1235</v>
      </c>
      <c r="F783" s="4" t="s">
        <v>51</v>
      </c>
      <c r="G783" s="4" t="s">
        <v>35</v>
      </c>
      <c r="H783" s="54" t="s">
        <v>36</v>
      </c>
      <c r="I783" s="52"/>
      <c r="J783" s="57">
        <v>4.38</v>
      </c>
      <c r="K783" s="52"/>
      <c r="L783" s="6">
        <v>4.0164600000000004</v>
      </c>
      <c r="M783" s="6">
        <v>0.91700000000000015</v>
      </c>
      <c r="N783" s="6">
        <v>4.2</v>
      </c>
      <c r="O783" s="57">
        <v>3.8513999999999999</v>
      </c>
      <c r="P783" s="52"/>
      <c r="Q783" s="6">
        <v>0.91699999999999993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0.18</v>
      </c>
      <c r="AB783" s="6">
        <v>0.16506000000000001</v>
      </c>
      <c r="AC783" s="6">
        <v>0.91700000000000015</v>
      </c>
      <c r="AD783" s="6">
        <v>-0.17999999999999972</v>
      </c>
      <c r="AE783" s="6">
        <v>0.17999999999999972</v>
      </c>
    </row>
    <row r="784" spans="2:31" x14ac:dyDescent="0.25">
      <c r="B784" s="55"/>
      <c r="C784" s="55"/>
      <c r="D784" s="54" t="s">
        <v>1236</v>
      </c>
      <c r="E784" s="4" t="s">
        <v>1237</v>
      </c>
      <c r="F784" s="4" t="s">
        <v>51</v>
      </c>
      <c r="G784" s="4" t="s">
        <v>35</v>
      </c>
      <c r="H784" s="54" t="s">
        <v>36</v>
      </c>
      <c r="I784" s="52"/>
      <c r="J784" s="57">
        <v>7.64</v>
      </c>
      <c r="K784" s="52"/>
      <c r="L784" s="6">
        <v>7.0058800000000003</v>
      </c>
      <c r="M784" s="6">
        <v>0.91700000000000004</v>
      </c>
      <c r="N784" s="6">
        <v>7.03</v>
      </c>
      <c r="O784" s="57">
        <v>6.44651</v>
      </c>
      <c r="P784" s="52"/>
      <c r="Q784" s="6">
        <v>0.91699999999999993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0.61</v>
      </c>
      <c r="AB784" s="6">
        <v>0.55937000000000003</v>
      </c>
      <c r="AC784" s="6">
        <v>0.91700000000000004</v>
      </c>
      <c r="AD784" s="6">
        <v>-0.60999999999999943</v>
      </c>
      <c r="AE784" s="6">
        <v>0.60999999999999943</v>
      </c>
    </row>
    <row r="785" spans="2:31" x14ac:dyDescent="0.25">
      <c r="B785" s="55"/>
      <c r="C785" s="55"/>
      <c r="D785" s="55"/>
      <c r="E785" s="4" t="s">
        <v>1238</v>
      </c>
      <c r="F785" s="4" t="s">
        <v>51</v>
      </c>
      <c r="G785" s="4" t="s">
        <v>35</v>
      </c>
      <c r="H785" s="54" t="s">
        <v>36</v>
      </c>
      <c r="I785" s="52"/>
      <c r="J785" s="57">
        <v>6.58</v>
      </c>
      <c r="K785" s="52"/>
      <c r="L785" s="6">
        <v>6.0338599999999998</v>
      </c>
      <c r="M785" s="6">
        <v>0.91699999999999993</v>
      </c>
      <c r="N785" s="6">
        <v>6.29</v>
      </c>
      <c r="O785" s="57">
        <v>5.7679299999999998</v>
      </c>
      <c r="P785" s="52"/>
      <c r="Q785" s="6">
        <v>0.91699999999999993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0.28999999999999998</v>
      </c>
      <c r="AB785" s="6">
        <v>0.26593</v>
      </c>
      <c r="AC785" s="6">
        <v>0.91700000000000004</v>
      </c>
      <c r="AD785" s="6">
        <v>-0.29000000000000004</v>
      </c>
      <c r="AE785" s="6">
        <v>0.29000000000000004</v>
      </c>
    </row>
    <row r="786" spans="2:31" x14ac:dyDescent="0.25">
      <c r="B786" s="55"/>
      <c r="C786" s="55"/>
      <c r="D786" s="56"/>
      <c r="E786" s="4" t="s">
        <v>1239</v>
      </c>
      <c r="F786" s="4" t="s">
        <v>51</v>
      </c>
      <c r="G786" s="4" t="s">
        <v>35</v>
      </c>
      <c r="H786" s="54" t="s">
        <v>36</v>
      </c>
      <c r="I786" s="52"/>
      <c r="J786" s="57">
        <v>4.01</v>
      </c>
      <c r="K786" s="52"/>
      <c r="L786" s="6">
        <v>3.6771699999999998</v>
      </c>
      <c r="M786" s="6">
        <v>0.91700000000000004</v>
      </c>
      <c r="N786" s="6">
        <v>3.77</v>
      </c>
      <c r="O786" s="57">
        <v>3.45709</v>
      </c>
      <c r="P786" s="52"/>
      <c r="Q786" s="6">
        <v>0.91700000000000004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0.24</v>
      </c>
      <c r="AB786" s="6">
        <v>0.22008</v>
      </c>
      <c r="AC786" s="6">
        <v>0.91700000000000004</v>
      </c>
      <c r="AD786" s="6">
        <v>-0.23999999999999977</v>
      </c>
      <c r="AE786" s="6">
        <v>0.23999999999999977</v>
      </c>
    </row>
    <row r="787" spans="2:31" ht="20" x14ac:dyDescent="0.25">
      <c r="B787" s="55"/>
      <c r="C787" s="55"/>
      <c r="D787" s="4" t="s">
        <v>1240</v>
      </c>
      <c r="E787" s="4" t="s">
        <v>1170</v>
      </c>
      <c r="F787" s="4" t="s">
        <v>51</v>
      </c>
      <c r="G787" s="4" t="s">
        <v>35</v>
      </c>
      <c r="H787" s="54" t="s">
        <v>36</v>
      </c>
      <c r="I787" s="52"/>
      <c r="J787" s="57">
        <v>24.83</v>
      </c>
      <c r="K787" s="52"/>
      <c r="L787" s="6">
        <v>22.769110000000001</v>
      </c>
      <c r="M787" s="6">
        <v>0.91700000000000015</v>
      </c>
      <c r="N787" s="6">
        <v>24.72</v>
      </c>
      <c r="O787" s="57">
        <v>22.668240000000001</v>
      </c>
      <c r="P787" s="52"/>
      <c r="Q787" s="6">
        <v>0.91700000000000004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0.11</v>
      </c>
      <c r="AB787" s="6">
        <v>0.10087</v>
      </c>
      <c r="AC787" s="6">
        <v>0.91700000000000004</v>
      </c>
      <c r="AD787" s="6">
        <v>-0.10999999999999943</v>
      </c>
      <c r="AE787" s="6">
        <v>0.10999999999999943</v>
      </c>
    </row>
    <row r="788" spans="2:31" ht="20" x14ac:dyDescent="0.25">
      <c r="B788" s="55"/>
      <c r="C788" s="55"/>
      <c r="D788" s="4" t="s">
        <v>1241</v>
      </c>
      <c r="E788" s="4" t="s">
        <v>1242</v>
      </c>
      <c r="F788" s="4" t="s">
        <v>51</v>
      </c>
      <c r="G788" s="4" t="s">
        <v>35</v>
      </c>
      <c r="H788" s="54" t="s">
        <v>36</v>
      </c>
      <c r="I788" s="52"/>
      <c r="J788" s="57">
        <v>58.57</v>
      </c>
      <c r="K788" s="52"/>
      <c r="L788" s="6">
        <v>53.708689999999997</v>
      </c>
      <c r="M788" s="6">
        <v>0.91699999999999993</v>
      </c>
      <c r="N788" s="6">
        <v>58.55</v>
      </c>
      <c r="O788" s="57">
        <v>53.690350000000002</v>
      </c>
      <c r="P788" s="52"/>
      <c r="Q788" s="6">
        <v>0.91700000000000004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0.02</v>
      </c>
      <c r="AB788" s="6">
        <v>1.8339999999999999E-2</v>
      </c>
      <c r="AC788" s="6">
        <v>0.91699999999999993</v>
      </c>
      <c r="AD788" s="6">
        <v>-2.0000000000003126E-2</v>
      </c>
      <c r="AE788" s="6">
        <v>2.0000000000003126E-2</v>
      </c>
    </row>
    <row r="789" spans="2:31" ht="20" x14ac:dyDescent="0.25">
      <c r="B789" s="55"/>
      <c r="C789" s="55"/>
      <c r="D789" s="4" t="s">
        <v>1243</v>
      </c>
      <c r="E789" s="4" t="s">
        <v>1244</v>
      </c>
      <c r="F789" s="4" t="s">
        <v>51</v>
      </c>
      <c r="G789" s="4" t="s">
        <v>35</v>
      </c>
      <c r="H789" s="54" t="s">
        <v>36</v>
      </c>
      <c r="I789" s="52"/>
      <c r="J789" s="57">
        <v>9.08</v>
      </c>
      <c r="K789" s="52"/>
      <c r="L789" s="6">
        <v>8.3263599999999993</v>
      </c>
      <c r="M789" s="6">
        <v>0.91699999999999993</v>
      </c>
      <c r="N789" s="6">
        <v>8.32</v>
      </c>
      <c r="O789" s="57">
        <v>7.6294399999999998</v>
      </c>
      <c r="P789" s="52"/>
      <c r="Q789" s="6">
        <v>0.91699999999999993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0.76</v>
      </c>
      <c r="AB789" s="6">
        <v>0.69691999999999998</v>
      </c>
      <c r="AC789" s="6">
        <v>0.91699999999999993</v>
      </c>
      <c r="AD789" s="6">
        <v>-0.75999999999999979</v>
      </c>
      <c r="AE789" s="6">
        <v>0.75999999999999979</v>
      </c>
    </row>
    <row r="790" spans="2:31" ht="20" x14ac:dyDescent="0.25">
      <c r="B790" s="55"/>
      <c r="C790" s="55"/>
      <c r="D790" s="4" t="s">
        <v>1245</v>
      </c>
      <c r="E790" s="4" t="s">
        <v>1246</v>
      </c>
      <c r="F790" s="4" t="s">
        <v>51</v>
      </c>
      <c r="G790" s="4" t="s">
        <v>35</v>
      </c>
      <c r="H790" s="54" t="s">
        <v>36</v>
      </c>
      <c r="I790" s="52"/>
      <c r="J790" s="57">
        <v>101.89</v>
      </c>
      <c r="K790" s="52"/>
      <c r="L790" s="6">
        <v>93.433130000000006</v>
      </c>
      <c r="M790" s="6">
        <v>0.91700000000000004</v>
      </c>
      <c r="N790" s="6">
        <v>101.88</v>
      </c>
      <c r="O790" s="57">
        <v>93.423959999999994</v>
      </c>
      <c r="P790" s="52"/>
      <c r="Q790" s="6">
        <v>0.91699999999999993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0.01</v>
      </c>
      <c r="AB790" s="6">
        <v>9.1699999999999993E-3</v>
      </c>
      <c r="AC790" s="6">
        <v>0.91699999999999993</v>
      </c>
      <c r="AD790" s="6">
        <v>-1.0000000000005116E-2</v>
      </c>
      <c r="AE790" s="6">
        <v>1.0000000000005116E-2</v>
      </c>
    </row>
    <row r="791" spans="2:31" ht="20" x14ac:dyDescent="0.25">
      <c r="B791" s="55"/>
      <c r="C791" s="55"/>
      <c r="D791" s="4" t="s">
        <v>1247</v>
      </c>
      <c r="E791" s="4" t="s">
        <v>1248</v>
      </c>
      <c r="F791" s="4" t="s">
        <v>51</v>
      </c>
      <c r="G791" s="4" t="s">
        <v>35</v>
      </c>
      <c r="H791" s="54" t="s">
        <v>36</v>
      </c>
      <c r="I791" s="52"/>
      <c r="J791" s="57">
        <v>7.93</v>
      </c>
      <c r="K791" s="52"/>
      <c r="L791" s="6">
        <v>7.2718100000000003</v>
      </c>
      <c r="M791" s="6">
        <v>0.91700000000000004</v>
      </c>
      <c r="N791" s="6">
        <v>7.27</v>
      </c>
      <c r="O791" s="57">
        <v>6.6665900000000002</v>
      </c>
      <c r="P791" s="52"/>
      <c r="Q791" s="6">
        <v>0.91700000000000004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0.66</v>
      </c>
      <c r="AB791" s="6">
        <v>0.60521999999999998</v>
      </c>
      <c r="AC791" s="6">
        <v>0.91699999999999993</v>
      </c>
      <c r="AD791" s="6">
        <v>-0.66000000000000014</v>
      </c>
      <c r="AE791" s="6">
        <v>0.66000000000000014</v>
      </c>
    </row>
    <row r="792" spans="2:31" ht="20" x14ac:dyDescent="0.25">
      <c r="B792" s="55"/>
      <c r="C792" s="55"/>
      <c r="D792" s="4" t="s">
        <v>1249</v>
      </c>
      <c r="E792" s="4" t="s">
        <v>1250</v>
      </c>
      <c r="F792" s="4" t="s">
        <v>51</v>
      </c>
      <c r="G792" s="4" t="s">
        <v>35</v>
      </c>
      <c r="H792" s="54" t="s">
        <v>36</v>
      </c>
      <c r="I792" s="52"/>
      <c r="J792" s="57">
        <v>124.97</v>
      </c>
      <c r="K792" s="52"/>
      <c r="L792" s="6">
        <v>114.59748999999999</v>
      </c>
      <c r="M792" s="6">
        <v>0.91699999999999993</v>
      </c>
      <c r="N792" s="6">
        <v>124.95</v>
      </c>
      <c r="O792" s="57">
        <v>114.57915</v>
      </c>
      <c r="P792" s="52"/>
      <c r="Q792" s="6">
        <v>0.91699999999999993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0.02</v>
      </c>
      <c r="AB792" s="6">
        <v>1.8339999999999999E-2</v>
      </c>
      <c r="AC792" s="6">
        <v>0.91699999999999993</v>
      </c>
      <c r="AD792" s="6">
        <v>-1.9999999999996021E-2</v>
      </c>
      <c r="AE792" s="6">
        <v>1.9999999999996021E-2</v>
      </c>
    </row>
    <row r="793" spans="2:31" ht="20" x14ac:dyDescent="0.25">
      <c r="B793" s="55"/>
      <c r="C793" s="55"/>
      <c r="D793" s="4" t="s">
        <v>1251</v>
      </c>
      <c r="E793" s="4" t="s">
        <v>1252</v>
      </c>
      <c r="F793" s="4" t="s">
        <v>51</v>
      </c>
      <c r="G793" s="4" t="s">
        <v>35</v>
      </c>
      <c r="H793" s="54" t="s">
        <v>36</v>
      </c>
      <c r="I793" s="52"/>
      <c r="J793" s="57">
        <v>55.85</v>
      </c>
      <c r="K793" s="52"/>
      <c r="L793" s="6">
        <v>51.214449999999999</v>
      </c>
      <c r="M793" s="6">
        <v>0.91699999999999993</v>
      </c>
      <c r="N793" s="6">
        <v>55.85</v>
      </c>
      <c r="O793" s="57">
        <v>51.214449999999999</v>
      </c>
      <c r="P793" s="52"/>
      <c r="Q793" s="6">
        <v>0.91699999999999993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</row>
    <row r="794" spans="2:31" ht="20" x14ac:dyDescent="0.25">
      <c r="B794" s="55"/>
      <c r="C794" s="55"/>
      <c r="D794" s="4" t="s">
        <v>1253</v>
      </c>
      <c r="E794" s="4" t="s">
        <v>1254</v>
      </c>
      <c r="F794" s="4" t="s">
        <v>51</v>
      </c>
      <c r="G794" s="4" t="s">
        <v>35</v>
      </c>
      <c r="H794" s="54" t="s">
        <v>36</v>
      </c>
      <c r="I794" s="52"/>
      <c r="J794" s="57">
        <v>95.65</v>
      </c>
      <c r="K794" s="52"/>
      <c r="L794" s="6">
        <v>87.71105</v>
      </c>
      <c r="M794" s="6">
        <v>0.91699999999999993</v>
      </c>
      <c r="N794" s="6">
        <v>95.64</v>
      </c>
      <c r="O794" s="57">
        <v>87.701880000000003</v>
      </c>
      <c r="P794" s="52"/>
      <c r="Q794" s="6">
        <v>0.91700000000000004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0.01</v>
      </c>
      <c r="AB794" s="6">
        <v>9.1699999999999993E-3</v>
      </c>
      <c r="AC794" s="6">
        <v>0.91699999999999993</v>
      </c>
      <c r="AD794" s="6">
        <v>-1.0000000000005116E-2</v>
      </c>
      <c r="AE794" s="6">
        <v>1.0000000000005116E-2</v>
      </c>
    </row>
    <row r="795" spans="2:31" ht="20" x14ac:dyDescent="0.25">
      <c r="B795" s="55"/>
      <c r="C795" s="55"/>
      <c r="D795" s="4" t="s">
        <v>1255</v>
      </c>
      <c r="E795" s="4" t="s">
        <v>1256</v>
      </c>
      <c r="F795" s="4" t="s">
        <v>51</v>
      </c>
      <c r="G795" s="4" t="s">
        <v>35</v>
      </c>
      <c r="H795" s="54" t="s">
        <v>36</v>
      </c>
      <c r="I795" s="52"/>
      <c r="J795" s="57">
        <v>7.6</v>
      </c>
      <c r="K795" s="52"/>
      <c r="L795" s="6">
        <v>6.9691999999999998</v>
      </c>
      <c r="M795" s="6">
        <v>0.91700000000000004</v>
      </c>
      <c r="N795" s="6">
        <v>6.96</v>
      </c>
      <c r="O795" s="57">
        <v>6.38232</v>
      </c>
      <c r="P795" s="52"/>
      <c r="Q795" s="6">
        <v>0.91700000000000004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0.64</v>
      </c>
      <c r="AB795" s="6">
        <v>0.58687999999999996</v>
      </c>
      <c r="AC795" s="6">
        <v>0.91699999999999993</v>
      </c>
      <c r="AD795" s="6">
        <v>-0.63999999999999968</v>
      </c>
      <c r="AE795" s="6">
        <v>0.63999999999999968</v>
      </c>
    </row>
    <row r="796" spans="2:31" ht="20" x14ac:dyDescent="0.25">
      <c r="B796" s="55"/>
      <c r="C796" s="55"/>
      <c r="D796" s="4" t="s">
        <v>1257</v>
      </c>
      <c r="E796" s="4" t="s">
        <v>1258</v>
      </c>
      <c r="F796" s="4" t="s">
        <v>51</v>
      </c>
      <c r="G796" s="4" t="s">
        <v>35</v>
      </c>
      <c r="H796" s="54" t="s">
        <v>36</v>
      </c>
      <c r="I796" s="52"/>
      <c r="J796" s="57">
        <v>8.0299999999999994</v>
      </c>
      <c r="K796" s="52"/>
      <c r="L796" s="6">
        <v>7.3635099999999998</v>
      </c>
      <c r="M796" s="6">
        <v>0.91700000000000004</v>
      </c>
      <c r="N796" s="6">
        <v>7.6</v>
      </c>
      <c r="O796" s="57">
        <v>6.9691999999999998</v>
      </c>
      <c r="P796" s="52"/>
      <c r="Q796" s="6">
        <v>0.91700000000000004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0.43</v>
      </c>
      <c r="AB796" s="6">
        <v>0.39430999999999999</v>
      </c>
      <c r="AC796" s="6">
        <v>0.91700000000000004</v>
      </c>
      <c r="AD796" s="6">
        <v>-0.42999999999999972</v>
      </c>
      <c r="AE796" s="6">
        <v>0.42999999999999972</v>
      </c>
    </row>
    <row r="797" spans="2:31" ht="20" x14ac:dyDescent="0.25">
      <c r="B797" s="55"/>
      <c r="C797" s="55"/>
      <c r="D797" s="4" t="s">
        <v>1259</v>
      </c>
      <c r="E797" s="4" t="s">
        <v>1260</v>
      </c>
      <c r="F797" s="4" t="s">
        <v>51</v>
      </c>
      <c r="G797" s="4" t="s">
        <v>35</v>
      </c>
      <c r="H797" s="54" t="s">
        <v>36</v>
      </c>
      <c r="I797" s="52"/>
      <c r="J797" s="57">
        <v>3.25</v>
      </c>
      <c r="K797" s="52"/>
      <c r="L797" s="6">
        <v>2.9802499999999998</v>
      </c>
      <c r="M797" s="6">
        <v>0.91699999999999993</v>
      </c>
      <c r="N797" s="6">
        <v>2.86</v>
      </c>
      <c r="O797" s="57">
        <v>2.62262</v>
      </c>
      <c r="P797" s="52"/>
      <c r="Q797" s="6">
        <v>0.91700000000000004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0.39</v>
      </c>
      <c r="AB797" s="6">
        <v>0.35763</v>
      </c>
      <c r="AC797" s="6">
        <v>0.91699999999999993</v>
      </c>
      <c r="AD797" s="6">
        <v>-0.39000000000000012</v>
      </c>
      <c r="AE797" s="6">
        <v>0.39000000000000012</v>
      </c>
    </row>
    <row r="798" spans="2:31" ht="20" x14ac:dyDescent="0.25">
      <c r="B798" s="55"/>
      <c r="C798" s="55"/>
      <c r="D798" s="4" t="s">
        <v>1261</v>
      </c>
      <c r="E798" s="4" t="s">
        <v>1262</v>
      </c>
      <c r="F798" s="4" t="s">
        <v>51</v>
      </c>
      <c r="G798" s="4" t="s">
        <v>35</v>
      </c>
      <c r="H798" s="54" t="s">
        <v>36</v>
      </c>
      <c r="I798" s="52"/>
      <c r="J798" s="57">
        <v>6.01</v>
      </c>
      <c r="K798" s="52"/>
      <c r="L798" s="6">
        <v>5.5111699999999999</v>
      </c>
      <c r="M798" s="6">
        <v>0.91700000000000004</v>
      </c>
      <c r="N798" s="6">
        <v>5.71</v>
      </c>
      <c r="O798" s="57">
        <v>5.2360699999999998</v>
      </c>
      <c r="P798" s="52"/>
      <c r="Q798" s="6">
        <v>0.91699999999999993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0.3</v>
      </c>
      <c r="AB798" s="6">
        <v>0.27510000000000001</v>
      </c>
      <c r="AC798" s="6">
        <v>0.91700000000000004</v>
      </c>
      <c r="AD798" s="6">
        <v>-0.29999999999999982</v>
      </c>
      <c r="AE798" s="6">
        <v>0.29999999999999982</v>
      </c>
    </row>
    <row r="799" spans="2:31" ht="20" x14ac:dyDescent="0.25">
      <c r="B799" s="55"/>
      <c r="C799" s="55"/>
      <c r="D799" s="4" t="s">
        <v>1263</v>
      </c>
      <c r="E799" s="4" t="s">
        <v>1264</v>
      </c>
      <c r="F799" s="4" t="s">
        <v>51</v>
      </c>
      <c r="G799" s="4" t="s">
        <v>35</v>
      </c>
      <c r="H799" s="54" t="s">
        <v>36</v>
      </c>
      <c r="I799" s="52"/>
      <c r="J799" s="57">
        <v>7.57</v>
      </c>
      <c r="K799" s="52"/>
      <c r="L799" s="6">
        <v>6.9416900000000004</v>
      </c>
      <c r="M799" s="6">
        <v>0.91700000000000004</v>
      </c>
      <c r="N799" s="6">
        <v>7.3</v>
      </c>
      <c r="O799" s="57">
        <v>6.6940999999999997</v>
      </c>
      <c r="P799" s="52"/>
      <c r="Q799" s="6">
        <v>0.91700000000000004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0.27</v>
      </c>
      <c r="AB799" s="6">
        <v>0.24759</v>
      </c>
      <c r="AC799" s="6">
        <v>0.91699999999999993</v>
      </c>
      <c r="AD799" s="6">
        <v>-0.27000000000000046</v>
      </c>
      <c r="AE799" s="6">
        <v>0.27000000000000046</v>
      </c>
    </row>
    <row r="800" spans="2:31" ht="20" x14ac:dyDescent="0.25">
      <c r="B800" s="55"/>
      <c r="C800" s="55"/>
      <c r="D800" s="4" t="s">
        <v>1265</v>
      </c>
      <c r="E800" s="4" t="s">
        <v>1266</v>
      </c>
      <c r="F800" s="4" t="s">
        <v>51</v>
      </c>
      <c r="G800" s="4" t="s">
        <v>35</v>
      </c>
      <c r="H800" s="54" t="s">
        <v>36</v>
      </c>
      <c r="I800" s="52"/>
      <c r="J800" s="57">
        <v>6.67</v>
      </c>
      <c r="K800" s="52"/>
      <c r="L800" s="6">
        <v>6.11639</v>
      </c>
      <c r="M800" s="6">
        <v>0.91700000000000004</v>
      </c>
      <c r="N800" s="6">
        <v>6.4</v>
      </c>
      <c r="O800" s="57">
        <v>5.8688000000000002</v>
      </c>
      <c r="P800" s="52"/>
      <c r="Q800" s="6">
        <v>0.91700000000000004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0.27</v>
      </c>
      <c r="AB800" s="6">
        <v>0.24759</v>
      </c>
      <c r="AC800" s="6">
        <v>0.91699999999999993</v>
      </c>
      <c r="AD800" s="6">
        <v>-0.26999999999999957</v>
      </c>
      <c r="AE800" s="6">
        <v>0.26999999999999957</v>
      </c>
    </row>
    <row r="801" spans="2:31" ht="20" x14ac:dyDescent="0.25">
      <c r="B801" s="55"/>
      <c r="C801" s="55"/>
      <c r="D801" s="4" t="s">
        <v>1267</v>
      </c>
      <c r="E801" s="4" t="s">
        <v>1268</v>
      </c>
      <c r="F801" s="4" t="s">
        <v>51</v>
      </c>
      <c r="G801" s="4" t="s">
        <v>35</v>
      </c>
      <c r="H801" s="54" t="s">
        <v>36</v>
      </c>
      <c r="I801" s="52"/>
      <c r="J801" s="57">
        <v>5.91</v>
      </c>
      <c r="K801" s="52"/>
      <c r="L801" s="6">
        <v>5.4194699999999996</v>
      </c>
      <c r="M801" s="6">
        <v>0.91699999999999993</v>
      </c>
      <c r="N801" s="6">
        <v>5.48</v>
      </c>
      <c r="O801" s="57">
        <v>5.0251599999999996</v>
      </c>
      <c r="P801" s="52"/>
      <c r="Q801" s="6">
        <v>0.91699999999999982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0.43</v>
      </c>
      <c r="AB801" s="6">
        <v>0.39430999999999999</v>
      </c>
      <c r="AC801" s="6">
        <v>0.91700000000000004</v>
      </c>
      <c r="AD801" s="6">
        <v>-0.42999999999999972</v>
      </c>
      <c r="AE801" s="6">
        <v>0.42999999999999972</v>
      </c>
    </row>
    <row r="802" spans="2:31" ht="20" x14ac:dyDescent="0.25">
      <c r="B802" s="55"/>
      <c r="C802" s="55"/>
      <c r="D802" s="4" t="s">
        <v>1269</v>
      </c>
      <c r="E802" s="4" t="s">
        <v>1270</v>
      </c>
      <c r="F802" s="4" t="s">
        <v>51</v>
      </c>
      <c r="G802" s="4" t="s">
        <v>35</v>
      </c>
      <c r="H802" s="54" t="s">
        <v>36</v>
      </c>
      <c r="I802" s="52"/>
      <c r="J802" s="57">
        <v>8.7799999999999994</v>
      </c>
      <c r="K802" s="52"/>
      <c r="L802" s="6">
        <v>8.0512599999999992</v>
      </c>
      <c r="M802" s="6">
        <v>0.91699999999999993</v>
      </c>
      <c r="N802" s="6">
        <v>8.14</v>
      </c>
      <c r="O802" s="57">
        <v>7.4643800000000002</v>
      </c>
      <c r="P802" s="52"/>
      <c r="Q802" s="6">
        <v>0.91699999999999993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0.64</v>
      </c>
      <c r="AB802" s="6">
        <v>0.58687999999999996</v>
      </c>
      <c r="AC802" s="6">
        <v>0.91699999999999993</v>
      </c>
      <c r="AD802" s="6">
        <v>-0.63999999999999879</v>
      </c>
      <c r="AE802" s="6">
        <v>0.63999999999999879</v>
      </c>
    </row>
    <row r="803" spans="2:31" x14ac:dyDescent="0.25">
      <c r="B803" s="55"/>
      <c r="C803" s="55"/>
      <c r="D803" s="54" t="s">
        <v>1271</v>
      </c>
      <c r="E803" s="4" t="s">
        <v>1272</v>
      </c>
      <c r="F803" s="4" t="s">
        <v>51</v>
      </c>
      <c r="G803" s="4" t="s">
        <v>35</v>
      </c>
      <c r="H803" s="54" t="s">
        <v>36</v>
      </c>
      <c r="I803" s="52"/>
      <c r="J803" s="57">
        <v>406.12</v>
      </c>
      <c r="K803" s="52"/>
      <c r="L803" s="6">
        <v>372.41203999999999</v>
      </c>
      <c r="M803" s="6">
        <v>0.91699999999999993</v>
      </c>
      <c r="N803" s="6">
        <v>370.2</v>
      </c>
      <c r="O803" s="57">
        <v>339.47340000000003</v>
      </c>
      <c r="P803" s="52"/>
      <c r="Q803" s="6">
        <v>0.91700000000000015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35.92</v>
      </c>
      <c r="AB803" s="6">
        <v>32.938639999999999</v>
      </c>
      <c r="AC803" s="6">
        <v>0.91699999999999993</v>
      </c>
      <c r="AD803" s="6">
        <v>-35.920000000000016</v>
      </c>
      <c r="AE803" s="6">
        <v>35.920000000000016</v>
      </c>
    </row>
    <row r="804" spans="2:31" x14ac:dyDescent="0.25">
      <c r="B804" s="55"/>
      <c r="C804" s="55"/>
      <c r="D804" s="55"/>
      <c r="E804" s="4" t="s">
        <v>1168</v>
      </c>
      <c r="F804" s="4" t="s">
        <v>51</v>
      </c>
      <c r="G804" s="4" t="s">
        <v>35</v>
      </c>
      <c r="H804" s="54" t="s">
        <v>36</v>
      </c>
      <c r="I804" s="52"/>
      <c r="J804" s="57">
        <v>15.62</v>
      </c>
      <c r="K804" s="52"/>
      <c r="L804" s="6">
        <v>14.323539999999999</v>
      </c>
      <c r="M804" s="6">
        <v>0.91700000000000004</v>
      </c>
      <c r="N804" s="6">
        <v>15.62</v>
      </c>
      <c r="O804" s="57">
        <v>14.323539999999999</v>
      </c>
      <c r="P804" s="52"/>
      <c r="Q804" s="6">
        <v>0.91700000000000004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</row>
    <row r="805" spans="2:31" x14ac:dyDescent="0.25">
      <c r="B805" s="55"/>
      <c r="C805" s="55"/>
      <c r="D805" s="56"/>
      <c r="E805" s="4" t="s">
        <v>1273</v>
      </c>
      <c r="F805" s="4" t="s">
        <v>51</v>
      </c>
      <c r="G805" s="4" t="s">
        <v>35</v>
      </c>
      <c r="H805" s="54" t="s">
        <v>48</v>
      </c>
      <c r="I805" s="52"/>
      <c r="J805" s="57">
        <v>4.96</v>
      </c>
      <c r="K805" s="52"/>
      <c r="L805" s="6">
        <v>3.72</v>
      </c>
      <c r="M805" s="6">
        <v>0.75</v>
      </c>
      <c r="N805" s="6">
        <v>4.6100000000000003</v>
      </c>
      <c r="O805" s="57">
        <v>3.4575</v>
      </c>
      <c r="P805" s="52"/>
      <c r="Q805" s="6">
        <v>0.75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0.35</v>
      </c>
      <c r="AB805" s="6">
        <v>0.26250000000000001</v>
      </c>
      <c r="AC805" s="6">
        <v>0.75000000000000011</v>
      </c>
      <c r="AD805" s="6">
        <v>-0.34999999999999964</v>
      </c>
      <c r="AE805" s="6">
        <v>0.34999999999999964</v>
      </c>
    </row>
    <row r="806" spans="2:31" x14ac:dyDescent="0.25">
      <c r="B806" s="55"/>
      <c r="C806" s="55"/>
      <c r="D806" s="54" t="s">
        <v>1274</v>
      </c>
      <c r="E806" s="4" t="s">
        <v>1275</v>
      </c>
      <c r="F806" s="4" t="s">
        <v>51</v>
      </c>
      <c r="G806" s="4" t="s">
        <v>35</v>
      </c>
      <c r="H806" s="54" t="s">
        <v>36</v>
      </c>
      <c r="I806" s="52"/>
      <c r="J806" s="57">
        <v>9.468</v>
      </c>
      <c r="K806" s="52"/>
      <c r="L806" s="6">
        <v>8.6821560000000009</v>
      </c>
      <c r="M806" s="6">
        <v>0.91700000000000015</v>
      </c>
      <c r="N806" s="6">
        <v>8.798</v>
      </c>
      <c r="O806" s="57">
        <v>8.0677660000000007</v>
      </c>
      <c r="P806" s="52"/>
      <c r="Q806" s="6">
        <v>0.91700000000000004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0.67</v>
      </c>
      <c r="AB806" s="6">
        <v>0.61438999999999999</v>
      </c>
      <c r="AC806" s="6">
        <v>0.91699999999999993</v>
      </c>
      <c r="AD806" s="6">
        <v>-0.67</v>
      </c>
      <c r="AE806" s="6">
        <v>0.67</v>
      </c>
    </row>
    <row r="807" spans="2:31" x14ac:dyDescent="0.25">
      <c r="B807" s="55"/>
      <c r="C807" s="55"/>
      <c r="D807" s="55"/>
      <c r="E807" s="4" t="s">
        <v>1276</v>
      </c>
      <c r="F807" s="4" t="s">
        <v>51</v>
      </c>
      <c r="G807" s="4" t="s">
        <v>35</v>
      </c>
      <c r="H807" s="54" t="s">
        <v>36</v>
      </c>
      <c r="I807" s="52"/>
      <c r="J807" s="57">
        <v>3.78</v>
      </c>
      <c r="K807" s="52"/>
      <c r="L807" s="6">
        <v>3.4662600000000001</v>
      </c>
      <c r="M807" s="6">
        <v>0.91700000000000004</v>
      </c>
      <c r="N807" s="6">
        <v>3.52</v>
      </c>
      <c r="O807" s="57">
        <v>3.22784</v>
      </c>
      <c r="P807" s="52"/>
      <c r="Q807" s="6">
        <v>0.91700000000000004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0.26</v>
      </c>
      <c r="AB807" s="6">
        <v>0.23841999999999999</v>
      </c>
      <c r="AC807" s="6">
        <v>0.91699999999999993</v>
      </c>
      <c r="AD807" s="6">
        <v>-0.25999999999999979</v>
      </c>
      <c r="AE807" s="6">
        <v>0.25999999999999979</v>
      </c>
    </row>
    <row r="808" spans="2:31" x14ac:dyDescent="0.25">
      <c r="B808" s="55"/>
      <c r="C808" s="55"/>
      <c r="D808" s="56"/>
      <c r="E808" s="4" t="s">
        <v>1277</v>
      </c>
      <c r="F808" s="4" t="s">
        <v>51</v>
      </c>
      <c r="G808" s="4" t="s">
        <v>35</v>
      </c>
      <c r="H808" s="54" t="s">
        <v>36</v>
      </c>
      <c r="I808" s="52"/>
      <c r="J808" s="57">
        <v>6.96</v>
      </c>
      <c r="K808" s="52"/>
      <c r="L808" s="6">
        <v>6.38232</v>
      </c>
      <c r="M808" s="6">
        <v>0.91700000000000004</v>
      </c>
      <c r="N808" s="6">
        <v>6.59</v>
      </c>
      <c r="O808" s="57">
        <v>6.0430299999999999</v>
      </c>
      <c r="P808" s="52"/>
      <c r="Q808" s="6">
        <v>0.91700000000000004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0.37</v>
      </c>
      <c r="AB808" s="6">
        <v>0.33928999999999998</v>
      </c>
      <c r="AC808" s="6">
        <v>0.91699999999999993</v>
      </c>
      <c r="AD808" s="6">
        <v>-0.37000000000000011</v>
      </c>
      <c r="AE808" s="6">
        <v>0.37000000000000011</v>
      </c>
    </row>
    <row r="809" spans="2:31" ht="20" x14ac:dyDescent="0.25">
      <c r="B809" s="55"/>
      <c r="C809" s="55"/>
      <c r="D809" s="4" t="s">
        <v>1278</v>
      </c>
      <c r="E809" s="4" t="s">
        <v>1170</v>
      </c>
      <c r="F809" s="4" t="s">
        <v>51</v>
      </c>
      <c r="G809" s="4" t="s">
        <v>35</v>
      </c>
      <c r="H809" s="54" t="s">
        <v>36</v>
      </c>
      <c r="I809" s="52"/>
      <c r="J809" s="57">
        <v>25.33</v>
      </c>
      <c r="K809" s="52"/>
      <c r="L809" s="6">
        <v>23.227609999999999</v>
      </c>
      <c r="M809" s="6">
        <v>0.91700000000000004</v>
      </c>
      <c r="N809" s="6">
        <v>25.07</v>
      </c>
      <c r="O809" s="57">
        <v>22.989190000000001</v>
      </c>
      <c r="P809" s="52"/>
      <c r="Q809" s="6">
        <v>0.91700000000000004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0.26</v>
      </c>
      <c r="AB809" s="6">
        <v>0.23841999999999999</v>
      </c>
      <c r="AC809" s="6">
        <v>0.91699999999999993</v>
      </c>
      <c r="AD809" s="6">
        <v>-0.25999999999999801</v>
      </c>
      <c r="AE809" s="6">
        <v>0.25999999999999801</v>
      </c>
    </row>
    <row r="810" spans="2:31" ht="20" x14ac:dyDescent="0.25">
      <c r="B810" s="55"/>
      <c r="C810" s="55"/>
      <c r="D810" s="4" t="s">
        <v>1279</v>
      </c>
      <c r="E810" s="4" t="s">
        <v>1280</v>
      </c>
      <c r="F810" s="4" t="s">
        <v>51</v>
      </c>
      <c r="G810" s="4" t="s">
        <v>35</v>
      </c>
      <c r="H810" s="54" t="s">
        <v>41</v>
      </c>
      <c r="I810" s="52"/>
      <c r="J810" s="57">
        <v>81.64</v>
      </c>
      <c r="K810" s="52"/>
      <c r="L810" s="6">
        <v>61.23</v>
      </c>
      <c r="M810" s="6">
        <v>0.75</v>
      </c>
      <c r="N810" s="6">
        <v>77.650000000000006</v>
      </c>
      <c r="O810" s="57">
        <v>58.237499999999997</v>
      </c>
      <c r="P810" s="52"/>
      <c r="Q810" s="6">
        <v>0.74999999999999989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3.99</v>
      </c>
      <c r="AB810" s="6">
        <v>2.9925000000000002</v>
      </c>
      <c r="AC810" s="6">
        <v>0.75</v>
      </c>
      <c r="AD810" s="6">
        <v>-3.9899999999999949</v>
      </c>
      <c r="AE810" s="6">
        <v>3.9899999999999949</v>
      </c>
    </row>
    <row r="811" spans="2:31" x14ac:dyDescent="0.25">
      <c r="B811" s="55"/>
      <c r="C811" s="55"/>
      <c r="D811" s="54" t="s">
        <v>1281</v>
      </c>
      <c r="E811" s="4" t="s">
        <v>1282</v>
      </c>
      <c r="F811" s="4" t="s">
        <v>51</v>
      </c>
      <c r="G811" s="4" t="s">
        <v>35</v>
      </c>
      <c r="H811" s="54" t="s">
        <v>36</v>
      </c>
      <c r="I811" s="52"/>
      <c r="J811" s="57">
        <v>17.059999999999999</v>
      </c>
      <c r="K811" s="52"/>
      <c r="L811" s="6">
        <v>15.644019999999999</v>
      </c>
      <c r="M811" s="6">
        <v>0.91700000000000004</v>
      </c>
      <c r="N811" s="6">
        <v>17</v>
      </c>
      <c r="O811" s="57">
        <v>15.589</v>
      </c>
      <c r="P811" s="52"/>
      <c r="Q811" s="6">
        <v>0.91700000000000004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0.06</v>
      </c>
      <c r="AB811" s="6">
        <v>5.5019999999999999E-2</v>
      </c>
      <c r="AC811" s="6">
        <v>0.91700000000000004</v>
      </c>
      <c r="AD811" s="6">
        <v>-5.9999999999998721E-2</v>
      </c>
      <c r="AE811" s="6">
        <v>5.9999999999998721E-2</v>
      </c>
    </row>
    <row r="812" spans="2:31" x14ac:dyDescent="0.25">
      <c r="B812" s="55"/>
      <c r="C812" s="55"/>
      <c r="D812" s="55"/>
      <c r="E812" s="4" t="s">
        <v>1283</v>
      </c>
      <c r="F812" s="4" t="s">
        <v>51</v>
      </c>
      <c r="G812" s="4" t="s">
        <v>35</v>
      </c>
      <c r="H812" s="54" t="s">
        <v>36</v>
      </c>
      <c r="I812" s="52"/>
      <c r="J812" s="57">
        <v>33.78</v>
      </c>
      <c r="K812" s="52"/>
      <c r="L812" s="6">
        <v>30.97626</v>
      </c>
      <c r="M812" s="6">
        <v>0.91699999999999993</v>
      </c>
      <c r="N812" s="6">
        <v>33.61</v>
      </c>
      <c r="O812" s="57">
        <v>30.82037</v>
      </c>
      <c r="P812" s="52"/>
      <c r="Q812" s="6">
        <v>0.91700000000000004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0.17</v>
      </c>
      <c r="AB812" s="6">
        <v>0.15589</v>
      </c>
      <c r="AC812" s="6">
        <v>0.91699999999999993</v>
      </c>
      <c r="AD812" s="6">
        <v>-0.17000000000000171</v>
      </c>
      <c r="AE812" s="6">
        <v>0.17000000000000171</v>
      </c>
    </row>
    <row r="813" spans="2:31" x14ac:dyDescent="0.25">
      <c r="B813" s="55"/>
      <c r="C813" s="55"/>
      <c r="D813" s="56"/>
      <c r="E813" s="4" t="s">
        <v>1284</v>
      </c>
      <c r="F813" s="4" t="s">
        <v>51</v>
      </c>
      <c r="G813" s="4" t="s">
        <v>35</v>
      </c>
      <c r="H813" s="54" t="s">
        <v>36</v>
      </c>
      <c r="I813" s="52"/>
      <c r="J813" s="57">
        <v>22.63</v>
      </c>
      <c r="K813" s="52"/>
      <c r="L813" s="6">
        <v>20.751709999999999</v>
      </c>
      <c r="M813" s="6">
        <v>0.91700000000000004</v>
      </c>
      <c r="N813" s="6">
        <v>20.29</v>
      </c>
      <c r="O813" s="57">
        <v>18.605930000000001</v>
      </c>
      <c r="P813" s="52"/>
      <c r="Q813" s="6">
        <v>0.91700000000000004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2.34</v>
      </c>
      <c r="AB813" s="6">
        <v>2.1457799999999998</v>
      </c>
      <c r="AC813" s="6">
        <v>0.91699999999999993</v>
      </c>
      <c r="AD813" s="6">
        <v>-2.34</v>
      </c>
      <c r="AE813" s="6">
        <v>2.34</v>
      </c>
    </row>
    <row r="814" spans="2:31" ht="20" x14ac:dyDescent="0.25">
      <c r="B814" s="55"/>
      <c r="C814" s="55"/>
      <c r="D814" s="4" t="s">
        <v>1285</v>
      </c>
      <c r="E814" s="4" t="s">
        <v>1286</v>
      </c>
      <c r="F814" s="4" t="s">
        <v>51</v>
      </c>
      <c r="G814" s="4" t="s">
        <v>35</v>
      </c>
      <c r="H814" s="54" t="s">
        <v>48</v>
      </c>
      <c r="I814" s="52"/>
      <c r="J814" s="57">
        <v>145.91</v>
      </c>
      <c r="K814" s="52"/>
      <c r="L814" s="6">
        <v>109.4325</v>
      </c>
      <c r="M814" s="6">
        <v>0.75</v>
      </c>
      <c r="N814" s="6">
        <v>140.38999999999999</v>
      </c>
      <c r="O814" s="57">
        <v>105.2925</v>
      </c>
      <c r="P814" s="52"/>
      <c r="Q814" s="6">
        <v>0.75000000000000011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5.52</v>
      </c>
      <c r="AB814" s="6">
        <v>4.1399999999999997</v>
      </c>
      <c r="AC814" s="6">
        <v>0.75</v>
      </c>
      <c r="AD814" s="6">
        <v>-5.5200000000000102</v>
      </c>
      <c r="AE814" s="6">
        <v>5.5200000000000102</v>
      </c>
    </row>
    <row r="815" spans="2:31" ht="20" x14ac:dyDescent="0.25">
      <c r="B815" s="55"/>
      <c r="C815" s="55"/>
      <c r="D815" s="4" t="s">
        <v>1287</v>
      </c>
      <c r="E815" s="4" t="s">
        <v>1288</v>
      </c>
      <c r="F815" s="4" t="s">
        <v>51</v>
      </c>
      <c r="G815" s="4" t="s">
        <v>35</v>
      </c>
      <c r="H815" s="54" t="s">
        <v>48</v>
      </c>
      <c r="I815" s="52"/>
      <c r="J815" s="57">
        <v>4.6399999999999997</v>
      </c>
      <c r="K815" s="52"/>
      <c r="L815" s="6">
        <v>3.48</v>
      </c>
      <c r="M815" s="6">
        <v>0.75</v>
      </c>
      <c r="N815" s="6">
        <v>4.3899999999999997</v>
      </c>
      <c r="O815" s="57">
        <v>3.2925</v>
      </c>
      <c r="P815" s="52"/>
      <c r="Q815" s="6">
        <v>0.75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0.25</v>
      </c>
      <c r="AB815" s="6">
        <v>0.1875</v>
      </c>
      <c r="AC815" s="6">
        <v>0.75</v>
      </c>
      <c r="AD815" s="6">
        <v>-0.25</v>
      </c>
      <c r="AE815" s="6">
        <v>0.25</v>
      </c>
    </row>
    <row r="816" spans="2:31" ht="20" x14ac:dyDescent="0.25">
      <c r="B816" s="55"/>
      <c r="C816" s="55"/>
      <c r="D816" s="4" t="s">
        <v>1289</v>
      </c>
      <c r="E816" s="4" t="s">
        <v>1290</v>
      </c>
      <c r="F816" s="4" t="s">
        <v>51</v>
      </c>
      <c r="G816" s="4" t="s">
        <v>35</v>
      </c>
      <c r="H816" s="54" t="s">
        <v>36</v>
      </c>
      <c r="I816" s="52"/>
      <c r="J816" s="57">
        <v>16.73</v>
      </c>
      <c r="K816" s="52"/>
      <c r="L816" s="6">
        <v>15.34141</v>
      </c>
      <c r="M816" s="6">
        <v>0.91699999999999993</v>
      </c>
      <c r="N816" s="6">
        <v>16</v>
      </c>
      <c r="O816" s="57">
        <v>14.672000000000001</v>
      </c>
      <c r="P816" s="52"/>
      <c r="Q816" s="6">
        <v>0.91700000000000004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0.73</v>
      </c>
      <c r="AB816" s="6">
        <v>0.66940999999999995</v>
      </c>
      <c r="AC816" s="6">
        <v>0.91699999999999993</v>
      </c>
      <c r="AD816" s="6">
        <v>-0.73000000000000043</v>
      </c>
      <c r="AE816" s="6">
        <v>0.73000000000000043</v>
      </c>
    </row>
    <row r="817" spans="2:31" ht="20" x14ac:dyDescent="0.25">
      <c r="B817" s="55"/>
      <c r="C817" s="55"/>
      <c r="D817" s="4" t="s">
        <v>1291</v>
      </c>
      <c r="E817" s="4" t="s">
        <v>1292</v>
      </c>
      <c r="F817" s="4" t="s">
        <v>51</v>
      </c>
      <c r="G817" s="4" t="s">
        <v>35</v>
      </c>
      <c r="H817" s="54" t="s">
        <v>36</v>
      </c>
      <c r="I817" s="52"/>
      <c r="J817" s="57">
        <v>26.31</v>
      </c>
      <c r="K817" s="52"/>
      <c r="L817" s="6">
        <v>24.126270000000002</v>
      </c>
      <c r="M817" s="6">
        <v>0.91700000000000015</v>
      </c>
      <c r="N817" s="6">
        <v>24.27</v>
      </c>
      <c r="O817" s="57">
        <v>22.255590000000002</v>
      </c>
      <c r="P817" s="52"/>
      <c r="Q817" s="6">
        <v>0.91700000000000004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2.04</v>
      </c>
      <c r="AB817" s="6">
        <v>1.8706799999999999</v>
      </c>
      <c r="AC817" s="6">
        <v>0.91699999999999993</v>
      </c>
      <c r="AD817" s="6">
        <v>-2.0399999999999991</v>
      </c>
      <c r="AE817" s="6">
        <v>2.0399999999999991</v>
      </c>
    </row>
    <row r="818" spans="2:31" ht="20" x14ac:dyDescent="0.25">
      <c r="B818" s="55"/>
      <c r="C818" s="55"/>
      <c r="D818" s="4" t="s">
        <v>1293</v>
      </c>
      <c r="E818" s="4" t="s">
        <v>1294</v>
      </c>
      <c r="F818" s="4" t="s">
        <v>51</v>
      </c>
      <c r="G818" s="4" t="s">
        <v>35</v>
      </c>
      <c r="H818" s="54" t="s">
        <v>41</v>
      </c>
      <c r="I818" s="52"/>
      <c r="J818" s="57">
        <v>38.08</v>
      </c>
      <c r="K818" s="52"/>
      <c r="L818" s="6">
        <v>28.56</v>
      </c>
      <c r="M818" s="6">
        <v>0.75</v>
      </c>
      <c r="N818" s="6">
        <v>35.75</v>
      </c>
      <c r="O818" s="57">
        <v>26.8125</v>
      </c>
      <c r="P818" s="52"/>
      <c r="Q818" s="6">
        <v>0.75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2.33</v>
      </c>
      <c r="AB818" s="6">
        <v>1.7475000000000001</v>
      </c>
      <c r="AC818" s="6">
        <v>0.75</v>
      </c>
      <c r="AD818" s="6">
        <v>-2.3299999999999983</v>
      </c>
      <c r="AE818" s="6">
        <v>2.3299999999999983</v>
      </c>
    </row>
    <row r="819" spans="2:31" ht="20" x14ac:dyDescent="0.25">
      <c r="B819" s="55"/>
      <c r="C819" s="55"/>
      <c r="D819" s="4" t="s">
        <v>1295</v>
      </c>
      <c r="E819" s="4" t="s">
        <v>1102</v>
      </c>
      <c r="F819" s="4" t="s">
        <v>51</v>
      </c>
      <c r="G819" s="4" t="s">
        <v>35</v>
      </c>
      <c r="H819" s="54" t="s">
        <v>41</v>
      </c>
      <c r="I819" s="52"/>
      <c r="J819" s="57">
        <v>30.85</v>
      </c>
      <c r="K819" s="52"/>
      <c r="L819" s="6">
        <v>23.137499999999999</v>
      </c>
      <c r="M819" s="6">
        <v>0.74999999999999989</v>
      </c>
      <c r="N819" s="6">
        <v>28.36</v>
      </c>
      <c r="O819" s="57">
        <v>21.27</v>
      </c>
      <c r="P819" s="52"/>
      <c r="Q819" s="6">
        <v>0.75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2.4900000000000002</v>
      </c>
      <c r="AB819" s="6">
        <v>1.8674999999999999</v>
      </c>
      <c r="AC819" s="6">
        <v>0.74999999999999989</v>
      </c>
      <c r="AD819" s="6">
        <v>-2.490000000000002</v>
      </c>
      <c r="AE819" s="6">
        <v>2.490000000000002</v>
      </c>
    </row>
    <row r="820" spans="2:31" x14ac:dyDescent="0.25">
      <c r="B820" s="55"/>
      <c r="C820" s="55"/>
      <c r="D820" s="54" t="s">
        <v>1296</v>
      </c>
      <c r="E820" s="4" t="s">
        <v>814</v>
      </c>
      <c r="F820" s="4" t="s">
        <v>51</v>
      </c>
      <c r="G820" s="4" t="s">
        <v>35</v>
      </c>
      <c r="H820" s="54" t="s">
        <v>41</v>
      </c>
      <c r="I820" s="52"/>
      <c r="J820" s="57">
        <v>40.01</v>
      </c>
      <c r="K820" s="52"/>
      <c r="L820" s="6">
        <v>30.0075</v>
      </c>
      <c r="M820" s="6">
        <v>0.75</v>
      </c>
      <c r="N820" s="6">
        <v>39.79</v>
      </c>
      <c r="O820" s="57">
        <v>29.842500000000001</v>
      </c>
      <c r="P820" s="52"/>
      <c r="Q820" s="6">
        <v>0.75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0.22</v>
      </c>
      <c r="AB820" s="6">
        <v>0.16500000000000001</v>
      </c>
      <c r="AC820" s="6">
        <v>0.75</v>
      </c>
      <c r="AD820" s="6">
        <v>-0.21999999999999886</v>
      </c>
      <c r="AE820" s="6">
        <v>0.21999999999999886</v>
      </c>
    </row>
    <row r="821" spans="2:31" x14ac:dyDescent="0.25">
      <c r="B821" s="55"/>
      <c r="C821" s="55"/>
      <c r="D821" s="56"/>
      <c r="E821" s="4" t="s">
        <v>1252</v>
      </c>
      <c r="F821" s="4" t="s">
        <v>51</v>
      </c>
      <c r="G821" s="4" t="s">
        <v>35</v>
      </c>
      <c r="H821" s="54" t="s">
        <v>36</v>
      </c>
      <c r="I821" s="52"/>
      <c r="J821" s="57">
        <v>55.84</v>
      </c>
      <c r="K821" s="52"/>
      <c r="L821" s="6">
        <v>51.205280000000002</v>
      </c>
      <c r="M821" s="6">
        <v>0.91699999999999993</v>
      </c>
      <c r="N821" s="6">
        <v>52.6</v>
      </c>
      <c r="O821" s="57">
        <v>48.234200000000001</v>
      </c>
      <c r="P821" s="52"/>
      <c r="Q821" s="6">
        <v>0.91700000000000004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3.24</v>
      </c>
      <c r="AB821" s="6">
        <v>2.9710800000000002</v>
      </c>
      <c r="AC821" s="6">
        <v>0.91700000000000004</v>
      </c>
      <c r="AD821" s="6">
        <v>-3.240000000000002</v>
      </c>
      <c r="AE821" s="6">
        <v>3.240000000000002</v>
      </c>
    </row>
    <row r="822" spans="2:31" ht="20" x14ac:dyDescent="0.25">
      <c r="B822" s="55"/>
      <c r="C822" s="55"/>
      <c r="D822" s="4" t="s">
        <v>1297</v>
      </c>
      <c r="E822" s="4" t="s">
        <v>1298</v>
      </c>
      <c r="F822" s="4" t="s">
        <v>51</v>
      </c>
      <c r="G822" s="4" t="s">
        <v>35</v>
      </c>
      <c r="H822" s="54" t="s">
        <v>36</v>
      </c>
      <c r="I822" s="52"/>
      <c r="J822" s="57">
        <v>21</v>
      </c>
      <c r="K822" s="52"/>
      <c r="L822" s="6">
        <v>19.257000000000001</v>
      </c>
      <c r="M822" s="6">
        <v>0.91700000000000004</v>
      </c>
      <c r="N822" s="6">
        <v>18.88</v>
      </c>
      <c r="O822" s="57">
        <v>17.31296</v>
      </c>
      <c r="P822" s="52"/>
      <c r="Q822" s="6">
        <v>0.91700000000000004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2.12</v>
      </c>
      <c r="AB822" s="6">
        <v>1.94404</v>
      </c>
      <c r="AC822" s="6">
        <v>0.91699999999999993</v>
      </c>
      <c r="AD822" s="6">
        <v>-2.120000000000001</v>
      </c>
      <c r="AE822" s="6">
        <v>2.120000000000001</v>
      </c>
    </row>
    <row r="823" spans="2:31" ht="20" x14ac:dyDescent="0.25">
      <c r="B823" s="55"/>
      <c r="C823" s="55"/>
      <c r="D823" s="4" t="s">
        <v>1299</v>
      </c>
      <c r="E823" s="4" t="s">
        <v>1300</v>
      </c>
      <c r="F823" s="4" t="s">
        <v>51</v>
      </c>
      <c r="G823" s="4" t="s">
        <v>35</v>
      </c>
      <c r="H823" s="54" t="s">
        <v>36</v>
      </c>
      <c r="I823" s="52"/>
      <c r="J823" s="57">
        <v>66.91</v>
      </c>
      <c r="K823" s="52"/>
      <c r="L823" s="6">
        <v>61.356470000000002</v>
      </c>
      <c r="M823" s="6">
        <v>0.91700000000000004</v>
      </c>
      <c r="N823" s="6">
        <v>62.97</v>
      </c>
      <c r="O823" s="57">
        <v>57.743490000000001</v>
      </c>
      <c r="P823" s="52"/>
      <c r="Q823" s="6">
        <v>0.91700000000000004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3.94</v>
      </c>
      <c r="AB823" s="6">
        <v>3.6129799999999999</v>
      </c>
      <c r="AC823" s="6">
        <v>0.91699999999999993</v>
      </c>
      <c r="AD823" s="6">
        <v>-3.9399999999999977</v>
      </c>
      <c r="AE823" s="6">
        <v>3.9399999999999977</v>
      </c>
    </row>
    <row r="824" spans="2:31" x14ac:dyDescent="0.25">
      <c r="B824" s="55"/>
      <c r="C824" s="55"/>
      <c r="D824" s="54" t="s">
        <v>1301</v>
      </c>
      <c r="E824" s="4" t="s">
        <v>1302</v>
      </c>
      <c r="F824" s="4" t="s">
        <v>51</v>
      </c>
      <c r="G824" s="4" t="s">
        <v>35</v>
      </c>
      <c r="H824" s="54" t="s">
        <v>36</v>
      </c>
      <c r="I824" s="52"/>
      <c r="J824" s="57">
        <v>28.58</v>
      </c>
      <c r="K824" s="52"/>
      <c r="L824" s="6">
        <v>26.20786</v>
      </c>
      <c r="M824" s="6">
        <v>0.91700000000000004</v>
      </c>
      <c r="N824" s="6">
        <v>26.17</v>
      </c>
      <c r="O824" s="57">
        <v>23.997890000000002</v>
      </c>
      <c r="P824" s="52"/>
      <c r="Q824" s="6">
        <v>0.91700000000000004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2.41</v>
      </c>
      <c r="AB824" s="6">
        <v>2.2099700000000002</v>
      </c>
      <c r="AC824" s="6">
        <v>0.91700000000000004</v>
      </c>
      <c r="AD824" s="6">
        <v>-2.4099999999999966</v>
      </c>
      <c r="AE824" s="6">
        <v>2.4099999999999966</v>
      </c>
    </row>
    <row r="825" spans="2:31" x14ac:dyDescent="0.25">
      <c r="B825" s="55"/>
      <c r="C825" s="55"/>
      <c r="D825" s="56"/>
      <c r="E825" s="4" t="s">
        <v>1303</v>
      </c>
      <c r="F825" s="4" t="s">
        <v>51</v>
      </c>
      <c r="G825" s="4" t="s">
        <v>35</v>
      </c>
      <c r="H825" s="54" t="s">
        <v>36</v>
      </c>
      <c r="I825" s="52"/>
      <c r="J825" s="57">
        <v>30.35</v>
      </c>
      <c r="K825" s="52"/>
      <c r="L825" s="6">
        <v>27.830950000000001</v>
      </c>
      <c r="M825" s="6">
        <v>0.91700000000000004</v>
      </c>
      <c r="N825" s="6">
        <v>28.47</v>
      </c>
      <c r="O825" s="57">
        <v>26.10699</v>
      </c>
      <c r="P825" s="52"/>
      <c r="Q825" s="6">
        <v>0.91700000000000004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1.88</v>
      </c>
      <c r="AB825" s="6">
        <v>1.7239599999999999</v>
      </c>
      <c r="AC825" s="6">
        <v>0.91700000000000004</v>
      </c>
      <c r="AD825" s="6">
        <v>-1.8800000000000026</v>
      </c>
      <c r="AE825" s="6">
        <v>1.8800000000000026</v>
      </c>
    </row>
    <row r="826" spans="2:31" ht="20" x14ac:dyDescent="0.25">
      <c r="B826" s="55"/>
      <c r="C826" s="55"/>
      <c r="D826" s="4" t="s">
        <v>1304</v>
      </c>
      <c r="E826" s="4" t="s">
        <v>1305</v>
      </c>
      <c r="F826" s="4" t="s">
        <v>51</v>
      </c>
      <c r="G826" s="4" t="s">
        <v>35</v>
      </c>
      <c r="H826" s="54" t="s">
        <v>36</v>
      </c>
      <c r="I826" s="52"/>
      <c r="J826" s="57">
        <v>45.19</v>
      </c>
      <c r="K826" s="52"/>
      <c r="L826" s="6">
        <v>41.439230000000002</v>
      </c>
      <c r="M826" s="6">
        <v>0.91700000000000004</v>
      </c>
      <c r="N826" s="6">
        <v>41.5</v>
      </c>
      <c r="O826" s="57">
        <v>38.055500000000002</v>
      </c>
      <c r="P826" s="52"/>
      <c r="Q826" s="6">
        <v>0.91700000000000004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3.69</v>
      </c>
      <c r="AB826" s="6">
        <v>3.3837299999999999</v>
      </c>
      <c r="AC826" s="6">
        <v>0.91700000000000004</v>
      </c>
      <c r="AD826" s="6">
        <v>-3.6899999999999977</v>
      </c>
      <c r="AE826" s="6">
        <v>3.6899999999999977</v>
      </c>
    </row>
    <row r="827" spans="2:31" x14ac:dyDescent="0.25">
      <c r="B827" s="55"/>
      <c r="C827" s="55"/>
      <c r="D827" s="54" t="s">
        <v>1306</v>
      </c>
      <c r="E827" s="4" t="s">
        <v>1307</v>
      </c>
      <c r="F827" s="4" t="s">
        <v>51</v>
      </c>
      <c r="G827" s="4" t="s">
        <v>35</v>
      </c>
      <c r="H827" s="54" t="s">
        <v>36</v>
      </c>
      <c r="I827" s="52"/>
      <c r="J827" s="57">
        <v>28.86</v>
      </c>
      <c r="K827" s="52"/>
      <c r="L827" s="6">
        <v>26.46462</v>
      </c>
      <c r="M827" s="6">
        <v>0.91700000000000004</v>
      </c>
      <c r="N827" s="6">
        <v>26.99</v>
      </c>
      <c r="O827" s="57">
        <v>24.749829999999999</v>
      </c>
      <c r="P827" s="52"/>
      <c r="Q827" s="6">
        <v>0.91700000000000004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1.87</v>
      </c>
      <c r="AB827" s="6">
        <v>1.71479</v>
      </c>
      <c r="AC827" s="6">
        <v>0.91699999999999993</v>
      </c>
      <c r="AD827" s="6">
        <v>-1.870000000000001</v>
      </c>
      <c r="AE827" s="6">
        <v>1.870000000000001</v>
      </c>
    </row>
    <row r="828" spans="2:31" x14ac:dyDescent="0.25">
      <c r="B828" s="55"/>
      <c r="C828" s="55"/>
      <c r="D828" s="55"/>
      <c r="E828" s="4" t="s">
        <v>1308</v>
      </c>
      <c r="F828" s="4" t="s">
        <v>51</v>
      </c>
      <c r="G828" s="4" t="s">
        <v>35</v>
      </c>
      <c r="H828" s="54" t="s">
        <v>36</v>
      </c>
      <c r="I828" s="52"/>
      <c r="J828" s="57">
        <v>25.2</v>
      </c>
      <c r="K828" s="52"/>
      <c r="L828" s="6">
        <v>23.1084</v>
      </c>
      <c r="M828" s="6">
        <v>0.91700000000000004</v>
      </c>
      <c r="N828" s="6">
        <v>23.27</v>
      </c>
      <c r="O828" s="57">
        <v>21.33859</v>
      </c>
      <c r="P828" s="52"/>
      <c r="Q828" s="6">
        <v>0.91700000000000004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1.93</v>
      </c>
      <c r="AB828" s="6">
        <v>1.7698100000000001</v>
      </c>
      <c r="AC828" s="6">
        <v>0.91700000000000004</v>
      </c>
      <c r="AD828" s="6">
        <v>-1.9299999999999997</v>
      </c>
      <c r="AE828" s="6">
        <v>1.9299999999999997</v>
      </c>
    </row>
    <row r="829" spans="2:31" x14ac:dyDescent="0.25">
      <c r="B829" s="55"/>
      <c r="C829" s="55"/>
      <c r="D829" s="55"/>
      <c r="E829" s="4" t="s">
        <v>1309</v>
      </c>
      <c r="F829" s="4" t="s">
        <v>51</v>
      </c>
      <c r="G829" s="4" t="s">
        <v>35</v>
      </c>
      <c r="H829" s="54" t="s">
        <v>36</v>
      </c>
      <c r="I829" s="52"/>
      <c r="J829" s="57">
        <v>35.47</v>
      </c>
      <c r="K829" s="52"/>
      <c r="L829" s="6">
        <v>32.52599</v>
      </c>
      <c r="M829" s="6">
        <v>0.91700000000000004</v>
      </c>
      <c r="N829" s="6">
        <v>33.75</v>
      </c>
      <c r="O829" s="57">
        <v>30.94875</v>
      </c>
      <c r="P829" s="52"/>
      <c r="Q829" s="6">
        <v>0.91700000000000004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1.72</v>
      </c>
      <c r="AB829" s="6">
        <v>1.57724</v>
      </c>
      <c r="AC829" s="6">
        <v>0.91700000000000004</v>
      </c>
      <c r="AD829" s="6">
        <v>-1.7199999999999989</v>
      </c>
      <c r="AE829" s="6">
        <v>1.7199999999999989</v>
      </c>
    </row>
    <row r="830" spans="2:31" x14ac:dyDescent="0.25">
      <c r="B830" s="55"/>
      <c r="C830" s="55"/>
      <c r="D830" s="55"/>
      <c r="E830" s="4" t="s">
        <v>1242</v>
      </c>
      <c r="F830" s="4" t="s">
        <v>51</v>
      </c>
      <c r="G830" s="4" t="s">
        <v>35</v>
      </c>
      <c r="H830" s="54" t="s">
        <v>36</v>
      </c>
      <c r="I830" s="52"/>
      <c r="J830" s="57">
        <v>58.52</v>
      </c>
      <c r="K830" s="52"/>
      <c r="L830" s="6">
        <v>53.662840000000003</v>
      </c>
      <c r="M830" s="6">
        <v>0.91700000000000004</v>
      </c>
      <c r="N830" s="6">
        <v>55.13</v>
      </c>
      <c r="O830" s="57">
        <v>50.554209999999998</v>
      </c>
      <c r="P830" s="52"/>
      <c r="Q830" s="6">
        <v>0.91699999999999993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3.39</v>
      </c>
      <c r="AB830" s="6">
        <v>3.1086299999999998</v>
      </c>
      <c r="AC830" s="6">
        <v>0.91699999999999993</v>
      </c>
      <c r="AD830" s="6">
        <v>-3.3900000000000006</v>
      </c>
      <c r="AE830" s="6">
        <v>3.3900000000000006</v>
      </c>
    </row>
    <row r="831" spans="2:31" x14ac:dyDescent="0.25">
      <c r="B831" s="55"/>
      <c r="C831" s="55"/>
      <c r="D831" s="55"/>
      <c r="E831" s="4" t="s">
        <v>1250</v>
      </c>
      <c r="F831" s="4" t="s">
        <v>51</v>
      </c>
      <c r="G831" s="4" t="s">
        <v>35</v>
      </c>
      <c r="H831" s="54" t="s">
        <v>36</v>
      </c>
      <c r="I831" s="52"/>
      <c r="J831" s="57">
        <v>124.93</v>
      </c>
      <c r="K831" s="52"/>
      <c r="L831" s="6">
        <v>114.56081</v>
      </c>
      <c r="M831" s="6">
        <v>0.91699999999999993</v>
      </c>
      <c r="N831" s="6">
        <v>120.02</v>
      </c>
      <c r="O831" s="57">
        <v>110.05834</v>
      </c>
      <c r="P831" s="52"/>
      <c r="Q831" s="6">
        <v>0.91700000000000004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4.91</v>
      </c>
      <c r="AB831" s="6">
        <v>4.5024699999999998</v>
      </c>
      <c r="AC831" s="6">
        <v>0.91699999999999993</v>
      </c>
      <c r="AD831" s="6">
        <v>-4.9100000000000108</v>
      </c>
      <c r="AE831" s="6">
        <v>4.9100000000000108</v>
      </c>
    </row>
    <row r="832" spans="2:31" x14ac:dyDescent="0.25">
      <c r="B832" s="55"/>
      <c r="C832" s="55"/>
      <c r="D832" s="56"/>
      <c r="E832" s="4" t="s">
        <v>1254</v>
      </c>
      <c r="F832" s="4" t="s">
        <v>51</v>
      </c>
      <c r="G832" s="4" t="s">
        <v>35</v>
      </c>
      <c r="H832" s="54" t="s">
        <v>36</v>
      </c>
      <c r="I832" s="52"/>
      <c r="J832" s="57">
        <v>95.62</v>
      </c>
      <c r="K832" s="52"/>
      <c r="L832" s="6">
        <v>87.683539999999994</v>
      </c>
      <c r="M832" s="6">
        <v>0.91699999999999993</v>
      </c>
      <c r="N832" s="6">
        <v>89.32</v>
      </c>
      <c r="O832" s="57">
        <v>81.906440000000003</v>
      </c>
      <c r="P832" s="52"/>
      <c r="Q832" s="6">
        <v>0.91700000000000015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6.3</v>
      </c>
      <c r="AB832" s="6">
        <v>5.7770999999999999</v>
      </c>
      <c r="AC832" s="6">
        <v>0.91700000000000004</v>
      </c>
      <c r="AD832" s="6">
        <v>-6.3000000000000114</v>
      </c>
      <c r="AE832" s="6">
        <v>6.3000000000000114</v>
      </c>
    </row>
    <row r="833" spans="2:31" ht="20" x14ac:dyDescent="0.25">
      <c r="B833" s="55"/>
      <c r="C833" s="55"/>
      <c r="D833" s="4" t="s">
        <v>1310</v>
      </c>
      <c r="E833" s="4" t="s">
        <v>1311</v>
      </c>
      <c r="F833" s="4" t="s">
        <v>51</v>
      </c>
      <c r="G833" s="4" t="s">
        <v>35</v>
      </c>
      <c r="H833" s="54" t="s">
        <v>48</v>
      </c>
      <c r="I833" s="52"/>
      <c r="J833" s="57">
        <v>62.43</v>
      </c>
      <c r="K833" s="52"/>
      <c r="L833" s="6">
        <v>46.822499999999998</v>
      </c>
      <c r="M833" s="6">
        <v>0.75</v>
      </c>
      <c r="N833" s="6">
        <v>57.37</v>
      </c>
      <c r="O833" s="57">
        <v>43.027500000000003</v>
      </c>
      <c r="P833" s="52"/>
      <c r="Q833" s="6">
        <v>0.75000000000000011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5.0599999999999996</v>
      </c>
      <c r="AB833" s="6">
        <v>3.7949999999999999</v>
      </c>
      <c r="AC833" s="6">
        <v>0.75</v>
      </c>
      <c r="AD833" s="6">
        <v>-5.0600000000000023</v>
      </c>
      <c r="AE833" s="6">
        <v>5.0600000000000023</v>
      </c>
    </row>
    <row r="834" spans="2:31" ht="20" x14ac:dyDescent="0.25">
      <c r="B834" s="55"/>
      <c r="C834" s="55"/>
      <c r="D834" s="4" t="s">
        <v>1312</v>
      </c>
      <c r="E834" s="4" t="s">
        <v>1141</v>
      </c>
      <c r="F834" s="4" t="s">
        <v>51</v>
      </c>
      <c r="G834" s="4" t="s">
        <v>35</v>
      </c>
      <c r="H834" s="54" t="s">
        <v>41</v>
      </c>
      <c r="I834" s="52"/>
      <c r="J834" s="57">
        <v>331.15</v>
      </c>
      <c r="K834" s="52"/>
      <c r="L834" s="6">
        <v>248.36250000000001</v>
      </c>
      <c r="M834" s="6">
        <v>0.75000000000000011</v>
      </c>
      <c r="N834" s="6">
        <v>313.45</v>
      </c>
      <c r="O834" s="57">
        <v>235.08750000000001</v>
      </c>
      <c r="P834" s="52"/>
      <c r="Q834" s="6">
        <v>0.75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17.7</v>
      </c>
      <c r="AB834" s="6">
        <v>13.275</v>
      </c>
      <c r="AC834" s="6">
        <v>0.75</v>
      </c>
      <c r="AD834" s="6">
        <v>-17.699999999999989</v>
      </c>
      <c r="AE834" s="6">
        <v>17.699999999999989</v>
      </c>
    </row>
    <row r="835" spans="2:31" ht="20" x14ac:dyDescent="0.25">
      <c r="B835" s="55"/>
      <c r="C835" s="55"/>
      <c r="D835" s="4" t="s">
        <v>1313</v>
      </c>
      <c r="E835" s="4" t="s">
        <v>1314</v>
      </c>
      <c r="F835" s="4" t="s">
        <v>51</v>
      </c>
      <c r="G835" s="4" t="s">
        <v>35</v>
      </c>
      <c r="H835" s="54" t="s">
        <v>48</v>
      </c>
      <c r="I835" s="52"/>
      <c r="J835" s="57">
        <v>69.03</v>
      </c>
      <c r="K835" s="52"/>
      <c r="L835" s="6">
        <v>51.772500000000001</v>
      </c>
      <c r="M835" s="6">
        <v>0.75</v>
      </c>
      <c r="N835" s="6">
        <v>64.760000000000005</v>
      </c>
      <c r="O835" s="57">
        <v>48.57</v>
      </c>
      <c r="P835" s="52"/>
      <c r="Q835" s="6">
        <v>0.75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4.2699999999999996</v>
      </c>
      <c r="AB835" s="6">
        <v>3.2025000000000001</v>
      </c>
      <c r="AC835" s="6">
        <v>0.75000000000000011</v>
      </c>
      <c r="AD835" s="6">
        <v>-4.269999999999996</v>
      </c>
      <c r="AE835" s="6">
        <v>4.269999999999996</v>
      </c>
    </row>
    <row r="836" spans="2:31" ht="20" x14ac:dyDescent="0.25">
      <c r="B836" s="55"/>
      <c r="C836" s="55"/>
      <c r="D836" s="4" t="s">
        <v>1315</v>
      </c>
      <c r="E836" s="4" t="s">
        <v>1246</v>
      </c>
      <c r="F836" s="4" t="s">
        <v>51</v>
      </c>
      <c r="G836" s="4" t="s">
        <v>35</v>
      </c>
      <c r="H836" s="54" t="s">
        <v>36</v>
      </c>
      <c r="I836" s="52"/>
      <c r="J836" s="57">
        <v>101.85</v>
      </c>
      <c r="K836" s="52"/>
      <c r="L836" s="6">
        <v>93.396450000000002</v>
      </c>
      <c r="M836" s="6">
        <v>0.91700000000000004</v>
      </c>
      <c r="N836" s="6">
        <v>95.93</v>
      </c>
      <c r="O836" s="57">
        <v>87.96781</v>
      </c>
      <c r="P836" s="52"/>
      <c r="Q836" s="6">
        <v>0.91699999999999993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5.92</v>
      </c>
      <c r="AB836" s="6">
        <v>5.4286399999999997</v>
      </c>
      <c r="AC836" s="6">
        <v>0.91699999999999993</v>
      </c>
      <c r="AD836" s="6">
        <v>-5.9199999999999875</v>
      </c>
      <c r="AE836" s="6">
        <v>5.9199999999999875</v>
      </c>
    </row>
    <row r="837" spans="2:31" ht="20" x14ac:dyDescent="0.25">
      <c r="B837" s="55"/>
      <c r="C837" s="55"/>
      <c r="D837" s="4" t="s">
        <v>1316</v>
      </c>
      <c r="E837" s="4" t="s">
        <v>1317</v>
      </c>
      <c r="F837" s="4" t="s">
        <v>51</v>
      </c>
      <c r="G837" s="4" t="s">
        <v>35</v>
      </c>
      <c r="H837" s="54" t="s">
        <v>36</v>
      </c>
      <c r="I837" s="52"/>
      <c r="J837" s="57">
        <v>9.98</v>
      </c>
      <c r="K837" s="52"/>
      <c r="L837" s="6">
        <v>9.1516599999999997</v>
      </c>
      <c r="M837" s="6">
        <v>0.91699999999999993</v>
      </c>
      <c r="N837" s="6">
        <v>9.6999999999999993</v>
      </c>
      <c r="O837" s="57">
        <v>8.8948999999999998</v>
      </c>
      <c r="P837" s="52"/>
      <c r="Q837" s="6">
        <v>0.91700000000000004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0.28000000000000003</v>
      </c>
      <c r="AB837" s="6">
        <v>0.25675999999999999</v>
      </c>
      <c r="AC837" s="6">
        <v>0.91699999999999982</v>
      </c>
      <c r="AD837" s="6">
        <v>-0.28000000000000114</v>
      </c>
      <c r="AE837" s="6">
        <v>0.28000000000000114</v>
      </c>
    </row>
    <row r="838" spans="2:31" ht="20" x14ac:dyDescent="0.25">
      <c r="B838" s="55"/>
      <c r="C838" s="55"/>
      <c r="D838" s="4" t="s">
        <v>1318</v>
      </c>
      <c r="E838" s="4" t="s">
        <v>1319</v>
      </c>
      <c r="F838" s="4" t="s">
        <v>51</v>
      </c>
      <c r="G838" s="4" t="s">
        <v>35</v>
      </c>
      <c r="H838" s="54" t="s">
        <v>36</v>
      </c>
      <c r="I838" s="52"/>
      <c r="J838" s="57">
        <v>33.46</v>
      </c>
      <c r="K838" s="52"/>
      <c r="L838" s="6">
        <v>30.68282</v>
      </c>
      <c r="M838" s="6">
        <v>0.91699999999999993</v>
      </c>
      <c r="N838" s="6">
        <v>31.24</v>
      </c>
      <c r="O838" s="57">
        <v>28.647079999999999</v>
      </c>
      <c r="P838" s="52"/>
      <c r="Q838" s="6">
        <v>0.91700000000000004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2.2200000000000002</v>
      </c>
      <c r="AB838" s="6">
        <v>2.0357400000000001</v>
      </c>
      <c r="AC838" s="6">
        <v>0.91699999999999993</v>
      </c>
      <c r="AD838" s="6">
        <v>-2.2200000000000024</v>
      </c>
      <c r="AE838" s="6">
        <v>2.2200000000000024</v>
      </c>
    </row>
    <row r="839" spans="2:31" ht="20" x14ac:dyDescent="0.25">
      <c r="B839" s="55"/>
      <c r="C839" s="55"/>
      <c r="D839" s="4" t="s">
        <v>1320</v>
      </c>
      <c r="E839" s="4" t="s">
        <v>1321</v>
      </c>
      <c r="F839" s="4" t="s">
        <v>51</v>
      </c>
      <c r="G839" s="4" t="s">
        <v>35</v>
      </c>
      <c r="H839" s="54" t="s">
        <v>36</v>
      </c>
      <c r="I839" s="52"/>
      <c r="J839" s="57">
        <v>31.37</v>
      </c>
      <c r="K839" s="52"/>
      <c r="L839" s="6">
        <v>28.766290000000001</v>
      </c>
      <c r="M839" s="6">
        <v>0.91700000000000004</v>
      </c>
      <c r="N839" s="6">
        <v>29.19</v>
      </c>
      <c r="O839" s="57">
        <v>26.767230000000001</v>
      </c>
      <c r="P839" s="52"/>
      <c r="Q839" s="6">
        <v>0.91700000000000004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2.1800000000000002</v>
      </c>
      <c r="AB839" s="6">
        <v>1.9990600000000001</v>
      </c>
      <c r="AC839" s="6">
        <v>0.91699999999999993</v>
      </c>
      <c r="AD839" s="6">
        <v>-2.1799999999999997</v>
      </c>
      <c r="AE839" s="6">
        <v>2.1799999999999997</v>
      </c>
    </row>
    <row r="840" spans="2:31" ht="20" x14ac:dyDescent="0.25">
      <c r="B840" s="55"/>
      <c r="C840" s="55"/>
      <c r="D840" s="4" t="s">
        <v>1322</v>
      </c>
      <c r="E840" s="4" t="s">
        <v>1323</v>
      </c>
      <c r="F840" s="4" t="s">
        <v>51</v>
      </c>
      <c r="G840" s="4" t="s">
        <v>35</v>
      </c>
      <c r="H840" s="54" t="s">
        <v>36</v>
      </c>
      <c r="I840" s="52"/>
      <c r="J840" s="57">
        <v>8.64</v>
      </c>
      <c r="K840" s="52"/>
      <c r="L840" s="6">
        <v>7.9228800000000001</v>
      </c>
      <c r="M840" s="6">
        <v>0.91699999999999993</v>
      </c>
      <c r="N840" s="6">
        <v>8.18</v>
      </c>
      <c r="O840" s="57">
        <v>7.5010599999999998</v>
      </c>
      <c r="P840" s="52"/>
      <c r="Q840" s="6">
        <v>0.91700000000000004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0.46</v>
      </c>
      <c r="AB840" s="6">
        <v>0.42181999999999997</v>
      </c>
      <c r="AC840" s="6">
        <v>0.91699999999999993</v>
      </c>
      <c r="AD840" s="6">
        <v>-0.46000000000000085</v>
      </c>
      <c r="AE840" s="6">
        <v>0.46000000000000085</v>
      </c>
    </row>
    <row r="841" spans="2:31" ht="20" x14ac:dyDescent="0.25">
      <c r="B841" s="55"/>
      <c r="C841" s="55"/>
      <c r="D841" s="4" t="s">
        <v>1324</v>
      </c>
      <c r="E841" s="4" t="s">
        <v>1201</v>
      </c>
      <c r="F841" s="4" t="s">
        <v>51</v>
      </c>
      <c r="G841" s="4" t="s">
        <v>35</v>
      </c>
      <c r="H841" s="54" t="s">
        <v>36</v>
      </c>
      <c r="I841" s="52"/>
      <c r="J841" s="57">
        <v>35.83</v>
      </c>
      <c r="K841" s="52"/>
      <c r="L841" s="6">
        <v>32.856110000000001</v>
      </c>
      <c r="M841" s="6">
        <v>0.91700000000000004</v>
      </c>
      <c r="N841" s="6">
        <v>33.49</v>
      </c>
      <c r="O841" s="57">
        <v>30.710329999999999</v>
      </c>
      <c r="P841" s="52"/>
      <c r="Q841" s="6">
        <v>0.91699999999999993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2.34</v>
      </c>
      <c r="AB841" s="6">
        <v>2.1457799999999998</v>
      </c>
      <c r="AC841" s="6">
        <v>0.91699999999999993</v>
      </c>
      <c r="AD841" s="6">
        <v>-2.3399999999999963</v>
      </c>
      <c r="AE841" s="6">
        <v>2.3399999999999963</v>
      </c>
    </row>
    <row r="842" spans="2:31" x14ac:dyDescent="0.25">
      <c r="B842" s="55"/>
      <c r="C842" s="55"/>
      <c r="D842" s="54" t="s">
        <v>1325</v>
      </c>
      <c r="E842" s="4" t="s">
        <v>1326</v>
      </c>
      <c r="F842" s="4" t="s">
        <v>51</v>
      </c>
      <c r="G842" s="4" t="s">
        <v>35</v>
      </c>
      <c r="H842" s="54" t="s">
        <v>36</v>
      </c>
      <c r="I842" s="52"/>
      <c r="J842" s="57">
        <v>7.87</v>
      </c>
      <c r="K842" s="52"/>
      <c r="L842" s="6">
        <v>7.2167899999999996</v>
      </c>
      <c r="M842" s="6">
        <v>0.91699999999999993</v>
      </c>
      <c r="N842" s="6">
        <v>7.36</v>
      </c>
      <c r="O842" s="57">
        <v>6.7491199999999996</v>
      </c>
      <c r="P842" s="52"/>
      <c r="Q842" s="6">
        <v>0.91699999999999993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0.51</v>
      </c>
      <c r="AB842" s="6">
        <v>0.46766999999999997</v>
      </c>
      <c r="AC842" s="6">
        <v>0.91699999999999993</v>
      </c>
      <c r="AD842" s="6">
        <v>-0.50999999999999979</v>
      </c>
      <c r="AE842" s="6">
        <v>0.50999999999999979</v>
      </c>
    </row>
    <row r="843" spans="2:31" x14ac:dyDescent="0.25">
      <c r="B843" s="55"/>
      <c r="C843" s="55"/>
      <c r="D843" s="56"/>
      <c r="E843" s="4" t="s">
        <v>1327</v>
      </c>
      <c r="F843" s="4" t="s">
        <v>51</v>
      </c>
      <c r="G843" s="4" t="s">
        <v>35</v>
      </c>
      <c r="H843" s="54" t="s">
        <v>41</v>
      </c>
      <c r="I843" s="52"/>
      <c r="J843" s="57">
        <v>2.89</v>
      </c>
      <c r="K843" s="52"/>
      <c r="L843" s="6">
        <v>2.1675</v>
      </c>
      <c r="M843" s="6">
        <v>0.75</v>
      </c>
      <c r="N843" s="6">
        <v>2.68</v>
      </c>
      <c r="O843" s="57">
        <v>2.0099999999999998</v>
      </c>
      <c r="P843" s="52"/>
      <c r="Q843" s="6">
        <v>0.74999999999999989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0.21</v>
      </c>
      <c r="AB843" s="6">
        <v>0.1575</v>
      </c>
      <c r="AC843" s="6">
        <v>0.75</v>
      </c>
      <c r="AD843" s="6">
        <v>-0.20999999999999996</v>
      </c>
      <c r="AE843" s="6">
        <v>0.20999999999999996</v>
      </c>
    </row>
    <row r="844" spans="2:31" ht="20" x14ac:dyDescent="0.25">
      <c r="B844" s="55"/>
      <c r="C844" s="55"/>
      <c r="D844" s="4" t="s">
        <v>1328</v>
      </c>
      <c r="E844" s="4" t="s">
        <v>1329</v>
      </c>
      <c r="F844" s="4" t="s">
        <v>51</v>
      </c>
      <c r="G844" s="4" t="s">
        <v>35</v>
      </c>
      <c r="H844" s="54" t="s">
        <v>36</v>
      </c>
      <c r="I844" s="52"/>
      <c r="J844" s="57">
        <v>69.09</v>
      </c>
      <c r="K844" s="52"/>
      <c r="L844" s="6">
        <v>63.355530000000002</v>
      </c>
      <c r="M844" s="6">
        <v>0.91699999999999993</v>
      </c>
      <c r="N844" s="6">
        <v>63.91</v>
      </c>
      <c r="O844" s="57">
        <v>58.605469999999997</v>
      </c>
      <c r="P844" s="52"/>
      <c r="Q844" s="6">
        <v>0.91700000000000004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5.18</v>
      </c>
      <c r="AB844" s="6">
        <v>4.7500600000000004</v>
      </c>
      <c r="AC844" s="6">
        <v>0.91700000000000015</v>
      </c>
      <c r="AD844" s="6">
        <v>-5.1800000000000068</v>
      </c>
      <c r="AE844" s="6">
        <v>5.1800000000000068</v>
      </c>
    </row>
    <row r="845" spans="2:31" x14ac:dyDescent="0.25">
      <c r="B845" s="55"/>
      <c r="C845" s="55"/>
      <c r="D845" s="54" t="s">
        <v>1330</v>
      </c>
      <c r="E845" s="4" t="s">
        <v>1331</v>
      </c>
      <c r="F845" s="4" t="s">
        <v>51</v>
      </c>
      <c r="G845" s="4" t="s">
        <v>35</v>
      </c>
      <c r="H845" s="54" t="s">
        <v>36</v>
      </c>
      <c r="I845" s="52"/>
      <c r="J845" s="57">
        <v>6.85</v>
      </c>
      <c r="K845" s="52"/>
      <c r="L845" s="6">
        <v>6.2814500000000004</v>
      </c>
      <c r="M845" s="6">
        <v>0.91700000000000015</v>
      </c>
      <c r="N845" s="6">
        <v>6.28</v>
      </c>
      <c r="O845" s="57">
        <v>5.7587599999999997</v>
      </c>
      <c r="P845" s="52"/>
      <c r="Q845" s="6">
        <v>0.91699999999999993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0.56999999999999995</v>
      </c>
      <c r="AB845" s="6">
        <v>0.52268999999999999</v>
      </c>
      <c r="AC845" s="6">
        <v>0.91700000000000004</v>
      </c>
      <c r="AD845" s="6">
        <v>-0.5699999999999994</v>
      </c>
      <c r="AE845" s="6">
        <v>0.5699999999999994</v>
      </c>
    </row>
    <row r="846" spans="2:31" x14ac:dyDescent="0.25">
      <c r="B846" s="55"/>
      <c r="C846" s="55"/>
      <c r="D846" s="55"/>
      <c r="E846" s="4" t="s">
        <v>1332</v>
      </c>
      <c r="F846" s="4" t="s">
        <v>51</v>
      </c>
      <c r="G846" s="4" t="s">
        <v>35</v>
      </c>
      <c r="H846" s="54" t="s">
        <v>36</v>
      </c>
      <c r="I846" s="52"/>
      <c r="J846" s="57">
        <v>3.03</v>
      </c>
      <c r="K846" s="52"/>
      <c r="L846" s="6">
        <v>2.7785099999999998</v>
      </c>
      <c r="M846" s="6">
        <v>0.91700000000000004</v>
      </c>
      <c r="N846" s="6">
        <v>2.79</v>
      </c>
      <c r="O846" s="57">
        <v>2.55843</v>
      </c>
      <c r="P846" s="52"/>
      <c r="Q846" s="6">
        <v>0.91700000000000004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0.24</v>
      </c>
      <c r="AB846" s="6">
        <v>0.22008</v>
      </c>
      <c r="AC846" s="6">
        <v>0.91700000000000004</v>
      </c>
      <c r="AD846" s="6">
        <v>-0.23999999999999977</v>
      </c>
      <c r="AE846" s="6">
        <v>0.23999999999999977</v>
      </c>
    </row>
    <row r="847" spans="2:31" x14ac:dyDescent="0.25">
      <c r="B847" s="55"/>
      <c r="C847" s="55"/>
      <c r="D847" s="55"/>
      <c r="E847" s="4" t="s">
        <v>1333</v>
      </c>
      <c r="F847" s="4" t="s">
        <v>51</v>
      </c>
      <c r="G847" s="4" t="s">
        <v>35</v>
      </c>
      <c r="H847" s="54" t="s">
        <v>36</v>
      </c>
      <c r="I847" s="52"/>
      <c r="J847" s="57">
        <v>4.1500000000000004</v>
      </c>
      <c r="K847" s="52"/>
      <c r="L847" s="6">
        <v>3.8055500000000002</v>
      </c>
      <c r="M847" s="6">
        <v>0.91699999999999993</v>
      </c>
      <c r="N847" s="6">
        <v>3.89</v>
      </c>
      <c r="O847" s="57">
        <v>3.5671300000000001</v>
      </c>
      <c r="P847" s="52"/>
      <c r="Q847" s="6">
        <v>0.91700000000000004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0.26</v>
      </c>
      <c r="AB847" s="6">
        <v>0.23841999999999999</v>
      </c>
      <c r="AC847" s="6">
        <v>0.91699999999999993</v>
      </c>
      <c r="AD847" s="6">
        <v>-0.26000000000000023</v>
      </c>
      <c r="AE847" s="6">
        <v>0.26000000000000023</v>
      </c>
    </row>
    <row r="848" spans="2:31" x14ac:dyDescent="0.25">
      <c r="B848" s="55"/>
      <c r="C848" s="55"/>
      <c r="D848" s="55"/>
      <c r="E848" s="4" t="s">
        <v>1319</v>
      </c>
      <c r="F848" s="4" t="s">
        <v>51</v>
      </c>
      <c r="G848" s="4" t="s">
        <v>35</v>
      </c>
      <c r="H848" s="54" t="s">
        <v>36</v>
      </c>
      <c r="I848" s="52"/>
      <c r="J848" s="57">
        <v>31.24</v>
      </c>
      <c r="K848" s="52"/>
      <c r="L848" s="6">
        <v>28.647079999999999</v>
      </c>
      <c r="M848" s="6">
        <v>0.91700000000000004</v>
      </c>
      <c r="N848" s="6">
        <v>31.22</v>
      </c>
      <c r="O848" s="57">
        <v>28.628740000000001</v>
      </c>
      <c r="P848" s="52"/>
      <c r="Q848" s="6">
        <v>0.91700000000000004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0.02</v>
      </c>
      <c r="AB848" s="6">
        <v>1.8339999999999999E-2</v>
      </c>
      <c r="AC848" s="6">
        <v>0.91699999999999993</v>
      </c>
      <c r="AD848" s="6">
        <v>-1.9999999999999574E-2</v>
      </c>
      <c r="AE848" s="6">
        <v>1.9999999999999574E-2</v>
      </c>
    </row>
    <row r="849" spans="2:31" x14ac:dyDescent="0.25">
      <c r="B849" s="55"/>
      <c r="C849" s="55"/>
      <c r="D849" s="56"/>
      <c r="E849" s="4" t="s">
        <v>1334</v>
      </c>
      <c r="F849" s="4" t="s">
        <v>51</v>
      </c>
      <c r="G849" s="4" t="s">
        <v>35</v>
      </c>
      <c r="H849" s="54" t="s">
        <v>41</v>
      </c>
      <c r="I849" s="52"/>
      <c r="J849" s="57">
        <v>2.29</v>
      </c>
      <c r="K849" s="52"/>
      <c r="L849" s="6">
        <v>1.7175</v>
      </c>
      <c r="M849" s="6">
        <v>0.75</v>
      </c>
      <c r="N849" s="6">
        <v>2.09</v>
      </c>
      <c r="O849" s="57">
        <v>1.5674999999999999</v>
      </c>
      <c r="P849" s="52"/>
      <c r="Q849" s="6">
        <v>0.75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0.2</v>
      </c>
      <c r="AB849" s="6">
        <v>0.15</v>
      </c>
      <c r="AC849" s="6">
        <v>0.74999999999999989</v>
      </c>
      <c r="AD849" s="6">
        <v>-0.20000000000000018</v>
      </c>
      <c r="AE849" s="6">
        <v>0.20000000000000018</v>
      </c>
    </row>
    <row r="850" spans="2:31" x14ac:dyDescent="0.25">
      <c r="B850" s="55"/>
      <c r="C850" s="55"/>
      <c r="D850" s="54" t="s">
        <v>1335</v>
      </c>
      <c r="E850" s="4" t="s">
        <v>1336</v>
      </c>
      <c r="F850" s="4" t="s">
        <v>51</v>
      </c>
      <c r="G850" s="4" t="s">
        <v>35</v>
      </c>
      <c r="H850" s="54" t="s">
        <v>41</v>
      </c>
      <c r="I850" s="52"/>
      <c r="J850" s="57">
        <v>7.6</v>
      </c>
      <c r="K850" s="52"/>
      <c r="L850" s="6">
        <v>5.7</v>
      </c>
      <c r="M850" s="6">
        <v>0.75000000000000011</v>
      </c>
      <c r="N850" s="6">
        <v>7.03</v>
      </c>
      <c r="O850" s="57">
        <v>5.2725</v>
      </c>
      <c r="P850" s="52"/>
      <c r="Q850" s="6">
        <v>0.75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0.56999999999999995</v>
      </c>
      <c r="AB850" s="6">
        <v>0.42749999999999999</v>
      </c>
      <c r="AC850" s="6">
        <v>0.75</v>
      </c>
      <c r="AD850" s="6">
        <v>-0.5699999999999994</v>
      </c>
      <c r="AE850" s="6">
        <v>0.5699999999999994</v>
      </c>
    </row>
    <row r="851" spans="2:31" x14ac:dyDescent="0.25">
      <c r="B851" s="55"/>
      <c r="C851" s="55"/>
      <c r="D851" s="56"/>
      <c r="E851" s="4" t="s">
        <v>1337</v>
      </c>
      <c r="F851" s="4" t="s">
        <v>51</v>
      </c>
      <c r="G851" s="4" t="s">
        <v>35</v>
      </c>
      <c r="H851" s="54" t="s">
        <v>41</v>
      </c>
      <c r="I851" s="52"/>
      <c r="J851" s="57">
        <v>7.16</v>
      </c>
      <c r="K851" s="52"/>
      <c r="L851" s="6">
        <v>5.37</v>
      </c>
      <c r="M851" s="6">
        <v>0.75</v>
      </c>
      <c r="N851" s="6">
        <v>6.74</v>
      </c>
      <c r="O851" s="57">
        <v>5.0549999999999997</v>
      </c>
      <c r="P851" s="52"/>
      <c r="Q851" s="6">
        <v>0.74999999999999989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0.42</v>
      </c>
      <c r="AB851" s="6">
        <v>0.315</v>
      </c>
      <c r="AC851" s="6">
        <v>0.75</v>
      </c>
      <c r="AD851" s="6">
        <v>-0.41999999999999993</v>
      </c>
      <c r="AE851" s="6">
        <v>0.41999999999999993</v>
      </c>
    </row>
    <row r="852" spans="2:31" ht="20" x14ac:dyDescent="0.25">
      <c r="B852" s="55"/>
      <c r="C852" s="55"/>
      <c r="D852" s="4" t="s">
        <v>1338</v>
      </c>
      <c r="E852" s="4" t="s">
        <v>1339</v>
      </c>
      <c r="F852" s="4" t="s">
        <v>51</v>
      </c>
      <c r="G852" s="4" t="s">
        <v>35</v>
      </c>
      <c r="H852" s="54" t="s">
        <v>36</v>
      </c>
      <c r="I852" s="52"/>
      <c r="J852" s="57">
        <v>8.9499999999999993</v>
      </c>
      <c r="K852" s="52"/>
      <c r="L852" s="6">
        <v>8.2071500000000004</v>
      </c>
      <c r="M852" s="6">
        <v>0.91700000000000015</v>
      </c>
      <c r="N852" s="6">
        <v>8.42</v>
      </c>
      <c r="O852" s="57">
        <v>7.7211400000000001</v>
      </c>
      <c r="P852" s="52"/>
      <c r="Q852" s="6">
        <v>0.91700000000000004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0.53</v>
      </c>
      <c r="AB852" s="6">
        <v>0.48601</v>
      </c>
      <c r="AC852" s="6">
        <v>0.91699999999999993</v>
      </c>
      <c r="AD852" s="6">
        <v>-0.52999999999999936</v>
      </c>
      <c r="AE852" s="6">
        <v>0.52999999999999936</v>
      </c>
    </row>
    <row r="853" spans="2:31" ht="20" x14ac:dyDescent="0.25">
      <c r="B853" s="55"/>
      <c r="C853" s="55"/>
      <c r="D853" s="4" t="s">
        <v>1340</v>
      </c>
      <c r="E853" s="4" t="s">
        <v>1341</v>
      </c>
      <c r="F853" s="4" t="s">
        <v>51</v>
      </c>
      <c r="G853" s="4" t="s">
        <v>35</v>
      </c>
      <c r="H853" s="54" t="s">
        <v>41</v>
      </c>
      <c r="I853" s="52"/>
      <c r="J853" s="57">
        <v>10.8</v>
      </c>
      <c r="K853" s="52"/>
      <c r="L853" s="6">
        <v>8.1</v>
      </c>
      <c r="M853" s="6">
        <v>0.74999999999999989</v>
      </c>
      <c r="N853" s="6">
        <v>10.39</v>
      </c>
      <c r="O853" s="57">
        <v>7.7925000000000004</v>
      </c>
      <c r="P853" s="52"/>
      <c r="Q853" s="6">
        <v>0.75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0.41</v>
      </c>
      <c r="AB853" s="6">
        <v>0.3075</v>
      </c>
      <c r="AC853" s="6">
        <v>0.75</v>
      </c>
      <c r="AD853" s="6">
        <v>-0.41000000000000014</v>
      </c>
      <c r="AE853" s="6">
        <v>0.41000000000000014</v>
      </c>
    </row>
    <row r="854" spans="2:31" x14ac:dyDescent="0.25">
      <c r="B854" s="55"/>
      <c r="C854" s="55"/>
      <c r="D854" s="54" t="s">
        <v>1342</v>
      </c>
      <c r="E854" s="4" t="s">
        <v>1343</v>
      </c>
      <c r="F854" s="4" t="s">
        <v>51</v>
      </c>
      <c r="G854" s="4" t="s">
        <v>35</v>
      </c>
      <c r="H854" s="54" t="s">
        <v>48</v>
      </c>
      <c r="I854" s="52"/>
      <c r="J854" s="57">
        <v>3.4</v>
      </c>
      <c r="K854" s="52"/>
      <c r="L854" s="6">
        <v>2.5499999999999998</v>
      </c>
      <c r="M854" s="6">
        <v>0.75</v>
      </c>
      <c r="N854" s="6">
        <v>3.1</v>
      </c>
      <c r="O854" s="57">
        <v>2.3250000000000002</v>
      </c>
      <c r="P854" s="52"/>
      <c r="Q854" s="6">
        <v>0.75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0.3</v>
      </c>
      <c r="AB854" s="6">
        <v>0.22500000000000001</v>
      </c>
      <c r="AC854" s="6">
        <v>0.75</v>
      </c>
      <c r="AD854" s="6">
        <v>-0.29999999999999982</v>
      </c>
      <c r="AE854" s="6">
        <v>0.29999999999999982</v>
      </c>
    </row>
    <row r="855" spans="2:31" x14ac:dyDescent="0.25">
      <c r="B855" s="55"/>
      <c r="C855" s="55"/>
      <c r="D855" s="55"/>
      <c r="E855" s="4" t="s">
        <v>1344</v>
      </c>
      <c r="F855" s="4" t="s">
        <v>51</v>
      </c>
      <c r="G855" s="4" t="s">
        <v>35</v>
      </c>
      <c r="H855" s="54" t="s">
        <v>48</v>
      </c>
      <c r="I855" s="52"/>
      <c r="J855" s="57">
        <v>4.32</v>
      </c>
      <c r="K855" s="52"/>
      <c r="L855" s="6">
        <v>3.24</v>
      </c>
      <c r="M855" s="6">
        <v>0.75</v>
      </c>
      <c r="N855" s="6">
        <v>3.99</v>
      </c>
      <c r="O855" s="57">
        <v>2.9925000000000002</v>
      </c>
      <c r="P855" s="52"/>
      <c r="Q855" s="6">
        <v>0.75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0.33</v>
      </c>
      <c r="AB855" s="6">
        <v>0.2475</v>
      </c>
      <c r="AC855" s="6">
        <v>0.75</v>
      </c>
      <c r="AD855" s="6">
        <v>-0.33000000000000007</v>
      </c>
      <c r="AE855" s="6">
        <v>0.33000000000000007</v>
      </c>
    </row>
    <row r="856" spans="2:31" x14ac:dyDescent="0.25">
      <c r="B856" s="55"/>
      <c r="C856" s="56"/>
      <c r="D856" s="56"/>
      <c r="E856" s="4" t="s">
        <v>1345</v>
      </c>
      <c r="F856" s="4" t="s">
        <v>51</v>
      </c>
      <c r="G856" s="4" t="s">
        <v>35</v>
      </c>
      <c r="H856" s="54" t="s">
        <v>48</v>
      </c>
      <c r="I856" s="52"/>
      <c r="J856" s="57">
        <v>3.35</v>
      </c>
      <c r="K856" s="52"/>
      <c r="L856" s="6">
        <v>2.5125000000000002</v>
      </c>
      <c r="M856" s="6">
        <v>0.75</v>
      </c>
      <c r="N856" s="6">
        <v>3.13</v>
      </c>
      <c r="O856" s="57">
        <v>2.3475000000000001</v>
      </c>
      <c r="P856" s="52"/>
      <c r="Q856" s="6">
        <v>0.75000000000000011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0.22</v>
      </c>
      <c r="AB856" s="6">
        <v>0.16500000000000001</v>
      </c>
      <c r="AC856" s="6">
        <v>0.75</v>
      </c>
      <c r="AD856" s="6">
        <v>-0.2200000000000002</v>
      </c>
      <c r="AE856" s="6">
        <v>0.2200000000000002</v>
      </c>
    </row>
    <row r="857" spans="2:31" x14ac:dyDescent="0.25">
      <c r="B857" s="55"/>
      <c r="C857" s="58">
        <v>46184</v>
      </c>
      <c r="D857" s="4" t="s">
        <v>1346</v>
      </c>
      <c r="E857" s="4" t="s">
        <v>1347</v>
      </c>
      <c r="F857" s="4" t="s">
        <v>34</v>
      </c>
      <c r="G857" s="4" t="s">
        <v>35</v>
      </c>
      <c r="H857" s="54" t="s">
        <v>48</v>
      </c>
      <c r="I857" s="52"/>
      <c r="J857" s="57">
        <v>10.1</v>
      </c>
      <c r="K857" s="52"/>
      <c r="L857" s="6">
        <v>7.5750000000000002</v>
      </c>
      <c r="M857" s="6">
        <v>0.75</v>
      </c>
      <c r="N857" s="6">
        <v>9.4499999999999993</v>
      </c>
      <c r="O857" s="57">
        <v>7.0875000000000004</v>
      </c>
      <c r="P857" s="52"/>
      <c r="Q857" s="6">
        <v>0.75000000000000011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0.65</v>
      </c>
      <c r="AB857" s="6">
        <v>0.48749999999999999</v>
      </c>
      <c r="AC857" s="6">
        <v>0.75</v>
      </c>
      <c r="AD857" s="6">
        <v>-0.65000000000000036</v>
      </c>
      <c r="AE857" s="6">
        <v>0.65000000000000036</v>
      </c>
    </row>
    <row r="858" spans="2:31" x14ac:dyDescent="0.25">
      <c r="B858" s="55"/>
      <c r="C858" s="55"/>
      <c r="D858" s="4" t="s">
        <v>1348</v>
      </c>
      <c r="E858" s="4" t="s">
        <v>1349</v>
      </c>
      <c r="F858" s="4" t="s">
        <v>34</v>
      </c>
      <c r="G858" s="4" t="s">
        <v>35</v>
      </c>
      <c r="H858" s="54" t="s">
        <v>48</v>
      </c>
      <c r="I858" s="52"/>
      <c r="J858" s="57">
        <v>135.44</v>
      </c>
      <c r="K858" s="52"/>
      <c r="L858" s="6">
        <v>101.58</v>
      </c>
      <c r="M858" s="6">
        <v>0.75</v>
      </c>
      <c r="N858" s="6">
        <v>126.23</v>
      </c>
      <c r="O858" s="57">
        <v>94.672499999999999</v>
      </c>
      <c r="P858" s="52"/>
      <c r="Q858" s="6">
        <v>0.75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9.2100000000000009</v>
      </c>
      <c r="AB858" s="6">
        <v>6.9074999999999998</v>
      </c>
      <c r="AC858" s="6">
        <v>0.74999999999999989</v>
      </c>
      <c r="AD858" s="6">
        <v>-9.2099999999999937</v>
      </c>
      <c r="AE858" s="6">
        <v>9.2099999999999937</v>
      </c>
    </row>
    <row r="859" spans="2:31" x14ac:dyDescent="0.25">
      <c r="B859" s="55"/>
      <c r="C859" s="55"/>
      <c r="D859" s="4" t="s">
        <v>1350</v>
      </c>
      <c r="E859" s="4" t="s">
        <v>1351</v>
      </c>
      <c r="F859" s="4" t="s">
        <v>34</v>
      </c>
      <c r="G859" s="4" t="s">
        <v>35</v>
      </c>
      <c r="H859" s="54" t="s">
        <v>36</v>
      </c>
      <c r="I859" s="52"/>
      <c r="J859" s="57">
        <v>89.22</v>
      </c>
      <c r="K859" s="52"/>
      <c r="L859" s="6">
        <v>81.81474</v>
      </c>
      <c r="M859" s="6">
        <v>0.91700000000000004</v>
      </c>
      <c r="N859" s="6">
        <v>85.82</v>
      </c>
      <c r="O859" s="57">
        <v>78.696939999999998</v>
      </c>
      <c r="P859" s="52"/>
      <c r="Q859" s="6">
        <v>0.91700000000000004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3.4</v>
      </c>
      <c r="AB859" s="6">
        <v>3.1177999999999999</v>
      </c>
      <c r="AC859" s="6">
        <v>0.91700000000000004</v>
      </c>
      <c r="AD859" s="6">
        <v>-3.4000000000000057</v>
      </c>
      <c r="AE859" s="6">
        <v>3.4000000000000057</v>
      </c>
    </row>
    <row r="860" spans="2:31" ht="20" x14ac:dyDescent="0.25">
      <c r="B860" s="55"/>
      <c r="C860" s="55"/>
      <c r="D860" s="4" t="s">
        <v>1352</v>
      </c>
      <c r="E860" s="4" t="s">
        <v>1353</v>
      </c>
      <c r="F860" s="4" t="s">
        <v>51</v>
      </c>
      <c r="G860" s="4" t="s">
        <v>35</v>
      </c>
      <c r="H860" s="54" t="s">
        <v>48</v>
      </c>
      <c r="I860" s="52"/>
      <c r="J860" s="57">
        <v>18.68</v>
      </c>
      <c r="K860" s="52"/>
      <c r="L860" s="6">
        <v>14.01</v>
      </c>
      <c r="M860" s="6">
        <v>0.75</v>
      </c>
      <c r="N860" s="6">
        <v>17.28</v>
      </c>
      <c r="O860" s="57">
        <v>12.96</v>
      </c>
      <c r="P860" s="52"/>
      <c r="Q860" s="6">
        <v>0.75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1.4</v>
      </c>
      <c r="AB860" s="6">
        <v>1.05</v>
      </c>
      <c r="AC860" s="6">
        <v>0.75000000000000011</v>
      </c>
      <c r="AD860" s="6">
        <v>-1.3999999999999986</v>
      </c>
      <c r="AE860" s="6">
        <v>1.3999999999999986</v>
      </c>
    </row>
    <row r="861" spans="2:31" ht="20" x14ac:dyDescent="0.25">
      <c r="B861" s="55"/>
      <c r="C861" s="55"/>
      <c r="D861" s="4" t="s">
        <v>1354</v>
      </c>
      <c r="E861" s="4" t="s">
        <v>1355</v>
      </c>
      <c r="F861" s="4" t="s">
        <v>51</v>
      </c>
      <c r="G861" s="4" t="s">
        <v>35</v>
      </c>
      <c r="H861" s="54" t="s">
        <v>36</v>
      </c>
      <c r="I861" s="52"/>
      <c r="J861" s="57">
        <v>30.07</v>
      </c>
      <c r="K861" s="52"/>
      <c r="L861" s="6">
        <v>27.574190000000002</v>
      </c>
      <c r="M861" s="6">
        <v>0.91700000000000004</v>
      </c>
      <c r="N861" s="6">
        <v>27.74</v>
      </c>
      <c r="O861" s="57">
        <v>25.437580000000001</v>
      </c>
      <c r="P861" s="52"/>
      <c r="Q861" s="6">
        <v>0.91700000000000004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2.33</v>
      </c>
      <c r="AB861" s="6">
        <v>2.1366100000000001</v>
      </c>
      <c r="AC861" s="6">
        <v>0.91700000000000004</v>
      </c>
      <c r="AD861" s="6">
        <v>-2.3300000000000018</v>
      </c>
      <c r="AE861" s="6">
        <v>2.3300000000000018</v>
      </c>
    </row>
    <row r="862" spans="2:31" x14ac:dyDescent="0.25">
      <c r="B862" s="55"/>
      <c r="C862" s="55"/>
      <c r="D862" s="54" t="s">
        <v>1356</v>
      </c>
      <c r="E862" s="4" t="s">
        <v>1357</v>
      </c>
      <c r="F862" s="4" t="s">
        <v>51</v>
      </c>
      <c r="G862" s="4" t="s">
        <v>35</v>
      </c>
      <c r="H862" s="54" t="s">
        <v>36</v>
      </c>
      <c r="I862" s="52"/>
      <c r="J862" s="57">
        <v>35.020000000000003</v>
      </c>
      <c r="K862" s="52"/>
      <c r="L862" s="6">
        <v>32.113340000000001</v>
      </c>
      <c r="M862" s="6">
        <v>0.91699999999999993</v>
      </c>
      <c r="N862" s="6">
        <v>32.700000000000003</v>
      </c>
      <c r="O862" s="57">
        <v>29.985900000000001</v>
      </c>
      <c r="P862" s="52"/>
      <c r="Q862" s="6">
        <v>0.91699999999999993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2.3199999999999998</v>
      </c>
      <c r="AB862" s="6">
        <v>2.12744</v>
      </c>
      <c r="AC862" s="6">
        <v>0.91700000000000004</v>
      </c>
      <c r="AD862" s="6">
        <v>-2.3200000000000003</v>
      </c>
      <c r="AE862" s="6">
        <v>2.3200000000000003</v>
      </c>
    </row>
    <row r="863" spans="2:31" x14ac:dyDescent="0.25">
      <c r="B863" s="55"/>
      <c r="C863" s="55"/>
      <c r="D863" s="55"/>
      <c r="E863" s="4" t="s">
        <v>1358</v>
      </c>
      <c r="F863" s="4" t="s">
        <v>51</v>
      </c>
      <c r="G863" s="4" t="s">
        <v>35</v>
      </c>
      <c r="H863" s="54" t="s">
        <v>36</v>
      </c>
      <c r="I863" s="52"/>
      <c r="J863" s="57">
        <v>32.700000000000003</v>
      </c>
      <c r="K863" s="52"/>
      <c r="L863" s="6">
        <v>29.985900000000001</v>
      </c>
      <c r="M863" s="6">
        <v>0.91699999999999993</v>
      </c>
      <c r="N863" s="6">
        <v>30.97</v>
      </c>
      <c r="O863" s="57">
        <v>28.39949</v>
      </c>
      <c r="P863" s="52"/>
      <c r="Q863" s="6">
        <v>0.91700000000000004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1.73</v>
      </c>
      <c r="AB863" s="6">
        <v>1.5864100000000001</v>
      </c>
      <c r="AC863" s="6">
        <v>0.91700000000000004</v>
      </c>
      <c r="AD863" s="6">
        <v>-1.730000000000004</v>
      </c>
      <c r="AE863" s="6">
        <v>1.730000000000004</v>
      </c>
    </row>
    <row r="864" spans="2:31" x14ac:dyDescent="0.25">
      <c r="B864" s="55"/>
      <c r="C864" s="55"/>
      <c r="D864" s="56"/>
      <c r="E864" s="4" t="s">
        <v>1359</v>
      </c>
      <c r="F864" s="4" t="s">
        <v>51</v>
      </c>
      <c r="G864" s="4" t="s">
        <v>35</v>
      </c>
      <c r="H864" s="54" t="s">
        <v>48</v>
      </c>
      <c r="I864" s="52"/>
      <c r="J864" s="57">
        <v>9.7100000000000009</v>
      </c>
      <c r="K864" s="52"/>
      <c r="L864" s="6">
        <v>7.2824999999999998</v>
      </c>
      <c r="M864" s="6">
        <v>0.74999999999999989</v>
      </c>
      <c r="N864" s="6">
        <v>9.1199999999999992</v>
      </c>
      <c r="O864" s="57">
        <v>6.84</v>
      </c>
      <c r="P864" s="52"/>
      <c r="Q864" s="6">
        <v>0.75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0.59</v>
      </c>
      <c r="AB864" s="6">
        <v>0.4425</v>
      </c>
      <c r="AC864" s="6">
        <v>0.75</v>
      </c>
      <c r="AD864" s="6">
        <v>-0.59000000000000163</v>
      </c>
      <c r="AE864" s="6">
        <v>0.59000000000000163</v>
      </c>
    </row>
    <row r="865" spans="2:31" x14ac:dyDescent="0.25">
      <c r="B865" s="55"/>
      <c r="C865" s="55"/>
      <c r="D865" s="54" t="s">
        <v>1360</v>
      </c>
      <c r="E865" s="4" t="s">
        <v>1361</v>
      </c>
      <c r="F865" s="4" t="s">
        <v>51</v>
      </c>
      <c r="G865" s="4" t="s">
        <v>35</v>
      </c>
      <c r="H865" s="54" t="s">
        <v>36</v>
      </c>
      <c r="I865" s="52"/>
      <c r="J865" s="57">
        <v>3.97</v>
      </c>
      <c r="K865" s="52"/>
      <c r="L865" s="6">
        <v>3.6404899999999998</v>
      </c>
      <c r="M865" s="6">
        <v>0.91699999999999993</v>
      </c>
      <c r="N865" s="6">
        <v>3.74</v>
      </c>
      <c r="O865" s="57">
        <v>3.4295800000000001</v>
      </c>
      <c r="P865" s="52"/>
      <c r="Q865" s="6">
        <v>0.91699999999999993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0.23</v>
      </c>
      <c r="AB865" s="6">
        <v>0.21090999999999999</v>
      </c>
      <c r="AC865" s="6">
        <v>0.91699999999999993</v>
      </c>
      <c r="AD865" s="6">
        <v>-0.23</v>
      </c>
      <c r="AE865" s="6">
        <v>0.23</v>
      </c>
    </row>
    <row r="866" spans="2:31" x14ac:dyDescent="0.25">
      <c r="B866" s="55"/>
      <c r="C866" s="55"/>
      <c r="D866" s="56"/>
      <c r="E866" s="4" t="s">
        <v>1362</v>
      </c>
      <c r="F866" s="4" t="s">
        <v>51</v>
      </c>
      <c r="G866" s="4" t="s">
        <v>35</v>
      </c>
      <c r="H866" s="54" t="s">
        <v>48</v>
      </c>
      <c r="I866" s="52"/>
      <c r="J866" s="57">
        <v>5.94</v>
      </c>
      <c r="K866" s="52"/>
      <c r="L866" s="6">
        <v>4.4550000000000001</v>
      </c>
      <c r="M866" s="6">
        <v>0.75</v>
      </c>
      <c r="N866" s="6">
        <v>5.65</v>
      </c>
      <c r="O866" s="57">
        <v>4.2374999999999998</v>
      </c>
      <c r="P866" s="52"/>
      <c r="Q866" s="6">
        <v>0.74999999999999989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0.28999999999999998</v>
      </c>
      <c r="AB866" s="6">
        <v>0.2175</v>
      </c>
      <c r="AC866" s="6">
        <v>0.75</v>
      </c>
      <c r="AD866" s="6">
        <v>-0.29000000000000004</v>
      </c>
      <c r="AE866" s="6">
        <v>0.29000000000000004</v>
      </c>
    </row>
    <row r="867" spans="2:31" x14ac:dyDescent="0.25">
      <c r="B867" s="55"/>
      <c r="C867" s="55"/>
      <c r="D867" s="54" t="s">
        <v>1363</v>
      </c>
      <c r="E867" s="4" t="s">
        <v>1364</v>
      </c>
      <c r="F867" s="4" t="s">
        <v>51</v>
      </c>
      <c r="G867" s="4" t="s">
        <v>35</v>
      </c>
      <c r="H867" s="54" t="s">
        <v>48</v>
      </c>
      <c r="I867" s="52"/>
      <c r="J867" s="57">
        <v>30.08</v>
      </c>
      <c r="K867" s="52"/>
      <c r="L867" s="6">
        <v>22.56</v>
      </c>
      <c r="M867" s="6">
        <v>0.75</v>
      </c>
      <c r="N867" s="6">
        <v>26.81</v>
      </c>
      <c r="O867" s="57">
        <v>20.107500000000002</v>
      </c>
      <c r="P867" s="52"/>
      <c r="Q867" s="6">
        <v>0.75000000000000011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3.27</v>
      </c>
      <c r="AB867" s="6">
        <v>2.4525000000000001</v>
      </c>
      <c r="AC867" s="6">
        <v>0.75</v>
      </c>
      <c r="AD867" s="6">
        <v>-3.2699999999999996</v>
      </c>
      <c r="AE867" s="6">
        <v>3.2699999999999996</v>
      </c>
    </row>
    <row r="868" spans="2:31" x14ac:dyDescent="0.25">
      <c r="B868" s="55"/>
      <c r="C868" s="55"/>
      <c r="D868" s="55"/>
      <c r="E868" s="4" t="s">
        <v>1365</v>
      </c>
      <c r="F868" s="4" t="s">
        <v>51</v>
      </c>
      <c r="G868" s="4" t="s">
        <v>35</v>
      </c>
      <c r="H868" s="54" t="s">
        <v>48</v>
      </c>
      <c r="I868" s="52"/>
      <c r="J868" s="57">
        <v>37.22</v>
      </c>
      <c r="K868" s="52"/>
      <c r="L868" s="6">
        <v>27.914999999999999</v>
      </c>
      <c r="M868" s="6">
        <v>0.75</v>
      </c>
      <c r="N868" s="6">
        <v>34.4</v>
      </c>
      <c r="O868" s="57">
        <v>25.8</v>
      </c>
      <c r="P868" s="52"/>
      <c r="Q868" s="6">
        <v>0.75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2.82</v>
      </c>
      <c r="AB868" s="6">
        <v>2.1150000000000002</v>
      </c>
      <c r="AC868" s="6">
        <v>0.75000000000000011</v>
      </c>
      <c r="AD868" s="6">
        <v>-2.82</v>
      </c>
      <c r="AE868" s="6">
        <v>2.82</v>
      </c>
    </row>
    <row r="869" spans="2:31" x14ac:dyDescent="0.25">
      <c r="B869" s="55"/>
      <c r="C869" s="55"/>
      <c r="D869" s="56"/>
      <c r="E869" s="4" t="s">
        <v>1366</v>
      </c>
      <c r="F869" s="4" t="s">
        <v>51</v>
      </c>
      <c r="G869" s="4" t="s">
        <v>35</v>
      </c>
      <c r="H869" s="54" t="s">
        <v>36</v>
      </c>
      <c r="I869" s="52"/>
      <c r="J869" s="57">
        <v>22.3</v>
      </c>
      <c r="K869" s="52"/>
      <c r="L869" s="6">
        <v>20.449100000000001</v>
      </c>
      <c r="M869" s="6">
        <v>0.91700000000000004</v>
      </c>
      <c r="N869" s="6">
        <v>21.66</v>
      </c>
      <c r="O869" s="57">
        <v>19.862220000000001</v>
      </c>
      <c r="P869" s="52"/>
      <c r="Q869" s="6">
        <v>0.91700000000000004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0.64</v>
      </c>
      <c r="AB869" s="6">
        <v>0.58687999999999996</v>
      </c>
      <c r="AC869" s="6">
        <v>0.91699999999999993</v>
      </c>
      <c r="AD869" s="6">
        <v>-0.64000000000000057</v>
      </c>
      <c r="AE869" s="6">
        <v>0.64000000000000057</v>
      </c>
    </row>
    <row r="870" spans="2:31" ht="20" x14ac:dyDescent="0.25">
      <c r="B870" s="55"/>
      <c r="C870" s="55"/>
      <c r="D870" s="4" t="s">
        <v>1367</v>
      </c>
      <c r="E870" s="4" t="s">
        <v>1368</v>
      </c>
      <c r="F870" s="4" t="s">
        <v>51</v>
      </c>
      <c r="G870" s="4" t="s">
        <v>35</v>
      </c>
      <c r="H870" s="54" t="s">
        <v>36</v>
      </c>
      <c r="I870" s="52"/>
      <c r="J870" s="57">
        <v>47.3</v>
      </c>
      <c r="K870" s="52"/>
      <c r="L870" s="6">
        <v>43.374099999999999</v>
      </c>
      <c r="M870" s="6">
        <v>0.91700000000000004</v>
      </c>
      <c r="N870" s="6">
        <v>43.77</v>
      </c>
      <c r="O870" s="57">
        <v>40.137090000000001</v>
      </c>
      <c r="P870" s="52"/>
      <c r="Q870" s="6">
        <v>0.91699999999999993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3.53</v>
      </c>
      <c r="AB870" s="6">
        <v>3.2370100000000002</v>
      </c>
      <c r="AC870" s="6">
        <v>0.91700000000000015</v>
      </c>
      <c r="AD870" s="6">
        <v>-3.529999999999994</v>
      </c>
      <c r="AE870" s="6">
        <v>3.529999999999994</v>
      </c>
    </row>
    <row r="871" spans="2:31" ht="20" x14ac:dyDescent="0.25">
      <c r="B871" s="55"/>
      <c r="C871" s="55"/>
      <c r="D871" s="4" t="s">
        <v>1369</v>
      </c>
      <c r="E871" s="4" t="s">
        <v>1370</v>
      </c>
      <c r="F871" s="4" t="s">
        <v>51</v>
      </c>
      <c r="G871" s="4" t="s">
        <v>35</v>
      </c>
      <c r="H871" s="54" t="s">
        <v>41</v>
      </c>
      <c r="I871" s="52"/>
      <c r="J871" s="57">
        <v>259.82</v>
      </c>
      <c r="K871" s="52"/>
      <c r="L871" s="6">
        <v>194.86500000000001</v>
      </c>
      <c r="M871" s="6">
        <v>0.75</v>
      </c>
      <c r="N871" s="6">
        <v>259.42</v>
      </c>
      <c r="O871" s="57">
        <v>194.565</v>
      </c>
      <c r="P871" s="52"/>
      <c r="Q871" s="6">
        <v>0.75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0.4</v>
      </c>
      <c r="AB871" s="6">
        <v>0.3</v>
      </c>
      <c r="AC871" s="6">
        <v>0.74999999999999989</v>
      </c>
      <c r="AD871" s="6">
        <v>-0.39999999999997726</v>
      </c>
      <c r="AE871" s="6">
        <v>0.39999999999997726</v>
      </c>
    </row>
    <row r="872" spans="2:31" ht="20" x14ac:dyDescent="0.25">
      <c r="B872" s="55"/>
      <c r="C872" s="55"/>
      <c r="D872" s="4" t="s">
        <v>1371</v>
      </c>
      <c r="E872" s="4" t="s">
        <v>1142</v>
      </c>
      <c r="F872" s="4" t="s">
        <v>51</v>
      </c>
      <c r="G872" s="4" t="s">
        <v>35</v>
      </c>
      <c r="H872" s="54" t="s">
        <v>41</v>
      </c>
      <c r="I872" s="52"/>
      <c r="J872" s="57">
        <v>254.76</v>
      </c>
      <c r="K872" s="52"/>
      <c r="L872" s="6">
        <v>191.07</v>
      </c>
      <c r="M872" s="6">
        <v>0.75</v>
      </c>
      <c r="N872" s="6">
        <v>253.22</v>
      </c>
      <c r="O872" s="57">
        <v>189.91499999999999</v>
      </c>
      <c r="P872" s="52"/>
      <c r="Q872" s="6">
        <v>0.75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1.54</v>
      </c>
      <c r="AB872" s="6">
        <v>1.155</v>
      </c>
      <c r="AC872" s="6">
        <v>0.75</v>
      </c>
      <c r="AD872" s="6">
        <v>-1.539999999999992</v>
      </c>
      <c r="AE872" s="6">
        <v>1.539999999999992</v>
      </c>
    </row>
    <row r="873" spans="2:31" ht="20" x14ac:dyDescent="0.25">
      <c r="B873" s="55"/>
      <c r="C873" s="55"/>
      <c r="D873" s="4" t="s">
        <v>1372</v>
      </c>
      <c r="E873" s="4" t="s">
        <v>1161</v>
      </c>
      <c r="F873" s="4" t="s">
        <v>51</v>
      </c>
      <c r="G873" s="4" t="s">
        <v>35</v>
      </c>
      <c r="H873" s="54" t="s">
        <v>48</v>
      </c>
      <c r="I873" s="52"/>
      <c r="J873" s="57">
        <v>17.649999999999999</v>
      </c>
      <c r="K873" s="52"/>
      <c r="L873" s="6">
        <v>13.237500000000001</v>
      </c>
      <c r="M873" s="6">
        <v>0.75000000000000011</v>
      </c>
      <c r="N873" s="6">
        <v>17.47</v>
      </c>
      <c r="O873" s="57">
        <v>13.102499999999999</v>
      </c>
      <c r="P873" s="52"/>
      <c r="Q873" s="6">
        <v>0.75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0.18</v>
      </c>
      <c r="AB873" s="6">
        <v>0.13500000000000001</v>
      </c>
      <c r="AC873" s="6">
        <v>0.75000000000000011</v>
      </c>
      <c r="AD873" s="6">
        <v>-0.17999999999999972</v>
      </c>
      <c r="AE873" s="6">
        <v>0.17999999999999972</v>
      </c>
    </row>
    <row r="874" spans="2:31" ht="20" x14ac:dyDescent="0.25">
      <c r="B874" s="55"/>
      <c r="C874" s="55"/>
      <c r="D874" s="4" t="s">
        <v>1373</v>
      </c>
      <c r="E874" s="4" t="s">
        <v>1374</v>
      </c>
      <c r="F874" s="4" t="s">
        <v>51</v>
      </c>
      <c r="G874" s="4" t="s">
        <v>35</v>
      </c>
      <c r="H874" s="54" t="s">
        <v>36</v>
      </c>
      <c r="I874" s="52"/>
      <c r="J874" s="57">
        <v>10.69</v>
      </c>
      <c r="K874" s="52"/>
      <c r="L874" s="6">
        <v>9.8027300000000004</v>
      </c>
      <c r="M874" s="6">
        <v>0.91700000000000004</v>
      </c>
      <c r="N874" s="6">
        <v>9.9700000000000006</v>
      </c>
      <c r="O874" s="57">
        <v>9.1424900000000004</v>
      </c>
      <c r="P874" s="52"/>
      <c r="Q874" s="6">
        <v>0.91700000000000004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0.72</v>
      </c>
      <c r="AB874" s="6">
        <v>0.66024000000000005</v>
      </c>
      <c r="AC874" s="6">
        <v>0.91700000000000015</v>
      </c>
      <c r="AD874" s="6">
        <v>-0.71999999999999886</v>
      </c>
      <c r="AE874" s="6">
        <v>0.71999999999999886</v>
      </c>
    </row>
    <row r="875" spans="2:31" ht="20" x14ac:dyDescent="0.25">
      <c r="B875" s="55"/>
      <c r="C875" s="55"/>
      <c r="D875" s="4" t="s">
        <v>1375</v>
      </c>
      <c r="E875" s="4" t="s">
        <v>1376</v>
      </c>
      <c r="F875" s="4" t="s">
        <v>51</v>
      </c>
      <c r="G875" s="4" t="s">
        <v>35</v>
      </c>
      <c r="H875" s="54" t="s">
        <v>36</v>
      </c>
      <c r="I875" s="52"/>
      <c r="J875" s="57">
        <v>6.41</v>
      </c>
      <c r="K875" s="52"/>
      <c r="L875" s="6">
        <v>5.8779700000000004</v>
      </c>
      <c r="M875" s="6">
        <v>0.91700000000000004</v>
      </c>
      <c r="N875" s="6">
        <v>6.38</v>
      </c>
      <c r="O875" s="57">
        <v>5.85046</v>
      </c>
      <c r="P875" s="52"/>
      <c r="Q875" s="6">
        <v>0.91700000000000004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0.03</v>
      </c>
      <c r="AB875" s="6">
        <v>2.751E-2</v>
      </c>
      <c r="AC875" s="6">
        <v>0.91700000000000004</v>
      </c>
      <c r="AD875" s="6">
        <v>-3.0000000000000249E-2</v>
      </c>
      <c r="AE875" s="6">
        <v>3.0000000000000249E-2</v>
      </c>
    </row>
    <row r="876" spans="2:31" x14ac:dyDescent="0.25">
      <c r="B876" s="55"/>
      <c r="C876" s="55"/>
      <c r="D876" s="54" t="s">
        <v>1377</v>
      </c>
      <c r="E876" s="4" t="s">
        <v>1378</v>
      </c>
      <c r="F876" s="4" t="s">
        <v>51</v>
      </c>
      <c r="G876" s="4" t="s">
        <v>35</v>
      </c>
      <c r="H876" s="54" t="s">
        <v>36</v>
      </c>
      <c r="I876" s="52"/>
      <c r="J876" s="57">
        <v>23.68</v>
      </c>
      <c r="K876" s="52"/>
      <c r="L876" s="6">
        <v>21.714559999999999</v>
      </c>
      <c r="M876" s="6">
        <v>0.91699999999999993</v>
      </c>
      <c r="N876" s="6">
        <v>22.27</v>
      </c>
      <c r="O876" s="57">
        <v>20.421589999999998</v>
      </c>
      <c r="P876" s="52"/>
      <c r="Q876" s="6">
        <v>0.91699999999999993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1.41</v>
      </c>
      <c r="AB876" s="6">
        <v>1.29297</v>
      </c>
      <c r="AC876" s="6">
        <v>0.91700000000000004</v>
      </c>
      <c r="AD876" s="6">
        <v>-1.41</v>
      </c>
      <c r="AE876" s="6">
        <v>1.41</v>
      </c>
    </row>
    <row r="877" spans="2:31" x14ac:dyDescent="0.25">
      <c r="B877" s="55"/>
      <c r="C877" s="55"/>
      <c r="D877" s="56"/>
      <c r="E877" s="4" t="s">
        <v>1379</v>
      </c>
      <c r="F877" s="4" t="s">
        <v>51</v>
      </c>
      <c r="G877" s="4" t="s">
        <v>35</v>
      </c>
      <c r="H877" s="54" t="s">
        <v>36</v>
      </c>
      <c r="I877" s="52"/>
      <c r="J877" s="57">
        <v>41.09</v>
      </c>
      <c r="K877" s="52"/>
      <c r="L877" s="6">
        <v>37.67953</v>
      </c>
      <c r="M877" s="6">
        <v>0.91699999999999993</v>
      </c>
      <c r="N877" s="6">
        <v>39.33</v>
      </c>
      <c r="O877" s="57">
        <v>36.06561</v>
      </c>
      <c r="P877" s="52"/>
      <c r="Q877" s="6">
        <v>0.91700000000000004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1.76</v>
      </c>
      <c r="AB877" s="6">
        <v>1.61392</v>
      </c>
      <c r="AC877" s="6">
        <v>0.91700000000000004</v>
      </c>
      <c r="AD877" s="6">
        <v>-1.7600000000000051</v>
      </c>
      <c r="AE877" s="6">
        <v>1.7600000000000051</v>
      </c>
    </row>
    <row r="878" spans="2:31" x14ac:dyDescent="0.25">
      <c r="B878" s="55"/>
      <c r="C878" s="55"/>
      <c r="D878" s="54" t="s">
        <v>1380</v>
      </c>
      <c r="E878" s="4" t="s">
        <v>1381</v>
      </c>
      <c r="F878" s="4" t="s">
        <v>51</v>
      </c>
      <c r="G878" s="4" t="s">
        <v>35</v>
      </c>
      <c r="H878" s="54" t="s">
        <v>36</v>
      </c>
      <c r="I878" s="52"/>
      <c r="J878" s="57">
        <v>42.86</v>
      </c>
      <c r="K878" s="52"/>
      <c r="L878" s="6">
        <v>39.302619999999997</v>
      </c>
      <c r="M878" s="6">
        <v>0.91699999999999993</v>
      </c>
      <c r="N878" s="6">
        <v>40.74</v>
      </c>
      <c r="O878" s="57">
        <v>37.358580000000003</v>
      </c>
      <c r="P878" s="52"/>
      <c r="Q878" s="6">
        <v>0.91700000000000004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2.12</v>
      </c>
      <c r="AB878" s="6">
        <v>1.94404</v>
      </c>
      <c r="AC878" s="6">
        <v>0.91699999999999993</v>
      </c>
      <c r="AD878" s="6">
        <v>-2.1199999999999974</v>
      </c>
      <c r="AE878" s="6">
        <v>2.1199999999999974</v>
      </c>
    </row>
    <row r="879" spans="2:31" x14ac:dyDescent="0.25">
      <c r="B879" s="55"/>
      <c r="C879" s="55"/>
      <c r="D879" s="56"/>
      <c r="E879" s="4" t="s">
        <v>1382</v>
      </c>
      <c r="F879" s="4" t="s">
        <v>51</v>
      </c>
      <c r="G879" s="4" t="s">
        <v>35</v>
      </c>
      <c r="H879" s="54" t="s">
        <v>36</v>
      </c>
      <c r="I879" s="52"/>
      <c r="J879" s="57">
        <v>66.893000000000001</v>
      </c>
      <c r="K879" s="52"/>
      <c r="L879" s="6">
        <v>61.340881000000003</v>
      </c>
      <c r="M879" s="6">
        <v>0.91700000000000004</v>
      </c>
      <c r="N879" s="6">
        <v>63.423000000000002</v>
      </c>
      <c r="O879" s="57">
        <v>58.158890999999997</v>
      </c>
      <c r="P879" s="52"/>
      <c r="Q879" s="6">
        <v>0.91699999999999993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3.47</v>
      </c>
      <c r="AB879" s="6">
        <v>3.1819899999999999</v>
      </c>
      <c r="AC879" s="6">
        <v>0.91699999999999993</v>
      </c>
      <c r="AD879" s="6">
        <v>-3.4699999999999989</v>
      </c>
      <c r="AE879" s="6">
        <v>3.4699999999999989</v>
      </c>
    </row>
    <row r="880" spans="2:31" x14ac:dyDescent="0.25">
      <c r="B880" s="55"/>
      <c r="C880" s="55"/>
      <c r="D880" s="54" t="s">
        <v>1383</v>
      </c>
      <c r="E880" s="4" t="s">
        <v>1282</v>
      </c>
      <c r="F880" s="4" t="s">
        <v>51</v>
      </c>
      <c r="G880" s="4" t="s">
        <v>35</v>
      </c>
      <c r="H880" s="54" t="s">
        <v>36</v>
      </c>
      <c r="I880" s="52"/>
      <c r="J880" s="57">
        <v>17</v>
      </c>
      <c r="K880" s="52"/>
      <c r="L880" s="6">
        <v>15.589</v>
      </c>
      <c r="M880" s="6">
        <v>0.91700000000000004</v>
      </c>
      <c r="N880" s="6">
        <v>17</v>
      </c>
      <c r="O880" s="57">
        <v>15.589</v>
      </c>
      <c r="P880" s="52"/>
      <c r="Q880" s="6">
        <v>0.91700000000000004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</row>
    <row r="881" spans="2:31" x14ac:dyDescent="0.25">
      <c r="B881" s="55"/>
      <c r="C881" s="55"/>
      <c r="D881" s="56"/>
      <c r="E881" s="4" t="s">
        <v>1211</v>
      </c>
      <c r="F881" s="4" t="s">
        <v>51</v>
      </c>
      <c r="G881" s="4" t="s">
        <v>35</v>
      </c>
      <c r="H881" s="54" t="s">
        <v>36</v>
      </c>
      <c r="I881" s="52"/>
      <c r="J881" s="57">
        <v>5.92</v>
      </c>
      <c r="K881" s="52"/>
      <c r="L881" s="6">
        <v>5.4286399999999997</v>
      </c>
      <c r="M881" s="6">
        <v>0.91699999999999993</v>
      </c>
      <c r="N881" s="6">
        <v>5.85</v>
      </c>
      <c r="O881" s="57">
        <v>5.3644499999999997</v>
      </c>
      <c r="P881" s="52"/>
      <c r="Q881" s="6">
        <v>0.91700000000000004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7.0000000000000007E-2</v>
      </c>
      <c r="AB881" s="6">
        <v>6.4189999999999997E-2</v>
      </c>
      <c r="AC881" s="6">
        <v>0.91699999999999982</v>
      </c>
      <c r="AD881" s="6">
        <v>-7.0000000000000284E-2</v>
      </c>
      <c r="AE881" s="6">
        <v>7.0000000000000284E-2</v>
      </c>
    </row>
    <row r="882" spans="2:31" x14ac:dyDescent="0.25">
      <c r="B882" s="55"/>
      <c r="C882" s="55"/>
      <c r="D882" s="54" t="s">
        <v>1384</v>
      </c>
      <c r="E882" s="4" t="s">
        <v>1385</v>
      </c>
      <c r="F882" s="4" t="s">
        <v>51</v>
      </c>
      <c r="G882" s="4" t="s">
        <v>35</v>
      </c>
      <c r="H882" s="54" t="s">
        <v>36</v>
      </c>
      <c r="I882" s="52"/>
      <c r="J882" s="57">
        <v>23.96</v>
      </c>
      <c r="K882" s="52"/>
      <c r="L882" s="6">
        <v>21.971319999999999</v>
      </c>
      <c r="M882" s="6">
        <v>0.91699999999999993</v>
      </c>
      <c r="N882" s="6">
        <v>22.61</v>
      </c>
      <c r="O882" s="57">
        <v>20.733370000000001</v>
      </c>
      <c r="P882" s="52"/>
      <c r="Q882" s="6">
        <v>0.91700000000000004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1.35</v>
      </c>
      <c r="AB882" s="6">
        <v>1.2379500000000001</v>
      </c>
      <c r="AC882" s="6">
        <v>0.91700000000000004</v>
      </c>
      <c r="AD882" s="6">
        <v>-1.3500000000000014</v>
      </c>
      <c r="AE882" s="6">
        <v>1.3500000000000014</v>
      </c>
    </row>
    <row r="883" spans="2:31" x14ac:dyDescent="0.25">
      <c r="B883" s="55"/>
      <c r="C883" s="55"/>
      <c r="D883" s="56"/>
      <c r="E883" s="4" t="s">
        <v>1386</v>
      </c>
      <c r="F883" s="4" t="s">
        <v>51</v>
      </c>
      <c r="G883" s="4" t="s">
        <v>35</v>
      </c>
      <c r="H883" s="54" t="s">
        <v>36</v>
      </c>
      <c r="I883" s="52"/>
      <c r="J883" s="57">
        <v>18.45</v>
      </c>
      <c r="K883" s="52"/>
      <c r="L883" s="6">
        <v>16.91865</v>
      </c>
      <c r="M883" s="6">
        <v>0.91700000000000004</v>
      </c>
      <c r="N883" s="6">
        <v>17.25</v>
      </c>
      <c r="O883" s="57">
        <v>15.818250000000001</v>
      </c>
      <c r="P883" s="52"/>
      <c r="Q883" s="6">
        <v>0.91700000000000004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1.2</v>
      </c>
      <c r="AB883" s="6">
        <v>1.1004</v>
      </c>
      <c r="AC883" s="6">
        <v>0.91700000000000004</v>
      </c>
      <c r="AD883" s="6">
        <v>-1.1999999999999993</v>
      </c>
      <c r="AE883" s="6">
        <v>1.1999999999999993</v>
      </c>
    </row>
    <row r="884" spans="2:31" ht="20" x14ac:dyDescent="0.25">
      <c r="B884" s="55"/>
      <c r="C884" s="55"/>
      <c r="D884" s="4" t="s">
        <v>1387</v>
      </c>
      <c r="E884" s="4" t="s">
        <v>1283</v>
      </c>
      <c r="F884" s="4" t="s">
        <v>51</v>
      </c>
      <c r="G884" s="4" t="s">
        <v>35</v>
      </c>
      <c r="H884" s="54" t="s">
        <v>36</v>
      </c>
      <c r="I884" s="52"/>
      <c r="J884" s="57">
        <v>33.61</v>
      </c>
      <c r="K884" s="52"/>
      <c r="L884" s="6">
        <v>30.82037</v>
      </c>
      <c r="M884" s="6">
        <v>0.91700000000000004</v>
      </c>
      <c r="N884" s="6">
        <v>33.61</v>
      </c>
      <c r="O884" s="57">
        <v>30.82037</v>
      </c>
      <c r="P884" s="52"/>
      <c r="Q884" s="6">
        <v>0.91700000000000004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</row>
    <row r="885" spans="2:31" ht="20" x14ac:dyDescent="0.25">
      <c r="B885" s="55"/>
      <c r="C885" s="55"/>
      <c r="D885" s="4" t="s">
        <v>1388</v>
      </c>
      <c r="E885" s="4" t="s">
        <v>1374</v>
      </c>
      <c r="F885" s="4" t="s">
        <v>51</v>
      </c>
      <c r="G885" s="4" t="s">
        <v>35</v>
      </c>
      <c r="H885" s="54" t="s">
        <v>36</v>
      </c>
      <c r="I885" s="52"/>
      <c r="J885" s="57">
        <v>9.9700000000000006</v>
      </c>
      <c r="K885" s="52"/>
      <c r="L885" s="6">
        <v>9.1424900000000004</v>
      </c>
      <c r="M885" s="6">
        <v>0.91700000000000004</v>
      </c>
      <c r="N885" s="6">
        <v>9.69</v>
      </c>
      <c r="O885" s="57">
        <v>8.8857300000000006</v>
      </c>
      <c r="P885" s="52"/>
      <c r="Q885" s="6">
        <v>0.91700000000000015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0.28000000000000003</v>
      </c>
      <c r="AB885" s="6">
        <v>0.25675999999999999</v>
      </c>
      <c r="AC885" s="6">
        <v>0.91699999999999982</v>
      </c>
      <c r="AD885" s="6">
        <v>-0.28000000000000114</v>
      </c>
      <c r="AE885" s="6">
        <v>0.28000000000000114</v>
      </c>
    </row>
    <row r="886" spans="2:31" ht="20" x14ac:dyDescent="0.25">
      <c r="B886" s="55"/>
      <c r="C886" s="55"/>
      <c r="D886" s="4" t="s">
        <v>1389</v>
      </c>
      <c r="E886" s="4" t="s">
        <v>1390</v>
      </c>
      <c r="F886" s="4" t="s">
        <v>51</v>
      </c>
      <c r="G886" s="4" t="s">
        <v>35</v>
      </c>
      <c r="H886" s="54" t="s">
        <v>36</v>
      </c>
      <c r="I886" s="52"/>
      <c r="J886" s="57">
        <v>37.76</v>
      </c>
      <c r="K886" s="52"/>
      <c r="L886" s="6">
        <v>34.625920000000001</v>
      </c>
      <c r="M886" s="6">
        <v>0.91700000000000004</v>
      </c>
      <c r="N886" s="6">
        <v>36.71</v>
      </c>
      <c r="O886" s="57">
        <v>33.663069999999998</v>
      </c>
      <c r="P886" s="52"/>
      <c r="Q886" s="6">
        <v>0.91699999999999993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1.05</v>
      </c>
      <c r="AB886" s="6">
        <v>0.96284999999999998</v>
      </c>
      <c r="AC886" s="6">
        <v>0.91699999999999993</v>
      </c>
      <c r="AD886" s="6">
        <v>-1.0499999999999972</v>
      </c>
      <c r="AE886" s="6">
        <v>1.0499999999999972</v>
      </c>
    </row>
    <row r="887" spans="2:31" ht="20" x14ac:dyDescent="0.25">
      <c r="B887" s="55"/>
      <c r="C887" s="55"/>
      <c r="D887" s="4" t="s">
        <v>1391</v>
      </c>
      <c r="E887" s="4" t="s">
        <v>1392</v>
      </c>
      <c r="F887" s="4" t="s">
        <v>34</v>
      </c>
      <c r="G887" s="4" t="s">
        <v>35</v>
      </c>
      <c r="H887" s="54" t="s">
        <v>48</v>
      </c>
      <c r="I887" s="52"/>
      <c r="J887" s="57">
        <v>70.2</v>
      </c>
      <c r="K887" s="52"/>
      <c r="L887" s="6">
        <v>52.65</v>
      </c>
      <c r="M887" s="6">
        <v>0.75</v>
      </c>
      <c r="N887" s="6">
        <v>68.77</v>
      </c>
      <c r="O887" s="57">
        <v>51.577500000000001</v>
      </c>
      <c r="P887" s="52"/>
      <c r="Q887" s="6">
        <v>0.75</v>
      </c>
      <c r="R887" s="6">
        <v>1.43</v>
      </c>
      <c r="S887" s="6">
        <v>1.0725</v>
      </c>
      <c r="T887" s="6">
        <v>0.75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-2.8600000000000065</v>
      </c>
      <c r="AE887" s="6">
        <v>6.8833827526759706E-15</v>
      </c>
    </row>
    <row r="888" spans="2:31" ht="20" x14ac:dyDescent="0.25">
      <c r="B888" s="55"/>
      <c r="C888" s="55"/>
      <c r="D888" s="4" t="s">
        <v>1393</v>
      </c>
      <c r="E888" s="4" t="s">
        <v>1392</v>
      </c>
      <c r="F888" s="4" t="s">
        <v>34</v>
      </c>
      <c r="G888" s="4" t="s">
        <v>35</v>
      </c>
      <c r="H888" s="54" t="s">
        <v>48</v>
      </c>
      <c r="I888" s="52"/>
      <c r="J888" s="57">
        <v>68.77</v>
      </c>
      <c r="K888" s="52"/>
      <c r="L888" s="6">
        <v>51.577500000000001</v>
      </c>
      <c r="M888" s="6">
        <v>0.75</v>
      </c>
      <c r="N888" s="6">
        <v>68.459999999999994</v>
      </c>
      <c r="O888" s="57">
        <v>51.344999999999999</v>
      </c>
      <c r="P888" s="52"/>
      <c r="Q888" s="6">
        <v>0.75</v>
      </c>
      <c r="R888" s="6">
        <v>0.31</v>
      </c>
      <c r="S888" s="6">
        <v>0.23250000000000001</v>
      </c>
      <c r="T888" s="6">
        <v>0.75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-0.62000000000000233</v>
      </c>
      <c r="AE888" s="6">
        <v>2.2759572004815709E-15</v>
      </c>
    </row>
    <row r="889" spans="2:31" ht="20" x14ac:dyDescent="0.25">
      <c r="B889" s="55"/>
      <c r="C889" s="55"/>
      <c r="D889" s="4" t="s">
        <v>1394</v>
      </c>
      <c r="E889" s="4" t="s">
        <v>1392</v>
      </c>
      <c r="F889" s="4" t="s">
        <v>34</v>
      </c>
      <c r="G889" s="4" t="s">
        <v>35</v>
      </c>
      <c r="H889" s="54" t="s">
        <v>48</v>
      </c>
      <c r="I889" s="52"/>
      <c r="J889" s="57">
        <v>68.459999999999994</v>
      </c>
      <c r="K889" s="52"/>
      <c r="L889" s="6">
        <v>51.344999999999999</v>
      </c>
      <c r="M889" s="6">
        <v>0.75</v>
      </c>
      <c r="N889" s="6">
        <v>65.61</v>
      </c>
      <c r="O889" s="57">
        <v>49.207500000000003</v>
      </c>
      <c r="P889" s="52"/>
      <c r="Q889" s="6">
        <v>0.75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2.85</v>
      </c>
      <c r="AB889" s="6">
        <v>2.1375000000000002</v>
      </c>
      <c r="AC889" s="6">
        <v>0.75</v>
      </c>
      <c r="AD889" s="6">
        <v>-2.8499999999999943</v>
      </c>
      <c r="AE889" s="6">
        <v>2.8499999999999943</v>
      </c>
    </row>
    <row r="890" spans="2:31" x14ac:dyDescent="0.25">
      <c r="B890" s="55"/>
      <c r="C890" s="55"/>
      <c r="D890" s="54" t="s">
        <v>1395</v>
      </c>
      <c r="E890" s="54" t="s">
        <v>1396</v>
      </c>
      <c r="F890" s="54" t="s">
        <v>51</v>
      </c>
      <c r="G890" s="54" t="s">
        <v>35</v>
      </c>
      <c r="H890" s="54" t="s">
        <v>36</v>
      </c>
      <c r="I890" s="52"/>
      <c r="J890" s="57">
        <v>5.1115000000000004</v>
      </c>
      <c r="K890" s="52"/>
      <c r="L890" s="6">
        <v>4.6872455000000004</v>
      </c>
      <c r="M890" s="6">
        <v>0.91700000000000004</v>
      </c>
      <c r="N890" s="6">
        <v>4.8577000000000004</v>
      </c>
      <c r="O890" s="57">
        <v>4.4545108999999998</v>
      </c>
      <c r="P890" s="52"/>
      <c r="Q890" s="6">
        <v>0.91699999999999993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0.25380000000000003</v>
      </c>
      <c r="AB890" s="6">
        <v>0.23273460000000001</v>
      </c>
      <c r="AC890" s="6">
        <v>0.91699999999999993</v>
      </c>
      <c r="AD890" s="6">
        <v>-0.25380000000000003</v>
      </c>
      <c r="AE890" s="6">
        <v>0.25380000000000003</v>
      </c>
    </row>
    <row r="891" spans="2:31" x14ac:dyDescent="0.25">
      <c r="B891" s="55"/>
      <c r="C891" s="55"/>
      <c r="D891" s="56"/>
      <c r="E891" s="56"/>
      <c r="F891" s="56"/>
      <c r="G891" s="56"/>
      <c r="H891" s="54" t="s">
        <v>1397</v>
      </c>
      <c r="I891" s="52"/>
      <c r="J891" s="57">
        <v>3.7484999999999999</v>
      </c>
      <c r="K891" s="52"/>
      <c r="L891" s="6">
        <v>3.4411230000000002</v>
      </c>
      <c r="M891" s="6">
        <v>0.91800000000000004</v>
      </c>
      <c r="N891" s="6">
        <v>3.5623</v>
      </c>
      <c r="O891" s="57">
        <v>3.2701913999999999</v>
      </c>
      <c r="P891" s="52"/>
      <c r="Q891" s="6">
        <v>0.91799999999999993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0.1862</v>
      </c>
      <c r="AB891" s="6">
        <v>0.17093159999999999</v>
      </c>
      <c r="AC891" s="6">
        <v>0.91799999999999993</v>
      </c>
      <c r="AD891" s="6">
        <v>-0.18619999999999992</v>
      </c>
      <c r="AE891" s="6">
        <v>0.18619999999999992</v>
      </c>
    </row>
    <row r="892" spans="2:31" x14ac:dyDescent="0.25">
      <c r="B892" s="55"/>
      <c r="C892" s="55"/>
      <c r="D892" s="54" t="s">
        <v>1398</v>
      </c>
      <c r="E892" s="4" t="s">
        <v>1399</v>
      </c>
      <c r="F892" s="4" t="s">
        <v>51</v>
      </c>
      <c r="G892" s="4" t="s">
        <v>35</v>
      </c>
      <c r="H892" s="54" t="s">
        <v>36</v>
      </c>
      <c r="I892" s="52"/>
      <c r="J892" s="57">
        <v>65.94</v>
      </c>
      <c r="K892" s="52"/>
      <c r="L892" s="6">
        <v>60.46698</v>
      </c>
      <c r="M892" s="6">
        <v>0.91700000000000004</v>
      </c>
      <c r="N892" s="6">
        <v>60.17</v>
      </c>
      <c r="O892" s="57">
        <v>55.175890000000003</v>
      </c>
      <c r="P892" s="52"/>
      <c r="Q892" s="6">
        <v>0.91700000000000004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5.77</v>
      </c>
      <c r="AB892" s="6">
        <v>5.2910899999999996</v>
      </c>
      <c r="AC892" s="6">
        <v>0.91700000000000004</v>
      </c>
      <c r="AD892" s="6">
        <v>-5.769999999999996</v>
      </c>
      <c r="AE892" s="6">
        <v>5.769999999999996</v>
      </c>
    </row>
    <row r="893" spans="2:31" x14ac:dyDescent="0.25">
      <c r="B893" s="55"/>
      <c r="C893" s="55"/>
      <c r="D893" s="56"/>
      <c r="E893" s="4" t="s">
        <v>1400</v>
      </c>
      <c r="F893" s="4" t="s">
        <v>51</v>
      </c>
      <c r="G893" s="4" t="s">
        <v>35</v>
      </c>
      <c r="H893" s="54" t="s">
        <v>36</v>
      </c>
      <c r="I893" s="52"/>
      <c r="J893" s="57">
        <v>35.270000000000003</v>
      </c>
      <c r="K893" s="52"/>
      <c r="L893" s="6">
        <v>32.342590000000001</v>
      </c>
      <c r="M893" s="6">
        <v>0.91699999999999993</v>
      </c>
      <c r="N893" s="6">
        <v>33.24</v>
      </c>
      <c r="O893" s="57">
        <v>30.481079999999999</v>
      </c>
      <c r="P893" s="52"/>
      <c r="Q893" s="6">
        <v>0.91699999999999993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2.0299999999999998</v>
      </c>
      <c r="AB893" s="6">
        <v>1.86151</v>
      </c>
      <c r="AC893" s="6">
        <v>0.91700000000000004</v>
      </c>
      <c r="AD893" s="6">
        <v>-2.0300000000000011</v>
      </c>
      <c r="AE893" s="6">
        <v>2.0300000000000011</v>
      </c>
    </row>
    <row r="894" spans="2:31" ht="20" x14ac:dyDescent="0.25">
      <c r="B894" s="55"/>
      <c r="C894" s="55"/>
      <c r="D894" s="4" t="s">
        <v>1401</v>
      </c>
      <c r="E894" s="4" t="s">
        <v>1192</v>
      </c>
      <c r="F894" s="4" t="s">
        <v>51</v>
      </c>
      <c r="G894" s="4" t="s">
        <v>35</v>
      </c>
      <c r="H894" s="54" t="s">
        <v>48</v>
      </c>
      <c r="I894" s="52"/>
      <c r="J894" s="57">
        <v>32.729999999999997</v>
      </c>
      <c r="K894" s="52"/>
      <c r="L894" s="6">
        <v>24.547499999999999</v>
      </c>
      <c r="M894" s="6">
        <v>0.75</v>
      </c>
      <c r="N894" s="6">
        <v>32.46</v>
      </c>
      <c r="O894" s="57">
        <v>24.344999999999999</v>
      </c>
      <c r="P894" s="52"/>
      <c r="Q894" s="6">
        <v>0.75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0.27</v>
      </c>
      <c r="AB894" s="6">
        <v>0.20250000000000001</v>
      </c>
      <c r="AC894" s="6">
        <v>0.75</v>
      </c>
      <c r="AD894" s="6">
        <v>-0.26999999999999602</v>
      </c>
      <c r="AE894" s="6">
        <v>0.26999999999999602</v>
      </c>
    </row>
    <row r="895" spans="2:31" ht="20" x14ac:dyDescent="0.25">
      <c r="B895" s="55"/>
      <c r="C895" s="55"/>
      <c r="D895" s="4" t="s">
        <v>1402</v>
      </c>
      <c r="E895" s="4" t="s">
        <v>1374</v>
      </c>
      <c r="F895" s="4" t="s">
        <v>51</v>
      </c>
      <c r="G895" s="4" t="s">
        <v>35</v>
      </c>
      <c r="H895" s="54" t="s">
        <v>36</v>
      </c>
      <c r="I895" s="52"/>
      <c r="J895" s="57">
        <v>11.58</v>
      </c>
      <c r="K895" s="52"/>
      <c r="L895" s="6">
        <v>10.61886</v>
      </c>
      <c r="M895" s="6">
        <v>0.91699999999999993</v>
      </c>
      <c r="N895" s="6">
        <v>11.04</v>
      </c>
      <c r="O895" s="57">
        <v>10.12368</v>
      </c>
      <c r="P895" s="52"/>
      <c r="Q895" s="6">
        <v>0.91700000000000004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0.54</v>
      </c>
      <c r="AB895" s="6">
        <v>0.49518000000000001</v>
      </c>
      <c r="AC895" s="6">
        <v>0.91699999999999993</v>
      </c>
      <c r="AD895" s="6">
        <v>-0.54000000000000092</v>
      </c>
      <c r="AE895" s="6">
        <v>0.54000000000000092</v>
      </c>
    </row>
    <row r="896" spans="2:31" x14ac:dyDescent="0.25">
      <c r="B896" s="55"/>
      <c r="C896" s="55"/>
      <c r="D896" s="54" t="s">
        <v>1403</v>
      </c>
      <c r="E896" s="4" t="s">
        <v>1404</v>
      </c>
      <c r="F896" s="4" t="s">
        <v>51</v>
      </c>
      <c r="G896" s="4" t="s">
        <v>35</v>
      </c>
      <c r="H896" s="54" t="s">
        <v>48</v>
      </c>
      <c r="I896" s="52"/>
      <c r="J896" s="57">
        <v>44.39</v>
      </c>
      <c r="K896" s="52"/>
      <c r="L896" s="6">
        <v>33.292499999999997</v>
      </c>
      <c r="M896" s="6">
        <v>0.74999999999999989</v>
      </c>
      <c r="N896" s="6">
        <v>41.060099999999998</v>
      </c>
      <c r="O896" s="57">
        <v>30.795075000000001</v>
      </c>
      <c r="P896" s="52"/>
      <c r="Q896" s="6">
        <v>0.75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3.3298999999999999</v>
      </c>
      <c r="AB896" s="6">
        <v>2.4974249999999998</v>
      </c>
      <c r="AC896" s="6">
        <v>0.75</v>
      </c>
      <c r="AD896" s="6">
        <v>-3.3299000000000021</v>
      </c>
      <c r="AE896" s="6">
        <v>3.3299000000000021</v>
      </c>
    </row>
    <row r="897" spans="2:31" x14ac:dyDescent="0.25">
      <c r="B897" s="55"/>
      <c r="C897" s="55"/>
      <c r="D897" s="56"/>
      <c r="E897" s="4" t="s">
        <v>1405</v>
      </c>
      <c r="F897" s="4" t="s">
        <v>51</v>
      </c>
      <c r="G897" s="4" t="s">
        <v>35</v>
      </c>
      <c r="H897" s="54" t="s">
        <v>48</v>
      </c>
      <c r="I897" s="52"/>
      <c r="J897" s="57">
        <v>12.1</v>
      </c>
      <c r="K897" s="52"/>
      <c r="L897" s="6">
        <v>9.0749999999999993</v>
      </c>
      <c r="M897" s="6">
        <v>0.75</v>
      </c>
      <c r="N897" s="6">
        <v>11.02</v>
      </c>
      <c r="O897" s="57">
        <v>8.2650000000000006</v>
      </c>
      <c r="P897" s="52"/>
      <c r="Q897" s="6">
        <v>0.75000000000000011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1.08</v>
      </c>
      <c r="AB897" s="6">
        <v>0.81</v>
      </c>
      <c r="AC897" s="6">
        <v>0.75</v>
      </c>
      <c r="AD897" s="6">
        <v>-1.08</v>
      </c>
      <c r="AE897" s="6">
        <v>1.08</v>
      </c>
    </row>
    <row r="898" spans="2:31" x14ac:dyDescent="0.25">
      <c r="B898" s="55"/>
      <c r="C898" s="55"/>
      <c r="D898" s="54" t="s">
        <v>1406</v>
      </c>
      <c r="E898" s="54" t="s">
        <v>1396</v>
      </c>
      <c r="F898" s="54" t="s">
        <v>51</v>
      </c>
      <c r="G898" s="54" t="s">
        <v>35</v>
      </c>
      <c r="H898" s="54" t="s">
        <v>36</v>
      </c>
      <c r="I898" s="52"/>
      <c r="J898" s="57">
        <v>4.8461999999999996</v>
      </c>
      <c r="K898" s="52"/>
      <c r="L898" s="6">
        <v>4.4439653999999997</v>
      </c>
      <c r="M898" s="6">
        <v>0.91700000000000004</v>
      </c>
      <c r="N898" s="6">
        <v>4.6788999999999996</v>
      </c>
      <c r="O898" s="57">
        <v>4.2905512999999997</v>
      </c>
      <c r="P898" s="52"/>
      <c r="Q898" s="6">
        <v>0.91700000000000004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0.1673</v>
      </c>
      <c r="AB898" s="6">
        <v>0.1534141</v>
      </c>
      <c r="AC898" s="6">
        <v>0.91699999999999993</v>
      </c>
      <c r="AD898" s="6">
        <v>-0.1673</v>
      </c>
      <c r="AE898" s="6">
        <v>0.1673</v>
      </c>
    </row>
    <row r="899" spans="2:31" x14ac:dyDescent="0.25">
      <c r="B899" s="55"/>
      <c r="C899" s="55"/>
      <c r="D899" s="56"/>
      <c r="E899" s="56"/>
      <c r="F899" s="56"/>
      <c r="G899" s="56"/>
      <c r="H899" s="54" t="s">
        <v>1397</v>
      </c>
      <c r="I899" s="52"/>
      <c r="J899" s="57">
        <v>3.5537999999999998</v>
      </c>
      <c r="K899" s="52"/>
      <c r="L899" s="6">
        <v>3.2623883999999999</v>
      </c>
      <c r="M899" s="6">
        <v>0.91800000000000004</v>
      </c>
      <c r="N899" s="6">
        <v>3.4310999999999998</v>
      </c>
      <c r="O899" s="57">
        <v>3.1497497999999999</v>
      </c>
      <c r="P899" s="52"/>
      <c r="Q899" s="6">
        <v>0.91800000000000004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0.1227</v>
      </c>
      <c r="AB899" s="6">
        <v>0.11263860000000001</v>
      </c>
      <c r="AC899" s="6">
        <v>0.91800000000000004</v>
      </c>
      <c r="AD899" s="6">
        <v>-0.12270000000000003</v>
      </c>
      <c r="AE899" s="6">
        <v>0.12270000000000003</v>
      </c>
    </row>
    <row r="900" spans="2:31" ht="20" x14ac:dyDescent="0.25">
      <c r="B900" s="55"/>
      <c r="C900" s="55"/>
      <c r="D900" s="4" t="s">
        <v>1407</v>
      </c>
      <c r="E900" s="4" t="s">
        <v>1272</v>
      </c>
      <c r="F900" s="4" t="s">
        <v>51</v>
      </c>
      <c r="G900" s="4" t="s">
        <v>35</v>
      </c>
      <c r="H900" s="54" t="s">
        <v>36</v>
      </c>
      <c r="I900" s="52"/>
      <c r="J900" s="57">
        <v>366.74</v>
      </c>
      <c r="K900" s="52"/>
      <c r="L900" s="6">
        <v>336.30058000000002</v>
      </c>
      <c r="M900" s="6">
        <v>0.91700000000000004</v>
      </c>
      <c r="N900" s="6">
        <v>358.78</v>
      </c>
      <c r="O900" s="57">
        <v>329.00126</v>
      </c>
      <c r="P900" s="52"/>
      <c r="Q900" s="6">
        <v>0.91700000000000004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7.96</v>
      </c>
      <c r="AB900" s="6">
        <v>7.2993199999999998</v>
      </c>
      <c r="AC900" s="6">
        <v>0.91699999999999993</v>
      </c>
      <c r="AD900" s="6">
        <v>-7.9600000000000364</v>
      </c>
      <c r="AE900" s="6">
        <v>7.9600000000000364</v>
      </c>
    </row>
    <row r="901" spans="2:31" ht="20" x14ac:dyDescent="0.25">
      <c r="B901" s="55"/>
      <c r="C901" s="55"/>
      <c r="D901" s="4" t="s">
        <v>1408</v>
      </c>
      <c r="E901" s="4" t="s">
        <v>652</v>
      </c>
      <c r="F901" s="4" t="s">
        <v>51</v>
      </c>
      <c r="G901" s="4" t="s">
        <v>35</v>
      </c>
      <c r="H901" s="54" t="s">
        <v>41</v>
      </c>
      <c r="I901" s="52"/>
      <c r="J901" s="57">
        <v>5.4</v>
      </c>
      <c r="K901" s="52"/>
      <c r="L901" s="6">
        <v>4.05</v>
      </c>
      <c r="M901" s="6">
        <v>0.74999999999999989</v>
      </c>
      <c r="N901" s="6">
        <v>5.37</v>
      </c>
      <c r="O901" s="57">
        <v>4.0274999999999999</v>
      </c>
      <c r="P901" s="52"/>
      <c r="Q901" s="6">
        <v>0.75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0.03</v>
      </c>
      <c r="AB901" s="6">
        <v>2.2499999999999999E-2</v>
      </c>
      <c r="AC901" s="6">
        <v>0.75</v>
      </c>
      <c r="AD901" s="6">
        <v>-3.0000000000000249E-2</v>
      </c>
      <c r="AE901" s="6">
        <v>3.0000000000000249E-2</v>
      </c>
    </row>
    <row r="902" spans="2:31" x14ac:dyDescent="0.25">
      <c r="B902" s="55"/>
      <c r="C902" s="55"/>
      <c r="D902" s="54" t="s">
        <v>1409</v>
      </c>
      <c r="E902" s="4" t="s">
        <v>1410</v>
      </c>
      <c r="F902" s="4" t="s">
        <v>51</v>
      </c>
      <c r="G902" s="4" t="s">
        <v>35</v>
      </c>
      <c r="H902" s="54" t="s">
        <v>41</v>
      </c>
      <c r="I902" s="52"/>
      <c r="J902" s="57">
        <v>1.9</v>
      </c>
      <c r="K902" s="52"/>
      <c r="L902" s="6">
        <v>1.425</v>
      </c>
      <c r="M902" s="6">
        <v>0.75000000000000011</v>
      </c>
      <c r="N902" s="6">
        <v>1.75</v>
      </c>
      <c r="O902" s="57">
        <v>1.3125</v>
      </c>
      <c r="P902" s="52"/>
      <c r="Q902" s="6">
        <v>0.75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0.15</v>
      </c>
      <c r="AB902" s="6">
        <v>0.1125</v>
      </c>
      <c r="AC902" s="6">
        <v>0.75</v>
      </c>
      <c r="AD902" s="6">
        <v>-0.14999999999999991</v>
      </c>
      <c r="AE902" s="6">
        <v>0.14999999999999991</v>
      </c>
    </row>
    <row r="903" spans="2:31" x14ac:dyDescent="0.25">
      <c r="B903" s="55"/>
      <c r="C903" s="55"/>
      <c r="D903" s="55"/>
      <c r="E903" s="4" t="s">
        <v>1411</v>
      </c>
      <c r="F903" s="4" t="s">
        <v>51</v>
      </c>
      <c r="G903" s="4" t="s">
        <v>35</v>
      </c>
      <c r="H903" s="54" t="s">
        <v>41</v>
      </c>
      <c r="I903" s="52"/>
      <c r="J903" s="57">
        <v>1.96</v>
      </c>
      <c r="K903" s="52"/>
      <c r="L903" s="6">
        <v>1.47</v>
      </c>
      <c r="M903" s="6">
        <v>0.75</v>
      </c>
      <c r="N903" s="6">
        <v>1.81</v>
      </c>
      <c r="O903" s="57">
        <v>1.3574999999999999</v>
      </c>
      <c r="P903" s="52"/>
      <c r="Q903" s="6">
        <v>0.74999999999999989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0.15</v>
      </c>
      <c r="AB903" s="6">
        <v>0.1125</v>
      </c>
      <c r="AC903" s="6">
        <v>0.75</v>
      </c>
      <c r="AD903" s="6">
        <v>-0.14999999999999991</v>
      </c>
      <c r="AE903" s="6">
        <v>0.14999999999999991</v>
      </c>
    </row>
    <row r="904" spans="2:31" x14ac:dyDescent="0.25">
      <c r="B904" s="55"/>
      <c r="C904" s="55"/>
      <c r="D904" s="56"/>
      <c r="E904" s="4" t="s">
        <v>1412</v>
      </c>
      <c r="F904" s="4" t="s">
        <v>51</v>
      </c>
      <c r="G904" s="4" t="s">
        <v>35</v>
      </c>
      <c r="H904" s="54" t="s">
        <v>41</v>
      </c>
      <c r="I904" s="52"/>
      <c r="J904" s="57">
        <v>2.4</v>
      </c>
      <c r="K904" s="52"/>
      <c r="L904" s="6">
        <v>1.8</v>
      </c>
      <c r="M904" s="6">
        <v>0.75</v>
      </c>
      <c r="N904" s="6">
        <v>2.2799999999999998</v>
      </c>
      <c r="O904" s="57">
        <v>1.71</v>
      </c>
      <c r="P904" s="52"/>
      <c r="Q904" s="6">
        <v>0.75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0.12</v>
      </c>
      <c r="AB904" s="6">
        <v>0.09</v>
      </c>
      <c r="AC904" s="6">
        <v>0.75</v>
      </c>
      <c r="AD904" s="6">
        <v>-0.12000000000000011</v>
      </c>
      <c r="AE904" s="6">
        <v>0.12000000000000011</v>
      </c>
    </row>
    <row r="905" spans="2:31" ht="20" x14ac:dyDescent="0.25">
      <c r="B905" s="55"/>
      <c r="C905" s="55"/>
      <c r="D905" s="4" t="s">
        <v>1413</v>
      </c>
      <c r="E905" s="4" t="s">
        <v>1414</v>
      </c>
      <c r="F905" s="4" t="s">
        <v>51</v>
      </c>
      <c r="G905" s="4" t="s">
        <v>35</v>
      </c>
      <c r="H905" s="54" t="s">
        <v>36</v>
      </c>
      <c r="I905" s="52"/>
      <c r="J905" s="57">
        <v>385.24</v>
      </c>
      <c r="K905" s="52"/>
      <c r="L905" s="6">
        <v>353.26508000000001</v>
      </c>
      <c r="M905" s="6">
        <v>0.91700000000000004</v>
      </c>
      <c r="N905" s="6">
        <v>351.98</v>
      </c>
      <c r="O905" s="57">
        <v>322.76566000000003</v>
      </c>
      <c r="P905" s="52"/>
      <c r="Q905" s="6">
        <v>0.91700000000000004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33.26</v>
      </c>
      <c r="AB905" s="6">
        <v>30.499420000000001</v>
      </c>
      <c r="AC905" s="6">
        <v>0.91700000000000004</v>
      </c>
      <c r="AD905" s="6">
        <v>-33.259999999999991</v>
      </c>
      <c r="AE905" s="6">
        <v>33.259999999999991</v>
      </c>
    </row>
    <row r="906" spans="2:31" ht="20" x14ac:dyDescent="0.25">
      <c r="B906" s="55"/>
      <c r="C906" s="55"/>
      <c r="D906" s="4" t="s">
        <v>1415</v>
      </c>
      <c r="E906" s="4" t="s">
        <v>1370</v>
      </c>
      <c r="F906" s="4" t="s">
        <v>51</v>
      </c>
      <c r="G906" s="4" t="s">
        <v>35</v>
      </c>
      <c r="H906" s="54" t="s">
        <v>41</v>
      </c>
      <c r="I906" s="52"/>
      <c r="J906" s="57">
        <v>265.24</v>
      </c>
      <c r="K906" s="52"/>
      <c r="L906" s="6">
        <v>198.93</v>
      </c>
      <c r="M906" s="6">
        <v>0.75</v>
      </c>
      <c r="N906" s="6">
        <v>262.70999999999998</v>
      </c>
      <c r="O906" s="57">
        <v>197.0325</v>
      </c>
      <c r="P906" s="52"/>
      <c r="Q906" s="6">
        <v>0.75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2.5299999999999998</v>
      </c>
      <c r="AB906" s="6">
        <v>1.8975</v>
      </c>
      <c r="AC906" s="6">
        <v>0.75</v>
      </c>
      <c r="AD906" s="6">
        <v>-2.5300000000000296</v>
      </c>
      <c r="AE906" s="6">
        <v>2.5300000000000296</v>
      </c>
    </row>
    <row r="907" spans="2:31" ht="20" x14ac:dyDescent="0.25">
      <c r="B907" s="55"/>
      <c r="C907" s="55"/>
      <c r="D907" s="4" t="s">
        <v>1416</v>
      </c>
      <c r="E907" s="4" t="s">
        <v>1141</v>
      </c>
      <c r="F907" s="4" t="s">
        <v>51</v>
      </c>
      <c r="G907" s="4" t="s">
        <v>35</v>
      </c>
      <c r="H907" s="54" t="s">
        <v>41</v>
      </c>
      <c r="I907" s="52"/>
      <c r="J907" s="57">
        <v>313.42</v>
      </c>
      <c r="K907" s="52"/>
      <c r="L907" s="6">
        <v>235.065</v>
      </c>
      <c r="M907" s="6">
        <v>0.75</v>
      </c>
      <c r="N907" s="6">
        <v>312.52</v>
      </c>
      <c r="O907" s="57">
        <v>234.39</v>
      </c>
      <c r="P907" s="52"/>
      <c r="Q907" s="6">
        <v>0.75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0.9</v>
      </c>
      <c r="AB907" s="6">
        <v>0.67500000000000004</v>
      </c>
      <c r="AC907" s="6">
        <v>0.75</v>
      </c>
      <c r="AD907" s="6">
        <v>-0.90000000000003411</v>
      </c>
      <c r="AE907" s="6">
        <v>0.90000000000003411</v>
      </c>
    </row>
    <row r="908" spans="2:31" ht="20" x14ac:dyDescent="0.25">
      <c r="B908" s="55"/>
      <c r="C908" s="55"/>
      <c r="D908" s="4" t="s">
        <v>1417</v>
      </c>
      <c r="E908" s="4" t="s">
        <v>1381</v>
      </c>
      <c r="F908" s="4" t="s">
        <v>51</v>
      </c>
      <c r="G908" s="4" t="s">
        <v>35</v>
      </c>
      <c r="H908" s="54" t="s">
        <v>36</v>
      </c>
      <c r="I908" s="52"/>
      <c r="J908" s="57">
        <v>39.700000000000003</v>
      </c>
      <c r="K908" s="52"/>
      <c r="L908" s="6">
        <v>36.404899999999998</v>
      </c>
      <c r="M908" s="6">
        <v>0.91699999999999993</v>
      </c>
      <c r="N908" s="6">
        <v>39.56</v>
      </c>
      <c r="O908" s="57">
        <v>36.276519999999998</v>
      </c>
      <c r="P908" s="52"/>
      <c r="Q908" s="6">
        <v>0.91699999999999993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0.14000000000000001</v>
      </c>
      <c r="AB908" s="6">
        <v>0.12837999999999999</v>
      </c>
      <c r="AC908" s="6">
        <v>0.91699999999999982</v>
      </c>
      <c r="AD908" s="6">
        <v>-0.14000000000000057</v>
      </c>
      <c r="AE908" s="6">
        <v>0.14000000000000057</v>
      </c>
    </row>
    <row r="909" spans="2:31" ht="20" x14ac:dyDescent="0.25">
      <c r="B909" s="55"/>
      <c r="C909" s="55"/>
      <c r="D909" s="4" t="s">
        <v>1418</v>
      </c>
      <c r="E909" s="4" t="s">
        <v>1419</v>
      </c>
      <c r="F909" s="4" t="s">
        <v>51</v>
      </c>
      <c r="G909" s="4" t="s">
        <v>35</v>
      </c>
      <c r="H909" s="54" t="s">
        <v>41</v>
      </c>
      <c r="I909" s="52"/>
      <c r="J909" s="57">
        <v>3.46</v>
      </c>
      <c r="K909" s="52"/>
      <c r="L909" s="6">
        <v>2.5950000000000002</v>
      </c>
      <c r="M909" s="6">
        <v>0.75000000000000011</v>
      </c>
      <c r="N909" s="6">
        <v>3.15</v>
      </c>
      <c r="O909" s="57">
        <v>2.3624999999999998</v>
      </c>
      <c r="P909" s="52"/>
      <c r="Q909" s="6">
        <v>0.75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0.31</v>
      </c>
      <c r="AB909" s="6">
        <v>0.23250000000000001</v>
      </c>
      <c r="AC909" s="6">
        <v>0.75</v>
      </c>
      <c r="AD909" s="6">
        <v>-0.31000000000000005</v>
      </c>
      <c r="AE909" s="6">
        <v>0.31000000000000005</v>
      </c>
    </row>
    <row r="910" spans="2:31" x14ac:dyDescent="0.25">
      <c r="B910" s="55"/>
      <c r="C910" s="55"/>
      <c r="D910" s="54" t="s">
        <v>1420</v>
      </c>
      <c r="E910" s="4" t="s">
        <v>1421</v>
      </c>
      <c r="F910" s="4" t="s">
        <v>51</v>
      </c>
      <c r="G910" s="4" t="s">
        <v>35</v>
      </c>
      <c r="H910" s="54" t="s">
        <v>41</v>
      </c>
      <c r="I910" s="52"/>
      <c r="J910" s="57">
        <v>359.74</v>
      </c>
      <c r="K910" s="52"/>
      <c r="L910" s="6">
        <v>269.80500000000001</v>
      </c>
      <c r="M910" s="6">
        <v>0.75</v>
      </c>
      <c r="N910" s="6">
        <v>338.45</v>
      </c>
      <c r="O910" s="57">
        <v>253.83750000000001</v>
      </c>
      <c r="P910" s="52"/>
      <c r="Q910" s="6">
        <v>0.75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21.29</v>
      </c>
      <c r="AB910" s="6">
        <v>15.967499999999999</v>
      </c>
      <c r="AC910" s="6">
        <v>0.75</v>
      </c>
      <c r="AD910" s="6">
        <v>-21.29000000000002</v>
      </c>
      <c r="AE910" s="6">
        <v>21.29000000000002</v>
      </c>
    </row>
    <row r="911" spans="2:31" x14ac:dyDescent="0.25">
      <c r="B911" s="55"/>
      <c r="C911" s="55"/>
      <c r="D911" s="56"/>
      <c r="E911" s="4" t="s">
        <v>1422</v>
      </c>
      <c r="F911" s="4" t="s">
        <v>51</v>
      </c>
      <c r="G911" s="4" t="s">
        <v>35</v>
      </c>
      <c r="H911" s="54" t="s">
        <v>48</v>
      </c>
      <c r="I911" s="52"/>
      <c r="J911" s="57">
        <v>65.680000000000007</v>
      </c>
      <c r="K911" s="52"/>
      <c r="L911" s="6">
        <v>49.26</v>
      </c>
      <c r="M911" s="6">
        <v>0.74999999999999989</v>
      </c>
      <c r="N911" s="6">
        <v>63.86</v>
      </c>
      <c r="O911" s="57">
        <v>47.895000000000003</v>
      </c>
      <c r="P911" s="52"/>
      <c r="Q911" s="6">
        <v>0.75000000000000011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1.82</v>
      </c>
      <c r="AB911" s="6">
        <v>1.365</v>
      </c>
      <c r="AC911" s="6">
        <v>0.75</v>
      </c>
      <c r="AD911" s="6">
        <v>-1.8200000000000074</v>
      </c>
      <c r="AE911" s="6">
        <v>1.8200000000000074</v>
      </c>
    </row>
    <row r="912" spans="2:31" x14ac:dyDescent="0.25">
      <c r="B912" s="55"/>
      <c r="C912" s="55"/>
      <c r="D912" s="54" t="s">
        <v>1423</v>
      </c>
      <c r="E912" s="4" t="s">
        <v>1424</v>
      </c>
      <c r="F912" s="4" t="s">
        <v>51</v>
      </c>
      <c r="G912" s="4" t="s">
        <v>35</v>
      </c>
      <c r="H912" s="54" t="s">
        <v>41</v>
      </c>
      <c r="I912" s="52"/>
      <c r="J912" s="57">
        <v>2.58</v>
      </c>
      <c r="K912" s="52"/>
      <c r="L912" s="6">
        <v>1.9350000000000001</v>
      </c>
      <c r="M912" s="6">
        <v>0.75</v>
      </c>
      <c r="N912" s="6">
        <v>2.23</v>
      </c>
      <c r="O912" s="57">
        <v>1.6725000000000001</v>
      </c>
      <c r="P912" s="52"/>
      <c r="Q912" s="6">
        <v>0.75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0.35</v>
      </c>
      <c r="AB912" s="6">
        <v>0.26250000000000001</v>
      </c>
      <c r="AC912" s="6">
        <v>0.75000000000000011</v>
      </c>
      <c r="AD912" s="6">
        <v>-0.35000000000000009</v>
      </c>
      <c r="AE912" s="6">
        <v>0.35000000000000009</v>
      </c>
    </row>
    <row r="913" spans="2:31" x14ac:dyDescent="0.25">
      <c r="B913" s="55"/>
      <c r="C913" s="55"/>
      <c r="D913" s="56"/>
      <c r="E913" s="4" t="s">
        <v>1425</v>
      </c>
      <c r="F913" s="4" t="s">
        <v>51</v>
      </c>
      <c r="G913" s="4" t="s">
        <v>35</v>
      </c>
      <c r="H913" s="54" t="s">
        <v>41</v>
      </c>
      <c r="I913" s="52"/>
      <c r="J913" s="57">
        <v>4.1399999999999997</v>
      </c>
      <c r="K913" s="52"/>
      <c r="L913" s="6">
        <v>3.105</v>
      </c>
      <c r="M913" s="6">
        <v>0.75</v>
      </c>
      <c r="N913" s="6">
        <v>3.79</v>
      </c>
      <c r="O913" s="57">
        <v>2.8424999999999998</v>
      </c>
      <c r="P913" s="52"/>
      <c r="Q913" s="6">
        <v>0.74999999999999989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0.35</v>
      </c>
      <c r="AB913" s="6">
        <v>0.26250000000000001</v>
      </c>
      <c r="AC913" s="6">
        <v>0.75000000000000011</v>
      </c>
      <c r="AD913" s="6">
        <v>-0.34999999999999964</v>
      </c>
      <c r="AE913" s="6">
        <v>0.34999999999999964</v>
      </c>
    </row>
    <row r="914" spans="2:31" ht="20" x14ac:dyDescent="0.25">
      <c r="B914" s="55"/>
      <c r="C914" s="55"/>
      <c r="D914" s="4" t="s">
        <v>1426</v>
      </c>
      <c r="E914" s="4" t="s">
        <v>1427</v>
      </c>
      <c r="F914" s="4" t="s">
        <v>51</v>
      </c>
      <c r="G914" s="4" t="s">
        <v>35</v>
      </c>
      <c r="H914" s="54" t="s">
        <v>48</v>
      </c>
      <c r="I914" s="52"/>
      <c r="J914" s="57">
        <v>35.26</v>
      </c>
      <c r="K914" s="52"/>
      <c r="L914" s="6">
        <v>26.445</v>
      </c>
      <c r="M914" s="6">
        <v>0.75</v>
      </c>
      <c r="N914" s="6">
        <v>34.96</v>
      </c>
      <c r="O914" s="57">
        <v>26.22</v>
      </c>
      <c r="P914" s="52"/>
      <c r="Q914" s="6">
        <v>0.75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0.3</v>
      </c>
      <c r="AB914" s="6">
        <v>0.22500000000000001</v>
      </c>
      <c r="AC914" s="6">
        <v>0.75</v>
      </c>
      <c r="AD914" s="6">
        <v>-0.29999999999999716</v>
      </c>
      <c r="AE914" s="6">
        <v>0.29999999999999716</v>
      </c>
    </row>
    <row r="915" spans="2:31" ht="20" x14ac:dyDescent="0.25">
      <c r="B915" s="55"/>
      <c r="C915" s="56"/>
      <c r="D915" s="4" t="s">
        <v>1428</v>
      </c>
      <c r="E915" s="4" t="s">
        <v>1429</v>
      </c>
      <c r="F915" s="4" t="s">
        <v>51</v>
      </c>
      <c r="G915" s="4" t="s">
        <v>35</v>
      </c>
      <c r="H915" s="54" t="s">
        <v>36</v>
      </c>
      <c r="I915" s="52"/>
      <c r="J915" s="57">
        <v>25.18</v>
      </c>
      <c r="K915" s="52"/>
      <c r="L915" s="6">
        <v>23.090060000000001</v>
      </c>
      <c r="M915" s="6">
        <v>0.91700000000000004</v>
      </c>
      <c r="N915" s="6">
        <v>23.66</v>
      </c>
      <c r="O915" s="57">
        <v>21.69622</v>
      </c>
      <c r="P915" s="52"/>
      <c r="Q915" s="6">
        <v>0.91700000000000004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1.52</v>
      </c>
      <c r="AB915" s="6">
        <v>1.39384</v>
      </c>
      <c r="AC915" s="6">
        <v>0.91699999999999993</v>
      </c>
      <c r="AD915" s="6">
        <v>-1.5199999999999996</v>
      </c>
      <c r="AE915" s="6">
        <v>1.5199999999999996</v>
      </c>
    </row>
    <row r="916" spans="2:31" x14ac:dyDescent="0.25">
      <c r="B916" s="55"/>
      <c r="C916" s="58">
        <v>46185</v>
      </c>
      <c r="D916" s="4" t="s">
        <v>1430</v>
      </c>
      <c r="E916" s="4" t="s">
        <v>1431</v>
      </c>
      <c r="F916" s="4" t="s">
        <v>34</v>
      </c>
      <c r="G916" s="4" t="s">
        <v>35</v>
      </c>
      <c r="H916" s="54" t="s">
        <v>48</v>
      </c>
      <c r="I916" s="52"/>
      <c r="J916" s="57">
        <v>49.58</v>
      </c>
      <c r="K916" s="52"/>
      <c r="L916" s="6">
        <v>37.185000000000002</v>
      </c>
      <c r="M916" s="6">
        <v>0.75000000000000011</v>
      </c>
      <c r="N916" s="6">
        <v>46.2</v>
      </c>
      <c r="O916" s="57">
        <v>34.65</v>
      </c>
      <c r="P916" s="52"/>
      <c r="Q916" s="6">
        <v>0.74999999999999989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3.38</v>
      </c>
      <c r="AB916" s="6">
        <v>2.5350000000000001</v>
      </c>
      <c r="AC916" s="6">
        <v>0.75000000000000011</v>
      </c>
      <c r="AD916" s="6">
        <v>-3.3799999999999955</v>
      </c>
      <c r="AE916" s="6">
        <v>3.3799999999999955</v>
      </c>
    </row>
    <row r="917" spans="2:31" x14ac:dyDescent="0.25">
      <c r="B917" s="55"/>
      <c r="C917" s="55"/>
      <c r="D917" s="4" t="s">
        <v>1432</v>
      </c>
      <c r="E917" s="4" t="s">
        <v>1433</v>
      </c>
      <c r="F917" s="4" t="s">
        <v>34</v>
      </c>
      <c r="G917" s="4" t="s">
        <v>35</v>
      </c>
      <c r="H917" s="54" t="s">
        <v>48</v>
      </c>
      <c r="I917" s="52"/>
      <c r="J917" s="57">
        <v>36.479999999999997</v>
      </c>
      <c r="K917" s="52"/>
      <c r="L917" s="6">
        <v>27.36</v>
      </c>
      <c r="M917" s="6">
        <v>0.75</v>
      </c>
      <c r="N917" s="6">
        <v>34.75</v>
      </c>
      <c r="O917" s="57">
        <v>26.0625</v>
      </c>
      <c r="P917" s="52"/>
      <c r="Q917" s="6">
        <v>0.75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1.73</v>
      </c>
      <c r="AB917" s="6">
        <v>1.2975000000000001</v>
      </c>
      <c r="AC917" s="6">
        <v>0.75000000000000011</v>
      </c>
      <c r="AD917" s="6">
        <v>-1.7299999999999969</v>
      </c>
      <c r="AE917" s="6">
        <v>1.7299999999999969</v>
      </c>
    </row>
    <row r="918" spans="2:31" x14ac:dyDescent="0.25">
      <c r="B918" s="55"/>
      <c r="C918" s="55"/>
      <c r="D918" s="4" t="s">
        <v>1434</v>
      </c>
      <c r="E918" s="4" t="s">
        <v>1435</v>
      </c>
      <c r="F918" s="4" t="s">
        <v>34</v>
      </c>
      <c r="G918" s="4" t="s">
        <v>35</v>
      </c>
      <c r="H918" s="54" t="s">
        <v>36</v>
      </c>
      <c r="I918" s="52"/>
      <c r="J918" s="57">
        <v>67.67</v>
      </c>
      <c r="K918" s="52"/>
      <c r="L918" s="6">
        <v>62.05339</v>
      </c>
      <c r="M918" s="6">
        <v>0.91699999999999993</v>
      </c>
      <c r="N918" s="6">
        <v>63.5</v>
      </c>
      <c r="O918" s="57">
        <v>58.229500000000002</v>
      </c>
      <c r="P918" s="52"/>
      <c r="Q918" s="6">
        <v>0.91700000000000004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4.17</v>
      </c>
      <c r="AB918" s="6">
        <v>3.82389</v>
      </c>
      <c r="AC918" s="6">
        <v>0.91700000000000004</v>
      </c>
      <c r="AD918" s="6">
        <v>-4.1700000000000017</v>
      </c>
      <c r="AE918" s="6">
        <v>4.1700000000000017</v>
      </c>
    </row>
    <row r="919" spans="2:31" x14ac:dyDescent="0.25">
      <c r="B919" s="55"/>
      <c r="C919" s="55"/>
      <c r="D919" s="4" t="s">
        <v>1436</v>
      </c>
      <c r="E919" s="4" t="s">
        <v>1435</v>
      </c>
      <c r="F919" s="4" t="s">
        <v>34</v>
      </c>
      <c r="G919" s="4" t="s">
        <v>35</v>
      </c>
      <c r="H919" s="54" t="s">
        <v>36</v>
      </c>
      <c r="I919" s="52"/>
      <c r="J919" s="57">
        <v>63.5</v>
      </c>
      <c r="K919" s="52"/>
      <c r="L919" s="6">
        <v>58.229500000000002</v>
      </c>
      <c r="M919" s="6">
        <v>0.91700000000000004</v>
      </c>
      <c r="N919" s="6">
        <v>63.47</v>
      </c>
      <c r="O919" s="57">
        <v>58.201990000000002</v>
      </c>
      <c r="P919" s="52"/>
      <c r="Q919" s="6">
        <v>0.91700000000000004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0.03</v>
      </c>
      <c r="AB919" s="6">
        <v>2.751E-2</v>
      </c>
      <c r="AC919" s="6">
        <v>0.91700000000000004</v>
      </c>
      <c r="AD919" s="6">
        <v>-3.0000000000001137E-2</v>
      </c>
      <c r="AE919" s="6">
        <v>3.0000000000001137E-2</v>
      </c>
    </row>
    <row r="920" spans="2:31" x14ac:dyDescent="0.25">
      <c r="B920" s="55"/>
      <c r="C920" s="55"/>
      <c r="D920" s="4" t="s">
        <v>1437</v>
      </c>
      <c r="E920" s="4" t="s">
        <v>1438</v>
      </c>
      <c r="F920" s="4" t="s">
        <v>34</v>
      </c>
      <c r="G920" s="4" t="s">
        <v>35</v>
      </c>
      <c r="H920" s="54" t="s">
        <v>36</v>
      </c>
      <c r="I920" s="52"/>
      <c r="J920" s="57">
        <v>190.06</v>
      </c>
      <c r="K920" s="52"/>
      <c r="L920" s="6">
        <v>174.28502</v>
      </c>
      <c r="M920" s="6">
        <v>0.91700000000000004</v>
      </c>
      <c r="N920" s="6">
        <v>181.63</v>
      </c>
      <c r="O920" s="57">
        <v>166.55471</v>
      </c>
      <c r="P920" s="52"/>
      <c r="Q920" s="6">
        <v>0.91700000000000004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8.43</v>
      </c>
      <c r="AB920" s="6">
        <v>7.7303100000000002</v>
      </c>
      <c r="AC920" s="6">
        <v>0.91700000000000004</v>
      </c>
      <c r="AD920" s="6">
        <v>-8.4300000000000068</v>
      </c>
      <c r="AE920" s="6">
        <v>8.4300000000000068</v>
      </c>
    </row>
    <row r="921" spans="2:31" x14ac:dyDescent="0.25">
      <c r="B921" s="55"/>
      <c r="C921" s="55"/>
      <c r="D921" s="4" t="s">
        <v>1439</v>
      </c>
      <c r="E921" s="4" t="s">
        <v>1440</v>
      </c>
      <c r="F921" s="4" t="s">
        <v>34</v>
      </c>
      <c r="G921" s="4" t="s">
        <v>35</v>
      </c>
      <c r="H921" s="54" t="s">
        <v>36</v>
      </c>
      <c r="I921" s="52"/>
      <c r="J921" s="57">
        <v>123.88</v>
      </c>
      <c r="K921" s="52"/>
      <c r="L921" s="6">
        <v>113.59796</v>
      </c>
      <c r="M921" s="6">
        <v>0.91700000000000004</v>
      </c>
      <c r="N921" s="6">
        <v>117.31</v>
      </c>
      <c r="O921" s="57">
        <v>107.57326999999999</v>
      </c>
      <c r="P921" s="52"/>
      <c r="Q921" s="6">
        <v>0.91699999999999993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6.57</v>
      </c>
      <c r="AB921" s="6">
        <v>6.0246899999999997</v>
      </c>
      <c r="AC921" s="6">
        <v>0.91699999999999993</v>
      </c>
      <c r="AD921" s="6">
        <v>-6.5699999999999932</v>
      </c>
      <c r="AE921" s="6">
        <v>6.5699999999999932</v>
      </c>
    </row>
    <row r="922" spans="2:31" ht="20" x14ac:dyDescent="0.25">
      <c r="B922" s="55"/>
      <c r="C922" s="55"/>
      <c r="D922" s="4" t="s">
        <v>1441</v>
      </c>
      <c r="E922" s="4" t="s">
        <v>338</v>
      </c>
      <c r="F922" s="4"/>
      <c r="G922" s="4" t="s">
        <v>35</v>
      </c>
      <c r="H922" s="54" t="s">
        <v>36</v>
      </c>
      <c r="I922" s="52"/>
      <c r="J922" s="57">
        <v>3.1</v>
      </c>
      <c r="K922" s="52"/>
      <c r="L922" s="6">
        <v>2.8426999999999998</v>
      </c>
      <c r="M922" s="6">
        <v>0.91699999999999993</v>
      </c>
      <c r="N922" s="6">
        <v>0</v>
      </c>
      <c r="O922" s="57">
        <v>0</v>
      </c>
      <c r="P922" s="52"/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3.1</v>
      </c>
      <c r="AB922" s="6">
        <v>2.8426999999999998</v>
      </c>
      <c r="AC922" s="6">
        <v>0.91699999999999993</v>
      </c>
      <c r="AD922" s="6">
        <v>-3.1</v>
      </c>
      <c r="AE922" s="6">
        <v>3.1</v>
      </c>
    </row>
    <row r="923" spans="2:31" ht="20" x14ac:dyDescent="0.25">
      <c r="B923" s="55"/>
      <c r="C923" s="55"/>
      <c r="D923" s="4" t="s">
        <v>1442</v>
      </c>
      <c r="E923" s="4" t="s">
        <v>1443</v>
      </c>
      <c r="F923" s="4" t="s">
        <v>51</v>
      </c>
      <c r="G923" s="4" t="s">
        <v>35</v>
      </c>
      <c r="H923" s="54" t="s">
        <v>41</v>
      </c>
      <c r="I923" s="52"/>
      <c r="J923" s="57">
        <v>24.75</v>
      </c>
      <c r="K923" s="52"/>
      <c r="L923" s="6">
        <v>18.5625</v>
      </c>
      <c r="M923" s="6">
        <v>0.75</v>
      </c>
      <c r="N923" s="6">
        <v>22.59</v>
      </c>
      <c r="O923" s="57">
        <v>16.942499999999999</v>
      </c>
      <c r="P923" s="52"/>
      <c r="Q923" s="6">
        <v>0.75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2.16</v>
      </c>
      <c r="AB923" s="6">
        <v>1.62</v>
      </c>
      <c r="AC923" s="6">
        <v>0.75</v>
      </c>
      <c r="AD923" s="6">
        <v>-2.16</v>
      </c>
      <c r="AE923" s="6">
        <v>2.16</v>
      </c>
    </row>
    <row r="924" spans="2:31" x14ac:dyDescent="0.25">
      <c r="B924" s="55"/>
      <c r="C924" s="55"/>
      <c r="D924" s="54" t="s">
        <v>1444</v>
      </c>
      <c r="E924" s="4" t="s">
        <v>859</v>
      </c>
      <c r="F924" s="4" t="s">
        <v>51</v>
      </c>
      <c r="G924" s="4" t="s">
        <v>35</v>
      </c>
      <c r="H924" s="54" t="s">
        <v>48</v>
      </c>
      <c r="I924" s="52"/>
      <c r="J924" s="57">
        <v>18.690000000000001</v>
      </c>
      <c r="K924" s="52"/>
      <c r="L924" s="6">
        <v>14.0175</v>
      </c>
      <c r="M924" s="6">
        <v>0.75</v>
      </c>
      <c r="N924" s="6">
        <v>17.73</v>
      </c>
      <c r="O924" s="57">
        <v>13.297499999999999</v>
      </c>
      <c r="P924" s="52"/>
      <c r="Q924" s="6">
        <v>0.75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0.96</v>
      </c>
      <c r="AB924" s="6">
        <v>0.72</v>
      </c>
      <c r="AC924" s="6">
        <v>0.75</v>
      </c>
      <c r="AD924" s="6">
        <v>-0.96000000000000085</v>
      </c>
      <c r="AE924" s="6">
        <v>0.96000000000000085</v>
      </c>
    </row>
    <row r="925" spans="2:31" x14ac:dyDescent="0.25">
      <c r="B925" s="55"/>
      <c r="C925" s="55"/>
      <c r="D925" s="56"/>
      <c r="E925" s="4" t="s">
        <v>1445</v>
      </c>
      <c r="F925" s="4" t="s">
        <v>51</v>
      </c>
      <c r="G925" s="4" t="s">
        <v>35</v>
      </c>
      <c r="H925" s="54" t="s">
        <v>36</v>
      </c>
      <c r="I925" s="52"/>
      <c r="J925" s="57">
        <v>8.68</v>
      </c>
      <c r="K925" s="52"/>
      <c r="L925" s="6">
        <v>7.9595599999999997</v>
      </c>
      <c r="M925" s="6">
        <v>0.91700000000000004</v>
      </c>
      <c r="N925" s="6">
        <v>8.4</v>
      </c>
      <c r="O925" s="57">
        <v>7.7027999999999999</v>
      </c>
      <c r="P925" s="52"/>
      <c r="Q925" s="6">
        <v>0.91699999999999993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0.28000000000000003</v>
      </c>
      <c r="AB925" s="6">
        <v>0.25675999999999999</v>
      </c>
      <c r="AC925" s="6">
        <v>0.91699999999999982</v>
      </c>
      <c r="AD925" s="6">
        <v>-0.27999999999999936</v>
      </c>
      <c r="AE925" s="6">
        <v>0.27999999999999936</v>
      </c>
    </row>
    <row r="926" spans="2:31" ht="20" x14ac:dyDescent="0.25">
      <c r="B926" s="55"/>
      <c r="C926" s="55"/>
      <c r="D926" s="4" t="s">
        <v>1446</v>
      </c>
      <c r="E926" s="4" t="s">
        <v>1447</v>
      </c>
      <c r="F926" s="4" t="s">
        <v>51</v>
      </c>
      <c r="G926" s="4" t="s">
        <v>35</v>
      </c>
      <c r="H926" s="54" t="s">
        <v>48</v>
      </c>
      <c r="I926" s="52"/>
      <c r="J926" s="57">
        <v>21.16</v>
      </c>
      <c r="K926" s="52"/>
      <c r="L926" s="6">
        <v>15.87</v>
      </c>
      <c r="M926" s="6">
        <v>0.75</v>
      </c>
      <c r="N926" s="6">
        <v>20.2</v>
      </c>
      <c r="O926" s="57">
        <v>15.15</v>
      </c>
      <c r="P926" s="52"/>
      <c r="Q926" s="6">
        <v>0.75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0.96</v>
      </c>
      <c r="AB926" s="6">
        <v>0.72</v>
      </c>
      <c r="AC926" s="6">
        <v>0.75</v>
      </c>
      <c r="AD926" s="6">
        <v>-0.96000000000000085</v>
      </c>
      <c r="AE926" s="6">
        <v>0.96000000000000085</v>
      </c>
    </row>
    <row r="927" spans="2:31" x14ac:dyDescent="0.25">
      <c r="B927" s="55"/>
      <c r="C927" s="55"/>
      <c r="D927" s="54" t="s">
        <v>1448</v>
      </c>
      <c r="E927" s="4" t="s">
        <v>1449</v>
      </c>
      <c r="F927" s="4" t="s">
        <v>51</v>
      </c>
      <c r="G927" s="4" t="s">
        <v>35</v>
      </c>
      <c r="H927" s="54" t="s">
        <v>48</v>
      </c>
      <c r="I927" s="52"/>
      <c r="J927" s="57">
        <v>15.68</v>
      </c>
      <c r="K927" s="52"/>
      <c r="L927" s="6">
        <v>11.76</v>
      </c>
      <c r="M927" s="6">
        <v>0.75</v>
      </c>
      <c r="N927" s="6">
        <v>14.95</v>
      </c>
      <c r="O927" s="57">
        <v>11.2125</v>
      </c>
      <c r="P927" s="52"/>
      <c r="Q927" s="6">
        <v>0.75000000000000011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0.73</v>
      </c>
      <c r="AB927" s="6">
        <v>0.54749999999999999</v>
      </c>
      <c r="AC927" s="6">
        <v>0.75</v>
      </c>
      <c r="AD927" s="6">
        <v>-0.73000000000000043</v>
      </c>
      <c r="AE927" s="6">
        <v>0.73000000000000043</v>
      </c>
    </row>
    <row r="928" spans="2:31" x14ac:dyDescent="0.25">
      <c r="B928" s="55"/>
      <c r="C928" s="55"/>
      <c r="D928" s="55"/>
      <c r="E928" s="4" t="s">
        <v>1450</v>
      </c>
      <c r="F928" s="4" t="s">
        <v>51</v>
      </c>
      <c r="G928" s="4" t="s">
        <v>35</v>
      </c>
      <c r="H928" s="54" t="s">
        <v>48</v>
      </c>
      <c r="I928" s="52"/>
      <c r="J928" s="57">
        <v>19.57</v>
      </c>
      <c r="K928" s="52"/>
      <c r="L928" s="6">
        <v>14.6775</v>
      </c>
      <c r="M928" s="6">
        <v>0.75</v>
      </c>
      <c r="N928" s="6">
        <v>18.829999999999998</v>
      </c>
      <c r="O928" s="57">
        <v>14.1225</v>
      </c>
      <c r="P928" s="52"/>
      <c r="Q928" s="6">
        <v>0.75000000000000011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0.74</v>
      </c>
      <c r="AB928" s="6">
        <v>0.55500000000000005</v>
      </c>
      <c r="AC928" s="6">
        <v>0.75000000000000011</v>
      </c>
      <c r="AD928" s="6">
        <v>-0.74000000000000199</v>
      </c>
      <c r="AE928" s="6">
        <v>0.74000000000000199</v>
      </c>
    </row>
    <row r="929" spans="2:31" x14ac:dyDescent="0.25">
      <c r="B929" s="55"/>
      <c r="C929" s="55"/>
      <c r="D929" s="56"/>
      <c r="E929" s="4" t="s">
        <v>1451</v>
      </c>
      <c r="F929" s="4" t="s">
        <v>51</v>
      </c>
      <c r="G929" s="4" t="s">
        <v>35</v>
      </c>
      <c r="H929" s="54" t="s">
        <v>41</v>
      </c>
      <c r="I929" s="52"/>
      <c r="J929" s="57">
        <v>11.11</v>
      </c>
      <c r="K929" s="52"/>
      <c r="L929" s="6">
        <v>8.3324999999999996</v>
      </c>
      <c r="M929" s="6">
        <v>0.75</v>
      </c>
      <c r="N929" s="6">
        <v>10.3</v>
      </c>
      <c r="O929" s="57">
        <v>7.7249999999999996</v>
      </c>
      <c r="P929" s="52"/>
      <c r="Q929" s="6">
        <v>0.74999999999999989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0.81</v>
      </c>
      <c r="AB929" s="6">
        <v>0.60750000000000004</v>
      </c>
      <c r="AC929" s="6">
        <v>0.75</v>
      </c>
      <c r="AD929" s="6">
        <v>-0.80999999999999872</v>
      </c>
      <c r="AE929" s="6">
        <v>0.80999999999999872</v>
      </c>
    </row>
    <row r="930" spans="2:31" x14ac:dyDescent="0.25">
      <c r="B930" s="55"/>
      <c r="C930" s="55"/>
      <c r="D930" s="54" t="s">
        <v>1452</v>
      </c>
      <c r="E930" s="4" t="s">
        <v>1453</v>
      </c>
      <c r="F930" s="4" t="s">
        <v>51</v>
      </c>
      <c r="G930" s="4" t="s">
        <v>35</v>
      </c>
      <c r="H930" s="54" t="s">
        <v>36</v>
      </c>
      <c r="I930" s="52"/>
      <c r="J930" s="57">
        <v>3.99</v>
      </c>
      <c r="K930" s="52"/>
      <c r="L930" s="6">
        <v>3.65883</v>
      </c>
      <c r="M930" s="6">
        <v>0.91699999999999993</v>
      </c>
      <c r="N930" s="6">
        <v>3.62</v>
      </c>
      <c r="O930" s="57">
        <v>3.3195399999999999</v>
      </c>
      <c r="P930" s="52"/>
      <c r="Q930" s="6">
        <v>0.91699999999999993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0.37</v>
      </c>
      <c r="AB930" s="6">
        <v>0.33928999999999998</v>
      </c>
      <c r="AC930" s="6">
        <v>0.91699999999999993</v>
      </c>
      <c r="AD930" s="6">
        <v>-0.37000000000000011</v>
      </c>
      <c r="AE930" s="6">
        <v>0.37000000000000011</v>
      </c>
    </row>
    <row r="931" spans="2:31" x14ac:dyDescent="0.25">
      <c r="B931" s="55"/>
      <c r="C931" s="55"/>
      <c r="D931" s="56"/>
      <c r="E931" s="4" t="s">
        <v>1454</v>
      </c>
      <c r="F931" s="4" t="s">
        <v>51</v>
      </c>
      <c r="G931" s="4" t="s">
        <v>35</v>
      </c>
      <c r="H931" s="54" t="s">
        <v>48</v>
      </c>
      <c r="I931" s="52"/>
      <c r="J931" s="57">
        <v>17.43</v>
      </c>
      <c r="K931" s="52"/>
      <c r="L931" s="6">
        <v>13.0725</v>
      </c>
      <c r="M931" s="6">
        <v>0.75</v>
      </c>
      <c r="N931" s="6">
        <v>16.22</v>
      </c>
      <c r="O931" s="57">
        <v>12.164999999999999</v>
      </c>
      <c r="P931" s="52"/>
      <c r="Q931" s="6">
        <v>0.75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1.21</v>
      </c>
      <c r="AB931" s="6">
        <v>0.90749999999999997</v>
      </c>
      <c r="AC931" s="6">
        <v>0.75</v>
      </c>
      <c r="AD931" s="6">
        <v>-1.2100000000000009</v>
      </c>
      <c r="AE931" s="6">
        <v>1.2100000000000009</v>
      </c>
    </row>
    <row r="932" spans="2:31" x14ac:dyDescent="0.25">
      <c r="B932" s="55"/>
      <c r="C932" s="55"/>
      <c r="D932" s="54" t="s">
        <v>1455</v>
      </c>
      <c r="E932" s="4" t="s">
        <v>1456</v>
      </c>
      <c r="F932" s="4" t="s">
        <v>51</v>
      </c>
      <c r="G932" s="4" t="s">
        <v>35</v>
      </c>
      <c r="H932" s="54" t="s">
        <v>48</v>
      </c>
      <c r="I932" s="52"/>
      <c r="J932" s="57">
        <v>10.11</v>
      </c>
      <c r="K932" s="52"/>
      <c r="L932" s="6">
        <v>7.5824999999999996</v>
      </c>
      <c r="M932" s="6">
        <v>0.75</v>
      </c>
      <c r="N932" s="6">
        <v>9.33</v>
      </c>
      <c r="O932" s="57">
        <v>6.9974999999999996</v>
      </c>
      <c r="P932" s="52"/>
      <c r="Q932" s="6">
        <v>0.75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0.78</v>
      </c>
      <c r="AB932" s="6">
        <v>0.58499999999999996</v>
      </c>
      <c r="AC932" s="6">
        <v>0.74999999999999989</v>
      </c>
      <c r="AD932" s="6">
        <v>-0.77999999999999936</v>
      </c>
      <c r="AE932" s="6">
        <v>0.77999999999999936</v>
      </c>
    </row>
    <row r="933" spans="2:31" x14ac:dyDescent="0.25">
      <c r="B933" s="55"/>
      <c r="C933" s="55"/>
      <c r="D933" s="56"/>
      <c r="E933" s="4" t="s">
        <v>1457</v>
      </c>
      <c r="F933" s="4" t="s">
        <v>51</v>
      </c>
      <c r="G933" s="4" t="s">
        <v>35</v>
      </c>
      <c r="H933" s="54" t="s">
        <v>48</v>
      </c>
      <c r="I933" s="52"/>
      <c r="J933" s="57">
        <v>11.74</v>
      </c>
      <c r="K933" s="52"/>
      <c r="L933" s="6">
        <v>8.8049999999999997</v>
      </c>
      <c r="M933" s="6">
        <v>0.75</v>
      </c>
      <c r="N933" s="6">
        <v>11.17</v>
      </c>
      <c r="O933" s="57">
        <v>8.3774999999999995</v>
      </c>
      <c r="P933" s="52"/>
      <c r="Q933" s="6">
        <v>0.75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0.56999999999999995</v>
      </c>
      <c r="AB933" s="6">
        <v>0.42749999999999999</v>
      </c>
      <c r="AC933" s="6">
        <v>0.75</v>
      </c>
      <c r="AD933" s="6">
        <v>-0.57000000000000028</v>
      </c>
      <c r="AE933" s="6">
        <v>0.57000000000000028</v>
      </c>
    </row>
    <row r="934" spans="2:31" ht="20" x14ac:dyDescent="0.25">
      <c r="B934" s="55"/>
      <c r="C934" s="55"/>
      <c r="D934" s="4" t="s">
        <v>1458</v>
      </c>
      <c r="E934" s="4" t="s">
        <v>1459</v>
      </c>
      <c r="F934" s="4" t="s">
        <v>51</v>
      </c>
      <c r="G934" s="4" t="s">
        <v>35</v>
      </c>
      <c r="H934" s="54" t="s">
        <v>36</v>
      </c>
      <c r="I934" s="52"/>
      <c r="J934" s="57">
        <v>81.510000000000005</v>
      </c>
      <c r="K934" s="52"/>
      <c r="L934" s="6">
        <v>74.744669999999999</v>
      </c>
      <c r="M934" s="6">
        <v>0.91699999999999993</v>
      </c>
      <c r="N934" s="6">
        <v>77.88</v>
      </c>
      <c r="O934" s="57">
        <v>71.415959999999998</v>
      </c>
      <c r="P934" s="52"/>
      <c r="Q934" s="6">
        <v>0.91700000000000004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3.63</v>
      </c>
      <c r="AB934" s="6">
        <v>3.3287100000000001</v>
      </c>
      <c r="AC934" s="6">
        <v>0.91700000000000004</v>
      </c>
      <c r="AD934" s="6">
        <v>-3.6300000000000097</v>
      </c>
      <c r="AE934" s="6">
        <v>3.6300000000000097</v>
      </c>
    </row>
    <row r="935" spans="2:31" ht="20" x14ac:dyDescent="0.25">
      <c r="B935" s="55"/>
      <c r="C935" s="55"/>
      <c r="D935" s="4" t="s">
        <v>1460</v>
      </c>
      <c r="E935" s="4" t="s">
        <v>1396</v>
      </c>
      <c r="F935" s="4" t="s">
        <v>51</v>
      </c>
      <c r="G935" s="4" t="s">
        <v>35</v>
      </c>
      <c r="H935" s="54" t="s">
        <v>36</v>
      </c>
      <c r="I935" s="52"/>
      <c r="J935" s="57">
        <v>23.81</v>
      </c>
      <c r="K935" s="52"/>
      <c r="L935" s="6">
        <v>21.833770000000001</v>
      </c>
      <c r="M935" s="6">
        <v>0.91700000000000015</v>
      </c>
      <c r="N935" s="6">
        <v>23.79</v>
      </c>
      <c r="O935" s="57">
        <v>21.815429999999999</v>
      </c>
      <c r="P935" s="52"/>
      <c r="Q935" s="6">
        <v>0.91700000000000004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0.02</v>
      </c>
      <c r="AB935" s="6">
        <v>1.8339999999999999E-2</v>
      </c>
      <c r="AC935" s="6">
        <v>0.91699999999999993</v>
      </c>
      <c r="AD935" s="6">
        <v>-1.9999999999999574E-2</v>
      </c>
      <c r="AE935" s="6">
        <v>1.9999999999999574E-2</v>
      </c>
    </row>
    <row r="936" spans="2:31" ht="20" x14ac:dyDescent="0.25">
      <c r="B936" s="55"/>
      <c r="C936" s="55"/>
      <c r="D936" s="4" t="s">
        <v>1461</v>
      </c>
      <c r="E936" s="4" t="s">
        <v>1462</v>
      </c>
      <c r="F936" s="4" t="s">
        <v>51</v>
      </c>
      <c r="G936" s="4" t="s">
        <v>35</v>
      </c>
      <c r="H936" s="54" t="s">
        <v>48</v>
      </c>
      <c r="I936" s="52"/>
      <c r="J936" s="57">
        <v>29.35</v>
      </c>
      <c r="K936" s="52"/>
      <c r="L936" s="6">
        <v>22.012499999999999</v>
      </c>
      <c r="M936" s="6">
        <v>0.74999999999999989</v>
      </c>
      <c r="N936" s="6">
        <v>27.11</v>
      </c>
      <c r="O936" s="57">
        <v>20.3325</v>
      </c>
      <c r="P936" s="52"/>
      <c r="Q936" s="6">
        <v>0.75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2.2400000000000002</v>
      </c>
      <c r="AB936" s="6">
        <v>1.68</v>
      </c>
      <c r="AC936" s="6">
        <v>0.74999999999999989</v>
      </c>
      <c r="AD936" s="6">
        <v>-2.240000000000002</v>
      </c>
      <c r="AE936" s="6">
        <v>2.240000000000002</v>
      </c>
    </row>
    <row r="937" spans="2:31" x14ac:dyDescent="0.25">
      <c r="B937" s="55"/>
      <c r="C937" s="55"/>
      <c r="D937" s="54" t="s">
        <v>1463</v>
      </c>
      <c r="E937" s="4" t="s">
        <v>1464</v>
      </c>
      <c r="F937" s="4" t="s">
        <v>51</v>
      </c>
      <c r="G937" s="4" t="s">
        <v>35</v>
      </c>
      <c r="H937" s="54" t="s">
        <v>36</v>
      </c>
      <c r="I937" s="52"/>
      <c r="J937" s="57">
        <v>34.9</v>
      </c>
      <c r="K937" s="52"/>
      <c r="L937" s="6">
        <v>32.003300000000003</v>
      </c>
      <c r="M937" s="6">
        <v>0.91700000000000015</v>
      </c>
      <c r="N937" s="6">
        <v>33.15</v>
      </c>
      <c r="O937" s="57">
        <v>30.39855</v>
      </c>
      <c r="P937" s="52"/>
      <c r="Q937" s="6">
        <v>0.91700000000000004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1.75</v>
      </c>
      <c r="AB937" s="6">
        <v>1.6047499999999999</v>
      </c>
      <c r="AC937" s="6">
        <v>0.91699999999999993</v>
      </c>
      <c r="AD937" s="6">
        <v>-1.75</v>
      </c>
      <c r="AE937" s="6">
        <v>1.75</v>
      </c>
    </row>
    <row r="938" spans="2:31" x14ac:dyDescent="0.25">
      <c r="B938" s="55"/>
      <c r="C938" s="55"/>
      <c r="D938" s="56"/>
      <c r="E938" s="4" t="s">
        <v>1465</v>
      </c>
      <c r="F938" s="4" t="s">
        <v>51</v>
      </c>
      <c r="G938" s="4" t="s">
        <v>35</v>
      </c>
      <c r="H938" s="54" t="s">
        <v>48</v>
      </c>
      <c r="I938" s="52"/>
      <c r="J938" s="57">
        <v>139.66999999999999</v>
      </c>
      <c r="K938" s="52"/>
      <c r="L938" s="6">
        <v>104.7525</v>
      </c>
      <c r="M938" s="6">
        <v>0.75</v>
      </c>
      <c r="N938" s="6">
        <v>133.99</v>
      </c>
      <c r="O938" s="57">
        <v>100.49250000000001</v>
      </c>
      <c r="P938" s="52"/>
      <c r="Q938" s="6">
        <v>0.75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5.68</v>
      </c>
      <c r="AB938" s="6">
        <v>4.26</v>
      </c>
      <c r="AC938" s="6">
        <v>0.75</v>
      </c>
      <c r="AD938" s="6">
        <v>-5.6799999999999784</v>
      </c>
      <c r="AE938" s="6">
        <v>5.6799999999999784</v>
      </c>
    </row>
    <row r="939" spans="2:31" ht="20" x14ac:dyDescent="0.25">
      <c r="B939" s="55"/>
      <c r="C939" s="55"/>
      <c r="D939" s="4" t="s">
        <v>1466</v>
      </c>
      <c r="E939" s="4" t="s">
        <v>1385</v>
      </c>
      <c r="F939" s="4" t="s">
        <v>51</v>
      </c>
      <c r="G939" s="4" t="s">
        <v>35</v>
      </c>
      <c r="H939" s="54" t="s">
        <v>36</v>
      </c>
      <c r="I939" s="52"/>
      <c r="J939" s="57">
        <v>27</v>
      </c>
      <c r="K939" s="52"/>
      <c r="L939" s="6">
        <v>24.759</v>
      </c>
      <c r="M939" s="6">
        <v>0.91700000000000004</v>
      </c>
      <c r="N939" s="6">
        <v>26.95</v>
      </c>
      <c r="O939" s="57">
        <v>24.713149999999999</v>
      </c>
      <c r="P939" s="52"/>
      <c r="Q939" s="6">
        <v>0.91699999999999993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0.05</v>
      </c>
      <c r="AB939" s="6">
        <v>4.5850000000000002E-2</v>
      </c>
      <c r="AC939" s="6">
        <v>0.91700000000000004</v>
      </c>
      <c r="AD939" s="6">
        <v>-5.0000000000000711E-2</v>
      </c>
      <c r="AE939" s="6">
        <v>5.0000000000000711E-2</v>
      </c>
    </row>
    <row r="940" spans="2:31" ht="20" x14ac:dyDescent="0.25">
      <c r="B940" s="55"/>
      <c r="C940" s="55"/>
      <c r="D940" s="4" t="s">
        <v>1467</v>
      </c>
      <c r="E940" s="4" t="s">
        <v>763</v>
      </c>
      <c r="F940" s="4" t="s">
        <v>51</v>
      </c>
      <c r="G940" s="4" t="s">
        <v>35</v>
      </c>
      <c r="H940" s="54" t="s">
        <v>36</v>
      </c>
      <c r="I940" s="52"/>
      <c r="J940" s="57">
        <v>91.82</v>
      </c>
      <c r="K940" s="52"/>
      <c r="L940" s="6">
        <v>84.198939999999993</v>
      </c>
      <c r="M940" s="6">
        <v>0.91700000000000004</v>
      </c>
      <c r="N940" s="6">
        <v>85.2</v>
      </c>
      <c r="O940" s="57">
        <v>78.128399999999999</v>
      </c>
      <c r="P940" s="52"/>
      <c r="Q940" s="6">
        <v>0.91699999999999993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6.62</v>
      </c>
      <c r="AB940" s="6">
        <v>6.0705400000000003</v>
      </c>
      <c r="AC940" s="6">
        <v>0.91700000000000004</v>
      </c>
      <c r="AD940" s="6">
        <v>-6.6199999999999903</v>
      </c>
      <c r="AE940" s="6">
        <v>6.6199999999999903</v>
      </c>
    </row>
    <row r="941" spans="2:31" ht="20" x14ac:dyDescent="0.25">
      <c r="B941" s="55"/>
      <c r="C941" s="55"/>
      <c r="D941" s="4" t="s">
        <v>1468</v>
      </c>
      <c r="E941" s="4" t="s">
        <v>1370</v>
      </c>
      <c r="F941" s="4" t="s">
        <v>51</v>
      </c>
      <c r="G941" s="4" t="s">
        <v>35</v>
      </c>
      <c r="H941" s="54" t="s">
        <v>41</v>
      </c>
      <c r="I941" s="52"/>
      <c r="J941" s="57">
        <v>262.95</v>
      </c>
      <c r="K941" s="52"/>
      <c r="L941" s="6">
        <v>197.21250000000001</v>
      </c>
      <c r="M941" s="6">
        <v>0.75</v>
      </c>
      <c r="N941" s="6">
        <v>261.61</v>
      </c>
      <c r="O941" s="57">
        <v>196.20750000000001</v>
      </c>
      <c r="P941" s="52"/>
      <c r="Q941" s="6">
        <v>0.75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1.34</v>
      </c>
      <c r="AB941" s="6">
        <v>1.0049999999999999</v>
      </c>
      <c r="AC941" s="6">
        <v>0.74999999999999989</v>
      </c>
      <c r="AD941" s="6">
        <v>-1.339999999999975</v>
      </c>
      <c r="AE941" s="6">
        <v>1.339999999999975</v>
      </c>
    </row>
    <row r="942" spans="2:31" ht="20" x14ac:dyDescent="0.25">
      <c r="B942" s="55"/>
      <c r="C942" s="55"/>
      <c r="D942" s="4" t="s">
        <v>1469</v>
      </c>
      <c r="E942" s="4" t="s">
        <v>1470</v>
      </c>
      <c r="F942" s="4" t="s">
        <v>51</v>
      </c>
      <c r="G942" s="4" t="s">
        <v>35</v>
      </c>
      <c r="H942" s="54" t="s">
        <v>36</v>
      </c>
      <c r="I942" s="52"/>
      <c r="J942" s="57">
        <v>24.12</v>
      </c>
      <c r="K942" s="52"/>
      <c r="L942" s="6">
        <v>22.118040000000001</v>
      </c>
      <c r="M942" s="6">
        <v>0.91700000000000004</v>
      </c>
      <c r="N942" s="6">
        <v>22.86</v>
      </c>
      <c r="O942" s="57">
        <v>20.962620000000001</v>
      </c>
      <c r="P942" s="52"/>
      <c r="Q942" s="6">
        <v>0.91700000000000004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1.26</v>
      </c>
      <c r="AB942" s="6">
        <v>1.1554199999999999</v>
      </c>
      <c r="AC942" s="6">
        <v>0.91699999999999993</v>
      </c>
      <c r="AD942" s="6">
        <v>-1.2600000000000016</v>
      </c>
      <c r="AE942" s="6">
        <v>1.2600000000000016</v>
      </c>
    </row>
    <row r="943" spans="2:31" ht="20" x14ac:dyDescent="0.25">
      <c r="B943" s="55"/>
      <c r="C943" s="55"/>
      <c r="D943" s="4" t="s">
        <v>1471</v>
      </c>
      <c r="E943" s="4" t="s">
        <v>1472</v>
      </c>
      <c r="F943" s="4" t="s">
        <v>51</v>
      </c>
      <c r="G943" s="4" t="s">
        <v>35</v>
      </c>
      <c r="H943" s="54" t="s">
        <v>36</v>
      </c>
      <c r="I943" s="52"/>
      <c r="J943" s="57">
        <v>30.46</v>
      </c>
      <c r="K943" s="52"/>
      <c r="L943" s="6">
        <v>27.931819999999998</v>
      </c>
      <c r="M943" s="6">
        <v>0.91699999999999993</v>
      </c>
      <c r="N943" s="6">
        <v>27.32</v>
      </c>
      <c r="O943" s="57">
        <v>25.052440000000001</v>
      </c>
      <c r="P943" s="52"/>
      <c r="Q943" s="6">
        <v>0.91700000000000004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3.14</v>
      </c>
      <c r="AB943" s="6">
        <v>2.8793799999999998</v>
      </c>
      <c r="AC943" s="6">
        <v>0.91699999999999993</v>
      </c>
      <c r="AD943" s="6">
        <v>-3.1400000000000006</v>
      </c>
      <c r="AE943" s="6">
        <v>3.1400000000000006</v>
      </c>
    </row>
    <row r="944" spans="2:31" ht="20" x14ac:dyDescent="0.25">
      <c r="B944" s="55"/>
      <c r="C944" s="55"/>
      <c r="D944" s="4" t="s">
        <v>1473</v>
      </c>
      <c r="E944" s="4" t="s">
        <v>1474</v>
      </c>
      <c r="F944" s="4" t="s">
        <v>51</v>
      </c>
      <c r="G944" s="4" t="s">
        <v>35</v>
      </c>
      <c r="H944" s="54" t="s">
        <v>36</v>
      </c>
      <c r="I944" s="52"/>
      <c r="J944" s="57">
        <v>38.64</v>
      </c>
      <c r="K944" s="52"/>
      <c r="L944" s="6">
        <v>35.432879999999997</v>
      </c>
      <c r="M944" s="6">
        <v>0.91699999999999993</v>
      </c>
      <c r="N944" s="6">
        <v>36.729999999999997</v>
      </c>
      <c r="O944" s="57">
        <v>33.68141</v>
      </c>
      <c r="P944" s="52"/>
      <c r="Q944" s="6">
        <v>0.91700000000000004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1.91</v>
      </c>
      <c r="AB944" s="6">
        <v>1.7514700000000001</v>
      </c>
      <c r="AC944" s="6">
        <v>0.91700000000000004</v>
      </c>
      <c r="AD944" s="6">
        <v>-1.9100000000000037</v>
      </c>
      <c r="AE944" s="6">
        <v>1.9100000000000037</v>
      </c>
    </row>
    <row r="945" spans="2:31" ht="20" x14ac:dyDescent="0.25">
      <c r="B945" s="55"/>
      <c r="C945" s="55"/>
      <c r="D945" s="4" t="s">
        <v>1475</v>
      </c>
      <c r="E945" s="4" t="s">
        <v>1378</v>
      </c>
      <c r="F945" s="4" t="s">
        <v>51</v>
      </c>
      <c r="G945" s="4" t="s">
        <v>35</v>
      </c>
      <c r="H945" s="54" t="s">
        <v>36</v>
      </c>
      <c r="I945" s="52"/>
      <c r="J945" s="57">
        <v>26.65</v>
      </c>
      <c r="K945" s="52"/>
      <c r="L945" s="6">
        <v>24.43805</v>
      </c>
      <c r="M945" s="6">
        <v>0.91700000000000004</v>
      </c>
      <c r="N945" s="6">
        <v>26.65</v>
      </c>
      <c r="O945" s="57">
        <v>24.43805</v>
      </c>
      <c r="P945" s="52"/>
      <c r="Q945" s="6">
        <v>0.91700000000000004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</row>
    <row r="946" spans="2:31" x14ac:dyDescent="0.25">
      <c r="B946" s="55"/>
      <c r="C946" s="55"/>
      <c r="D946" s="54" t="s">
        <v>1476</v>
      </c>
      <c r="E946" s="4" t="s">
        <v>1477</v>
      </c>
      <c r="F946" s="4" t="s">
        <v>51</v>
      </c>
      <c r="G946" s="4" t="s">
        <v>35</v>
      </c>
      <c r="H946" s="54" t="s">
        <v>36</v>
      </c>
      <c r="I946" s="52"/>
      <c r="J946" s="57">
        <v>27.42</v>
      </c>
      <c r="K946" s="52"/>
      <c r="L946" s="6">
        <v>25.14414</v>
      </c>
      <c r="M946" s="6">
        <v>0.91699999999999993</v>
      </c>
      <c r="N946" s="6">
        <v>26.4</v>
      </c>
      <c r="O946" s="57">
        <v>24.2088</v>
      </c>
      <c r="P946" s="52"/>
      <c r="Q946" s="6">
        <v>0.91700000000000004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1.02</v>
      </c>
      <c r="AB946" s="6">
        <v>0.93533999999999995</v>
      </c>
      <c r="AC946" s="6">
        <v>0.91699999999999993</v>
      </c>
      <c r="AD946" s="6">
        <v>-1.0200000000000031</v>
      </c>
      <c r="AE946" s="6">
        <v>1.0200000000000031</v>
      </c>
    </row>
    <row r="947" spans="2:31" x14ac:dyDescent="0.25">
      <c r="B947" s="55"/>
      <c r="C947" s="55"/>
      <c r="D947" s="56"/>
      <c r="E947" s="4" t="s">
        <v>1478</v>
      </c>
      <c r="F947" s="4" t="s">
        <v>51</v>
      </c>
      <c r="G947" s="4" t="s">
        <v>35</v>
      </c>
      <c r="H947" s="54" t="s">
        <v>36</v>
      </c>
      <c r="I947" s="52"/>
      <c r="J947" s="57">
        <v>43.24</v>
      </c>
      <c r="K947" s="52"/>
      <c r="L947" s="6">
        <v>39.65108</v>
      </c>
      <c r="M947" s="6">
        <v>0.91699999999999993</v>
      </c>
      <c r="N947" s="6">
        <v>41.79</v>
      </c>
      <c r="O947" s="57">
        <v>38.321429999999999</v>
      </c>
      <c r="P947" s="52"/>
      <c r="Q947" s="6">
        <v>0.91700000000000004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1.45</v>
      </c>
      <c r="AB947" s="6">
        <v>1.32965</v>
      </c>
      <c r="AC947" s="6">
        <v>0.91700000000000004</v>
      </c>
      <c r="AD947" s="6">
        <v>-1.4500000000000028</v>
      </c>
      <c r="AE947" s="6">
        <v>1.4500000000000028</v>
      </c>
    </row>
    <row r="948" spans="2:31" ht="20" x14ac:dyDescent="0.25">
      <c r="B948" s="55"/>
      <c r="C948" s="55"/>
      <c r="D948" s="4" t="s">
        <v>1479</v>
      </c>
      <c r="E948" s="4" t="s">
        <v>1421</v>
      </c>
      <c r="F948" s="4" t="s">
        <v>51</v>
      </c>
      <c r="G948" s="4" t="s">
        <v>35</v>
      </c>
      <c r="H948" s="54" t="s">
        <v>41</v>
      </c>
      <c r="I948" s="52"/>
      <c r="J948" s="57">
        <v>338.31</v>
      </c>
      <c r="K948" s="52"/>
      <c r="L948" s="6">
        <v>253.73249999999999</v>
      </c>
      <c r="M948" s="6">
        <v>0.75</v>
      </c>
      <c r="N948" s="6">
        <v>337.65</v>
      </c>
      <c r="O948" s="57">
        <v>253.23750000000001</v>
      </c>
      <c r="P948" s="52"/>
      <c r="Q948" s="6">
        <v>0.75000000000000011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0.66</v>
      </c>
      <c r="AB948" s="6">
        <v>0.495</v>
      </c>
      <c r="AC948" s="6">
        <v>0.75</v>
      </c>
      <c r="AD948" s="6">
        <v>-0.66000000000002501</v>
      </c>
      <c r="AE948" s="6">
        <v>0.66000000000002501</v>
      </c>
    </row>
    <row r="949" spans="2:31" ht="20" x14ac:dyDescent="0.25">
      <c r="B949" s="55"/>
      <c r="C949" s="55"/>
      <c r="D949" s="4" t="s">
        <v>1480</v>
      </c>
      <c r="E949" s="4" t="s">
        <v>1481</v>
      </c>
      <c r="F949" s="4" t="s">
        <v>51</v>
      </c>
      <c r="G949" s="4" t="s">
        <v>35</v>
      </c>
      <c r="H949" s="54" t="s">
        <v>36</v>
      </c>
      <c r="I949" s="52"/>
      <c r="J949" s="57">
        <v>20.2</v>
      </c>
      <c r="K949" s="52"/>
      <c r="L949" s="6">
        <v>18.523399999999999</v>
      </c>
      <c r="M949" s="6">
        <v>0.91699999999999993</v>
      </c>
      <c r="N949" s="6">
        <v>18.93</v>
      </c>
      <c r="O949" s="57">
        <v>17.358809999999998</v>
      </c>
      <c r="P949" s="52"/>
      <c r="Q949" s="6">
        <v>0.91699999999999993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1.27</v>
      </c>
      <c r="AB949" s="6">
        <v>1.16459</v>
      </c>
      <c r="AC949" s="6">
        <v>0.91700000000000004</v>
      </c>
      <c r="AD949" s="6">
        <v>-1.2699999999999996</v>
      </c>
      <c r="AE949" s="6">
        <v>1.2699999999999996</v>
      </c>
    </row>
    <row r="950" spans="2:31" ht="20" x14ac:dyDescent="0.25">
      <c r="B950" s="55"/>
      <c r="C950" s="55"/>
      <c r="D950" s="4" t="s">
        <v>1482</v>
      </c>
      <c r="E950" s="4" t="s">
        <v>1483</v>
      </c>
      <c r="F950" s="4" t="s">
        <v>51</v>
      </c>
      <c r="G950" s="4" t="s">
        <v>35</v>
      </c>
      <c r="H950" s="54" t="s">
        <v>36</v>
      </c>
      <c r="I950" s="52"/>
      <c r="J950" s="57">
        <v>6.7</v>
      </c>
      <c r="K950" s="52"/>
      <c r="L950" s="6">
        <v>6.1439000000000004</v>
      </c>
      <c r="M950" s="6">
        <v>0.91700000000000004</v>
      </c>
      <c r="N950" s="6">
        <v>6.34</v>
      </c>
      <c r="O950" s="57">
        <v>5.8137800000000004</v>
      </c>
      <c r="P950" s="52"/>
      <c r="Q950" s="6">
        <v>0.91700000000000004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0.36</v>
      </c>
      <c r="AB950" s="6">
        <v>0.33012000000000002</v>
      </c>
      <c r="AC950" s="6">
        <v>0.91700000000000015</v>
      </c>
      <c r="AD950" s="6">
        <v>-0.36000000000000032</v>
      </c>
      <c r="AE950" s="6">
        <v>0.36000000000000032</v>
      </c>
    </row>
    <row r="951" spans="2:31" ht="20" x14ac:dyDescent="0.25">
      <c r="B951" s="55"/>
      <c r="C951" s="55"/>
      <c r="D951" s="4" t="s">
        <v>1484</v>
      </c>
      <c r="E951" s="4" t="s">
        <v>1485</v>
      </c>
      <c r="F951" s="4" t="s">
        <v>51</v>
      </c>
      <c r="G951" s="4" t="s">
        <v>35</v>
      </c>
      <c r="H951" s="54" t="s">
        <v>36</v>
      </c>
      <c r="I951" s="52"/>
      <c r="J951" s="57">
        <v>3.12</v>
      </c>
      <c r="K951" s="52"/>
      <c r="L951" s="6">
        <v>2.86104</v>
      </c>
      <c r="M951" s="6">
        <v>0.91699999999999993</v>
      </c>
      <c r="N951" s="6">
        <v>2.97</v>
      </c>
      <c r="O951" s="57">
        <v>2.72349</v>
      </c>
      <c r="P951" s="52"/>
      <c r="Q951" s="6">
        <v>0.91699999999999993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0.15</v>
      </c>
      <c r="AB951" s="6">
        <v>0.13755000000000001</v>
      </c>
      <c r="AC951" s="6">
        <v>0.91700000000000004</v>
      </c>
      <c r="AD951" s="6">
        <v>-0.14999999999999991</v>
      </c>
      <c r="AE951" s="6">
        <v>0.14999999999999991</v>
      </c>
    </row>
    <row r="952" spans="2:31" ht="20" x14ac:dyDescent="0.25">
      <c r="B952" s="55"/>
      <c r="C952" s="55"/>
      <c r="D952" s="4" t="s">
        <v>1486</v>
      </c>
      <c r="E952" s="4" t="s">
        <v>1487</v>
      </c>
      <c r="F952" s="4" t="s">
        <v>51</v>
      </c>
      <c r="G952" s="4" t="s">
        <v>35</v>
      </c>
      <c r="H952" s="54" t="s">
        <v>36</v>
      </c>
      <c r="I952" s="52"/>
      <c r="J952" s="57">
        <v>3.65</v>
      </c>
      <c r="K952" s="52"/>
      <c r="L952" s="6">
        <v>3.3470499999999999</v>
      </c>
      <c r="M952" s="6">
        <v>0.91700000000000004</v>
      </c>
      <c r="N952" s="6">
        <v>3.48</v>
      </c>
      <c r="O952" s="57">
        <v>3.19116</v>
      </c>
      <c r="P952" s="52"/>
      <c r="Q952" s="6">
        <v>0.91700000000000004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0.17</v>
      </c>
      <c r="AB952" s="6">
        <v>0.15589</v>
      </c>
      <c r="AC952" s="6">
        <v>0.91699999999999993</v>
      </c>
      <c r="AD952" s="6">
        <v>-0.16999999999999993</v>
      </c>
      <c r="AE952" s="6">
        <v>0.16999999999999993</v>
      </c>
    </row>
    <row r="953" spans="2:31" x14ac:dyDescent="0.25">
      <c r="B953" s="55"/>
      <c r="C953" s="55"/>
      <c r="D953" s="54" t="s">
        <v>1488</v>
      </c>
      <c r="E953" s="4" t="s">
        <v>1489</v>
      </c>
      <c r="F953" s="4" t="s">
        <v>51</v>
      </c>
      <c r="G953" s="4" t="s">
        <v>35</v>
      </c>
      <c r="H953" s="54" t="s">
        <v>36</v>
      </c>
      <c r="I953" s="52"/>
      <c r="J953" s="57">
        <v>42.2</v>
      </c>
      <c r="K953" s="52"/>
      <c r="L953" s="6">
        <v>38.697400000000002</v>
      </c>
      <c r="M953" s="6">
        <v>0.91699999999999993</v>
      </c>
      <c r="N953" s="6">
        <v>40.51</v>
      </c>
      <c r="O953" s="57">
        <v>37.147669999999998</v>
      </c>
      <c r="P953" s="52"/>
      <c r="Q953" s="6">
        <v>0.91700000000000004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1.69</v>
      </c>
      <c r="AB953" s="6">
        <v>1.5497300000000001</v>
      </c>
      <c r="AC953" s="6">
        <v>0.91700000000000004</v>
      </c>
      <c r="AD953" s="6">
        <v>-1.6900000000000048</v>
      </c>
      <c r="AE953" s="6">
        <v>1.6900000000000048</v>
      </c>
    </row>
    <row r="954" spans="2:31" x14ac:dyDescent="0.25">
      <c r="B954" s="55"/>
      <c r="C954" s="55"/>
      <c r="D954" s="56"/>
      <c r="E954" s="4" t="s">
        <v>1490</v>
      </c>
      <c r="F954" s="4" t="s">
        <v>51</v>
      </c>
      <c r="G954" s="4" t="s">
        <v>35</v>
      </c>
      <c r="H954" s="54" t="s">
        <v>36</v>
      </c>
      <c r="I954" s="52"/>
      <c r="J954" s="57">
        <v>37.619999999999997</v>
      </c>
      <c r="K954" s="52"/>
      <c r="L954" s="6">
        <v>34.497540000000001</v>
      </c>
      <c r="M954" s="6">
        <v>0.91700000000000004</v>
      </c>
      <c r="N954" s="6">
        <v>36.07</v>
      </c>
      <c r="O954" s="57">
        <v>33.076189999999997</v>
      </c>
      <c r="P954" s="52"/>
      <c r="Q954" s="6">
        <v>0.91699999999999993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1.55</v>
      </c>
      <c r="AB954" s="6">
        <v>1.4213499999999999</v>
      </c>
      <c r="AC954" s="6">
        <v>0.91699999999999993</v>
      </c>
      <c r="AD954" s="6">
        <v>-1.5499999999999972</v>
      </c>
      <c r="AE954" s="6">
        <v>1.5499999999999972</v>
      </c>
    </row>
    <row r="955" spans="2:31" ht="20" x14ac:dyDescent="0.25">
      <c r="B955" s="55"/>
      <c r="C955" s="55"/>
      <c r="D955" s="4" t="s">
        <v>1491</v>
      </c>
      <c r="E955" s="4" t="s">
        <v>1492</v>
      </c>
      <c r="F955" s="4" t="s">
        <v>51</v>
      </c>
      <c r="G955" s="4" t="s">
        <v>35</v>
      </c>
      <c r="H955" s="54" t="s">
        <v>36</v>
      </c>
      <c r="I955" s="52"/>
      <c r="J955" s="57">
        <v>24.2</v>
      </c>
      <c r="K955" s="52"/>
      <c r="L955" s="6">
        <v>22.191400000000002</v>
      </c>
      <c r="M955" s="6">
        <v>0.91700000000000004</v>
      </c>
      <c r="N955" s="6">
        <v>23.51</v>
      </c>
      <c r="O955" s="57">
        <v>21.558669999999999</v>
      </c>
      <c r="P955" s="52"/>
      <c r="Q955" s="6">
        <v>0.91699999999999993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0.69</v>
      </c>
      <c r="AB955" s="6">
        <v>0.63273000000000001</v>
      </c>
      <c r="AC955" s="6">
        <v>0.91700000000000004</v>
      </c>
      <c r="AD955" s="6">
        <v>-0.68999999999999773</v>
      </c>
      <c r="AE955" s="6">
        <v>0.68999999999999773</v>
      </c>
    </row>
    <row r="956" spans="2:31" ht="20" x14ac:dyDescent="0.25">
      <c r="B956" s="55"/>
      <c r="C956" s="55"/>
      <c r="D956" s="4" t="s">
        <v>1493</v>
      </c>
      <c r="E956" s="4" t="s">
        <v>763</v>
      </c>
      <c r="F956" s="4" t="s">
        <v>51</v>
      </c>
      <c r="G956" s="4" t="s">
        <v>35</v>
      </c>
      <c r="H956" s="54" t="s">
        <v>36</v>
      </c>
      <c r="I956" s="52"/>
      <c r="J956" s="57">
        <v>82.1</v>
      </c>
      <c r="K956" s="52"/>
      <c r="L956" s="6">
        <v>75.285700000000006</v>
      </c>
      <c r="M956" s="6">
        <v>0.91700000000000015</v>
      </c>
      <c r="N956" s="6">
        <v>82.1</v>
      </c>
      <c r="O956" s="57">
        <v>75.285700000000006</v>
      </c>
      <c r="P956" s="52"/>
      <c r="Q956" s="6">
        <v>0.91700000000000015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</row>
    <row r="957" spans="2:31" ht="20" x14ac:dyDescent="0.25">
      <c r="B957" s="55"/>
      <c r="C957" s="55"/>
      <c r="D957" s="4" t="s">
        <v>1494</v>
      </c>
      <c r="E957" s="4" t="s">
        <v>1495</v>
      </c>
      <c r="F957" s="4" t="s">
        <v>51</v>
      </c>
      <c r="G957" s="4" t="s">
        <v>35</v>
      </c>
      <c r="H957" s="54" t="s">
        <v>36</v>
      </c>
      <c r="I957" s="52"/>
      <c r="J957" s="57">
        <v>58.38</v>
      </c>
      <c r="K957" s="52"/>
      <c r="L957" s="6">
        <v>53.534460000000003</v>
      </c>
      <c r="M957" s="6">
        <v>0.91700000000000004</v>
      </c>
      <c r="N957" s="6">
        <v>53.11</v>
      </c>
      <c r="O957" s="57">
        <v>48.70187</v>
      </c>
      <c r="P957" s="52"/>
      <c r="Q957" s="6">
        <v>0.91700000000000004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5.27</v>
      </c>
      <c r="AB957" s="6">
        <v>4.8325899999999997</v>
      </c>
      <c r="AC957" s="6">
        <v>0.91700000000000004</v>
      </c>
      <c r="AD957" s="6">
        <v>-5.2700000000000031</v>
      </c>
      <c r="AE957" s="6">
        <v>5.2700000000000031</v>
      </c>
    </row>
    <row r="958" spans="2:31" ht="20" x14ac:dyDescent="0.25">
      <c r="B958" s="55"/>
      <c r="C958" s="55"/>
      <c r="D958" s="4" t="s">
        <v>1496</v>
      </c>
      <c r="E958" s="4" t="s">
        <v>1483</v>
      </c>
      <c r="F958" s="4" t="s">
        <v>51</v>
      </c>
      <c r="G958" s="4" t="s">
        <v>35</v>
      </c>
      <c r="H958" s="54" t="s">
        <v>36</v>
      </c>
      <c r="I958" s="52"/>
      <c r="J958" s="57">
        <v>6.4</v>
      </c>
      <c r="K958" s="52"/>
      <c r="L958" s="6">
        <v>5.8688000000000002</v>
      </c>
      <c r="M958" s="6">
        <v>0.91700000000000004</v>
      </c>
      <c r="N958" s="6">
        <v>6.37</v>
      </c>
      <c r="O958" s="57">
        <v>5.8412899999999999</v>
      </c>
      <c r="P958" s="52"/>
      <c r="Q958" s="6">
        <v>0.91699999999999993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0.03</v>
      </c>
      <c r="AB958" s="6">
        <v>2.751E-2</v>
      </c>
      <c r="AC958" s="6">
        <v>0.91700000000000004</v>
      </c>
      <c r="AD958" s="6">
        <v>-3.0000000000000249E-2</v>
      </c>
      <c r="AE958" s="6">
        <v>3.0000000000000249E-2</v>
      </c>
    </row>
    <row r="959" spans="2:31" ht="20" x14ac:dyDescent="0.25">
      <c r="B959" s="55"/>
      <c r="C959" s="55"/>
      <c r="D959" s="4" t="s">
        <v>1497</v>
      </c>
      <c r="E959" s="4" t="s">
        <v>1498</v>
      </c>
      <c r="F959" s="4" t="s">
        <v>51</v>
      </c>
      <c r="G959" s="4" t="s">
        <v>35</v>
      </c>
      <c r="H959" s="54" t="s">
        <v>36</v>
      </c>
      <c r="I959" s="52"/>
      <c r="J959" s="57">
        <v>33.21</v>
      </c>
      <c r="K959" s="52"/>
      <c r="L959" s="6">
        <v>30.453569999999999</v>
      </c>
      <c r="M959" s="6">
        <v>0.91699999999999993</v>
      </c>
      <c r="N959" s="6">
        <v>31.07</v>
      </c>
      <c r="O959" s="57">
        <v>28.49119</v>
      </c>
      <c r="P959" s="52"/>
      <c r="Q959" s="6">
        <v>0.91699999999999993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2.14</v>
      </c>
      <c r="AB959" s="6">
        <v>1.96238</v>
      </c>
      <c r="AC959" s="6">
        <v>0.91699999999999993</v>
      </c>
      <c r="AD959" s="6">
        <v>-2.1400000000000006</v>
      </c>
      <c r="AE959" s="6">
        <v>2.1400000000000006</v>
      </c>
    </row>
    <row r="960" spans="2:31" x14ac:dyDescent="0.25">
      <c r="B960" s="55"/>
      <c r="C960" s="55"/>
      <c r="D960" s="54" t="s">
        <v>1499</v>
      </c>
      <c r="E960" s="4" t="s">
        <v>1500</v>
      </c>
      <c r="F960" s="4" t="s">
        <v>51</v>
      </c>
      <c r="G960" s="4" t="s">
        <v>35</v>
      </c>
      <c r="H960" s="54" t="s">
        <v>36</v>
      </c>
      <c r="I960" s="52"/>
      <c r="J960" s="57">
        <v>42.01</v>
      </c>
      <c r="K960" s="52"/>
      <c r="L960" s="6">
        <v>38.52317</v>
      </c>
      <c r="M960" s="6">
        <v>0.91700000000000004</v>
      </c>
      <c r="N960" s="6">
        <v>37.200000000000003</v>
      </c>
      <c r="O960" s="57">
        <v>34.112400000000001</v>
      </c>
      <c r="P960" s="52"/>
      <c r="Q960" s="6">
        <v>0.91699999999999993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4.8099999999999996</v>
      </c>
      <c r="AB960" s="6">
        <v>4.4107700000000003</v>
      </c>
      <c r="AC960" s="6">
        <v>0.91700000000000015</v>
      </c>
      <c r="AD960" s="6">
        <v>-4.8099999999999952</v>
      </c>
      <c r="AE960" s="6">
        <v>4.8099999999999952</v>
      </c>
    </row>
    <row r="961" spans="2:31" x14ac:dyDescent="0.25">
      <c r="B961" s="55"/>
      <c r="C961" s="55"/>
      <c r="D961" s="56"/>
      <c r="E961" s="4" t="s">
        <v>1414</v>
      </c>
      <c r="F961" s="4" t="s">
        <v>51</v>
      </c>
      <c r="G961" s="4" t="s">
        <v>35</v>
      </c>
      <c r="H961" s="54" t="s">
        <v>36</v>
      </c>
      <c r="I961" s="52"/>
      <c r="J961" s="57">
        <v>349.4</v>
      </c>
      <c r="K961" s="52"/>
      <c r="L961" s="6">
        <v>320.39980000000003</v>
      </c>
      <c r="M961" s="6">
        <v>0.91700000000000015</v>
      </c>
      <c r="N961" s="6">
        <v>348.8</v>
      </c>
      <c r="O961" s="57">
        <v>319.84960000000001</v>
      </c>
      <c r="P961" s="52"/>
      <c r="Q961" s="6">
        <v>0.91700000000000004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0.6</v>
      </c>
      <c r="AB961" s="6">
        <v>0.55020000000000002</v>
      </c>
      <c r="AC961" s="6">
        <v>0.91700000000000004</v>
      </c>
      <c r="AD961" s="6">
        <v>-0.59999999999996589</v>
      </c>
      <c r="AE961" s="6">
        <v>0.59999999999996589</v>
      </c>
    </row>
    <row r="962" spans="2:31" ht="20" x14ac:dyDescent="0.25">
      <c r="B962" s="55"/>
      <c r="C962" s="55"/>
      <c r="D962" s="4" t="s">
        <v>1501</v>
      </c>
      <c r="E962" s="4" t="s">
        <v>1502</v>
      </c>
      <c r="F962" s="4" t="s">
        <v>51</v>
      </c>
      <c r="G962" s="4" t="s">
        <v>35</v>
      </c>
      <c r="H962" s="54" t="s">
        <v>36</v>
      </c>
      <c r="I962" s="52"/>
      <c r="J962" s="57">
        <v>79.81</v>
      </c>
      <c r="K962" s="52"/>
      <c r="L962" s="6">
        <v>73.185770000000005</v>
      </c>
      <c r="M962" s="6">
        <v>0.91700000000000004</v>
      </c>
      <c r="N962" s="6">
        <v>75.64</v>
      </c>
      <c r="O962" s="57">
        <v>69.361879999999999</v>
      </c>
      <c r="P962" s="52"/>
      <c r="Q962" s="6">
        <v>0.91700000000000004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4.17</v>
      </c>
      <c r="AB962" s="6">
        <v>3.82389</v>
      </c>
      <c r="AC962" s="6">
        <v>0.91700000000000004</v>
      </c>
      <c r="AD962" s="6">
        <v>-4.1700000000000017</v>
      </c>
      <c r="AE962" s="6">
        <v>4.1700000000000017</v>
      </c>
    </row>
    <row r="963" spans="2:31" ht="20" x14ac:dyDescent="0.25">
      <c r="B963" s="55"/>
      <c r="C963" s="55"/>
      <c r="D963" s="4" t="s">
        <v>1503</v>
      </c>
      <c r="E963" s="4" t="s">
        <v>1504</v>
      </c>
      <c r="F963" s="4" t="s">
        <v>51</v>
      </c>
      <c r="G963" s="4" t="s">
        <v>35</v>
      </c>
      <c r="H963" s="54" t="s">
        <v>41</v>
      </c>
      <c r="I963" s="52"/>
      <c r="J963" s="57">
        <v>22.2</v>
      </c>
      <c r="K963" s="52"/>
      <c r="L963" s="6">
        <v>16.649999999999999</v>
      </c>
      <c r="M963" s="6">
        <v>0.75</v>
      </c>
      <c r="N963" s="6">
        <v>22.03</v>
      </c>
      <c r="O963" s="57">
        <v>16.522500000000001</v>
      </c>
      <c r="P963" s="52"/>
      <c r="Q963" s="6">
        <v>0.75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0.17</v>
      </c>
      <c r="AB963" s="6">
        <v>0.1275</v>
      </c>
      <c r="AC963" s="6">
        <v>0.75</v>
      </c>
      <c r="AD963" s="6">
        <v>-0.16999999999999815</v>
      </c>
      <c r="AE963" s="6">
        <v>0.16999999999999815</v>
      </c>
    </row>
    <row r="964" spans="2:31" ht="20" x14ac:dyDescent="0.25">
      <c r="B964" s="55"/>
      <c r="C964" s="55"/>
      <c r="D964" s="4" t="s">
        <v>1505</v>
      </c>
      <c r="E964" s="4" t="s">
        <v>1506</v>
      </c>
      <c r="F964" s="4" t="s">
        <v>51</v>
      </c>
      <c r="G964" s="4" t="s">
        <v>35</v>
      </c>
      <c r="H964" s="54" t="s">
        <v>36</v>
      </c>
      <c r="I964" s="52"/>
      <c r="J964" s="57">
        <v>29.59</v>
      </c>
      <c r="K964" s="52"/>
      <c r="L964" s="6">
        <v>27.134029999999999</v>
      </c>
      <c r="M964" s="6">
        <v>0.91699999999999993</v>
      </c>
      <c r="N964" s="6">
        <v>26.96</v>
      </c>
      <c r="O964" s="57">
        <v>24.72232</v>
      </c>
      <c r="P964" s="52"/>
      <c r="Q964" s="6">
        <v>0.91699999999999993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2.63</v>
      </c>
      <c r="AB964" s="6">
        <v>2.4117099999999998</v>
      </c>
      <c r="AC964" s="6">
        <v>0.91699999999999993</v>
      </c>
      <c r="AD964" s="6">
        <v>-2.629999999999999</v>
      </c>
      <c r="AE964" s="6">
        <v>2.629999999999999</v>
      </c>
    </row>
    <row r="965" spans="2:31" ht="20" x14ac:dyDescent="0.25">
      <c r="B965" s="55"/>
      <c r="C965" s="55"/>
      <c r="D965" s="4" t="s">
        <v>1507</v>
      </c>
      <c r="E965" s="4" t="s">
        <v>1272</v>
      </c>
      <c r="F965" s="4" t="s">
        <v>51</v>
      </c>
      <c r="G965" s="4" t="s">
        <v>35</v>
      </c>
      <c r="H965" s="54" t="s">
        <v>36</v>
      </c>
      <c r="I965" s="52"/>
      <c r="J965" s="57">
        <v>339.91</v>
      </c>
      <c r="K965" s="52"/>
      <c r="L965" s="6">
        <v>311.69747000000001</v>
      </c>
      <c r="M965" s="6">
        <v>0.91699999999999993</v>
      </c>
      <c r="N965" s="6">
        <v>339.39</v>
      </c>
      <c r="O965" s="57">
        <v>311.22063000000003</v>
      </c>
      <c r="P965" s="52"/>
      <c r="Q965" s="6">
        <v>0.91700000000000015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0.52</v>
      </c>
      <c r="AB965" s="6">
        <v>0.47683999999999999</v>
      </c>
      <c r="AC965" s="6">
        <v>0.91699999999999993</v>
      </c>
      <c r="AD965" s="6">
        <v>-0.52000000000003865</v>
      </c>
      <c r="AE965" s="6">
        <v>0.52000000000003865</v>
      </c>
    </row>
    <row r="966" spans="2:31" ht="20" x14ac:dyDescent="0.25">
      <c r="B966" s="55"/>
      <c r="C966" s="55"/>
      <c r="D966" s="4" t="s">
        <v>1508</v>
      </c>
      <c r="E966" s="4" t="s">
        <v>1509</v>
      </c>
      <c r="F966" s="4" t="s">
        <v>51</v>
      </c>
      <c r="G966" s="4" t="s">
        <v>35</v>
      </c>
      <c r="H966" s="54" t="s">
        <v>36</v>
      </c>
      <c r="I966" s="52"/>
      <c r="J966" s="57">
        <v>89.52</v>
      </c>
      <c r="K966" s="52"/>
      <c r="L966" s="6">
        <v>82.089839999999995</v>
      </c>
      <c r="M966" s="6">
        <v>0.91700000000000004</v>
      </c>
      <c r="N966" s="6">
        <v>83.03</v>
      </c>
      <c r="O966" s="57">
        <v>76.138509999999997</v>
      </c>
      <c r="P966" s="52"/>
      <c r="Q966" s="6">
        <v>0.91699999999999993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6.49</v>
      </c>
      <c r="AB966" s="6">
        <v>5.9513299999999996</v>
      </c>
      <c r="AC966" s="6">
        <v>0.91699999999999993</v>
      </c>
      <c r="AD966" s="6">
        <v>-6.4899999999999949</v>
      </c>
      <c r="AE966" s="6">
        <v>6.4899999999999949</v>
      </c>
    </row>
    <row r="967" spans="2:31" ht="20" x14ac:dyDescent="0.25">
      <c r="B967" s="55"/>
      <c r="C967" s="55"/>
      <c r="D967" s="4" t="s">
        <v>1510</v>
      </c>
      <c r="E967" s="4" t="s">
        <v>1511</v>
      </c>
      <c r="F967" s="4" t="s">
        <v>51</v>
      </c>
      <c r="G967" s="4" t="s">
        <v>35</v>
      </c>
      <c r="H967" s="54" t="s">
        <v>36</v>
      </c>
      <c r="I967" s="52"/>
      <c r="J967" s="57">
        <v>41.69</v>
      </c>
      <c r="K967" s="52"/>
      <c r="L967" s="6">
        <v>38.229730000000004</v>
      </c>
      <c r="M967" s="6">
        <v>0.91700000000000015</v>
      </c>
      <c r="N967" s="6">
        <v>37.590000000000003</v>
      </c>
      <c r="O967" s="57">
        <v>34.470030000000001</v>
      </c>
      <c r="P967" s="52"/>
      <c r="Q967" s="6">
        <v>0.91699999999999993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4.0999999999999996</v>
      </c>
      <c r="AB967" s="6">
        <v>3.7597</v>
      </c>
      <c r="AC967" s="6">
        <v>0.91700000000000004</v>
      </c>
      <c r="AD967" s="6">
        <v>-4.0999999999999943</v>
      </c>
      <c r="AE967" s="6">
        <v>4.0999999999999943</v>
      </c>
    </row>
    <row r="968" spans="2:31" ht="20" x14ac:dyDescent="0.25">
      <c r="B968" s="55"/>
      <c r="C968" s="55"/>
      <c r="D968" s="4" t="s">
        <v>1512</v>
      </c>
      <c r="E968" s="4" t="s">
        <v>1513</v>
      </c>
      <c r="F968" s="4" t="s">
        <v>51</v>
      </c>
      <c r="G968" s="4" t="s">
        <v>35</v>
      </c>
      <c r="H968" s="54" t="s">
        <v>36</v>
      </c>
      <c r="I968" s="52"/>
      <c r="J968" s="57">
        <v>34.26</v>
      </c>
      <c r="K968" s="52"/>
      <c r="L968" s="6">
        <v>31.416419999999999</v>
      </c>
      <c r="M968" s="6">
        <v>0.91700000000000004</v>
      </c>
      <c r="N968" s="6">
        <v>32.729999999999997</v>
      </c>
      <c r="O968" s="57">
        <v>30.01341</v>
      </c>
      <c r="P968" s="52"/>
      <c r="Q968" s="6">
        <v>0.91700000000000015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1.53</v>
      </c>
      <c r="AB968" s="6">
        <v>1.4030100000000001</v>
      </c>
      <c r="AC968" s="6">
        <v>0.91700000000000004</v>
      </c>
      <c r="AD968" s="6">
        <v>-1.5300000000000011</v>
      </c>
      <c r="AE968" s="6">
        <v>1.5300000000000011</v>
      </c>
    </row>
    <row r="969" spans="2:31" ht="20" x14ac:dyDescent="0.25">
      <c r="B969" s="55"/>
      <c r="C969" s="55"/>
      <c r="D969" s="4" t="s">
        <v>1514</v>
      </c>
      <c r="E969" s="4" t="s">
        <v>1515</v>
      </c>
      <c r="F969" s="4" t="s">
        <v>51</v>
      </c>
      <c r="G969" s="4" t="s">
        <v>35</v>
      </c>
      <c r="H969" s="54" t="s">
        <v>36</v>
      </c>
      <c r="I969" s="52"/>
      <c r="J969" s="57">
        <v>90.32</v>
      </c>
      <c r="K969" s="52"/>
      <c r="L969" s="6">
        <v>82.823440000000005</v>
      </c>
      <c r="M969" s="6">
        <v>0.91700000000000015</v>
      </c>
      <c r="N969" s="6">
        <v>86.5</v>
      </c>
      <c r="O969" s="57">
        <v>79.320499999999996</v>
      </c>
      <c r="P969" s="52"/>
      <c r="Q969" s="6">
        <v>0.91699999999999993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3.82</v>
      </c>
      <c r="AB969" s="6">
        <v>3.5029400000000002</v>
      </c>
      <c r="AC969" s="6">
        <v>0.91700000000000004</v>
      </c>
      <c r="AD969" s="6">
        <v>-3.8199999999999932</v>
      </c>
      <c r="AE969" s="6">
        <v>3.8199999999999932</v>
      </c>
    </row>
    <row r="970" spans="2:31" ht="20" x14ac:dyDescent="0.25">
      <c r="B970" s="55"/>
      <c r="C970" s="55"/>
      <c r="D970" s="4" t="s">
        <v>1516</v>
      </c>
      <c r="E970" s="4" t="s">
        <v>338</v>
      </c>
      <c r="F970" s="4" t="s">
        <v>51</v>
      </c>
      <c r="G970" s="4" t="s">
        <v>35</v>
      </c>
      <c r="H970" s="54" t="s">
        <v>36</v>
      </c>
      <c r="I970" s="52"/>
      <c r="J970" s="57">
        <v>15.33</v>
      </c>
      <c r="K970" s="52"/>
      <c r="L970" s="6">
        <v>14.05761</v>
      </c>
      <c r="M970" s="6">
        <v>0.91700000000000004</v>
      </c>
      <c r="N970" s="6">
        <v>0.91</v>
      </c>
      <c r="O970" s="57">
        <v>0.83447000000000005</v>
      </c>
      <c r="P970" s="52"/>
      <c r="Q970" s="6">
        <v>0.91700000000000004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14.42</v>
      </c>
      <c r="AB970" s="6">
        <v>13.223140000000001</v>
      </c>
      <c r="AC970" s="6">
        <v>0.91700000000000004</v>
      </c>
      <c r="AD970" s="6">
        <v>-14.42</v>
      </c>
      <c r="AE970" s="6">
        <v>14.42</v>
      </c>
    </row>
    <row r="971" spans="2:31" ht="20" x14ac:dyDescent="0.25">
      <c r="B971" s="55"/>
      <c r="C971" s="55"/>
      <c r="D971" s="4" t="s">
        <v>1517</v>
      </c>
      <c r="E971" s="4" t="s">
        <v>338</v>
      </c>
      <c r="F971" s="4" t="s">
        <v>51</v>
      </c>
      <c r="G971" s="4" t="s">
        <v>35</v>
      </c>
      <c r="H971" s="54" t="s">
        <v>41</v>
      </c>
      <c r="I971" s="52"/>
      <c r="J971" s="57">
        <v>8.81</v>
      </c>
      <c r="K971" s="52"/>
      <c r="L971" s="6">
        <v>6.6074999999999999</v>
      </c>
      <c r="M971" s="6">
        <v>0.75</v>
      </c>
      <c r="N971" s="6">
        <v>6.89</v>
      </c>
      <c r="O971" s="57">
        <v>5.1675000000000004</v>
      </c>
      <c r="P971" s="52"/>
      <c r="Q971" s="6">
        <v>0.75000000000000011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1.92</v>
      </c>
      <c r="AB971" s="6">
        <v>1.44</v>
      </c>
      <c r="AC971" s="6">
        <v>0.75</v>
      </c>
      <c r="AD971" s="6">
        <v>-1.9200000000000008</v>
      </c>
      <c r="AE971" s="6">
        <v>1.9200000000000008</v>
      </c>
    </row>
    <row r="972" spans="2:31" ht="20" x14ac:dyDescent="0.25">
      <c r="B972" s="55"/>
      <c r="C972" s="56"/>
      <c r="D972" s="4" t="s">
        <v>1518</v>
      </c>
      <c r="E972" s="4" t="s">
        <v>338</v>
      </c>
      <c r="F972" s="4" t="s">
        <v>51</v>
      </c>
      <c r="G972" s="4" t="s">
        <v>35</v>
      </c>
      <c r="H972" s="54" t="s">
        <v>48</v>
      </c>
      <c r="I972" s="52"/>
      <c r="J972" s="57">
        <v>15.76</v>
      </c>
      <c r="K972" s="52"/>
      <c r="L972" s="6">
        <v>11.82</v>
      </c>
      <c r="M972" s="6">
        <v>0.75</v>
      </c>
      <c r="N972" s="6">
        <v>12.98</v>
      </c>
      <c r="O972" s="57">
        <v>9.7349999999999994</v>
      </c>
      <c r="P972" s="52"/>
      <c r="Q972" s="6">
        <v>0.74999999999999989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2.78</v>
      </c>
      <c r="AB972" s="6">
        <v>2.085</v>
      </c>
      <c r="AC972" s="6">
        <v>0.75</v>
      </c>
      <c r="AD972" s="6">
        <v>-2.7799999999999994</v>
      </c>
      <c r="AE972" s="6">
        <v>2.7799999999999994</v>
      </c>
    </row>
    <row r="973" spans="2:31" x14ac:dyDescent="0.25">
      <c r="B973" s="55"/>
      <c r="C973" s="58">
        <v>46186</v>
      </c>
      <c r="D973" s="4" t="s">
        <v>1519</v>
      </c>
      <c r="E973" s="4" t="s">
        <v>1520</v>
      </c>
      <c r="F973" s="4" t="s">
        <v>34</v>
      </c>
      <c r="G973" s="4" t="s">
        <v>35</v>
      </c>
      <c r="H973" s="54" t="s">
        <v>36</v>
      </c>
      <c r="I973" s="52"/>
      <c r="J973" s="57">
        <v>226.16</v>
      </c>
      <c r="K973" s="52"/>
      <c r="L973" s="6">
        <v>207.38872000000001</v>
      </c>
      <c r="M973" s="6">
        <v>0.91700000000000004</v>
      </c>
      <c r="N973" s="6">
        <v>207.71</v>
      </c>
      <c r="O973" s="57">
        <v>190.47006999999999</v>
      </c>
      <c r="P973" s="52"/>
      <c r="Q973" s="6">
        <v>0.91699999999999993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18.45</v>
      </c>
      <c r="AB973" s="6">
        <v>16.91865</v>
      </c>
      <c r="AC973" s="6">
        <v>0.91700000000000004</v>
      </c>
      <c r="AD973" s="6">
        <v>-18.449999999999989</v>
      </c>
      <c r="AE973" s="6">
        <v>18.449999999999989</v>
      </c>
    </row>
    <row r="974" spans="2:31" x14ac:dyDescent="0.25">
      <c r="B974" s="55"/>
      <c r="C974" s="55"/>
      <c r="D974" s="54" t="s">
        <v>1521</v>
      </c>
      <c r="E974" s="4" t="s">
        <v>1522</v>
      </c>
      <c r="F974" s="4" t="s">
        <v>51</v>
      </c>
      <c r="G974" s="4" t="s">
        <v>35</v>
      </c>
      <c r="H974" s="54" t="s">
        <v>36</v>
      </c>
      <c r="I974" s="52"/>
      <c r="J974" s="57">
        <v>40.01</v>
      </c>
      <c r="K974" s="52"/>
      <c r="L974" s="6">
        <v>36.689169999999997</v>
      </c>
      <c r="M974" s="6">
        <v>0.91699999999999993</v>
      </c>
      <c r="N974" s="6">
        <v>38</v>
      </c>
      <c r="O974" s="57">
        <v>34.845999999999997</v>
      </c>
      <c r="P974" s="52"/>
      <c r="Q974" s="6">
        <v>0.91699999999999993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2.0099999999999998</v>
      </c>
      <c r="AB974" s="6">
        <v>1.84317</v>
      </c>
      <c r="AC974" s="6">
        <v>0.91700000000000004</v>
      </c>
      <c r="AD974" s="6">
        <v>-2.009999999999998</v>
      </c>
      <c r="AE974" s="6">
        <v>2.009999999999998</v>
      </c>
    </row>
    <row r="975" spans="2:31" x14ac:dyDescent="0.25">
      <c r="B975" s="55"/>
      <c r="C975" s="55"/>
      <c r="D975" s="55"/>
      <c r="E975" s="4" t="s">
        <v>1523</v>
      </c>
      <c r="F975" s="4" t="s">
        <v>51</v>
      </c>
      <c r="G975" s="4" t="s">
        <v>35</v>
      </c>
      <c r="H975" s="54" t="s">
        <v>36</v>
      </c>
      <c r="I975" s="52"/>
      <c r="J975" s="57">
        <v>62.14</v>
      </c>
      <c r="K975" s="52"/>
      <c r="L975" s="6">
        <v>56.982379999999999</v>
      </c>
      <c r="M975" s="6">
        <v>0.91699999999999993</v>
      </c>
      <c r="N975" s="6">
        <v>56.91</v>
      </c>
      <c r="O975" s="57">
        <v>52.18647</v>
      </c>
      <c r="P975" s="52"/>
      <c r="Q975" s="6">
        <v>0.91700000000000004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5.23</v>
      </c>
      <c r="AB975" s="6">
        <v>4.7959100000000001</v>
      </c>
      <c r="AC975" s="6">
        <v>0.91699999999999993</v>
      </c>
      <c r="AD975" s="6">
        <v>-5.230000000000004</v>
      </c>
      <c r="AE975" s="6">
        <v>5.230000000000004</v>
      </c>
    </row>
    <row r="976" spans="2:31" x14ac:dyDescent="0.25">
      <c r="B976" s="55"/>
      <c r="C976" s="55"/>
      <c r="D976" s="55"/>
      <c r="E976" s="4" t="s">
        <v>1524</v>
      </c>
      <c r="F976" s="4" t="s">
        <v>51</v>
      </c>
      <c r="G976" s="4" t="s">
        <v>35</v>
      </c>
      <c r="H976" s="54" t="s">
        <v>36</v>
      </c>
      <c r="I976" s="52"/>
      <c r="J976" s="57">
        <v>17.79</v>
      </c>
      <c r="K976" s="52"/>
      <c r="L976" s="6">
        <v>16.31343</v>
      </c>
      <c r="M976" s="6">
        <v>0.91700000000000004</v>
      </c>
      <c r="N976" s="6">
        <v>16.260000000000002</v>
      </c>
      <c r="O976" s="57">
        <v>14.91042</v>
      </c>
      <c r="P976" s="52"/>
      <c r="Q976" s="6">
        <v>0.91699999999999993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1.53</v>
      </c>
      <c r="AB976" s="6">
        <v>1.4030100000000001</v>
      </c>
      <c r="AC976" s="6">
        <v>0.91700000000000004</v>
      </c>
      <c r="AD976" s="6">
        <v>-1.5299999999999976</v>
      </c>
      <c r="AE976" s="6">
        <v>1.5299999999999976</v>
      </c>
    </row>
    <row r="977" spans="2:31" x14ac:dyDescent="0.25">
      <c r="B977" s="55"/>
      <c r="C977" s="55"/>
      <c r="D977" s="55"/>
      <c r="E977" s="4" t="s">
        <v>1525</v>
      </c>
      <c r="F977" s="4" t="s">
        <v>51</v>
      </c>
      <c r="G977" s="4" t="s">
        <v>35</v>
      </c>
      <c r="H977" s="54" t="s">
        <v>36</v>
      </c>
      <c r="I977" s="52"/>
      <c r="J977" s="57">
        <v>45.74</v>
      </c>
      <c r="K977" s="52"/>
      <c r="L977" s="6">
        <v>41.943579999999997</v>
      </c>
      <c r="M977" s="6">
        <v>0.91699999999999993</v>
      </c>
      <c r="N977" s="6">
        <v>42.77</v>
      </c>
      <c r="O977" s="57">
        <v>39.220089999999999</v>
      </c>
      <c r="P977" s="52"/>
      <c r="Q977" s="6">
        <v>0.91699999999999993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2.97</v>
      </c>
      <c r="AB977" s="6">
        <v>2.72349</v>
      </c>
      <c r="AC977" s="6">
        <v>0.91699999999999993</v>
      </c>
      <c r="AD977" s="6">
        <v>-2.9699999999999989</v>
      </c>
      <c r="AE977" s="6">
        <v>2.9699999999999989</v>
      </c>
    </row>
    <row r="978" spans="2:31" x14ac:dyDescent="0.25">
      <c r="B978" s="55"/>
      <c r="C978" s="55"/>
      <c r="D978" s="56"/>
      <c r="E978" s="4" t="s">
        <v>1526</v>
      </c>
      <c r="F978" s="4" t="s">
        <v>51</v>
      </c>
      <c r="G978" s="4" t="s">
        <v>35</v>
      </c>
      <c r="H978" s="54" t="s">
        <v>48</v>
      </c>
      <c r="I978" s="52"/>
      <c r="J978" s="57">
        <v>5.04</v>
      </c>
      <c r="K978" s="52"/>
      <c r="L978" s="6">
        <v>3.78</v>
      </c>
      <c r="M978" s="6">
        <v>0.75</v>
      </c>
      <c r="N978" s="6">
        <v>4.5199999999999996</v>
      </c>
      <c r="O978" s="57">
        <v>3.39</v>
      </c>
      <c r="P978" s="52"/>
      <c r="Q978" s="6">
        <v>0.75000000000000011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0.52</v>
      </c>
      <c r="AB978" s="6">
        <v>0.39</v>
      </c>
      <c r="AC978" s="6">
        <v>0.75</v>
      </c>
      <c r="AD978" s="6">
        <v>-0.52000000000000046</v>
      </c>
      <c r="AE978" s="6">
        <v>0.52000000000000046</v>
      </c>
    </row>
    <row r="979" spans="2:31" ht="20" x14ac:dyDescent="0.25">
      <c r="B979" s="55"/>
      <c r="C979" s="55"/>
      <c r="D979" s="4" t="s">
        <v>1527</v>
      </c>
      <c r="E979" s="4" t="s">
        <v>1528</v>
      </c>
      <c r="F979" s="4" t="s">
        <v>51</v>
      </c>
      <c r="G979" s="4" t="s">
        <v>35</v>
      </c>
      <c r="H979" s="54" t="s">
        <v>36</v>
      </c>
      <c r="I979" s="52"/>
      <c r="J979" s="57">
        <v>36.83</v>
      </c>
      <c r="K979" s="52"/>
      <c r="L979" s="6">
        <v>33.773110000000003</v>
      </c>
      <c r="M979" s="6">
        <v>0.91700000000000015</v>
      </c>
      <c r="N979" s="6">
        <v>34.43</v>
      </c>
      <c r="O979" s="57">
        <v>31.572310000000002</v>
      </c>
      <c r="P979" s="52"/>
      <c r="Q979" s="6">
        <v>0.91700000000000004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2.4</v>
      </c>
      <c r="AB979" s="6">
        <v>2.2008000000000001</v>
      </c>
      <c r="AC979" s="6">
        <v>0.91700000000000004</v>
      </c>
      <c r="AD979" s="6">
        <v>-2.3999999999999986</v>
      </c>
      <c r="AE979" s="6">
        <v>2.3999999999999986</v>
      </c>
    </row>
    <row r="980" spans="2:31" x14ac:dyDescent="0.25">
      <c r="B980" s="55"/>
      <c r="C980" s="55"/>
      <c r="D980" s="54" t="s">
        <v>1529</v>
      </c>
      <c r="E980" s="4" t="s">
        <v>1009</v>
      </c>
      <c r="F980" s="4" t="s">
        <v>51</v>
      </c>
      <c r="G980" s="4" t="s">
        <v>35</v>
      </c>
      <c r="H980" s="54" t="s">
        <v>48</v>
      </c>
      <c r="I980" s="52"/>
      <c r="J980" s="57">
        <v>20.440000000000001</v>
      </c>
      <c r="K980" s="52"/>
      <c r="L980" s="6">
        <v>15.33</v>
      </c>
      <c r="M980" s="6">
        <v>0.75</v>
      </c>
      <c r="N980" s="6">
        <v>20.32</v>
      </c>
      <c r="O980" s="57">
        <v>15.24</v>
      </c>
      <c r="P980" s="52"/>
      <c r="Q980" s="6">
        <v>0.75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0.12</v>
      </c>
      <c r="AB980" s="6">
        <v>0.09</v>
      </c>
      <c r="AC980" s="6">
        <v>0.75</v>
      </c>
      <c r="AD980" s="6">
        <v>-0.12000000000000099</v>
      </c>
      <c r="AE980" s="6">
        <v>0.12000000000000099</v>
      </c>
    </row>
    <row r="981" spans="2:31" x14ac:dyDescent="0.25">
      <c r="B981" s="55"/>
      <c r="C981" s="55"/>
      <c r="D981" s="56"/>
      <c r="E981" s="4" t="s">
        <v>1404</v>
      </c>
      <c r="F981" s="4" t="s">
        <v>51</v>
      </c>
      <c r="G981" s="4" t="s">
        <v>35</v>
      </c>
      <c r="H981" s="54" t="s">
        <v>48</v>
      </c>
      <c r="I981" s="52"/>
      <c r="J981" s="57">
        <v>38.950099999999999</v>
      </c>
      <c r="K981" s="52"/>
      <c r="L981" s="6">
        <v>29.212575000000001</v>
      </c>
      <c r="M981" s="6">
        <v>0.75</v>
      </c>
      <c r="N981" s="6">
        <v>38.78</v>
      </c>
      <c r="O981" s="57">
        <v>29.085000000000001</v>
      </c>
      <c r="P981" s="52"/>
      <c r="Q981" s="6">
        <v>0.75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0.1701</v>
      </c>
      <c r="AB981" s="6">
        <v>0.12757499999999999</v>
      </c>
      <c r="AC981" s="6">
        <v>0.75</v>
      </c>
      <c r="AD981" s="6">
        <v>-0.17009999999999792</v>
      </c>
      <c r="AE981" s="6">
        <v>0.17009999999999792</v>
      </c>
    </row>
    <row r="982" spans="2:31" ht="20" x14ac:dyDescent="0.25">
      <c r="B982" s="55"/>
      <c r="C982" s="55"/>
      <c r="D982" s="4" t="s">
        <v>1530</v>
      </c>
      <c r="E982" s="4" t="s">
        <v>1142</v>
      </c>
      <c r="F982" s="4" t="s">
        <v>51</v>
      </c>
      <c r="G982" s="4" t="s">
        <v>35</v>
      </c>
      <c r="H982" s="54" t="s">
        <v>41</v>
      </c>
      <c r="I982" s="52"/>
      <c r="J982" s="57">
        <v>261.82</v>
      </c>
      <c r="K982" s="52"/>
      <c r="L982" s="6">
        <v>196.36500000000001</v>
      </c>
      <c r="M982" s="6">
        <v>0.75</v>
      </c>
      <c r="N982" s="6">
        <v>260.74</v>
      </c>
      <c r="O982" s="57">
        <v>195.55500000000001</v>
      </c>
      <c r="P982" s="52"/>
      <c r="Q982" s="6">
        <v>0.75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1.08</v>
      </c>
      <c r="AB982" s="6">
        <v>0.81</v>
      </c>
      <c r="AC982" s="6">
        <v>0.75</v>
      </c>
      <c r="AD982" s="6">
        <v>-1.0799999999999841</v>
      </c>
      <c r="AE982" s="6">
        <v>1.0799999999999841</v>
      </c>
    </row>
    <row r="983" spans="2:31" ht="20" x14ac:dyDescent="0.25">
      <c r="B983" s="55"/>
      <c r="C983" s="55"/>
      <c r="D983" s="4" t="s">
        <v>1531</v>
      </c>
      <c r="E983" s="4" t="s">
        <v>1532</v>
      </c>
      <c r="F983" s="4" t="s">
        <v>51</v>
      </c>
      <c r="G983" s="4" t="s">
        <v>35</v>
      </c>
      <c r="H983" s="54" t="s">
        <v>36</v>
      </c>
      <c r="I983" s="52"/>
      <c r="J983" s="57">
        <v>3.38</v>
      </c>
      <c r="K983" s="52"/>
      <c r="L983" s="6">
        <v>3.0994600000000001</v>
      </c>
      <c r="M983" s="6">
        <v>0.91700000000000004</v>
      </c>
      <c r="N983" s="6">
        <v>3.16</v>
      </c>
      <c r="O983" s="57">
        <v>2.8977200000000001</v>
      </c>
      <c r="P983" s="52"/>
      <c r="Q983" s="6">
        <v>0.91700000000000004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0.22</v>
      </c>
      <c r="AB983" s="6">
        <v>0.20174</v>
      </c>
      <c r="AC983" s="6">
        <v>0.91700000000000004</v>
      </c>
      <c r="AD983" s="6">
        <v>-0.21999999999999975</v>
      </c>
      <c r="AE983" s="6">
        <v>0.21999999999999975</v>
      </c>
    </row>
    <row r="984" spans="2:31" ht="20" x14ac:dyDescent="0.25">
      <c r="B984" s="55"/>
      <c r="C984" s="55"/>
      <c r="D984" s="4" t="s">
        <v>1533</v>
      </c>
      <c r="E984" s="4" t="s">
        <v>1534</v>
      </c>
      <c r="F984" s="4" t="s">
        <v>51</v>
      </c>
      <c r="G984" s="4" t="s">
        <v>35</v>
      </c>
      <c r="H984" s="54" t="s">
        <v>36</v>
      </c>
      <c r="I984" s="52"/>
      <c r="J984" s="57">
        <v>15.88</v>
      </c>
      <c r="K984" s="52"/>
      <c r="L984" s="6">
        <v>14.561959999999999</v>
      </c>
      <c r="M984" s="6">
        <v>0.91699999999999993</v>
      </c>
      <c r="N984" s="6">
        <v>15.19</v>
      </c>
      <c r="O984" s="57">
        <v>13.92923</v>
      </c>
      <c r="P984" s="52"/>
      <c r="Q984" s="6">
        <v>0.91700000000000004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0.69</v>
      </c>
      <c r="AB984" s="6">
        <v>0.63273000000000001</v>
      </c>
      <c r="AC984" s="6">
        <v>0.91700000000000004</v>
      </c>
      <c r="AD984" s="6">
        <v>-0.69000000000000128</v>
      </c>
      <c r="AE984" s="6">
        <v>0.69000000000000128</v>
      </c>
    </row>
    <row r="985" spans="2:31" ht="20" x14ac:dyDescent="0.25">
      <c r="B985" s="55"/>
      <c r="C985" s="55"/>
      <c r="D985" s="4" t="s">
        <v>1535</v>
      </c>
      <c r="E985" s="4" t="s">
        <v>1536</v>
      </c>
      <c r="F985" s="4" t="s">
        <v>51</v>
      </c>
      <c r="G985" s="4" t="s">
        <v>35</v>
      </c>
      <c r="H985" s="54" t="s">
        <v>48</v>
      </c>
      <c r="I985" s="52"/>
      <c r="J985" s="57">
        <v>39.979999999999997</v>
      </c>
      <c r="K985" s="52"/>
      <c r="L985" s="6">
        <v>29.984999999999999</v>
      </c>
      <c r="M985" s="6">
        <v>0.75</v>
      </c>
      <c r="N985" s="6">
        <v>37.659999999999997</v>
      </c>
      <c r="O985" s="57">
        <v>28.245000000000001</v>
      </c>
      <c r="P985" s="52"/>
      <c r="Q985" s="6">
        <v>0.75000000000000011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2.3199999999999998</v>
      </c>
      <c r="AB985" s="6">
        <v>1.74</v>
      </c>
      <c r="AC985" s="6">
        <v>0.75</v>
      </c>
      <c r="AD985" s="6">
        <v>-2.3200000000000003</v>
      </c>
      <c r="AE985" s="6">
        <v>2.3200000000000003</v>
      </c>
    </row>
    <row r="986" spans="2:31" ht="20" x14ac:dyDescent="0.25">
      <c r="B986" s="55"/>
      <c r="C986" s="55"/>
      <c r="D986" s="4" t="s">
        <v>1537</v>
      </c>
      <c r="E986" s="4" t="s">
        <v>1538</v>
      </c>
      <c r="F986" s="4" t="s">
        <v>51</v>
      </c>
      <c r="G986" s="4" t="s">
        <v>35</v>
      </c>
      <c r="H986" s="54" t="s">
        <v>36</v>
      </c>
      <c r="I986" s="52"/>
      <c r="J986" s="57">
        <v>56.51</v>
      </c>
      <c r="K986" s="52"/>
      <c r="L986" s="6">
        <v>51.819670000000002</v>
      </c>
      <c r="M986" s="6">
        <v>0.91700000000000004</v>
      </c>
      <c r="N986" s="6">
        <v>53.22</v>
      </c>
      <c r="O986" s="57">
        <v>48.80274</v>
      </c>
      <c r="P986" s="52"/>
      <c r="Q986" s="6">
        <v>0.91700000000000004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3.29</v>
      </c>
      <c r="AB986" s="6">
        <v>3.0169299999999999</v>
      </c>
      <c r="AC986" s="6">
        <v>0.91699999999999993</v>
      </c>
      <c r="AD986" s="6">
        <v>-3.2899999999999991</v>
      </c>
      <c r="AE986" s="6">
        <v>3.2899999999999991</v>
      </c>
    </row>
    <row r="987" spans="2:31" x14ac:dyDescent="0.25">
      <c r="B987" s="55"/>
      <c r="C987" s="55"/>
      <c r="D987" s="54" t="s">
        <v>1539</v>
      </c>
      <c r="E987" s="4" t="s">
        <v>1540</v>
      </c>
      <c r="F987" s="4" t="s">
        <v>51</v>
      </c>
      <c r="G987" s="4" t="s">
        <v>35</v>
      </c>
      <c r="H987" s="54" t="s">
        <v>36</v>
      </c>
      <c r="I987" s="52"/>
      <c r="J987" s="57">
        <v>56.07</v>
      </c>
      <c r="K987" s="52"/>
      <c r="L987" s="6">
        <v>51.41619</v>
      </c>
      <c r="M987" s="6">
        <v>0.91700000000000004</v>
      </c>
      <c r="N987" s="6">
        <v>52.65</v>
      </c>
      <c r="O987" s="57">
        <v>48.280050000000003</v>
      </c>
      <c r="P987" s="52"/>
      <c r="Q987" s="6">
        <v>0.91700000000000004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3.42</v>
      </c>
      <c r="AB987" s="6">
        <v>3.1361400000000001</v>
      </c>
      <c r="AC987" s="6">
        <v>0.91700000000000004</v>
      </c>
      <c r="AD987" s="6">
        <v>-3.4200000000000017</v>
      </c>
      <c r="AE987" s="6">
        <v>3.4200000000000017</v>
      </c>
    </row>
    <row r="988" spans="2:31" x14ac:dyDescent="0.25">
      <c r="B988" s="55"/>
      <c r="C988" s="55"/>
      <c r="D988" s="56"/>
      <c r="E988" s="4" t="s">
        <v>1541</v>
      </c>
      <c r="F988" s="4" t="s">
        <v>51</v>
      </c>
      <c r="G988" s="4" t="s">
        <v>35</v>
      </c>
      <c r="H988" s="54" t="s">
        <v>41</v>
      </c>
      <c r="I988" s="52"/>
      <c r="J988" s="57">
        <v>95.05</v>
      </c>
      <c r="K988" s="52"/>
      <c r="L988" s="6">
        <v>71.287499999999994</v>
      </c>
      <c r="M988" s="6">
        <v>0.75</v>
      </c>
      <c r="N988" s="6">
        <v>91.97</v>
      </c>
      <c r="O988" s="57">
        <v>68.977500000000006</v>
      </c>
      <c r="P988" s="52"/>
      <c r="Q988" s="6">
        <v>0.75000000000000011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3.08</v>
      </c>
      <c r="AB988" s="6">
        <v>2.31</v>
      </c>
      <c r="AC988" s="6">
        <v>0.75</v>
      </c>
      <c r="AD988" s="6">
        <v>-3.0799999999999983</v>
      </c>
      <c r="AE988" s="6">
        <v>3.0799999999999983</v>
      </c>
    </row>
    <row r="989" spans="2:31" ht="20" x14ac:dyDescent="0.25">
      <c r="B989" s="55"/>
      <c r="C989" s="55"/>
      <c r="D989" s="4" t="s">
        <v>1542</v>
      </c>
      <c r="E989" s="4" t="s">
        <v>1543</v>
      </c>
      <c r="F989" s="4" t="s">
        <v>51</v>
      </c>
      <c r="G989" s="4" t="s">
        <v>35</v>
      </c>
      <c r="H989" s="54" t="s">
        <v>36</v>
      </c>
      <c r="I989" s="52"/>
      <c r="J989" s="57">
        <v>41.83</v>
      </c>
      <c r="K989" s="52"/>
      <c r="L989" s="6">
        <v>38.358110000000003</v>
      </c>
      <c r="M989" s="6">
        <v>0.91700000000000015</v>
      </c>
      <c r="N989" s="6">
        <v>40.04</v>
      </c>
      <c r="O989" s="57">
        <v>36.716679999999997</v>
      </c>
      <c r="P989" s="52"/>
      <c r="Q989" s="6">
        <v>0.91699999999999993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1.79</v>
      </c>
      <c r="AB989" s="6">
        <v>1.6414299999999999</v>
      </c>
      <c r="AC989" s="6">
        <v>0.91699999999999993</v>
      </c>
      <c r="AD989" s="6">
        <v>-1.7899999999999991</v>
      </c>
      <c r="AE989" s="6">
        <v>1.7899999999999991</v>
      </c>
    </row>
    <row r="990" spans="2:31" ht="20" x14ac:dyDescent="0.25">
      <c r="B990" s="55"/>
      <c r="C990" s="55"/>
      <c r="D990" s="4" t="s">
        <v>1544</v>
      </c>
      <c r="E990" s="4" t="s">
        <v>1532</v>
      </c>
      <c r="F990" s="4" t="s">
        <v>51</v>
      </c>
      <c r="G990" s="4" t="s">
        <v>35</v>
      </c>
      <c r="H990" s="54" t="s">
        <v>36</v>
      </c>
      <c r="I990" s="52"/>
      <c r="J990" s="57">
        <v>3.59</v>
      </c>
      <c r="K990" s="52"/>
      <c r="L990" s="6">
        <v>3.29203</v>
      </c>
      <c r="M990" s="6">
        <v>0.91700000000000004</v>
      </c>
      <c r="N990" s="6">
        <v>3.46</v>
      </c>
      <c r="O990" s="57">
        <v>3.1728200000000002</v>
      </c>
      <c r="P990" s="52"/>
      <c r="Q990" s="6">
        <v>0.91700000000000004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0.13</v>
      </c>
      <c r="AB990" s="6">
        <v>0.11921</v>
      </c>
      <c r="AC990" s="6">
        <v>0.91699999999999993</v>
      </c>
      <c r="AD990" s="6">
        <v>-0.12999999999999989</v>
      </c>
      <c r="AE990" s="6">
        <v>0.12999999999999989</v>
      </c>
    </row>
    <row r="991" spans="2:31" ht="20" x14ac:dyDescent="0.25">
      <c r="B991" s="55"/>
      <c r="C991" s="55"/>
      <c r="D991" s="4" t="s">
        <v>1545</v>
      </c>
      <c r="E991" s="4" t="s">
        <v>751</v>
      </c>
      <c r="F991" s="4" t="s">
        <v>51</v>
      </c>
      <c r="G991" s="4" t="s">
        <v>35</v>
      </c>
      <c r="H991" s="54" t="s">
        <v>41</v>
      </c>
      <c r="I991" s="52"/>
      <c r="J991" s="57">
        <v>27.53</v>
      </c>
      <c r="K991" s="52"/>
      <c r="L991" s="6">
        <v>20.647500000000001</v>
      </c>
      <c r="M991" s="6">
        <v>0.75</v>
      </c>
      <c r="N991" s="6">
        <v>24.78</v>
      </c>
      <c r="O991" s="57">
        <v>18.585000000000001</v>
      </c>
      <c r="P991" s="52"/>
      <c r="Q991" s="6">
        <v>0.75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2.75</v>
      </c>
      <c r="AB991" s="6">
        <v>2.0625</v>
      </c>
      <c r="AC991" s="6">
        <v>0.75</v>
      </c>
      <c r="AD991" s="6">
        <v>-2.75</v>
      </c>
      <c r="AE991" s="6">
        <v>2.75</v>
      </c>
    </row>
    <row r="992" spans="2:31" ht="20" x14ac:dyDescent="0.25">
      <c r="B992" s="55"/>
      <c r="C992" s="55"/>
      <c r="D992" s="4" t="s">
        <v>1546</v>
      </c>
      <c r="E992" s="4" t="s">
        <v>677</v>
      </c>
      <c r="F992" s="4" t="s">
        <v>51</v>
      </c>
      <c r="G992" s="4" t="s">
        <v>35</v>
      </c>
      <c r="H992" s="54" t="s">
        <v>41</v>
      </c>
      <c r="I992" s="52"/>
      <c r="J992" s="57">
        <v>31.37</v>
      </c>
      <c r="K992" s="52"/>
      <c r="L992" s="6">
        <v>23.5275</v>
      </c>
      <c r="M992" s="6">
        <v>0.75</v>
      </c>
      <c r="N992" s="6">
        <v>28.82</v>
      </c>
      <c r="O992" s="57">
        <v>21.614999999999998</v>
      </c>
      <c r="P992" s="52"/>
      <c r="Q992" s="6">
        <v>0.74999999999999989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2.5499999999999998</v>
      </c>
      <c r="AB992" s="6">
        <v>1.9125000000000001</v>
      </c>
      <c r="AC992" s="6">
        <v>0.75000000000000011</v>
      </c>
      <c r="AD992" s="6">
        <v>-2.5500000000000007</v>
      </c>
      <c r="AE992" s="6">
        <v>2.5500000000000007</v>
      </c>
    </row>
    <row r="993" spans="2:31" ht="20" x14ac:dyDescent="0.25">
      <c r="B993" s="55"/>
      <c r="C993" s="55"/>
      <c r="D993" s="4" t="s">
        <v>1547</v>
      </c>
      <c r="E993" s="4" t="s">
        <v>1548</v>
      </c>
      <c r="F993" s="4" t="s">
        <v>51</v>
      </c>
      <c r="G993" s="4" t="s">
        <v>35</v>
      </c>
      <c r="H993" s="54" t="s">
        <v>41</v>
      </c>
      <c r="I993" s="52"/>
      <c r="J993" s="57">
        <v>203.31</v>
      </c>
      <c r="K993" s="52"/>
      <c r="L993" s="6">
        <v>152.48249999999999</v>
      </c>
      <c r="M993" s="6">
        <v>0.74999999999999989</v>
      </c>
      <c r="N993" s="6">
        <v>193.44</v>
      </c>
      <c r="O993" s="57">
        <v>145.08000000000001</v>
      </c>
      <c r="P993" s="52"/>
      <c r="Q993" s="6">
        <v>0.75000000000000011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9.8699999999999992</v>
      </c>
      <c r="AB993" s="6">
        <v>7.4024999999999999</v>
      </c>
      <c r="AC993" s="6">
        <v>0.75</v>
      </c>
      <c r="AD993" s="6">
        <v>-9.8700000000000045</v>
      </c>
      <c r="AE993" s="6">
        <v>9.8700000000000045</v>
      </c>
    </row>
    <row r="994" spans="2:31" ht="20" x14ac:dyDescent="0.25">
      <c r="B994" s="55"/>
      <c r="C994" s="55"/>
      <c r="D994" s="4" t="s">
        <v>1549</v>
      </c>
      <c r="E994" s="4" t="s">
        <v>1550</v>
      </c>
      <c r="F994" s="4" t="s">
        <v>51</v>
      </c>
      <c r="G994" s="4" t="s">
        <v>35</v>
      </c>
      <c r="H994" s="54" t="s">
        <v>36</v>
      </c>
      <c r="I994" s="52"/>
      <c r="J994" s="57">
        <v>50.69</v>
      </c>
      <c r="K994" s="52"/>
      <c r="L994" s="6">
        <v>46.482729999999997</v>
      </c>
      <c r="M994" s="6">
        <v>0.91699999999999993</v>
      </c>
      <c r="N994" s="6">
        <v>47.85</v>
      </c>
      <c r="O994" s="57">
        <v>43.878450000000001</v>
      </c>
      <c r="P994" s="52"/>
      <c r="Q994" s="6">
        <v>0.91700000000000004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2.84</v>
      </c>
      <c r="AB994" s="6">
        <v>2.6042800000000002</v>
      </c>
      <c r="AC994" s="6">
        <v>0.91700000000000015</v>
      </c>
      <c r="AD994" s="6">
        <v>-2.8399999999999963</v>
      </c>
      <c r="AE994" s="6">
        <v>2.8399999999999963</v>
      </c>
    </row>
    <row r="995" spans="2:31" ht="20" x14ac:dyDescent="0.25">
      <c r="B995" s="55"/>
      <c r="C995" s="55"/>
      <c r="D995" s="4" t="s">
        <v>1551</v>
      </c>
      <c r="E995" s="4" t="s">
        <v>1534</v>
      </c>
      <c r="F995" s="4" t="s">
        <v>51</v>
      </c>
      <c r="G995" s="4" t="s">
        <v>35</v>
      </c>
      <c r="H995" s="54" t="s">
        <v>36</v>
      </c>
      <c r="I995" s="52"/>
      <c r="J995" s="57">
        <v>17.010000000000002</v>
      </c>
      <c r="K995" s="52"/>
      <c r="L995" s="6">
        <v>15.59817</v>
      </c>
      <c r="M995" s="6">
        <v>0.91699999999999993</v>
      </c>
      <c r="N995" s="6">
        <v>16.55</v>
      </c>
      <c r="O995" s="57">
        <v>15.176349999999999</v>
      </c>
      <c r="P995" s="52"/>
      <c r="Q995" s="6">
        <v>0.91699999999999993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0.46</v>
      </c>
      <c r="AB995" s="6">
        <v>0.42181999999999997</v>
      </c>
      <c r="AC995" s="6">
        <v>0.91699999999999993</v>
      </c>
      <c r="AD995" s="6">
        <v>-0.46000000000000085</v>
      </c>
      <c r="AE995" s="6">
        <v>0.46000000000000085</v>
      </c>
    </row>
    <row r="996" spans="2:31" x14ac:dyDescent="0.25">
      <c r="B996" s="55"/>
      <c r="C996" s="55"/>
      <c r="D996" s="54" t="s">
        <v>1552</v>
      </c>
      <c r="E996" s="4" t="s">
        <v>1553</v>
      </c>
      <c r="F996" s="4" t="s">
        <v>51</v>
      </c>
      <c r="G996" s="4" t="s">
        <v>35</v>
      </c>
      <c r="H996" s="54" t="s">
        <v>36</v>
      </c>
      <c r="I996" s="52"/>
      <c r="J996" s="57">
        <v>67.046000000000006</v>
      </c>
      <c r="K996" s="52"/>
      <c r="L996" s="6">
        <v>61.481181999999997</v>
      </c>
      <c r="M996" s="6">
        <v>0.91699999999999982</v>
      </c>
      <c r="N996" s="6">
        <v>61.545999999999999</v>
      </c>
      <c r="O996" s="57">
        <v>56.437682000000002</v>
      </c>
      <c r="P996" s="52"/>
      <c r="Q996" s="6">
        <v>0.91700000000000004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5.5</v>
      </c>
      <c r="AB996" s="6">
        <v>5.0434999999999999</v>
      </c>
      <c r="AC996" s="6">
        <v>0.91699999999999993</v>
      </c>
      <c r="AD996" s="6">
        <v>-5.5000000000000071</v>
      </c>
      <c r="AE996" s="6">
        <v>5.5000000000000071</v>
      </c>
    </row>
    <row r="997" spans="2:31" x14ac:dyDescent="0.25">
      <c r="B997" s="55"/>
      <c r="C997" s="55"/>
      <c r="D997" s="55"/>
      <c r="E997" s="4" t="s">
        <v>1554</v>
      </c>
      <c r="F997" s="4" t="s">
        <v>51</v>
      </c>
      <c r="G997" s="4" t="s">
        <v>35</v>
      </c>
      <c r="H997" s="54" t="s">
        <v>48</v>
      </c>
      <c r="I997" s="52"/>
      <c r="J997" s="57">
        <v>56.84</v>
      </c>
      <c r="K997" s="52"/>
      <c r="L997" s="6">
        <v>42.63</v>
      </c>
      <c r="M997" s="6">
        <v>0.75</v>
      </c>
      <c r="N997" s="6">
        <v>54.7</v>
      </c>
      <c r="O997" s="57">
        <v>41.024999999999999</v>
      </c>
      <c r="P997" s="52"/>
      <c r="Q997" s="6">
        <v>0.74999999999999989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2.14</v>
      </c>
      <c r="AB997" s="6">
        <v>1.605</v>
      </c>
      <c r="AC997" s="6">
        <v>0.75</v>
      </c>
      <c r="AD997" s="6">
        <v>-2.1400000000000006</v>
      </c>
      <c r="AE997" s="6">
        <v>2.1400000000000006</v>
      </c>
    </row>
    <row r="998" spans="2:31" x14ac:dyDescent="0.25">
      <c r="B998" s="55"/>
      <c r="C998" s="55"/>
      <c r="D998" s="55"/>
      <c r="E998" s="4" t="s">
        <v>1555</v>
      </c>
      <c r="F998" s="4" t="s">
        <v>51</v>
      </c>
      <c r="G998" s="4" t="s">
        <v>35</v>
      </c>
      <c r="H998" s="54" t="s">
        <v>48</v>
      </c>
      <c r="I998" s="52"/>
      <c r="J998" s="57">
        <v>52.26</v>
      </c>
      <c r="K998" s="52"/>
      <c r="L998" s="6">
        <v>39.195</v>
      </c>
      <c r="M998" s="6">
        <v>0.75</v>
      </c>
      <c r="N998" s="6">
        <v>46.5</v>
      </c>
      <c r="O998" s="57">
        <v>34.875</v>
      </c>
      <c r="P998" s="52"/>
      <c r="Q998" s="6">
        <v>0.75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5.76</v>
      </c>
      <c r="AB998" s="6">
        <v>4.32</v>
      </c>
      <c r="AC998" s="6">
        <v>0.75000000000000011</v>
      </c>
      <c r="AD998" s="6">
        <v>-5.759999999999998</v>
      </c>
      <c r="AE998" s="6">
        <v>5.759999999999998</v>
      </c>
    </row>
    <row r="999" spans="2:31" x14ac:dyDescent="0.25">
      <c r="B999" s="55"/>
      <c r="C999" s="55"/>
      <c r="D999" s="56"/>
      <c r="E999" s="4" t="s">
        <v>1556</v>
      </c>
      <c r="F999" s="4" t="s">
        <v>51</v>
      </c>
      <c r="G999" s="4" t="s">
        <v>35</v>
      </c>
      <c r="H999" s="54" t="s">
        <v>36</v>
      </c>
      <c r="I999" s="52"/>
      <c r="J999" s="57">
        <v>123.07</v>
      </c>
      <c r="K999" s="52"/>
      <c r="L999" s="6">
        <v>112.85518999999999</v>
      </c>
      <c r="M999" s="6">
        <v>0.91700000000000004</v>
      </c>
      <c r="N999" s="6">
        <v>114.42</v>
      </c>
      <c r="O999" s="57">
        <v>104.92314</v>
      </c>
      <c r="P999" s="52"/>
      <c r="Q999" s="6">
        <v>0.91700000000000004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8.65</v>
      </c>
      <c r="AB999" s="6">
        <v>7.9320500000000003</v>
      </c>
      <c r="AC999" s="6">
        <v>0.91700000000000004</v>
      </c>
      <c r="AD999" s="6">
        <v>-8.6499999999999915</v>
      </c>
      <c r="AE999" s="6">
        <v>8.6499999999999915</v>
      </c>
    </row>
    <row r="1000" spans="2:31" ht="20" x14ac:dyDescent="0.25">
      <c r="B1000" s="55"/>
      <c r="C1000" s="55"/>
      <c r="D1000" s="4" t="s">
        <v>1557</v>
      </c>
      <c r="E1000" s="4" t="s">
        <v>1558</v>
      </c>
      <c r="F1000" s="4" t="s">
        <v>51</v>
      </c>
      <c r="G1000" s="4" t="s">
        <v>35</v>
      </c>
      <c r="H1000" s="54" t="s">
        <v>48</v>
      </c>
      <c r="I1000" s="52"/>
      <c r="J1000" s="57">
        <v>31.22</v>
      </c>
      <c r="K1000" s="52"/>
      <c r="L1000" s="6">
        <v>23.414999999999999</v>
      </c>
      <c r="M1000" s="6">
        <v>0.75</v>
      </c>
      <c r="N1000" s="6">
        <v>28.72</v>
      </c>
      <c r="O1000" s="57">
        <v>21.54</v>
      </c>
      <c r="P1000" s="52"/>
      <c r="Q1000" s="6">
        <v>0.75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2.5</v>
      </c>
      <c r="AB1000" s="6">
        <v>1.875</v>
      </c>
      <c r="AC1000" s="6">
        <v>0.75</v>
      </c>
      <c r="AD1000" s="6">
        <v>-2.5</v>
      </c>
      <c r="AE1000" s="6">
        <v>2.5</v>
      </c>
    </row>
    <row r="1001" spans="2:31" ht="20" x14ac:dyDescent="0.25">
      <c r="B1001" s="55"/>
      <c r="C1001" s="55"/>
      <c r="D1001" s="4" t="s">
        <v>1559</v>
      </c>
      <c r="E1001" s="4" t="s">
        <v>1459</v>
      </c>
      <c r="F1001" s="4" t="s">
        <v>51</v>
      </c>
      <c r="G1001" s="4" t="s">
        <v>35</v>
      </c>
      <c r="H1001" s="54" t="s">
        <v>36</v>
      </c>
      <c r="I1001" s="52"/>
      <c r="J1001" s="57">
        <v>70.010000000000005</v>
      </c>
      <c r="K1001" s="52"/>
      <c r="L1001" s="6">
        <v>64.199169999999995</v>
      </c>
      <c r="M1001" s="6">
        <v>0.91699999999999982</v>
      </c>
      <c r="N1001" s="6">
        <v>70.010000000000005</v>
      </c>
      <c r="O1001" s="57">
        <v>64.199169999999995</v>
      </c>
      <c r="P1001" s="52"/>
      <c r="Q1001" s="6">
        <v>0.91699999999999982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</row>
    <row r="1002" spans="2:31" x14ac:dyDescent="0.25">
      <c r="B1002" s="55"/>
      <c r="C1002" s="55"/>
      <c r="D1002" s="54" t="s">
        <v>1560</v>
      </c>
      <c r="E1002" s="4" t="s">
        <v>1561</v>
      </c>
      <c r="F1002" s="4" t="s">
        <v>51</v>
      </c>
      <c r="G1002" s="4" t="s">
        <v>35</v>
      </c>
      <c r="H1002" s="54" t="s">
        <v>36</v>
      </c>
      <c r="I1002" s="52"/>
      <c r="J1002" s="57">
        <v>49.93</v>
      </c>
      <c r="K1002" s="52"/>
      <c r="L1002" s="6">
        <v>45.785809999999998</v>
      </c>
      <c r="M1002" s="6">
        <v>0.91699999999999993</v>
      </c>
      <c r="N1002" s="6">
        <v>44</v>
      </c>
      <c r="O1002" s="57">
        <v>40.347999999999999</v>
      </c>
      <c r="P1002" s="52"/>
      <c r="Q1002" s="6">
        <v>0.91699999999999993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5.93</v>
      </c>
      <c r="AB1002" s="6">
        <v>5.4378099999999998</v>
      </c>
      <c r="AC1002" s="6">
        <v>0.91700000000000004</v>
      </c>
      <c r="AD1002" s="6">
        <v>-5.93</v>
      </c>
      <c r="AE1002" s="6">
        <v>5.93</v>
      </c>
    </row>
    <row r="1003" spans="2:31" x14ac:dyDescent="0.25">
      <c r="B1003" s="55"/>
      <c r="C1003" s="55"/>
      <c r="D1003" s="56"/>
      <c r="E1003" s="4" t="s">
        <v>1562</v>
      </c>
      <c r="F1003" s="4" t="s">
        <v>51</v>
      </c>
      <c r="G1003" s="4" t="s">
        <v>35</v>
      </c>
      <c r="H1003" s="54" t="s">
        <v>41</v>
      </c>
      <c r="I1003" s="52"/>
      <c r="J1003" s="57">
        <v>29.07</v>
      </c>
      <c r="K1003" s="52"/>
      <c r="L1003" s="6">
        <v>21.802499999999998</v>
      </c>
      <c r="M1003" s="6">
        <v>0.74999999999999989</v>
      </c>
      <c r="N1003" s="6">
        <v>26.21</v>
      </c>
      <c r="O1003" s="57">
        <v>19.657499999999999</v>
      </c>
      <c r="P1003" s="52"/>
      <c r="Q1003" s="6">
        <v>0.74999999999999989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2.86</v>
      </c>
      <c r="AB1003" s="6">
        <v>2.145</v>
      </c>
      <c r="AC1003" s="6">
        <v>0.75</v>
      </c>
      <c r="AD1003" s="6">
        <v>-2.8599999999999994</v>
      </c>
      <c r="AE1003" s="6">
        <v>2.8599999999999994</v>
      </c>
    </row>
    <row r="1004" spans="2:31" ht="20" x14ac:dyDescent="0.25">
      <c r="B1004" s="55"/>
      <c r="C1004" s="55"/>
      <c r="D1004" s="4" t="s">
        <v>1563</v>
      </c>
      <c r="E1004" s="4" t="s">
        <v>1564</v>
      </c>
      <c r="F1004" s="4" t="s">
        <v>51</v>
      </c>
      <c r="G1004" s="4" t="s">
        <v>35</v>
      </c>
      <c r="H1004" s="54" t="s">
        <v>36</v>
      </c>
      <c r="I1004" s="52"/>
      <c r="J1004" s="57">
        <v>8.19</v>
      </c>
      <c r="K1004" s="52"/>
      <c r="L1004" s="6">
        <v>7.51023</v>
      </c>
      <c r="M1004" s="6">
        <v>0.91700000000000004</v>
      </c>
      <c r="N1004" s="6">
        <v>7.88</v>
      </c>
      <c r="O1004" s="57">
        <v>7.2259599999999997</v>
      </c>
      <c r="P1004" s="52"/>
      <c r="Q1004" s="6">
        <v>0.91699999999999993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0.31</v>
      </c>
      <c r="AB1004" s="6">
        <v>0.28427000000000002</v>
      </c>
      <c r="AC1004" s="6">
        <v>0.91700000000000004</v>
      </c>
      <c r="AD1004" s="6">
        <v>-0.30999999999999961</v>
      </c>
      <c r="AE1004" s="6">
        <v>0.30999999999999961</v>
      </c>
    </row>
    <row r="1005" spans="2:31" ht="20" x14ac:dyDescent="0.25">
      <c r="B1005" s="55"/>
      <c r="C1005" s="55"/>
      <c r="D1005" s="4" t="s">
        <v>1565</v>
      </c>
      <c r="E1005" s="4" t="s">
        <v>1566</v>
      </c>
      <c r="F1005" s="4" t="s">
        <v>51</v>
      </c>
      <c r="G1005" s="4" t="s">
        <v>35</v>
      </c>
      <c r="H1005" s="54" t="s">
        <v>36</v>
      </c>
      <c r="I1005" s="52"/>
      <c r="J1005" s="57">
        <v>44.53</v>
      </c>
      <c r="K1005" s="52"/>
      <c r="L1005" s="6">
        <v>40.834009999999999</v>
      </c>
      <c r="M1005" s="6">
        <v>0.91699999999999993</v>
      </c>
      <c r="N1005" s="6">
        <v>43.01</v>
      </c>
      <c r="O1005" s="57">
        <v>39.440170000000002</v>
      </c>
      <c r="P1005" s="52"/>
      <c r="Q1005" s="6">
        <v>0.91700000000000004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1.52</v>
      </c>
      <c r="AB1005" s="6">
        <v>1.39384</v>
      </c>
      <c r="AC1005" s="6">
        <v>0.91699999999999993</v>
      </c>
      <c r="AD1005" s="6">
        <v>-1.5200000000000031</v>
      </c>
      <c r="AE1005" s="6">
        <v>1.5200000000000031</v>
      </c>
    </row>
    <row r="1006" spans="2:31" x14ac:dyDescent="0.25">
      <c r="B1006" s="55"/>
      <c r="C1006" s="55"/>
      <c r="D1006" s="54" t="s">
        <v>1567</v>
      </c>
      <c r="E1006" s="4" t="s">
        <v>1568</v>
      </c>
      <c r="F1006" s="4" t="s">
        <v>51</v>
      </c>
      <c r="G1006" s="4" t="s">
        <v>35</v>
      </c>
      <c r="H1006" s="54" t="s">
        <v>48</v>
      </c>
      <c r="I1006" s="52"/>
      <c r="J1006" s="57">
        <v>4.96</v>
      </c>
      <c r="K1006" s="52"/>
      <c r="L1006" s="6">
        <v>3.72</v>
      </c>
      <c r="M1006" s="6">
        <v>0.75</v>
      </c>
      <c r="N1006" s="6">
        <v>4.79</v>
      </c>
      <c r="O1006" s="57">
        <v>3.5924999999999998</v>
      </c>
      <c r="P1006" s="52"/>
      <c r="Q1006" s="6">
        <v>0.75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0.17</v>
      </c>
      <c r="AB1006" s="6">
        <v>0.1275</v>
      </c>
      <c r="AC1006" s="6">
        <v>0.75</v>
      </c>
      <c r="AD1006" s="6">
        <v>-0.16999999999999993</v>
      </c>
      <c r="AE1006" s="6">
        <v>0.16999999999999993</v>
      </c>
    </row>
    <row r="1007" spans="2:31" x14ac:dyDescent="0.25">
      <c r="B1007" s="55"/>
      <c r="C1007" s="55"/>
      <c r="D1007" s="55"/>
      <c r="E1007" s="4" t="s">
        <v>1569</v>
      </c>
      <c r="F1007" s="4" t="s">
        <v>51</v>
      </c>
      <c r="G1007" s="4" t="s">
        <v>35</v>
      </c>
      <c r="H1007" s="54" t="s">
        <v>48</v>
      </c>
      <c r="I1007" s="52"/>
      <c r="J1007" s="57">
        <v>3.54</v>
      </c>
      <c r="K1007" s="52"/>
      <c r="L1007" s="6">
        <v>2.6549999999999998</v>
      </c>
      <c r="M1007" s="6">
        <v>0.74999999999999989</v>
      </c>
      <c r="N1007" s="6">
        <v>3.33</v>
      </c>
      <c r="O1007" s="57">
        <v>2.4975000000000001</v>
      </c>
      <c r="P1007" s="52"/>
      <c r="Q1007" s="6">
        <v>0.75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0.21</v>
      </c>
      <c r="AB1007" s="6">
        <v>0.1575</v>
      </c>
      <c r="AC1007" s="6">
        <v>0.75</v>
      </c>
      <c r="AD1007" s="6">
        <v>-0.20999999999999996</v>
      </c>
      <c r="AE1007" s="6">
        <v>0.20999999999999996</v>
      </c>
    </row>
    <row r="1008" spans="2:31" x14ac:dyDescent="0.25">
      <c r="B1008" s="55"/>
      <c r="C1008" s="55"/>
      <c r="D1008" s="56"/>
      <c r="E1008" s="4" t="s">
        <v>1570</v>
      </c>
      <c r="F1008" s="4" t="s">
        <v>51</v>
      </c>
      <c r="G1008" s="4" t="s">
        <v>35</v>
      </c>
      <c r="H1008" s="54" t="s">
        <v>48</v>
      </c>
      <c r="I1008" s="52"/>
      <c r="J1008" s="57">
        <v>6.1</v>
      </c>
      <c r="K1008" s="52"/>
      <c r="L1008" s="6">
        <v>4.5750000000000002</v>
      </c>
      <c r="M1008" s="6">
        <v>0.75000000000000011</v>
      </c>
      <c r="N1008" s="6">
        <v>5.78</v>
      </c>
      <c r="O1008" s="57">
        <v>4.335</v>
      </c>
      <c r="P1008" s="52"/>
      <c r="Q1008" s="6">
        <v>0.75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0.32</v>
      </c>
      <c r="AB1008" s="6">
        <v>0.24</v>
      </c>
      <c r="AC1008" s="6">
        <v>0.75</v>
      </c>
      <c r="AD1008" s="6">
        <v>-0.3199999999999994</v>
      </c>
      <c r="AE1008" s="6">
        <v>0.3199999999999994</v>
      </c>
    </row>
    <row r="1009" spans="2:31" x14ac:dyDescent="0.25">
      <c r="B1009" s="55"/>
      <c r="C1009" s="55"/>
      <c r="D1009" s="54" t="s">
        <v>1571</v>
      </c>
      <c r="E1009" s="4" t="s">
        <v>1572</v>
      </c>
      <c r="F1009" s="4" t="s">
        <v>51</v>
      </c>
      <c r="G1009" s="4" t="s">
        <v>35</v>
      </c>
      <c r="H1009" s="54" t="s">
        <v>36</v>
      </c>
      <c r="I1009" s="52"/>
      <c r="J1009" s="57">
        <v>32.97</v>
      </c>
      <c r="K1009" s="52"/>
      <c r="L1009" s="6">
        <v>30.23349</v>
      </c>
      <c r="M1009" s="6">
        <v>0.91700000000000004</v>
      </c>
      <c r="N1009" s="6">
        <v>31.86</v>
      </c>
      <c r="O1009" s="57">
        <v>29.215620000000001</v>
      </c>
      <c r="P1009" s="52"/>
      <c r="Q1009" s="6">
        <v>0.91700000000000004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1.1100000000000001</v>
      </c>
      <c r="AB1009" s="6">
        <v>1.0178700000000001</v>
      </c>
      <c r="AC1009" s="6">
        <v>0.91699999999999993</v>
      </c>
      <c r="AD1009" s="6">
        <v>-1.1099999999999994</v>
      </c>
      <c r="AE1009" s="6">
        <v>1.1099999999999994</v>
      </c>
    </row>
    <row r="1010" spans="2:31" x14ac:dyDescent="0.25">
      <c r="B1010" s="55"/>
      <c r="C1010" s="55"/>
      <c r="D1010" s="55"/>
      <c r="E1010" s="4" t="s">
        <v>1573</v>
      </c>
      <c r="F1010" s="4" t="s">
        <v>51</v>
      </c>
      <c r="G1010" s="4" t="s">
        <v>35</v>
      </c>
      <c r="H1010" s="54" t="s">
        <v>36</v>
      </c>
      <c r="I1010" s="52"/>
      <c r="J1010" s="57">
        <v>43.4</v>
      </c>
      <c r="K1010" s="52"/>
      <c r="L1010" s="6">
        <v>39.797800000000002</v>
      </c>
      <c r="M1010" s="6">
        <v>0.91700000000000004</v>
      </c>
      <c r="N1010" s="6">
        <v>42.2</v>
      </c>
      <c r="O1010" s="57">
        <v>38.697400000000002</v>
      </c>
      <c r="P1010" s="52"/>
      <c r="Q1010" s="6">
        <v>0.91699999999999993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1.2</v>
      </c>
      <c r="AB1010" s="6">
        <v>1.1004</v>
      </c>
      <c r="AC1010" s="6">
        <v>0.91700000000000004</v>
      </c>
      <c r="AD1010" s="6">
        <v>-1.1999999999999957</v>
      </c>
      <c r="AE1010" s="6">
        <v>1.1999999999999957</v>
      </c>
    </row>
    <row r="1011" spans="2:31" x14ac:dyDescent="0.25">
      <c r="B1011" s="55"/>
      <c r="C1011" s="55"/>
      <c r="D1011" s="56"/>
      <c r="E1011" s="4" t="s">
        <v>1574</v>
      </c>
      <c r="F1011" s="4" t="s">
        <v>51</v>
      </c>
      <c r="G1011" s="4" t="s">
        <v>35</v>
      </c>
      <c r="H1011" s="54" t="s">
        <v>36</v>
      </c>
      <c r="I1011" s="52"/>
      <c r="J1011" s="57">
        <v>25.16</v>
      </c>
      <c r="K1011" s="52"/>
      <c r="L1011" s="6">
        <v>23.071719999999999</v>
      </c>
      <c r="M1011" s="6">
        <v>0.91699999999999993</v>
      </c>
      <c r="N1011" s="6">
        <v>24.16</v>
      </c>
      <c r="O1011" s="57">
        <v>22.154720000000001</v>
      </c>
      <c r="P1011" s="52"/>
      <c r="Q1011" s="6">
        <v>0.91700000000000004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1</v>
      </c>
      <c r="AB1011" s="6">
        <v>0.91700000000000004</v>
      </c>
      <c r="AC1011" s="6">
        <v>0.91700000000000004</v>
      </c>
      <c r="AD1011" s="6">
        <v>-1</v>
      </c>
      <c r="AE1011" s="6">
        <v>1</v>
      </c>
    </row>
    <row r="1012" spans="2:31" ht="20" x14ac:dyDescent="0.25">
      <c r="B1012" s="55"/>
      <c r="C1012" s="55"/>
      <c r="D1012" s="4" t="s">
        <v>1575</v>
      </c>
      <c r="E1012" s="4" t="s">
        <v>1576</v>
      </c>
      <c r="F1012" s="4" t="s">
        <v>51</v>
      </c>
      <c r="G1012" s="4" t="s">
        <v>35</v>
      </c>
      <c r="H1012" s="54" t="s">
        <v>36</v>
      </c>
      <c r="I1012" s="52"/>
      <c r="J1012" s="57">
        <v>120.9</v>
      </c>
      <c r="K1012" s="52"/>
      <c r="L1012" s="6">
        <v>110.8653</v>
      </c>
      <c r="M1012" s="6">
        <v>0.91700000000000004</v>
      </c>
      <c r="N1012" s="6">
        <v>114.83</v>
      </c>
      <c r="O1012" s="57">
        <v>105.29911</v>
      </c>
      <c r="P1012" s="52"/>
      <c r="Q1012" s="6">
        <v>0.91700000000000004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6.07</v>
      </c>
      <c r="AB1012" s="6">
        <v>5.5661899999999997</v>
      </c>
      <c r="AC1012" s="6">
        <v>0.91699999999999993</v>
      </c>
      <c r="AD1012" s="6">
        <v>-6.0700000000000074</v>
      </c>
      <c r="AE1012" s="6">
        <v>6.0700000000000074</v>
      </c>
    </row>
    <row r="1013" spans="2:31" ht="20" x14ac:dyDescent="0.25">
      <c r="B1013" s="55"/>
      <c r="C1013" s="55"/>
      <c r="D1013" s="4" t="s">
        <v>1577</v>
      </c>
      <c r="E1013" s="4" t="s">
        <v>1464</v>
      </c>
      <c r="F1013" s="4" t="s">
        <v>51</v>
      </c>
      <c r="G1013" s="4" t="s">
        <v>35</v>
      </c>
      <c r="H1013" s="54" t="s">
        <v>36</v>
      </c>
      <c r="I1013" s="52"/>
      <c r="J1013" s="57">
        <v>37.450000000000003</v>
      </c>
      <c r="K1013" s="52"/>
      <c r="L1013" s="6">
        <v>34.341650000000001</v>
      </c>
      <c r="M1013" s="6">
        <v>0.91699999999999993</v>
      </c>
      <c r="N1013" s="6">
        <v>36.700000000000003</v>
      </c>
      <c r="O1013" s="57">
        <v>33.6539</v>
      </c>
      <c r="P1013" s="52"/>
      <c r="Q1013" s="6">
        <v>0.91699999999999993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0.75</v>
      </c>
      <c r="AB1013" s="6">
        <v>0.68774999999999997</v>
      </c>
      <c r="AC1013" s="6">
        <v>0.91699999999999993</v>
      </c>
      <c r="AD1013" s="6">
        <v>-0.75</v>
      </c>
      <c r="AE1013" s="6">
        <v>0.75</v>
      </c>
    </row>
    <row r="1014" spans="2:31" ht="20" x14ac:dyDescent="0.25">
      <c r="B1014" s="55"/>
      <c r="C1014" s="55"/>
      <c r="D1014" s="4" t="s">
        <v>1578</v>
      </c>
      <c r="E1014" s="4" t="s">
        <v>1421</v>
      </c>
      <c r="F1014" s="4" t="s">
        <v>51</v>
      </c>
      <c r="G1014" s="4" t="s">
        <v>35</v>
      </c>
      <c r="H1014" s="54" t="s">
        <v>41</v>
      </c>
      <c r="I1014" s="52"/>
      <c r="J1014" s="57">
        <v>313.91000000000003</v>
      </c>
      <c r="K1014" s="52"/>
      <c r="L1014" s="6">
        <v>235.4325</v>
      </c>
      <c r="M1014" s="6">
        <v>0.75</v>
      </c>
      <c r="N1014" s="6">
        <v>306.69</v>
      </c>
      <c r="O1014" s="57">
        <v>230.01750000000001</v>
      </c>
      <c r="P1014" s="52"/>
      <c r="Q1014" s="6">
        <v>0.75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7.22</v>
      </c>
      <c r="AB1014" s="6">
        <v>5.415</v>
      </c>
      <c r="AC1014" s="6">
        <v>0.75</v>
      </c>
      <c r="AD1014" s="6">
        <v>-7.2200000000000273</v>
      </c>
      <c r="AE1014" s="6">
        <v>7.2200000000000273</v>
      </c>
    </row>
    <row r="1015" spans="2:31" ht="20" x14ac:dyDescent="0.25">
      <c r="B1015" s="55"/>
      <c r="C1015" s="55"/>
      <c r="D1015" s="4" t="s">
        <v>1579</v>
      </c>
      <c r="E1015" s="4" t="s">
        <v>1580</v>
      </c>
      <c r="F1015" s="4" t="s">
        <v>51</v>
      </c>
      <c r="G1015" s="4" t="s">
        <v>35</v>
      </c>
      <c r="H1015" s="54" t="s">
        <v>48</v>
      </c>
      <c r="I1015" s="52"/>
      <c r="J1015" s="57">
        <v>20.18</v>
      </c>
      <c r="K1015" s="52"/>
      <c r="L1015" s="6">
        <v>15.135</v>
      </c>
      <c r="M1015" s="6">
        <v>0.75</v>
      </c>
      <c r="N1015" s="6">
        <v>19.43</v>
      </c>
      <c r="O1015" s="57">
        <v>14.5725</v>
      </c>
      <c r="P1015" s="52"/>
      <c r="Q1015" s="6">
        <v>0.75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0.75</v>
      </c>
      <c r="AB1015" s="6">
        <v>0.5625</v>
      </c>
      <c r="AC1015" s="6">
        <v>0.75</v>
      </c>
      <c r="AD1015" s="6">
        <v>-0.75</v>
      </c>
      <c r="AE1015" s="6">
        <v>0.75</v>
      </c>
    </row>
    <row r="1016" spans="2:31" ht="20" x14ac:dyDescent="0.25">
      <c r="B1016" s="55"/>
      <c r="C1016" s="55"/>
      <c r="D1016" s="4" t="s">
        <v>1581</v>
      </c>
      <c r="E1016" s="4" t="s">
        <v>1582</v>
      </c>
      <c r="F1016" s="4" t="s">
        <v>51</v>
      </c>
      <c r="G1016" s="4" t="s">
        <v>35</v>
      </c>
      <c r="H1016" s="54" t="s">
        <v>36</v>
      </c>
      <c r="I1016" s="52"/>
      <c r="J1016" s="57">
        <v>428.97</v>
      </c>
      <c r="K1016" s="52"/>
      <c r="L1016" s="6">
        <v>393.36549000000002</v>
      </c>
      <c r="M1016" s="6">
        <v>0.91700000000000004</v>
      </c>
      <c r="N1016" s="6">
        <v>402.5</v>
      </c>
      <c r="O1016" s="57">
        <v>369.09249999999997</v>
      </c>
      <c r="P1016" s="52"/>
      <c r="Q1016" s="6">
        <v>0.91699999999999993</v>
      </c>
      <c r="R1016" s="6">
        <v>4.54</v>
      </c>
      <c r="S1016" s="6">
        <v>4.1631799999999997</v>
      </c>
      <c r="T1016" s="6">
        <v>0.91699999999999993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21.93</v>
      </c>
      <c r="AB1016" s="6">
        <v>20.10981</v>
      </c>
      <c r="AC1016" s="6">
        <v>0.91700000000000004</v>
      </c>
      <c r="AD1016" s="6">
        <v>-31.010000000000026</v>
      </c>
      <c r="AE1016" s="6">
        <v>21.930000000000028</v>
      </c>
    </row>
    <row r="1017" spans="2:31" ht="20" x14ac:dyDescent="0.25">
      <c r="B1017" s="55"/>
      <c r="C1017" s="55"/>
      <c r="D1017" s="4" t="s">
        <v>1583</v>
      </c>
      <c r="E1017" s="4" t="s">
        <v>1584</v>
      </c>
      <c r="F1017" s="4" t="s">
        <v>51</v>
      </c>
      <c r="G1017" s="4" t="s">
        <v>35</v>
      </c>
      <c r="H1017" s="54" t="s">
        <v>48</v>
      </c>
      <c r="I1017" s="52"/>
      <c r="J1017" s="57">
        <v>10.039999999999999</v>
      </c>
      <c r="K1017" s="52"/>
      <c r="L1017" s="6">
        <v>7.53</v>
      </c>
      <c r="M1017" s="6">
        <v>0.75000000000000011</v>
      </c>
      <c r="N1017" s="6">
        <v>9.2799999999999994</v>
      </c>
      <c r="O1017" s="57">
        <v>6.96</v>
      </c>
      <c r="P1017" s="52"/>
      <c r="Q1017" s="6">
        <v>0.75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0.76</v>
      </c>
      <c r="AB1017" s="6">
        <v>0.56999999999999995</v>
      </c>
      <c r="AC1017" s="6">
        <v>0.74999999999999989</v>
      </c>
      <c r="AD1017" s="6">
        <v>-0.75999999999999979</v>
      </c>
      <c r="AE1017" s="6">
        <v>0.75999999999999979</v>
      </c>
    </row>
    <row r="1018" spans="2:31" ht="20" x14ac:dyDescent="0.25">
      <c r="B1018" s="55"/>
      <c r="C1018" s="55"/>
      <c r="D1018" s="4" t="s">
        <v>1585</v>
      </c>
      <c r="E1018" s="4" t="s">
        <v>1586</v>
      </c>
      <c r="F1018" s="4" t="s">
        <v>51</v>
      </c>
      <c r="G1018" s="4" t="s">
        <v>35</v>
      </c>
      <c r="H1018" s="54" t="s">
        <v>48</v>
      </c>
      <c r="I1018" s="52"/>
      <c r="J1018" s="57">
        <v>3.3</v>
      </c>
      <c r="K1018" s="52"/>
      <c r="L1018" s="6">
        <v>2.4750000000000001</v>
      </c>
      <c r="M1018" s="6">
        <v>0.75000000000000011</v>
      </c>
      <c r="N1018" s="6">
        <v>3.08</v>
      </c>
      <c r="O1018" s="57">
        <v>2.31</v>
      </c>
      <c r="P1018" s="52"/>
      <c r="Q1018" s="6">
        <v>0.75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0.22</v>
      </c>
      <c r="AB1018" s="6">
        <v>0.16500000000000001</v>
      </c>
      <c r="AC1018" s="6">
        <v>0.75</v>
      </c>
      <c r="AD1018" s="6">
        <v>-0.21999999999999975</v>
      </c>
      <c r="AE1018" s="6">
        <v>0.21999999999999975</v>
      </c>
    </row>
    <row r="1019" spans="2:31" ht="20" x14ac:dyDescent="0.25">
      <c r="B1019" s="55"/>
      <c r="C1019" s="55"/>
      <c r="D1019" s="4" t="s">
        <v>1587</v>
      </c>
      <c r="E1019" s="4" t="s">
        <v>1588</v>
      </c>
      <c r="F1019" s="4" t="s">
        <v>51</v>
      </c>
      <c r="G1019" s="4" t="s">
        <v>35</v>
      </c>
      <c r="H1019" s="54" t="s">
        <v>48</v>
      </c>
      <c r="I1019" s="52"/>
      <c r="J1019" s="57">
        <v>60.11</v>
      </c>
      <c r="K1019" s="52"/>
      <c r="L1019" s="6">
        <v>45.082500000000003</v>
      </c>
      <c r="M1019" s="6">
        <v>0.75000000000000011</v>
      </c>
      <c r="N1019" s="6">
        <v>57.62</v>
      </c>
      <c r="O1019" s="57">
        <v>43.215000000000003</v>
      </c>
      <c r="P1019" s="52"/>
      <c r="Q1019" s="6">
        <v>0.75000000000000011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2.4900000000000002</v>
      </c>
      <c r="AB1019" s="6">
        <v>1.8674999999999999</v>
      </c>
      <c r="AC1019" s="6">
        <v>0.74999999999999989</v>
      </c>
      <c r="AD1019" s="6">
        <v>-2.490000000000002</v>
      </c>
      <c r="AE1019" s="6">
        <v>2.490000000000002</v>
      </c>
    </row>
    <row r="1020" spans="2:31" ht="20" x14ac:dyDescent="0.25">
      <c r="B1020" s="55"/>
      <c r="C1020" s="55"/>
      <c r="D1020" s="4" t="s">
        <v>1589</v>
      </c>
      <c r="E1020" s="4" t="s">
        <v>1590</v>
      </c>
      <c r="F1020" s="4" t="s">
        <v>51</v>
      </c>
      <c r="G1020" s="4" t="s">
        <v>35</v>
      </c>
      <c r="H1020" s="54" t="s">
        <v>36</v>
      </c>
      <c r="I1020" s="52"/>
      <c r="J1020" s="57">
        <v>48.58</v>
      </c>
      <c r="K1020" s="52"/>
      <c r="L1020" s="6">
        <v>44.54786</v>
      </c>
      <c r="M1020" s="6">
        <v>0.91700000000000004</v>
      </c>
      <c r="N1020" s="6">
        <v>46.06</v>
      </c>
      <c r="O1020" s="57">
        <v>42.237020000000001</v>
      </c>
      <c r="P1020" s="52"/>
      <c r="Q1020" s="6">
        <v>0.91699999999999993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2.52</v>
      </c>
      <c r="AB1020" s="6">
        <v>2.3108399999999998</v>
      </c>
      <c r="AC1020" s="6">
        <v>0.91699999999999993</v>
      </c>
      <c r="AD1020" s="6">
        <v>-2.519999999999996</v>
      </c>
      <c r="AE1020" s="6">
        <v>2.519999999999996</v>
      </c>
    </row>
    <row r="1021" spans="2:31" ht="20" x14ac:dyDescent="0.25">
      <c r="B1021" s="55"/>
      <c r="C1021" s="55"/>
      <c r="D1021" s="4" t="s">
        <v>1591</v>
      </c>
      <c r="E1021" s="4" t="s">
        <v>1592</v>
      </c>
      <c r="F1021" s="4" t="s">
        <v>51</v>
      </c>
      <c r="G1021" s="4" t="s">
        <v>35</v>
      </c>
      <c r="H1021" s="54" t="s">
        <v>36</v>
      </c>
      <c r="I1021" s="52"/>
      <c r="J1021" s="57">
        <v>31.08</v>
      </c>
      <c r="K1021" s="52"/>
      <c r="L1021" s="6">
        <v>28.500360000000001</v>
      </c>
      <c r="M1021" s="6">
        <v>0.91700000000000004</v>
      </c>
      <c r="N1021" s="6">
        <v>28.69</v>
      </c>
      <c r="O1021" s="57">
        <v>26.308730000000001</v>
      </c>
      <c r="P1021" s="52"/>
      <c r="Q1021" s="6">
        <v>0.91699999999999993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2.39</v>
      </c>
      <c r="AB1021" s="6">
        <v>2.19163</v>
      </c>
      <c r="AC1021" s="6">
        <v>0.91699999999999993</v>
      </c>
      <c r="AD1021" s="6">
        <v>-2.389999999999997</v>
      </c>
      <c r="AE1021" s="6">
        <v>2.389999999999997</v>
      </c>
    </row>
    <row r="1022" spans="2:31" ht="20" x14ac:dyDescent="0.25">
      <c r="B1022" s="55"/>
      <c r="C1022" s="55"/>
      <c r="D1022" s="4" t="s">
        <v>1593</v>
      </c>
      <c r="E1022" s="4" t="s">
        <v>1594</v>
      </c>
      <c r="F1022" s="4" t="s">
        <v>51</v>
      </c>
      <c r="G1022" s="4" t="s">
        <v>35</v>
      </c>
      <c r="H1022" s="54" t="s">
        <v>36</v>
      </c>
      <c r="I1022" s="52"/>
      <c r="J1022" s="57">
        <v>17.309999999999999</v>
      </c>
      <c r="K1022" s="52"/>
      <c r="L1022" s="6">
        <v>15.87327</v>
      </c>
      <c r="M1022" s="6">
        <v>0.91700000000000004</v>
      </c>
      <c r="N1022" s="6">
        <v>16.22</v>
      </c>
      <c r="O1022" s="57">
        <v>14.87374</v>
      </c>
      <c r="P1022" s="52"/>
      <c r="Q1022" s="6">
        <v>0.91700000000000004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1.0900000000000001</v>
      </c>
      <c r="AB1022" s="6">
        <v>0.99953000000000003</v>
      </c>
      <c r="AC1022" s="6">
        <v>0.91699999999999993</v>
      </c>
      <c r="AD1022" s="6">
        <v>-1.0899999999999999</v>
      </c>
      <c r="AE1022" s="6">
        <v>1.0899999999999999</v>
      </c>
    </row>
    <row r="1023" spans="2:31" ht="20" x14ac:dyDescent="0.25">
      <c r="B1023" s="55"/>
      <c r="C1023" s="55"/>
      <c r="D1023" s="4" t="s">
        <v>1595</v>
      </c>
      <c r="E1023" s="4" t="s">
        <v>1596</v>
      </c>
      <c r="F1023" s="4" t="s">
        <v>51</v>
      </c>
      <c r="G1023" s="4" t="s">
        <v>35</v>
      </c>
      <c r="H1023" s="54" t="s">
        <v>36</v>
      </c>
      <c r="I1023" s="52"/>
      <c r="J1023" s="57">
        <v>24.26</v>
      </c>
      <c r="K1023" s="52"/>
      <c r="L1023" s="6">
        <v>22.246420000000001</v>
      </c>
      <c r="M1023" s="6">
        <v>0.91699999999999993</v>
      </c>
      <c r="N1023" s="6">
        <v>22.28</v>
      </c>
      <c r="O1023" s="57">
        <v>20.430759999999999</v>
      </c>
      <c r="P1023" s="52"/>
      <c r="Q1023" s="6">
        <v>0.91699999999999993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1.98</v>
      </c>
      <c r="AB1023" s="6">
        <v>1.8156600000000001</v>
      </c>
      <c r="AC1023" s="6">
        <v>0.91700000000000004</v>
      </c>
      <c r="AD1023" s="6">
        <v>-1.9800000000000004</v>
      </c>
      <c r="AE1023" s="6">
        <v>1.9800000000000004</v>
      </c>
    </row>
    <row r="1024" spans="2:31" ht="20" x14ac:dyDescent="0.25">
      <c r="B1024" s="55"/>
      <c r="C1024" s="55"/>
      <c r="D1024" s="4" t="s">
        <v>1597</v>
      </c>
      <c r="E1024" s="4" t="s">
        <v>1561</v>
      </c>
      <c r="F1024" s="4" t="s">
        <v>51</v>
      </c>
      <c r="G1024" s="4" t="s">
        <v>35</v>
      </c>
      <c r="H1024" s="54" t="s">
        <v>36</v>
      </c>
      <c r="I1024" s="52"/>
      <c r="J1024" s="57">
        <v>43.82</v>
      </c>
      <c r="K1024" s="52"/>
      <c r="L1024" s="6">
        <v>40.182940000000002</v>
      </c>
      <c r="M1024" s="6">
        <v>0.91700000000000004</v>
      </c>
      <c r="N1024" s="6">
        <v>43.75</v>
      </c>
      <c r="O1024" s="57">
        <v>40.118749999999999</v>
      </c>
      <c r="P1024" s="52"/>
      <c r="Q1024" s="6">
        <v>0.91699999999999993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7.0000000000000007E-2</v>
      </c>
      <c r="AB1024" s="6">
        <v>6.4189999999999997E-2</v>
      </c>
      <c r="AC1024" s="6">
        <v>0.91699999999999982</v>
      </c>
      <c r="AD1024" s="6">
        <v>-7.0000000000000284E-2</v>
      </c>
      <c r="AE1024" s="6">
        <v>7.0000000000000284E-2</v>
      </c>
    </row>
    <row r="1025" spans="2:31" ht="20" x14ac:dyDescent="0.25">
      <c r="B1025" s="55"/>
      <c r="C1025" s="55"/>
      <c r="D1025" s="4" t="s">
        <v>1598</v>
      </c>
      <c r="E1025" s="4" t="s">
        <v>1502</v>
      </c>
      <c r="F1025" s="4" t="s">
        <v>51</v>
      </c>
      <c r="G1025" s="4" t="s">
        <v>35</v>
      </c>
      <c r="H1025" s="54" t="s">
        <v>36</v>
      </c>
      <c r="I1025" s="52"/>
      <c r="J1025" s="57">
        <v>88.78</v>
      </c>
      <c r="K1025" s="52"/>
      <c r="L1025" s="6">
        <v>81.411259999999999</v>
      </c>
      <c r="M1025" s="6">
        <v>0.91699999999999993</v>
      </c>
      <c r="N1025" s="6">
        <v>88.13</v>
      </c>
      <c r="O1025" s="57">
        <v>80.815209999999993</v>
      </c>
      <c r="P1025" s="52"/>
      <c r="Q1025" s="6">
        <v>0.91699999999999993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0.65</v>
      </c>
      <c r="AB1025" s="6">
        <v>0.59604999999999997</v>
      </c>
      <c r="AC1025" s="6">
        <v>0.91699999999999993</v>
      </c>
      <c r="AD1025" s="6">
        <v>-0.65000000000000568</v>
      </c>
      <c r="AE1025" s="6">
        <v>0.65000000000000568</v>
      </c>
    </row>
    <row r="1026" spans="2:31" ht="20" x14ac:dyDescent="0.25">
      <c r="B1026" s="55"/>
      <c r="C1026" s="55"/>
      <c r="D1026" s="4" t="s">
        <v>1599</v>
      </c>
      <c r="E1026" s="4" t="s">
        <v>1600</v>
      </c>
      <c r="F1026" s="4" t="s">
        <v>51</v>
      </c>
      <c r="G1026" s="4" t="s">
        <v>35</v>
      </c>
      <c r="H1026" s="54" t="s">
        <v>41</v>
      </c>
      <c r="I1026" s="52"/>
      <c r="J1026" s="57">
        <v>10.119999999999999</v>
      </c>
      <c r="K1026" s="52"/>
      <c r="L1026" s="6">
        <v>7.59</v>
      </c>
      <c r="M1026" s="6">
        <v>0.75</v>
      </c>
      <c r="N1026" s="6">
        <v>9.5399999999999991</v>
      </c>
      <c r="O1026" s="57">
        <v>7.1550000000000002</v>
      </c>
      <c r="P1026" s="52"/>
      <c r="Q1026" s="6">
        <v>0.75000000000000011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0.57999999999999996</v>
      </c>
      <c r="AB1026" s="6">
        <v>0.435</v>
      </c>
      <c r="AC1026" s="6">
        <v>0.75</v>
      </c>
      <c r="AD1026" s="6">
        <v>-0.58000000000000007</v>
      </c>
      <c r="AE1026" s="6">
        <v>0.58000000000000007</v>
      </c>
    </row>
    <row r="1027" spans="2:31" ht="20" x14ac:dyDescent="0.25">
      <c r="B1027" s="55"/>
      <c r="C1027" s="55"/>
      <c r="D1027" s="4" t="s">
        <v>1601</v>
      </c>
      <c r="E1027" s="4" t="s">
        <v>1602</v>
      </c>
      <c r="F1027" s="4" t="s">
        <v>51</v>
      </c>
      <c r="G1027" s="4" t="s">
        <v>35</v>
      </c>
      <c r="H1027" s="54" t="s">
        <v>36</v>
      </c>
      <c r="I1027" s="52"/>
      <c r="J1027" s="57">
        <v>18.57</v>
      </c>
      <c r="K1027" s="52"/>
      <c r="L1027" s="6">
        <v>17.028690000000001</v>
      </c>
      <c r="M1027" s="6">
        <v>0.91700000000000004</v>
      </c>
      <c r="N1027" s="6">
        <v>17.3</v>
      </c>
      <c r="O1027" s="57">
        <v>15.864100000000001</v>
      </c>
      <c r="P1027" s="52"/>
      <c r="Q1027" s="6">
        <v>0.91700000000000004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1.27</v>
      </c>
      <c r="AB1027" s="6">
        <v>1.16459</v>
      </c>
      <c r="AC1027" s="6">
        <v>0.91700000000000004</v>
      </c>
      <c r="AD1027" s="6">
        <v>-1.2699999999999996</v>
      </c>
      <c r="AE1027" s="6">
        <v>1.2699999999999996</v>
      </c>
    </row>
    <row r="1028" spans="2:31" ht="20" x14ac:dyDescent="0.25">
      <c r="B1028" s="55"/>
      <c r="C1028" s="55"/>
      <c r="D1028" s="4" t="s">
        <v>1603</v>
      </c>
      <c r="E1028" s="4" t="s">
        <v>1604</v>
      </c>
      <c r="F1028" s="4" t="s">
        <v>51</v>
      </c>
      <c r="G1028" s="4" t="s">
        <v>35</v>
      </c>
      <c r="H1028" s="54" t="s">
        <v>41</v>
      </c>
      <c r="I1028" s="52"/>
      <c r="J1028" s="57">
        <v>2.92</v>
      </c>
      <c r="K1028" s="52"/>
      <c r="L1028" s="6">
        <v>2.19</v>
      </c>
      <c r="M1028" s="6">
        <v>0.75</v>
      </c>
      <c r="N1028" s="6">
        <v>2.74</v>
      </c>
      <c r="O1028" s="57">
        <v>2.0550000000000002</v>
      </c>
      <c r="P1028" s="52"/>
      <c r="Q1028" s="6">
        <v>0.75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0.18</v>
      </c>
      <c r="AB1028" s="6">
        <v>0.13500000000000001</v>
      </c>
      <c r="AC1028" s="6">
        <v>0.75000000000000011</v>
      </c>
      <c r="AD1028" s="6">
        <v>-0.17999999999999972</v>
      </c>
      <c r="AE1028" s="6">
        <v>0.17999999999999972</v>
      </c>
    </row>
    <row r="1029" spans="2:31" ht="20" x14ac:dyDescent="0.25">
      <c r="B1029" s="55"/>
      <c r="C1029" s="55"/>
      <c r="D1029" s="4" t="s">
        <v>1605</v>
      </c>
      <c r="E1029" s="4" t="s">
        <v>1606</v>
      </c>
      <c r="F1029" s="4" t="s">
        <v>51</v>
      </c>
      <c r="G1029" s="4" t="s">
        <v>35</v>
      </c>
      <c r="H1029" s="54" t="s">
        <v>48</v>
      </c>
      <c r="I1029" s="52"/>
      <c r="J1029" s="57">
        <v>44.34</v>
      </c>
      <c r="K1029" s="52"/>
      <c r="L1029" s="6">
        <v>33.255000000000003</v>
      </c>
      <c r="M1029" s="6">
        <v>0.75</v>
      </c>
      <c r="N1029" s="6">
        <v>41.57</v>
      </c>
      <c r="O1029" s="57">
        <v>31.177499999999998</v>
      </c>
      <c r="P1029" s="52"/>
      <c r="Q1029" s="6">
        <v>0.75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2.77</v>
      </c>
      <c r="AB1029" s="6">
        <v>2.0775000000000001</v>
      </c>
      <c r="AC1029" s="6">
        <v>0.75</v>
      </c>
      <c r="AD1029" s="6">
        <v>-2.7700000000000031</v>
      </c>
      <c r="AE1029" s="6">
        <v>2.7700000000000031</v>
      </c>
    </row>
    <row r="1030" spans="2:31" ht="20" x14ac:dyDescent="0.25">
      <c r="B1030" s="55"/>
      <c r="C1030" s="55"/>
      <c r="D1030" s="4" t="s">
        <v>1607</v>
      </c>
      <c r="E1030" s="4" t="s">
        <v>1608</v>
      </c>
      <c r="F1030" s="4" t="s">
        <v>51</v>
      </c>
      <c r="G1030" s="4" t="s">
        <v>35</v>
      </c>
      <c r="H1030" s="54" t="s">
        <v>48</v>
      </c>
      <c r="I1030" s="52"/>
      <c r="J1030" s="57">
        <v>13.087999999999999</v>
      </c>
      <c r="K1030" s="52"/>
      <c r="L1030" s="6">
        <v>9.8160000000000007</v>
      </c>
      <c r="M1030" s="6">
        <v>0.75000000000000011</v>
      </c>
      <c r="N1030" s="6">
        <v>12.458</v>
      </c>
      <c r="O1030" s="57">
        <v>9.3435000000000006</v>
      </c>
      <c r="P1030" s="52"/>
      <c r="Q1030" s="6">
        <v>0.75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0.63</v>
      </c>
      <c r="AB1030" s="6">
        <v>0.47249999999999998</v>
      </c>
      <c r="AC1030" s="6">
        <v>0.75</v>
      </c>
      <c r="AD1030" s="6">
        <v>-0.62999999999999901</v>
      </c>
      <c r="AE1030" s="6">
        <v>0.62999999999999901</v>
      </c>
    </row>
    <row r="1031" spans="2:31" ht="20" x14ac:dyDescent="0.25">
      <c r="B1031" s="55"/>
      <c r="C1031" s="55"/>
      <c r="D1031" s="4" t="s">
        <v>1609</v>
      </c>
      <c r="E1031" s="4" t="s">
        <v>1610</v>
      </c>
      <c r="F1031" s="4" t="s">
        <v>51</v>
      </c>
      <c r="G1031" s="4" t="s">
        <v>35</v>
      </c>
      <c r="H1031" s="54" t="s">
        <v>36</v>
      </c>
      <c r="I1031" s="52"/>
      <c r="J1031" s="57">
        <v>53.2</v>
      </c>
      <c r="K1031" s="52"/>
      <c r="L1031" s="6">
        <v>48.784399999999998</v>
      </c>
      <c r="M1031" s="6">
        <v>0.91699999999999993</v>
      </c>
      <c r="N1031" s="6">
        <v>48.42</v>
      </c>
      <c r="O1031" s="57">
        <v>44.401139999999998</v>
      </c>
      <c r="P1031" s="52"/>
      <c r="Q1031" s="6">
        <v>0.91699999999999993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4.78</v>
      </c>
      <c r="AB1031" s="6">
        <v>4.3832599999999999</v>
      </c>
      <c r="AC1031" s="6">
        <v>0.91699999999999993</v>
      </c>
      <c r="AD1031" s="6">
        <v>-4.7800000000000011</v>
      </c>
      <c r="AE1031" s="6">
        <v>4.7800000000000011</v>
      </c>
    </row>
    <row r="1032" spans="2:31" ht="20" x14ac:dyDescent="0.25">
      <c r="B1032" s="55"/>
      <c r="C1032" s="55"/>
      <c r="D1032" s="4" t="s">
        <v>1611</v>
      </c>
      <c r="E1032" s="4" t="s">
        <v>1612</v>
      </c>
      <c r="F1032" s="4" t="s">
        <v>51</v>
      </c>
      <c r="G1032" s="4" t="s">
        <v>35</v>
      </c>
      <c r="H1032" s="54" t="s">
        <v>48</v>
      </c>
      <c r="I1032" s="52"/>
      <c r="J1032" s="57">
        <v>27.27</v>
      </c>
      <c r="K1032" s="52"/>
      <c r="L1032" s="6">
        <v>20.452500000000001</v>
      </c>
      <c r="M1032" s="6">
        <v>0.75</v>
      </c>
      <c r="N1032" s="6">
        <v>24.73</v>
      </c>
      <c r="O1032" s="57">
        <v>18.547499999999999</v>
      </c>
      <c r="P1032" s="52"/>
      <c r="Q1032" s="6">
        <v>0.75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2.54</v>
      </c>
      <c r="AB1032" s="6">
        <v>1.905</v>
      </c>
      <c r="AC1032" s="6">
        <v>0.75</v>
      </c>
      <c r="AD1032" s="6">
        <v>-2.5399999999999991</v>
      </c>
      <c r="AE1032" s="6">
        <v>2.5399999999999991</v>
      </c>
    </row>
    <row r="1033" spans="2:31" ht="20" x14ac:dyDescent="0.25">
      <c r="B1033" s="55"/>
      <c r="C1033" s="56"/>
      <c r="D1033" s="4" t="s">
        <v>1613</v>
      </c>
      <c r="E1033" s="4" t="s">
        <v>1614</v>
      </c>
      <c r="F1033" s="4" t="s">
        <v>51</v>
      </c>
      <c r="G1033" s="4" t="s">
        <v>35</v>
      </c>
      <c r="H1033" s="54" t="s">
        <v>36</v>
      </c>
      <c r="I1033" s="52"/>
      <c r="J1033" s="57">
        <v>3.17</v>
      </c>
      <c r="K1033" s="52"/>
      <c r="L1033" s="6">
        <v>2.9068900000000002</v>
      </c>
      <c r="M1033" s="6">
        <v>0.91700000000000004</v>
      </c>
      <c r="N1033" s="6">
        <v>3.07</v>
      </c>
      <c r="O1033" s="57">
        <v>2.8151899999999999</v>
      </c>
      <c r="P1033" s="52"/>
      <c r="Q1033" s="6">
        <v>0.91700000000000004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0.1</v>
      </c>
      <c r="AB1033" s="6">
        <v>9.1700000000000004E-2</v>
      </c>
      <c r="AC1033" s="6">
        <v>0.91700000000000004</v>
      </c>
      <c r="AD1033" s="6">
        <v>-0.10000000000000009</v>
      </c>
      <c r="AE1033" s="6">
        <v>0.10000000000000009</v>
      </c>
    </row>
    <row r="1034" spans="2:31" x14ac:dyDescent="0.25">
      <c r="B1034" s="55"/>
      <c r="C1034" s="58">
        <v>46188</v>
      </c>
      <c r="D1034" s="4" t="s">
        <v>1615</v>
      </c>
      <c r="E1034" s="4" t="s">
        <v>1616</v>
      </c>
      <c r="F1034" s="4" t="s">
        <v>34</v>
      </c>
      <c r="G1034" s="4" t="s">
        <v>35</v>
      </c>
      <c r="H1034" s="54" t="s">
        <v>48</v>
      </c>
      <c r="I1034" s="52"/>
      <c r="J1034" s="57">
        <v>4.8899999999999997</v>
      </c>
      <c r="K1034" s="52"/>
      <c r="L1034" s="6">
        <v>3.6675</v>
      </c>
      <c r="M1034" s="6">
        <v>0.75</v>
      </c>
      <c r="N1034" s="6">
        <v>4.5999999999999996</v>
      </c>
      <c r="O1034" s="57">
        <v>3.45</v>
      </c>
      <c r="P1034" s="52"/>
      <c r="Q1034" s="6">
        <v>0.75000000000000011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0.28999999999999998</v>
      </c>
      <c r="AB1034" s="6">
        <v>0.2175</v>
      </c>
      <c r="AC1034" s="6">
        <v>0.75</v>
      </c>
      <c r="AD1034" s="6">
        <v>-0.29000000000000004</v>
      </c>
      <c r="AE1034" s="6">
        <v>0.29000000000000004</v>
      </c>
    </row>
    <row r="1035" spans="2:31" x14ac:dyDescent="0.25">
      <c r="B1035" s="55"/>
      <c r="C1035" s="55"/>
      <c r="D1035" s="4" t="s">
        <v>1617</v>
      </c>
      <c r="E1035" s="4" t="s">
        <v>1618</v>
      </c>
      <c r="F1035" s="4" t="s">
        <v>34</v>
      </c>
      <c r="G1035" s="4" t="s">
        <v>35</v>
      </c>
      <c r="H1035" s="54" t="s">
        <v>36</v>
      </c>
      <c r="I1035" s="52"/>
      <c r="J1035" s="57">
        <v>212.7</v>
      </c>
      <c r="K1035" s="52"/>
      <c r="L1035" s="6">
        <v>195.04589999999999</v>
      </c>
      <c r="M1035" s="6">
        <v>0.91700000000000004</v>
      </c>
      <c r="N1035" s="6">
        <v>194.89</v>
      </c>
      <c r="O1035" s="57">
        <v>178.71413000000001</v>
      </c>
      <c r="P1035" s="52"/>
      <c r="Q1035" s="6">
        <v>0.91700000000000015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17.809999999999999</v>
      </c>
      <c r="AB1035" s="6">
        <v>16.331769999999999</v>
      </c>
      <c r="AC1035" s="6">
        <v>0.91700000000000004</v>
      </c>
      <c r="AD1035" s="6">
        <v>-17.810000000000002</v>
      </c>
      <c r="AE1035" s="6">
        <v>17.810000000000002</v>
      </c>
    </row>
    <row r="1036" spans="2:31" ht="20" x14ac:dyDescent="0.25">
      <c r="B1036" s="55"/>
      <c r="C1036" s="55"/>
      <c r="D1036" s="4" t="s">
        <v>1619</v>
      </c>
      <c r="E1036" s="4" t="s">
        <v>1515</v>
      </c>
      <c r="F1036" s="4" t="s">
        <v>51</v>
      </c>
      <c r="G1036" s="4" t="s">
        <v>35</v>
      </c>
      <c r="H1036" s="54" t="s">
        <v>36</v>
      </c>
      <c r="I1036" s="52"/>
      <c r="J1036" s="57">
        <v>248.02</v>
      </c>
      <c r="K1036" s="52"/>
      <c r="L1036" s="6">
        <v>227.43433999999999</v>
      </c>
      <c r="M1036" s="6">
        <v>0.91699999999999993</v>
      </c>
      <c r="N1036" s="6">
        <v>247.42</v>
      </c>
      <c r="O1036" s="57">
        <v>226.88414</v>
      </c>
      <c r="P1036" s="52"/>
      <c r="Q1036" s="6">
        <v>0.91700000000000004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0.6</v>
      </c>
      <c r="AB1036" s="6">
        <v>0.55020000000000002</v>
      </c>
      <c r="AC1036" s="6">
        <v>0.91700000000000004</v>
      </c>
      <c r="AD1036" s="6">
        <v>-0.60000000000002274</v>
      </c>
      <c r="AE1036" s="6">
        <v>0.60000000000002274</v>
      </c>
    </row>
    <row r="1037" spans="2:31" ht="20" x14ac:dyDescent="0.25">
      <c r="B1037" s="55"/>
      <c r="C1037" s="55"/>
      <c r="D1037" s="4" t="s">
        <v>1620</v>
      </c>
      <c r="E1037" s="4" t="s">
        <v>1621</v>
      </c>
      <c r="F1037" s="4" t="s">
        <v>51</v>
      </c>
      <c r="G1037" s="4" t="s">
        <v>35</v>
      </c>
      <c r="H1037" s="54" t="s">
        <v>48</v>
      </c>
      <c r="I1037" s="52"/>
      <c r="J1037" s="57">
        <v>40.74</v>
      </c>
      <c r="K1037" s="52"/>
      <c r="L1037" s="6">
        <v>30.555</v>
      </c>
      <c r="M1037" s="6">
        <v>0.75</v>
      </c>
      <c r="N1037" s="6">
        <v>36.880000000000003</v>
      </c>
      <c r="O1037" s="57">
        <v>27.66</v>
      </c>
      <c r="P1037" s="52"/>
      <c r="Q1037" s="6">
        <v>0.75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3.86</v>
      </c>
      <c r="AB1037" s="6">
        <v>2.895</v>
      </c>
      <c r="AC1037" s="6">
        <v>0.75</v>
      </c>
      <c r="AD1037" s="6">
        <v>-3.8599999999999994</v>
      </c>
      <c r="AE1037" s="6">
        <v>3.8599999999999994</v>
      </c>
    </row>
    <row r="1038" spans="2:31" ht="20" x14ac:dyDescent="0.25">
      <c r="B1038" s="55"/>
      <c r="C1038" s="55"/>
      <c r="D1038" s="4" t="s">
        <v>1622</v>
      </c>
      <c r="E1038" s="4" t="s">
        <v>1623</v>
      </c>
      <c r="F1038" s="4" t="s">
        <v>51</v>
      </c>
      <c r="G1038" s="4" t="s">
        <v>35</v>
      </c>
      <c r="H1038" s="54" t="s">
        <v>41</v>
      </c>
      <c r="I1038" s="52"/>
      <c r="J1038" s="57">
        <v>17.41</v>
      </c>
      <c r="K1038" s="52"/>
      <c r="L1038" s="6">
        <v>13.057499999999999</v>
      </c>
      <c r="M1038" s="6">
        <v>0.75</v>
      </c>
      <c r="N1038" s="6">
        <v>17</v>
      </c>
      <c r="O1038" s="57">
        <v>12.75</v>
      </c>
      <c r="P1038" s="52"/>
      <c r="Q1038" s="6">
        <v>0.75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0.41</v>
      </c>
      <c r="AB1038" s="6">
        <v>0.3075</v>
      </c>
      <c r="AC1038" s="6">
        <v>0.75</v>
      </c>
      <c r="AD1038" s="6">
        <v>-0.41000000000000014</v>
      </c>
      <c r="AE1038" s="6">
        <v>0.41000000000000014</v>
      </c>
    </row>
    <row r="1039" spans="2:31" x14ac:dyDescent="0.25">
      <c r="B1039" s="55"/>
      <c r="C1039" s="55"/>
      <c r="D1039" s="54" t="s">
        <v>1624</v>
      </c>
      <c r="E1039" s="4" t="s">
        <v>1472</v>
      </c>
      <c r="F1039" s="4" t="s">
        <v>51</v>
      </c>
      <c r="G1039" s="4" t="s">
        <v>35</v>
      </c>
      <c r="H1039" s="54" t="s">
        <v>36</v>
      </c>
      <c r="I1039" s="52"/>
      <c r="J1039" s="57">
        <v>32.22</v>
      </c>
      <c r="K1039" s="52"/>
      <c r="L1039" s="6">
        <v>29.545739999999999</v>
      </c>
      <c r="M1039" s="6">
        <v>0.91700000000000004</v>
      </c>
      <c r="N1039" s="6">
        <v>29.45</v>
      </c>
      <c r="O1039" s="57">
        <v>27.005649999999999</v>
      </c>
      <c r="P1039" s="52"/>
      <c r="Q1039" s="6">
        <v>0.91700000000000004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2.77</v>
      </c>
      <c r="AB1039" s="6">
        <v>2.5400900000000002</v>
      </c>
      <c r="AC1039" s="6">
        <v>0.91700000000000004</v>
      </c>
      <c r="AD1039" s="6">
        <v>-2.7699999999999996</v>
      </c>
      <c r="AE1039" s="6">
        <v>2.7699999999999996</v>
      </c>
    </row>
    <row r="1040" spans="2:31" x14ac:dyDescent="0.25">
      <c r="B1040" s="55"/>
      <c r="C1040" s="55"/>
      <c r="D1040" s="55"/>
      <c r="E1040" s="4" t="s">
        <v>1625</v>
      </c>
      <c r="F1040" s="4" t="s">
        <v>51</v>
      </c>
      <c r="G1040" s="4" t="s">
        <v>35</v>
      </c>
      <c r="H1040" s="54" t="s">
        <v>48</v>
      </c>
      <c r="I1040" s="52"/>
      <c r="J1040" s="57">
        <v>62.03</v>
      </c>
      <c r="K1040" s="52"/>
      <c r="L1040" s="6">
        <v>46.522500000000001</v>
      </c>
      <c r="M1040" s="6">
        <v>0.75</v>
      </c>
      <c r="N1040" s="6">
        <v>56.06</v>
      </c>
      <c r="O1040" s="57">
        <v>42.045000000000002</v>
      </c>
      <c r="P1040" s="52"/>
      <c r="Q1040" s="6">
        <v>0.75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5.97</v>
      </c>
      <c r="AB1040" s="6">
        <v>4.4775</v>
      </c>
      <c r="AC1040" s="6">
        <v>0.75</v>
      </c>
      <c r="AD1040" s="6">
        <v>-5.9699999999999989</v>
      </c>
      <c r="AE1040" s="6">
        <v>5.9699999999999989</v>
      </c>
    </row>
    <row r="1041" spans="2:31" x14ac:dyDescent="0.25">
      <c r="B1041" s="55"/>
      <c r="C1041" s="55"/>
      <c r="D1041" s="56"/>
      <c r="E1041" s="4" t="s">
        <v>1626</v>
      </c>
      <c r="F1041" s="4" t="s">
        <v>51</v>
      </c>
      <c r="G1041" s="4" t="s">
        <v>35</v>
      </c>
      <c r="H1041" s="54" t="s">
        <v>41</v>
      </c>
      <c r="I1041" s="52"/>
      <c r="J1041" s="57">
        <v>31.75</v>
      </c>
      <c r="K1041" s="52"/>
      <c r="L1041" s="6">
        <v>23.8125</v>
      </c>
      <c r="M1041" s="6">
        <v>0.75</v>
      </c>
      <c r="N1041" s="6">
        <v>27.69</v>
      </c>
      <c r="O1041" s="57">
        <v>20.767499999999998</v>
      </c>
      <c r="P1041" s="52"/>
      <c r="Q1041" s="6">
        <v>0.74999999999999989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4.0599999999999996</v>
      </c>
      <c r="AB1041" s="6">
        <v>3.0449999999999999</v>
      </c>
      <c r="AC1041" s="6">
        <v>0.75</v>
      </c>
      <c r="AD1041" s="6">
        <v>-4.0599999999999987</v>
      </c>
      <c r="AE1041" s="6">
        <v>4.0599999999999987</v>
      </c>
    </row>
    <row r="1042" spans="2:31" ht="20" x14ac:dyDescent="0.25">
      <c r="B1042" s="55"/>
      <c r="C1042" s="55"/>
      <c r="D1042" s="4" t="s">
        <v>1627</v>
      </c>
      <c r="E1042" s="4" t="s">
        <v>1628</v>
      </c>
      <c r="F1042" s="4" t="s">
        <v>51</v>
      </c>
      <c r="G1042" s="4" t="s">
        <v>35</v>
      </c>
      <c r="H1042" s="54" t="s">
        <v>36</v>
      </c>
      <c r="I1042" s="52"/>
      <c r="J1042" s="57">
        <v>46.71</v>
      </c>
      <c r="K1042" s="52"/>
      <c r="L1042" s="6">
        <v>42.833069999999999</v>
      </c>
      <c r="M1042" s="6">
        <v>0.91699999999999993</v>
      </c>
      <c r="N1042" s="6">
        <v>43.92</v>
      </c>
      <c r="O1042" s="57">
        <v>40.274639999999998</v>
      </c>
      <c r="P1042" s="52"/>
      <c r="Q1042" s="6">
        <v>0.91699999999999993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2.79</v>
      </c>
      <c r="AB1042" s="6">
        <v>2.55843</v>
      </c>
      <c r="AC1042" s="6">
        <v>0.91700000000000004</v>
      </c>
      <c r="AD1042" s="6">
        <v>-2.7899999999999991</v>
      </c>
      <c r="AE1042" s="6">
        <v>2.7899999999999991</v>
      </c>
    </row>
    <row r="1043" spans="2:31" ht="20" x14ac:dyDescent="0.25">
      <c r="B1043" s="55"/>
      <c r="C1043" s="55"/>
      <c r="D1043" s="4" t="s">
        <v>1629</v>
      </c>
      <c r="E1043" s="4" t="s">
        <v>1630</v>
      </c>
      <c r="F1043" s="4" t="s">
        <v>51</v>
      </c>
      <c r="G1043" s="4" t="s">
        <v>35</v>
      </c>
      <c r="H1043" s="54" t="s">
        <v>41</v>
      </c>
      <c r="I1043" s="52"/>
      <c r="J1043" s="57">
        <v>22.9</v>
      </c>
      <c r="K1043" s="52"/>
      <c r="L1043" s="6">
        <v>17.175000000000001</v>
      </c>
      <c r="M1043" s="6">
        <v>0.75000000000000011</v>
      </c>
      <c r="N1043" s="6">
        <v>22.42</v>
      </c>
      <c r="O1043" s="57">
        <v>16.815000000000001</v>
      </c>
      <c r="P1043" s="52"/>
      <c r="Q1043" s="6">
        <v>0.75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0.48</v>
      </c>
      <c r="AB1043" s="6">
        <v>0.36</v>
      </c>
      <c r="AC1043" s="6">
        <v>0.75</v>
      </c>
      <c r="AD1043" s="6">
        <v>-0.47999999999999687</v>
      </c>
      <c r="AE1043" s="6">
        <v>0.47999999999999687</v>
      </c>
    </row>
    <row r="1044" spans="2:31" x14ac:dyDescent="0.25">
      <c r="B1044" s="55"/>
      <c r="C1044" s="55"/>
      <c r="D1044" s="54" t="s">
        <v>1631</v>
      </c>
      <c r="E1044" s="4" t="s">
        <v>1632</v>
      </c>
      <c r="F1044" s="4" t="s">
        <v>51</v>
      </c>
      <c r="G1044" s="4" t="s">
        <v>35</v>
      </c>
      <c r="H1044" s="54" t="s">
        <v>48</v>
      </c>
      <c r="I1044" s="52"/>
      <c r="J1044" s="57">
        <v>34.32</v>
      </c>
      <c r="K1044" s="52"/>
      <c r="L1044" s="6">
        <v>25.74</v>
      </c>
      <c r="M1044" s="6">
        <v>0.75</v>
      </c>
      <c r="N1044" s="6">
        <v>32.869999999999997</v>
      </c>
      <c r="O1044" s="57">
        <v>24.6525</v>
      </c>
      <c r="P1044" s="52"/>
      <c r="Q1044" s="6">
        <v>0.75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1.45</v>
      </c>
      <c r="AB1044" s="6">
        <v>1.0874999999999999</v>
      </c>
      <c r="AC1044" s="6">
        <v>0.75</v>
      </c>
      <c r="AD1044" s="6">
        <v>-1.4500000000000028</v>
      </c>
      <c r="AE1044" s="6">
        <v>1.4500000000000028</v>
      </c>
    </row>
    <row r="1045" spans="2:31" x14ac:dyDescent="0.25">
      <c r="B1045" s="55"/>
      <c r="C1045" s="55"/>
      <c r="D1045" s="56"/>
      <c r="E1045" s="4" t="s">
        <v>1633</v>
      </c>
      <c r="F1045" s="4" t="s">
        <v>51</v>
      </c>
      <c r="G1045" s="4" t="s">
        <v>35</v>
      </c>
      <c r="H1045" s="54" t="s">
        <v>41</v>
      </c>
      <c r="I1045" s="52"/>
      <c r="J1045" s="57">
        <v>19.34</v>
      </c>
      <c r="K1045" s="52"/>
      <c r="L1045" s="6">
        <v>14.505000000000001</v>
      </c>
      <c r="M1045" s="6">
        <v>0.75</v>
      </c>
      <c r="N1045" s="6">
        <v>18.68</v>
      </c>
      <c r="O1045" s="57">
        <v>14.01</v>
      </c>
      <c r="P1045" s="52"/>
      <c r="Q1045" s="6">
        <v>0.75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0.66</v>
      </c>
      <c r="AB1045" s="6">
        <v>0.495</v>
      </c>
      <c r="AC1045" s="6">
        <v>0.75</v>
      </c>
      <c r="AD1045" s="6">
        <v>-0.66000000000000014</v>
      </c>
      <c r="AE1045" s="6">
        <v>0.66000000000000014</v>
      </c>
    </row>
    <row r="1046" spans="2:31" ht="20" x14ac:dyDescent="0.25">
      <c r="B1046" s="55"/>
      <c r="C1046" s="55"/>
      <c r="D1046" s="4" t="s">
        <v>1634</v>
      </c>
      <c r="E1046" s="4" t="s">
        <v>1635</v>
      </c>
      <c r="F1046" s="4" t="s">
        <v>51</v>
      </c>
      <c r="G1046" s="4" t="s">
        <v>35</v>
      </c>
      <c r="H1046" s="54" t="s">
        <v>41</v>
      </c>
      <c r="I1046" s="52"/>
      <c r="J1046" s="57">
        <v>27.11</v>
      </c>
      <c r="K1046" s="52"/>
      <c r="L1046" s="6">
        <v>20.3325</v>
      </c>
      <c r="M1046" s="6">
        <v>0.75</v>
      </c>
      <c r="N1046" s="6">
        <v>25.42</v>
      </c>
      <c r="O1046" s="57">
        <v>19.065000000000001</v>
      </c>
      <c r="P1046" s="52"/>
      <c r="Q1046" s="6">
        <v>0.75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1.69</v>
      </c>
      <c r="AB1046" s="6">
        <v>1.2675000000000001</v>
      </c>
      <c r="AC1046" s="6">
        <v>0.75000000000000011</v>
      </c>
      <c r="AD1046" s="6">
        <v>-1.6899999999999977</v>
      </c>
      <c r="AE1046" s="6">
        <v>1.6899999999999977</v>
      </c>
    </row>
    <row r="1047" spans="2:31" ht="20" x14ac:dyDescent="0.25">
      <c r="B1047" s="55"/>
      <c r="C1047" s="55"/>
      <c r="D1047" s="4" t="s">
        <v>1636</v>
      </c>
      <c r="E1047" s="4" t="s">
        <v>1637</v>
      </c>
      <c r="F1047" s="4" t="s">
        <v>51</v>
      </c>
      <c r="G1047" s="4" t="s">
        <v>35</v>
      </c>
      <c r="H1047" s="54" t="s">
        <v>48</v>
      </c>
      <c r="I1047" s="52"/>
      <c r="J1047" s="57">
        <v>14.71</v>
      </c>
      <c r="K1047" s="52"/>
      <c r="L1047" s="6">
        <v>11.032500000000001</v>
      </c>
      <c r="M1047" s="6">
        <v>0.75</v>
      </c>
      <c r="N1047" s="6">
        <v>13.25</v>
      </c>
      <c r="O1047" s="57">
        <v>9.9375</v>
      </c>
      <c r="P1047" s="52"/>
      <c r="Q1047" s="6">
        <v>0.75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1.46</v>
      </c>
      <c r="AB1047" s="6">
        <v>1.095</v>
      </c>
      <c r="AC1047" s="6">
        <v>0.75</v>
      </c>
      <c r="AD1047" s="6">
        <v>-1.4600000000000009</v>
      </c>
      <c r="AE1047" s="6">
        <v>1.4600000000000009</v>
      </c>
    </row>
    <row r="1048" spans="2:31" ht="20" x14ac:dyDescent="0.25">
      <c r="B1048" s="55"/>
      <c r="C1048" s="55"/>
      <c r="D1048" s="4" t="s">
        <v>1638</v>
      </c>
      <c r="E1048" s="4" t="s">
        <v>1639</v>
      </c>
      <c r="F1048" s="4" t="s">
        <v>51</v>
      </c>
      <c r="G1048" s="4" t="s">
        <v>35</v>
      </c>
      <c r="H1048" s="54" t="s">
        <v>36</v>
      </c>
      <c r="I1048" s="52"/>
      <c r="J1048" s="57">
        <v>165.95</v>
      </c>
      <c r="K1048" s="52"/>
      <c r="L1048" s="6">
        <v>152.17615000000001</v>
      </c>
      <c r="M1048" s="6">
        <v>0.91700000000000015</v>
      </c>
      <c r="N1048" s="6">
        <v>157.27000000000001</v>
      </c>
      <c r="O1048" s="57">
        <v>144.21659</v>
      </c>
      <c r="P1048" s="52"/>
      <c r="Q1048" s="6">
        <v>0.91699999999999993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8.68</v>
      </c>
      <c r="AB1048" s="6">
        <v>7.9595599999999997</v>
      </c>
      <c r="AC1048" s="6">
        <v>0.91700000000000004</v>
      </c>
      <c r="AD1048" s="6">
        <v>-8.6799999999999784</v>
      </c>
      <c r="AE1048" s="6">
        <v>8.6799999999999784</v>
      </c>
    </row>
    <row r="1049" spans="2:31" ht="20" x14ac:dyDescent="0.25">
      <c r="B1049" s="55"/>
      <c r="C1049" s="55"/>
      <c r="D1049" s="4" t="s">
        <v>1640</v>
      </c>
      <c r="E1049" s="4" t="s">
        <v>1641</v>
      </c>
      <c r="F1049" s="4" t="s">
        <v>51</v>
      </c>
      <c r="G1049" s="4" t="s">
        <v>35</v>
      </c>
      <c r="H1049" s="54" t="s">
        <v>36</v>
      </c>
      <c r="I1049" s="52"/>
      <c r="J1049" s="57">
        <v>76.84</v>
      </c>
      <c r="K1049" s="52"/>
      <c r="L1049" s="6">
        <v>70.462280000000007</v>
      </c>
      <c r="M1049" s="6">
        <v>0.91700000000000004</v>
      </c>
      <c r="N1049" s="6">
        <v>73.23</v>
      </c>
      <c r="O1049" s="57">
        <v>67.151910000000001</v>
      </c>
      <c r="P1049" s="52"/>
      <c r="Q1049" s="6">
        <v>0.91699999999999993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3.61</v>
      </c>
      <c r="AB1049" s="6">
        <v>3.3103699999999998</v>
      </c>
      <c r="AC1049" s="6">
        <v>0.91699999999999993</v>
      </c>
      <c r="AD1049" s="6">
        <v>-3.6099999999999994</v>
      </c>
      <c r="AE1049" s="6">
        <v>3.6099999999999994</v>
      </c>
    </row>
    <row r="1050" spans="2:31" ht="20" x14ac:dyDescent="0.25">
      <c r="B1050" s="55"/>
      <c r="C1050" s="55"/>
      <c r="D1050" s="4" t="s">
        <v>1642</v>
      </c>
      <c r="E1050" s="4" t="s">
        <v>1643</v>
      </c>
      <c r="F1050" s="4" t="s">
        <v>51</v>
      </c>
      <c r="G1050" s="4" t="s">
        <v>35</v>
      </c>
      <c r="H1050" s="54" t="s">
        <v>36</v>
      </c>
      <c r="I1050" s="52"/>
      <c r="J1050" s="57">
        <v>52.4</v>
      </c>
      <c r="K1050" s="52"/>
      <c r="L1050" s="6">
        <v>48.050800000000002</v>
      </c>
      <c r="M1050" s="6">
        <v>0.91700000000000004</v>
      </c>
      <c r="N1050" s="6">
        <v>50.3</v>
      </c>
      <c r="O1050" s="57">
        <v>46.125100000000003</v>
      </c>
      <c r="P1050" s="52"/>
      <c r="Q1050" s="6">
        <v>0.91700000000000015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2.1</v>
      </c>
      <c r="AB1050" s="6">
        <v>1.9257</v>
      </c>
      <c r="AC1050" s="6">
        <v>0.91699999999999993</v>
      </c>
      <c r="AD1050" s="6">
        <v>-2.1000000000000014</v>
      </c>
      <c r="AE1050" s="6">
        <v>2.1000000000000014</v>
      </c>
    </row>
    <row r="1051" spans="2:31" x14ac:dyDescent="0.25">
      <c r="B1051" s="55"/>
      <c r="C1051" s="55"/>
      <c r="D1051" s="54" t="s">
        <v>1644</v>
      </c>
      <c r="E1051" s="4" t="s">
        <v>1558</v>
      </c>
      <c r="F1051" s="4" t="s">
        <v>51</v>
      </c>
      <c r="G1051" s="4" t="s">
        <v>35</v>
      </c>
      <c r="H1051" s="54" t="s">
        <v>48</v>
      </c>
      <c r="I1051" s="52"/>
      <c r="J1051" s="57">
        <v>28.7</v>
      </c>
      <c r="K1051" s="52"/>
      <c r="L1051" s="6">
        <v>21.524999999999999</v>
      </c>
      <c r="M1051" s="6">
        <v>0.75</v>
      </c>
      <c r="N1051" s="6">
        <v>28.66</v>
      </c>
      <c r="O1051" s="57">
        <v>21.495000000000001</v>
      </c>
      <c r="P1051" s="52"/>
      <c r="Q1051" s="6">
        <v>0.75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0.04</v>
      </c>
      <c r="AB1051" s="6">
        <v>0.03</v>
      </c>
      <c r="AC1051" s="6">
        <v>0.75</v>
      </c>
      <c r="AD1051" s="6">
        <v>-3.9999999999999147E-2</v>
      </c>
      <c r="AE1051" s="6">
        <v>3.9999999999999147E-2</v>
      </c>
    </row>
    <row r="1052" spans="2:31" x14ac:dyDescent="0.25">
      <c r="B1052" s="55"/>
      <c r="C1052" s="55"/>
      <c r="D1052" s="56"/>
      <c r="E1052" s="4" t="s">
        <v>1645</v>
      </c>
      <c r="F1052" s="4" t="s">
        <v>51</v>
      </c>
      <c r="G1052" s="4" t="s">
        <v>35</v>
      </c>
      <c r="H1052" s="54" t="s">
        <v>48</v>
      </c>
      <c r="I1052" s="52"/>
      <c r="J1052" s="57">
        <v>11.2</v>
      </c>
      <c r="K1052" s="52"/>
      <c r="L1052" s="6">
        <v>8.4</v>
      </c>
      <c r="M1052" s="6">
        <v>0.75000000000000011</v>
      </c>
      <c r="N1052" s="6">
        <v>10.48</v>
      </c>
      <c r="O1052" s="57">
        <v>7.86</v>
      </c>
      <c r="P1052" s="52"/>
      <c r="Q1052" s="6">
        <v>0.75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0.72</v>
      </c>
      <c r="AB1052" s="6">
        <v>0.54</v>
      </c>
      <c r="AC1052" s="6">
        <v>0.75000000000000011</v>
      </c>
      <c r="AD1052" s="6">
        <v>-0.71999999999999886</v>
      </c>
      <c r="AE1052" s="6">
        <v>0.71999999999999886</v>
      </c>
    </row>
    <row r="1053" spans="2:31" ht="20" x14ac:dyDescent="0.25">
      <c r="B1053" s="55"/>
      <c r="C1053" s="55"/>
      <c r="D1053" s="4" t="s">
        <v>1646</v>
      </c>
      <c r="E1053" s="4" t="s">
        <v>1647</v>
      </c>
      <c r="F1053" s="4" t="s">
        <v>51</v>
      </c>
      <c r="G1053" s="4" t="s">
        <v>35</v>
      </c>
      <c r="H1053" s="54" t="s">
        <v>36</v>
      </c>
      <c r="I1053" s="52"/>
      <c r="J1053" s="57">
        <v>26</v>
      </c>
      <c r="K1053" s="52"/>
      <c r="L1053" s="6">
        <v>23.841999999999999</v>
      </c>
      <c r="M1053" s="6">
        <v>0.91699999999999993</v>
      </c>
      <c r="N1053" s="6">
        <v>23.56</v>
      </c>
      <c r="O1053" s="57">
        <v>21.604520000000001</v>
      </c>
      <c r="P1053" s="52"/>
      <c r="Q1053" s="6">
        <v>0.91700000000000004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2.44</v>
      </c>
      <c r="AB1053" s="6">
        <v>2.2374800000000001</v>
      </c>
      <c r="AC1053" s="6">
        <v>0.91700000000000004</v>
      </c>
      <c r="AD1053" s="6">
        <v>-2.4400000000000013</v>
      </c>
      <c r="AE1053" s="6">
        <v>2.4400000000000013</v>
      </c>
    </row>
    <row r="1054" spans="2:31" x14ac:dyDescent="0.25">
      <c r="B1054" s="55"/>
      <c r="C1054" s="55"/>
      <c r="D1054" s="54" t="s">
        <v>1648</v>
      </c>
      <c r="E1054" s="4" t="s">
        <v>1447</v>
      </c>
      <c r="F1054" s="4" t="s">
        <v>51</v>
      </c>
      <c r="G1054" s="4" t="s">
        <v>35</v>
      </c>
      <c r="H1054" s="54" t="s">
        <v>48</v>
      </c>
      <c r="I1054" s="52"/>
      <c r="J1054" s="57">
        <v>21.12</v>
      </c>
      <c r="K1054" s="52"/>
      <c r="L1054" s="6">
        <v>15.84</v>
      </c>
      <c r="M1054" s="6">
        <v>0.75</v>
      </c>
      <c r="N1054" s="6">
        <v>20.89</v>
      </c>
      <c r="O1054" s="57">
        <v>15.6675</v>
      </c>
      <c r="P1054" s="52"/>
      <c r="Q1054" s="6">
        <v>0.75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0.23</v>
      </c>
      <c r="AB1054" s="6">
        <v>0.17249999999999999</v>
      </c>
      <c r="AC1054" s="6">
        <v>0.74999999999999989</v>
      </c>
      <c r="AD1054" s="6">
        <v>-0.23000000000000043</v>
      </c>
      <c r="AE1054" s="6">
        <v>0.23000000000000043</v>
      </c>
    </row>
    <row r="1055" spans="2:31" x14ac:dyDescent="0.25">
      <c r="B1055" s="55"/>
      <c r="C1055" s="55"/>
      <c r="D1055" s="56"/>
      <c r="E1055" s="4" t="s">
        <v>1612</v>
      </c>
      <c r="F1055" s="4" t="s">
        <v>51</v>
      </c>
      <c r="G1055" s="4" t="s">
        <v>35</v>
      </c>
      <c r="H1055" s="54" t="s">
        <v>48</v>
      </c>
      <c r="I1055" s="52"/>
      <c r="J1055" s="57">
        <v>25.62</v>
      </c>
      <c r="K1055" s="52"/>
      <c r="L1055" s="6">
        <v>19.215</v>
      </c>
      <c r="M1055" s="6">
        <v>0.75</v>
      </c>
      <c r="N1055" s="6">
        <v>25.51</v>
      </c>
      <c r="O1055" s="57">
        <v>19.1325</v>
      </c>
      <c r="P1055" s="52"/>
      <c r="Q1055" s="6">
        <v>0.75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0.11</v>
      </c>
      <c r="AB1055" s="6">
        <v>8.2500000000000004E-2</v>
      </c>
      <c r="AC1055" s="6">
        <v>0.75</v>
      </c>
      <c r="AD1055" s="6">
        <v>-0.10999999999999943</v>
      </c>
      <c r="AE1055" s="6">
        <v>0.10999999999999943</v>
      </c>
    </row>
    <row r="1056" spans="2:31" x14ac:dyDescent="0.25">
      <c r="B1056" s="55"/>
      <c r="C1056" s="55"/>
      <c r="D1056" s="54" t="s">
        <v>1649</v>
      </c>
      <c r="E1056" s="4" t="s">
        <v>1650</v>
      </c>
      <c r="F1056" s="4" t="s">
        <v>51</v>
      </c>
      <c r="G1056" s="4" t="s">
        <v>35</v>
      </c>
      <c r="H1056" s="54" t="s">
        <v>36</v>
      </c>
      <c r="I1056" s="52"/>
      <c r="J1056" s="57">
        <v>1.57</v>
      </c>
      <c r="K1056" s="52"/>
      <c r="L1056" s="6">
        <v>1.4396899999999999</v>
      </c>
      <c r="M1056" s="6">
        <v>0.91699999999999993</v>
      </c>
      <c r="N1056" s="6">
        <v>1.42</v>
      </c>
      <c r="O1056" s="57">
        <v>1.3021400000000001</v>
      </c>
      <c r="P1056" s="52"/>
      <c r="Q1056" s="6">
        <v>0.91700000000000015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0.15</v>
      </c>
      <c r="AB1056" s="6">
        <v>0.13755000000000001</v>
      </c>
      <c r="AC1056" s="6">
        <v>0.91700000000000004</v>
      </c>
      <c r="AD1056" s="6">
        <v>-0.15000000000000013</v>
      </c>
      <c r="AE1056" s="6">
        <v>0.15000000000000013</v>
      </c>
    </row>
    <row r="1057" spans="2:31" x14ac:dyDescent="0.25">
      <c r="B1057" s="55"/>
      <c r="C1057" s="55"/>
      <c r="D1057" s="56"/>
      <c r="E1057" s="4" t="s">
        <v>1651</v>
      </c>
      <c r="F1057" s="4" t="s">
        <v>51</v>
      </c>
      <c r="G1057" s="4" t="s">
        <v>35</v>
      </c>
      <c r="H1057" s="54" t="s">
        <v>36</v>
      </c>
      <c r="I1057" s="52"/>
      <c r="J1057" s="57">
        <v>1.51</v>
      </c>
      <c r="K1057" s="52"/>
      <c r="L1057" s="6">
        <v>1.3846700000000001</v>
      </c>
      <c r="M1057" s="6">
        <v>0.91700000000000004</v>
      </c>
      <c r="N1057" s="6">
        <v>1.43</v>
      </c>
      <c r="O1057" s="57">
        <v>1.31131</v>
      </c>
      <c r="P1057" s="52"/>
      <c r="Q1057" s="6">
        <v>0.91700000000000004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0.08</v>
      </c>
      <c r="AB1057" s="6">
        <v>7.3359999999999995E-2</v>
      </c>
      <c r="AC1057" s="6">
        <v>0.91699999999999993</v>
      </c>
      <c r="AD1057" s="6">
        <v>-8.0000000000000071E-2</v>
      </c>
      <c r="AE1057" s="6">
        <v>8.0000000000000071E-2</v>
      </c>
    </row>
    <row r="1058" spans="2:31" ht="20" x14ac:dyDescent="0.25">
      <c r="B1058" s="55"/>
      <c r="C1058" s="55"/>
      <c r="D1058" s="4" t="s">
        <v>1652</v>
      </c>
      <c r="E1058" s="4" t="s">
        <v>1472</v>
      </c>
      <c r="F1058" s="4" t="s">
        <v>51</v>
      </c>
      <c r="G1058" s="4" t="s">
        <v>35</v>
      </c>
      <c r="H1058" s="54" t="s">
        <v>36</v>
      </c>
      <c r="I1058" s="52"/>
      <c r="J1058" s="57">
        <v>29.45</v>
      </c>
      <c r="K1058" s="52"/>
      <c r="L1058" s="6">
        <v>27.005649999999999</v>
      </c>
      <c r="M1058" s="6">
        <v>0.91700000000000004</v>
      </c>
      <c r="N1058" s="6">
        <v>29.35</v>
      </c>
      <c r="O1058" s="57">
        <v>26.91395</v>
      </c>
      <c r="P1058" s="52"/>
      <c r="Q1058" s="6">
        <v>0.91699999999999993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0.1</v>
      </c>
      <c r="AB1058" s="6">
        <v>9.1700000000000004E-2</v>
      </c>
      <c r="AC1058" s="6">
        <v>0.91700000000000004</v>
      </c>
      <c r="AD1058" s="6">
        <v>-9.9999999999997868E-2</v>
      </c>
      <c r="AE1058" s="6">
        <v>9.9999999999997868E-2</v>
      </c>
    </row>
    <row r="1059" spans="2:31" x14ac:dyDescent="0.25">
      <c r="B1059" s="55"/>
      <c r="C1059" s="55"/>
      <c r="D1059" s="54" t="s">
        <v>1653</v>
      </c>
      <c r="E1059" s="4" t="s">
        <v>1654</v>
      </c>
      <c r="F1059" s="4" t="s">
        <v>51</v>
      </c>
      <c r="G1059" s="4" t="s">
        <v>35</v>
      </c>
      <c r="H1059" s="54" t="s">
        <v>36</v>
      </c>
      <c r="I1059" s="52"/>
      <c r="J1059" s="57">
        <v>39.89</v>
      </c>
      <c r="K1059" s="52"/>
      <c r="L1059" s="6">
        <v>36.579129999999999</v>
      </c>
      <c r="M1059" s="6">
        <v>0.91699999999999993</v>
      </c>
      <c r="N1059" s="6">
        <v>37.19</v>
      </c>
      <c r="O1059" s="57">
        <v>34.103230000000003</v>
      </c>
      <c r="P1059" s="52"/>
      <c r="Q1059" s="6">
        <v>0.91700000000000015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2.7</v>
      </c>
      <c r="AB1059" s="6">
        <v>2.4759000000000002</v>
      </c>
      <c r="AC1059" s="6">
        <v>0.91700000000000004</v>
      </c>
      <c r="AD1059" s="6">
        <v>-2.7000000000000028</v>
      </c>
      <c r="AE1059" s="6">
        <v>2.7000000000000028</v>
      </c>
    </row>
    <row r="1060" spans="2:31" x14ac:dyDescent="0.25">
      <c r="B1060" s="55"/>
      <c r="C1060" s="55"/>
      <c r="D1060" s="56"/>
      <c r="E1060" s="4" t="s">
        <v>1655</v>
      </c>
      <c r="F1060" s="4" t="s">
        <v>51</v>
      </c>
      <c r="G1060" s="4" t="s">
        <v>35</v>
      </c>
      <c r="H1060" s="54" t="s">
        <v>36</v>
      </c>
      <c r="I1060" s="52"/>
      <c r="J1060" s="57">
        <v>73.66</v>
      </c>
      <c r="K1060" s="52"/>
      <c r="L1060" s="6">
        <v>67.546220000000005</v>
      </c>
      <c r="M1060" s="6">
        <v>0.91700000000000015</v>
      </c>
      <c r="N1060" s="6">
        <v>67.48</v>
      </c>
      <c r="O1060" s="57">
        <v>61.879159999999999</v>
      </c>
      <c r="P1060" s="52"/>
      <c r="Q1060" s="6">
        <v>0.91699999999999993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6.18</v>
      </c>
      <c r="AB1060" s="6">
        <v>5.6670600000000002</v>
      </c>
      <c r="AC1060" s="6">
        <v>0.91700000000000004</v>
      </c>
      <c r="AD1060" s="6">
        <v>-6.1799999999999926</v>
      </c>
      <c r="AE1060" s="6">
        <v>6.1799999999999926</v>
      </c>
    </row>
    <row r="1061" spans="2:31" ht="20" x14ac:dyDescent="0.25">
      <c r="B1061" s="55"/>
      <c r="C1061" s="55"/>
      <c r="D1061" s="4" t="s">
        <v>1656</v>
      </c>
      <c r="E1061" s="4" t="s">
        <v>1657</v>
      </c>
      <c r="F1061" s="4" t="s">
        <v>51</v>
      </c>
      <c r="G1061" s="4" t="s">
        <v>35</v>
      </c>
      <c r="H1061" s="54" t="s">
        <v>41</v>
      </c>
      <c r="I1061" s="52"/>
      <c r="J1061" s="57">
        <v>20.48</v>
      </c>
      <c r="K1061" s="52"/>
      <c r="L1061" s="6">
        <v>15.36</v>
      </c>
      <c r="M1061" s="6">
        <v>0.75</v>
      </c>
      <c r="N1061" s="6">
        <v>19.2</v>
      </c>
      <c r="O1061" s="57">
        <v>14.4</v>
      </c>
      <c r="P1061" s="52"/>
      <c r="Q1061" s="6">
        <v>0.75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1.28</v>
      </c>
      <c r="AB1061" s="6">
        <v>0.96</v>
      </c>
      <c r="AC1061" s="6">
        <v>0.75</v>
      </c>
      <c r="AD1061" s="6">
        <v>-1.2800000000000011</v>
      </c>
      <c r="AE1061" s="6">
        <v>1.2800000000000011</v>
      </c>
    </row>
    <row r="1062" spans="2:31" ht="20" x14ac:dyDescent="0.25">
      <c r="B1062" s="55"/>
      <c r="C1062" s="55"/>
      <c r="D1062" s="4" t="s">
        <v>1658</v>
      </c>
      <c r="E1062" s="4" t="s">
        <v>1659</v>
      </c>
      <c r="F1062" s="4" t="s">
        <v>51</v>
      </c>
      <c r="G1062" s="4" t="s">
        <v>35</v>
      </c>
      <c r="H1062" s="54" t="s">
        <v>36</v>
      </c>
      <c r="I1062" s="52"/>
      <c r="J1062" s="57">
        <v>5.2</v>
      </c>
      <c r="K1062" s="52"/>
      <c r="L1062" s="6">
        <v>4.7683999999999997</v>
      </c>
      <c r="M1062" s="6">
        <v>0.91699999999999993</v>
      </c>
      <c r="N1062" s="6">
        <v>4.76</v>
      </c>
      <c r="O1062" s="57">
        <v>4.3649199999999997</v>
      </c>
      <c r="P1062" s="52"/>
      <c r="Q1062" s="6">
        <v>0.91699999999999993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0.44</v>
      </c>
      <c r="AB1062" s="6">
        <v>0.40348000000000001</v>
      </c>
      <c r="AC1062" s="6">
        <v>0.91700000000000004</v>
      </c>
      <c r="AD1062" s="6">
        <v>-0.44000000000000039</v>
      </c>
      <c r="AE1062" s="6">
        <v>0.44000000000000039</v>
      </c>
    </row>
    <row r="1063" spans="2:31" ht="20" x14ac:dyDescent="0.25">
      <c r="B1063" s="55"/>
      <c r="C1063" s="55"/>
      <c r="D1063" s="4" t="s">
        <v>1660</v>
      </c>
      <c r="E1063" s="4" t="s">
        <v>1661</v>
      </c>
      <c r="F1063" s="4" t="s">
        <v>51</v>
      </c>
      <c r="G1063" s="4" t="s">
        <v>35</v>
      </c>
      <c r="H1063" s="54" t="s">
        <v>36</v>
      </c>
      <c r="I1063" s="52"/>
      <c r="J1063" s="57">
        <v>467.35</v>
      </c>
      <c r="K1063" s="52"/>
      <c r="L1063" s="6">
        <v>428.55995000000001</v>
      </c>
      <c r="M1063" s="6">
        <v>0.91700000000000004</v>
      </c>
      <c r="N1063" s="6">
        <v>440.54</v>
      </c>
      <c r="O1063" s="57">
        <v>403.97518000000002</v>
      </c>
      <c r="P1063" s="52"/>
      <c r="Q1063" s="6">
        <v>0.91700000000000004</v>
      </c>
      <c r="R1063" s="6">
        <v>4.88</v>
      </c>
      <c r="S1063" s="6">
        <v>4.4749600000000003</v>
      </c>
      <c r="T1063" s="6">
        <v>0.91700000000000004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21.93</v>
      </c>
      <c r="AB1063" s="6">
        <v>20.10981</v>
      </c>
      <c r="AC1063" s="6">
        <v>0.91700000000000004</v>
      </c>
      <c r="AD1063" s="6">
        <v>-31.69</v>
      </c>
      <c r="AE1063" s="6">
        <v>21.930000000000003</v>
      </c>
    </row>
    <row r="1064" spans="2:31" ht="20" x14ac:dyDescent="0.25">
      <c r="B1064" s="55"/>
      <c r="C1064" s="55"/>
      <c r="D1064" s="4" t="s">
        <v>1662</v>
      </c>
      <c r="E1064" s="4" t="s">
        <v>1663</v>
      </c>
      <c r="F1064" s="4" t="s">
        <v>51</v>
      </c>
      <c r="G1064" s="4" t="s">
        <v>35</v>
      </c>
      <c r="H1064" s="54" t="s">
        <v>41</v>
      </c>
      <c r="I1064" s="52"/>
      <c r="J1064" s="57">
        <v>34.97</v>
      </c>
      <c r="K1064" s="52"/>
      <c r="L1064" s="6">
        <v>26.227499999999999</v>
      </c>
      <c r="M1064" s="6">
        <v>0.75</v>
      </c>
      <c r="N1064" s="6">
        <v>32.54</v>
      </c>
      <c r="O1064" s="57">
        <v>24.405000000000001</v>
      </c>
      <c r="P1064" s="52"/>
      <c r="Q1064" s="6">
        <v>0.75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2.4300000000000002</v>
      </c>
      <c r="AB1064" s="6">
        <v>1.8225</v>
      </c>
      <c r="AC1064" s="6">
        <v>0.75</v>
      </c>
      <c r="AD1064" s="6">
        <v>-2.4299999999999997</v>
      </c>
      <c r="AE1064" s="6">
        <v>2.4299999999999997</v>
      </c>
    </row>
    <row r="1065" spans="2:31" ht="20" x14ac:dyDescent="0.25">
      <c r="B1065" s="55"/>
      <c r="C1065" s="55"/>
      <c r="D1065" s="4" t="s">
        <v>1664</v>
      </c>
      <c r="E1065" s="4" t="s">
        <v>1490</v>
      </c>
      <c r="F1065" s="4" t="s">
        <v>51</v>
      </c>
      <c r="G1065" s="4" t="s">
        <v>35</v>
      </c>
      <c r="H1065" s="54" t="s">
        <v>36</v>
      </c>
      <c r="I1065" s="52"/>
      <c r="J1065" s="57">
        <v>34.39</v>
      </c>
      <c r="K1065" s="52"/>
      <c r="L1065" s="6">
        <v>31.535630000000001</v>
      </c>
      <c r="M1065" s="6">
        <v>0.91700000000000004</v>
      </c>
      <c r="N1065" s="6">
        <v>34.24</v>
      </c>
      <c r="O1065" s="57">
        <v>31.39808</v>
      </c>
      <c r="P1065" s="52"/>
      <c r="Q1065" s="6">
        <v>0.91699999999999993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0.15</v>
      </c>
      <c r="AB1065" s="6">
        <v>0.13755000000000001</v>
      </c>
      <c r="AC1065" s="6">
        <v>0.91700000000000004</v>
      </c>
      <c r="AD1065" s="6">
        <v>-0.14999999999999858</v>
      </c>
      <c r="AE1065" s="6">
        <v>0.14999999999999858</v>
      </c>
    </row>
    <row r="1066" spans="2:31" ht="20" x14ac:dyDescent="0.25">
      <c r="B1066" s="55"/>
      <c r="C1066" s="55"/>
      <c r="D1066" s="4" t="s">
        <v>1665</v>
      </c>
      <c r="E1066" s="4" t="s">
        <v>1666</v>
      </c>
      <c r="F1066" s="4" t="s">
        <v>51</v>
      </c>
      <c r="G1066" s="4" t="s">
        <v>35</v>
      </c>
      <c r="H1066" s="54" t="s">
        <v>41</v>
      </c>
      <c r="I1066" s="52"/>
      <c r="J1066" s="57">
        <v>22.48</v>
      </c>
      <c r="K1066" s="52"/>
      <c r="L1066" s="6">
        <v>16.86</v>
      </c>
      <c r="M1066" s="6">
        <v>0.75</v>
      </c>
      <c r="N1066" s="6">
        <v>21.03</v>
      </c>
      <c r="O1066" s="57">
        <v>15.772500000000001</v>
      </c>
      <c r="P1066" s="52"/>
      <c r="Q1066" s="6">
        <v>0.75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1.45</v>
      </c>
      <c r="AB1066" s="6">
        <v>1.0874999999999999</v>
      </c>
      <c r="AC1066" s="6">
        <v>0.75</v>
      </c>
      <c r="AD1066" s="6">
        <v>-1.4499999999999993</v>
      </c>
      <c r="AE1066" s="6">
        <v>1.4499999999999993</v>
      </c>
    </row>
    <row r="1067" spans="2:31" ht="20" x14ac:dyDescent="0.25">
      <c r="B1067" s="55"/>
      <c r="C1067" s="55"/>
      <c r="D1067" s="4" t="s">
        <v>1667</v>
      </c>
      <c r="E1067" s="4" t="s">
        <v>1668</v>
      </c>
      <c r="F1067" s="4" t="s">
        <v>51</v>
      </c>
      <c r="G1067" s="4" t="s">
        <v>35</v>
      </c>
      <c r="H1067" s="54" t="s">
        <v>481</v>
      </c>
      <c r="I1067" s="52"/>
      <c r="J1067" s="57">
        <v>41.62</v>
      </c>
      <c r="K1067" s="52"/>
      <c r="L1067" s="6">
        <v>31.215</v>
      </c>
      <c r="M1067" s="6">
        <v>0.75</v>
      </c>
      <c r="N1067" s="6">
        <v>37.090000000000003</v>
      </c>
      <c r="O1067" s="57">
        <v>27.817499999999999</v>
      </c>
      <c r="P1067" s="52"/>
      <c r="Q1067" s="6">
        <v>0.74999999999999989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4.53</v>
      </c>
      <c r="AB1067" s="6">
        <v>3.3975</v>
      </c>
      <c r="AC1067" s="6">
        <v>0.75</v>
      </c>
      <c r="AD1067" s="6">
        <v>-4.529999999999994</v>
      </c>
      <c r="AE1067" s="6">
        <v>4.529999999999994</v>
      </c>
    </row>
    <row r="1068" spans="2:31" ht="20" x14ac:dyDescent="0.25">
      <c r="B1068" s="55"/>
      <c r="C1068" s="55"/>
      <c r="D1068" s="4" t="s">
        <v>1669</v>
      </c>
      <c r="E1068" s="4" t="s">
        <v>1670</v>
      </c>
      <c r="F1068" s="4" t="s">
        <v>51</v>
      </c>
      <c r="G1068" s="4" t="s">
        <v>35</v>
      </c>
      <c r="H1068" s="54" t="s">
        <v>36</v>
      </c>
      <c r="I1068" s="52"/>
      <c r="J1068" s="57">
        <v>22.32</v>
      </c>
      <c r="K1068" s="52"/>
      <c r="L1068" s="6">
        <v>20.46744</v>
      </c>
      <c r="M1068" s="6">
        <v>0.91700000000000004</v>
      </c>
      <c r="N1068" s="6">
        <v>21.32</v>
      </c>
      <c r="O1068" s="57">
        <v>19.550439999999998</v>
      </c>
      <c r="P1068" s="52"/>
      <c r="Q1068" s="6">
        <v>0.91699999999999993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1</v>
      </c>
      <c r="AB1068" s="6">
        <v>0.91700000000000004</v>
      </c>
      <c r="AC1068" s="6">
        <v>0.91700000000000004</v>
      </c>
      <c r="AD1068" s="6">
        <v>-1</v>
      </c>
      <c r="AE1068" s="6">
        <v>1</v>
      </c>
    </row>
    <row r="1069" spans="2:31" ht="20" x14ac:dyDescent="0.25">
      <c r="B1069" s="55"/>
      <c r="C1069" s="55"/>
      <c r="D1069" s="4" t="s">
        <v>1671</v>
      </c>
      <c r="E1069" s="4" t="s">
        <v>1672</v>
      </c>
      <c r="F1069" s="4" t="s">
        <v>51</v>
      </c>
      <c r="G1069" s="4" t="s">
        <v>35</v>
      </c>
      <c r="H1069" s="54" t="s">
        <v>41</v>
      </c>
      <c r="I1069" s="52"/>
      <c r="J1069" s="57">
        <v>494.46</v>
      </c>
      <c r="K1069" s="52"/>
      <c r="L1069" s="6">
        <v>370.84500000000003</v>
      </c>
      <c r="M1069" s="6">
        <v>0.75000000000000011</v>
      </c>
      <c r="N1069" s="6">
        <v>447.89</v>
      </c>
      <c r="O1069" s="57">
        <v>335.91750000000002</v>
      </c>
      <c r="P1069" s="52"/>
      <c r="Q1069" s="6">
        <v>0.75000000000000011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46.57</v>
      </c>
      <c r="AB1069" s="6">
        <v>34.927500000000002</v>
      </c>
      <c r="AC1069" s="6">
        <v>0.75</v>
      </c>
      <c r="AD1069" s="6">
        <v>-46.569999999999993</v>
      </c>
      <c r="AE1069" s="6">
        <v>46.569999999999993</v>
      </c>
    </row>
    <row r="1070" spans="2:31" x14ac:dyDescent="0.25">
      <c r="B1070" s="55"/>
      <c r="C1070" s="55"/>
      <c r="D1070" s="54" t="s">
        <v>1673</v>
      </c>
      <c r="E1070" s="4" t="s">
        <v>1674</v>
      </c>
      <c r="F1070" s="4" t="s">
        <v>51</v>
      </c>
      <c r="G1070" s="4" t="s">
        <v>35</v>
      </c>
      <c r="H1070" s="54" t="s">
        <v>41</v>
      </c>
      <c r="I1070" s="52"/>
      <c r="J1070" s="57">
        <v>21.09</v>
      </c>
      <c r="K1070" s="52"/>
      <c r="L1070" s="6">
        <v>15.817500000000001</v>
      </c>
      <c r="M1070" s="6">
        <v>0.75</v>
      </c>
      <c r="N1070" s="6">
        <v>21.09</v>
      </c>
      <c r="O1070" s="57">
        <v>15.817500000000001</v>
      </c>
      <c r="P1070" s="52"/>
      <c r="Q1070" s="6">
        <v>0.75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</row>
    <row r="1071" spans="2:31" x14ac:dyDescent="0.25">
      <c r="B1071" s="55"/>
      <c r="C1071" s="55"/>
      <c r="D1071" s="56"/>
      <c r="E1071" s="4" t="s">
        <v>1675</v>
      </c>
      <c r="F1071" s="4" t="s">
        <v>51</v>
      </c>
      <c r="G1071" s="4" t="s">
        <v>35</v>
      </c>
      <c r="H1071" s="54" t="s">
        <v>41</v>
      </c>
      <c r="I1071" s="52"/>
      <c r="J1071" s="57">
        <v>21.07</v>
      </c>
      <c r="K1071" s="52"/>
      <c r="L1071" s="6">
        <v>15.8025</v>
      </c>
      <c r="M1071" s="6">
        <v>0.75</v>
      </c>
      <c r="N1071" s="6">
        <v>21.07</v>
      </c>
      <c r="O1071" s="57">
        <v>15.8025</v>
      </c>
      <c r="P1071" s="52"/>
      <c r="Q1071" s="6">
        <v>0.75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</row>
    <row r="1072" spans="2:31" ht="20" x14ac:dyDescent="0.25">
      <c r="B1072" s="55"/>
      <c r="C1072" s="55"/>
      <c r="D1072" s="4" t="s">
        <v>1676</v>
      </c>
      <c r="E1072" s="4" t="s">
        <v>1677</v>
      </c>
      <c r="F1072" s="4" t="s">
        <v>51</v>
      </c>
      <c r="G1072" s="4" t="s">
        <v>35</v>
      </c>
      <c r="H1072" s="54" t="s">
        <v>36</v>
      </c>
      <c r="I1072" s="52"/>
      <c r="J1072" s="57">
        <v>28.17</v>
      </c>
      <c r="K1072" s="52"/>
      <c r="L1072" s="6">
        <v>25.831890000000001</v>
      </c>
      <c r="M1072" s="6">
        <v>0.91700000000000004</v>
      </c>
      <c r="N1072" s="6">
        <v>27.88</v>
      </c>
      <c r="O1072" s="57">
        <v>25.56596</v>
      </c>
      <c r="P1072" s="52"/>
      <c r="Q1072" s="6">
        <v>0.91700000000000004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0.28999999999999998</v>
      </c>
      <c r="AB1072" s="6">
        <v>0.26593</v>
      </c>
      <c r="AC1072" s="6">
        <v>0.91700000000000004</v>
      </c>
      <c r="AD1072" s="6">
        <v>-0.2900000000000027</v>
      </c>
      <c r="AE1072" s="6">
        <v>0.2900000000000027</v>
      </c>
    </row>
    <row r="1073" spans="2:31" x14ac:dyDescent="0.25">
      <c r="B1073" s="55"/>
      <c r="C1073" s="55"/>
      <c r="D1073" s="54" t="s">
        <v>1678</v>
      </c>
      <c r="E1073" s="4" t="s">
        <v>1679</v>
      </c>
      <c r="F1073" s="4" t="s">
        <v>51</v>
      </c>
      <c r="G1073" s="4" t="s">
        <v>35</v>
      </c>
      <c r="H1073" s="54" t="s">
        <v>48</v>
      </c>
      <c r="I1073" s="52"/>
      <c r="J1073" s="57">
        <v>40.81</v>
      </c>
      <c r="K1073" s="52"/>
      <c r="L1073" s="6">
        <v>30.607500000000002</v>
      </c>
      <c r="M1073" s="6">
        <v>0.75</v>
      </c>
      <c r="N1073" s="6">
        <v>35.659999999999997</v>
      </c>
      <c r="O1073" s="57">
        <v>26.745000000000001</v>
      </c>
      <c r="P1073" s="52"/>
      <c r="Q1073" s="6">
        <v>0.75000000000000011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5.15</v>
      </c>
      <c r="AB1073" s="6">
        <v>3.8624999999999998</v>
      </c>
      <c r="AC1073" s="6">
        <v>0.74999999999999989</v>
      </c>
      <c r="AD1073" s="6">
        <v>-5.1500000000000057</v>
      </c>
      <c r="AE1073" s="6">
        <v>5.1500000000000057</v>
      </c>
    </row>
    <row r="1074" spans="2:31" x14ac:dyDescent="0.25">
      <c r="B1074" s="55"/>
      <c r="C1074" s="55"/>
      <c r="D1074" s="55"/>
      <c r="E1074" s="4" t="s">
        <v>1680</v>
      </c>
      <c r="F1074" s="4" t="s">
        <v>51</v>
      </c>
      <c r="G1074" s="4" t="s">
        <v>35</v>
      </c>
      <c r="H1074" s="54" t="s">
        <v>36</v>
      </c>
      <c r="I1074" s="52"/>
      <c r="J1074" s="57">
        <v>82.15</v>
      </c>
      <c r="K1074" s="52"/>
      <c r="L1074" s="6">
        <v>75.331549999999993</v>
      </c>
      <c r="M1074" s="6">
        <v>0.91699999999999982</v>
      </c>
      <c r="N1074" s="6">
        <v>77.13</v>
      </c>
      <c r="O1074" s="57">
        <v>70.728210000000004</v>
      </c>
      <c r="P1074" s="52"/>
      <c r="Q1074" s="6">
        <v>0.91700000000000015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5.0199999999999996</v>
      </c>
      <c r="AB1074" s="6">
        <v>4.6033400000000002</v>
      </c>
      <c r="AC1074" s="6">
        <v>0.91700000000000015</v>
      </c>
      <c r="AD1074" s="6">
        <v>-5.0200000000000102</v>
      </c>
      <c r="AE1074" s="6">
        <v>5.0200000000000102</v>
      </c>
    </row>
    <row r="1075" spans="2:31" x14ac:dyDescent="0.25">
      <c r="B1075" s="55"/>
      <c r="C1075" s="55"/>
      <c r="D1075" s="56"/>
      <c r="E1075" s="4" t="s">
        <v>1681</v>
      </c>
      <c r="F1075" s="4" t="s">
        <v>51</v>
      </c>
      <c r="G1075" s="4" t="s">
        <v>35</v>
      </c>
      <c r="H1075" s="54" t="s">
        <v>36</v>
      </c>
      <c r="I1075" s="52"/>
      <c r="J1075" s="57">
        <v>73.97</v>
      </c>
      <c r="K1075" s="52"/>
      <c r="L1075" s="6">
        <v>67.830489999999998</v>
      </c>
      <c r="M1075" s="6">
        <v>0.91699999999999993</v>
      </c>
      <c r="N1075" s="6">
        <v>68.83</v>
      </c>
      <c r="O1075" s="57">
        <v>63.117109999999997</v>
      </c>
      <c r="P1075" s="52"/>
      <c r="Q1075" s="6">
        <v>0.91699999999999993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5.14</v>
      </c>
      <c r="AB1075" s="6">
        <v>4.7133799999999999</v>
      </c>
      <c r="AC1075" s="6">
        <v>0.91700000000000004</v>
      </c>
      <c r="AD1075" s="6">
        <v>-5.14</v>
      </c>
      <c r="AE1075" s="6">
        <v>5.14</v>
      </c>
    </row>
    <row r="1076" spans="2:31" ht="20" x14ac:dyDescent="0.25">
      <c r="B1076" s="55"/>
      <c r="C1076" s="55"/>
      <c r="D1076" s="4" t="s">
        <v>1682</v>
      </c>
      <c r="E1076" s="4" t="s">
        <v>1683</v>
      </c>
      <c r="F1076" s="4" t="s">
        <v>51</v>
      </c>
      <c r="G1076" s="4" t="s">
        <v>35</v>
      </c>
      <c r="H1076" s="54" t="s">
        <v>36</v>
      </c>
      <c r="I1076" s="52"/>
      <c r="J1076" s="57">
        <v>43.93</v>
      </c>
      <c r="K1076" s="52"/>
      <c r="L1076" s="6">
        <v>40.283810000000003</v>
      </c>
      <c r="M1076" s="6">
        <v>0.91700000000000004</v>
      </c>
      <c r="N1076" s="6">
        <v>41.87</v>
      </c>
      <c r="O1076" s="57">
        <v>38.39479</v>
      </c>
      <c r="P1076" s="52"/>
      <c r="Q1076" s="6">
        <v>0.91700000000000004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2.06</v>
      </c>
      <c r="AB1076" s="6">
        <v>1.8890199999999999</v>
      </c>
      <c r="AC1076" s="6">
        <v>0.91699999999999993</v>
      </c>
      <c r="AD1076" s="6">
        <v>-2.0600000000000023</v>
      </c>
      <c r="AE1076" s="6">
        <v>2.0600000000000023</v>
      </c>
    </row>
    <row r="1077" spans="2:31" ht="20" x14ac:dyDescent="0.25">
      <c r="B1077" s="55"/>
      <c r="C1077" s="55"/>
      <c r="D1077" s="4" t="s">
        <v>1684</v>
      </c>
      <c r="E1077" s="4" t="s">
        <v>1490</v>
      </c>
      <c r="F1077" s="4" t="s">
        <v>51</v>
      </c>
      <c r="G1077" s="4" t="s">
        <v>35</v>
      </c>
      <c r="H1077" s="54" t="s">
        <v>36</v>
      </c>
      <c r="I1077" s="52"/>
      <c r="J1077" s="57">
        <v>34.04</v>
      </c>
      <c r="K1077" s="52"/>
      <c r="L1077" s="6">
        <v>31.214680000000001</v>
      </c>
      <c r="M1077" s="6">
        <v>0.91700000000000004</v>
      </c>
      <c r="N1077" s="6">
        <v>34.04</v>
      </c>
      <c r="O1077" s="57">
        <v>31.214680000000001</v>
      </c>
      <c r="P1077" s="52"/>
      <c r="Q1077" s="6">
        <v>0.91700000000000004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</row>
    <row r="1078" spans="2:31" ht="20" x14ac:dyDescent="0.25">
      <c r="B1078" s="55"/>
      <c r="C1078" s="55"/>
      <c r="D1078" s="4" t="s">
        <v>1685</v>
      </c>
      <c r="E1078" s="4" t="s">
        <v>1490</v>
      </c>
      <c r="F1078" s="4" t="s">
        <v>51</v>
      </c>
      <c r="G1078" s="4" t="s">
        <v>35</v>
      </c>
      <c r="H1078" s="54" t="s">
        <v>36</v>
      </c>
      <c r="I1078" s="52"/>
      <c r="J1078" s="57">
        <v>34.06</v>
      </c>
      <c r="K1078" s="52"/>
      <c r="L1078" s="6">
        <v>31.23302</v>
      </c>
      <c r="M1078" s="6">
        <v>0.91699999999999993</v>
      </c>
      <c r="N1078" s="6">
        <v>34.06</v>
      </c>
      <c r="O1078" s="57">
        <v>31.23302</v>
      </c>
      <c r="P1078" s="52"/>
      <c r="Q1078" s="6">
        <v>0.91699999999999993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</row>
    <row r="1079" spans="2:31" ht="20" x14ac:dyDescent="0.25">
      <c r="B1079" s="55"/>
      <c r="C1079" s="55"/>
      <c r="D1079" s="4" t="s">
        <v>1686</v>
      </c>
      <c r="E1079" s="4" t="s">
        <v>1621</v>
      </c>
      <c r="F1079" s="4" t="s">
        <v>51</v>
      </c>
      <c r="G1079" s="4" t="s">
        <v>35</v>
      </c>
      <c r="H1079" s="54" t="s">
        <v>48</v>
      </c>
      <c r="I1079" s="52"/>
      <c r="J1079" s="57">
        <v>36.58</v>
      </c>
      <c r="K1079" s="52"/>
      <c r="L1079" s="6">
        <v>27.434999999999999</v>
      </c>
      <c r="M1079" s="6">
        <v>0.75</v>
      </c>
      <c r="N1079" s="6">
        <v>36.15</v>
      </c>
      <c r="O1079" s="57">
        <v>27.112500000000001</v>
      </c>
      <c r="P1079" s="52"/>
      <c r="Q1079" s="6">
        <v>0.75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0.43</v>
      </c>
      <c r="AB1079" s="6">
        <v>0.32250000000000001</v>
      </c>
      <c r="AC1079" s="6">
        <v>0.75</v>
      </c>
      <c r="AD1079" s="6">
        <v>-0.42999999999999972</v>
      </c>
      <c r="AE1079" s="6">
        <v>0.42999999999999972</v>
      </c>
    </row>
    <row r="1080" spans="2:31" ht="20" x14ac:dyDescent="0.25">
      <c r="B1080" s="55"/>
      <c r="C1080" s="55"/>
      <c r="D1080" s="4" t="s">
        <v>1687</v>
      </c>
      <c r="E1080" s="4" t="s">
        <v>1688</v>
      </c>
      <c r="F1080" s="4" t="s">
        <v>51</v>
      </c>
      <c r="G1080" s="4" t="s">
        <v>35</v>
      </c>
      <c r="H1080" s="54" t="s">
        <v>41</v>
      </c>
      <c r="I1080" s="52"/>
      <c r="J1080" s="57">
        <v>33.75</v>
      </c>
      <c r="K1080" s="52"/>
      <c r="L1080" s="6">
        <v>25.3125</v>
      </c>
      <c r="M1080" s="6">
        <v>0.75</v>
      </c>
      <c r="N1080" s="6">
        <v>31.34</v>
      </c>
      <c r="O1080" s="57">
        <v>23.504999999999999</v>
      </c>
      <c r="P1080" s="52"/>
      <c r="Q1080" s="6">
        <v>0.75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2.41</v>
      </c>
      <c r="AB1080" s="6">
        <v>1.8075000000000001</v>
      </c>
      <c r="AC1080" s="6">
        <v>0.75</v>
      </c>
      <c r="AD1080" s="6">
        <v>-2.41</v>
      </c>
      <c r="AE1080" s="6">
        <v>2.41</v>
      </c>
    </row>
    <row r="1081" spans="2:31" ht="20" x14ac:dyDescent="0.25">
      <c r="B1081" s="55"/>
      <c r="C1081" s="56"/>
      <c r="D1081" s="4" t="s">
        <v>1689</v>
      </c>
      <c r="E1081" s="4" t="s">
        <v>1690</v>
      </c>
      <c r="F1081" s="4" t="s">
        <v>51</v>
      </c>
      <c r="G1081" s="4" t="s">
        <v>35</v>
      </c>
      <c r="H1081" s="54" t="s">
        <v>36</v>
      </c>
      <c r="I1081" s="52"/>
      <c r="J1081" s="57">
        <v>590.16999999999996</v>
      </c>
      <c r="K1081" s="52"/>
      <c r="L1081" s="6">
        <v>541.18588999999997</v>
      </c>
      <c r="M1081" s="6">
        <v>0.91700000000000004</v>
      </c>
      <c r="N1081" s="6">
        <v>561.4</v>
      </c>
      <c r="O1081" s="57">
        <v>514.80380000000002</v>
      </c>
      <c r="P1081" s="52"/>
      <c r="Q1081" s="6">
        <v>0.91700000000000004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28.77</v>
      </c>
      <c r="AB1081" s="6">
        <v>26.382090000000002</v>
      </c>
      <c r="AC1081" s="6">
        <v>0.91700000000000004</v>
      </c>
      <c r="AD1081" s="6">
        <v>-28.769999999999982</v>
      </c>
      <c r="AE1081" s="6">
        <v>28.769999999999982</v>
      </c>
    </row>
    <row r="1082" spans="2:31" x14ac:dyDescent="0.25">
      <c r="B1082" s="55"/>
      <c r="C1082" s="58">
        <v>46189</v>
      </c>
      <c r="D1082" s="4" t="s">
        <v>1691</v>
      </c>
      <c r="E1082" s="4" t="s">
        <v>1618</v>
      </c>
      <c r="F1082" s="4" t="s">
        <v>34</v>
      </c>
      <c r="G1082" s="4" t="s">
        <v>35</v>
      </c>
      <c r="H1082" s="54" t="s">
        <v>36</v>
      </c>
      <c r="I1082" s="52"/>
      <c r="J1082" s="57">
        <v>194.06</v>
      </c>
      <c r="K1082" s="52"/>
      <c r="L1082" s="6">
        <v>177.95302000000001</v>
      </c>
      <c r="M1082" s="6">
        <v>0.91700000000000004</v>
      </c>
      <c r="N1082" s="6">
        <v>193.8</v>
      </c>
      <c r="O1082" s="57">
        <v>177.71459999999999</v>
      </c>
      <c r="P1082" s="52"/>
      <c r="Q1082" s="6">
        <v>0.91699999999999993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0.26</v>
      </c>
      <c r="AB1082" s="6">
        <v>0.23841999999999999</v>
      </c>
      <c r="AC1082" s="6">
        <v>0.91699999999999993</v>
      </c>
      <c r="AD1082" s="6">
        <v>-0.25999999999999091</v>
      </c>
      <c r="AE1082" s="6">
        <v>0.25999999999999091</v>
      </c>
    </row>
    <row r="1083" spans="2:31" x14ac:dyDescent="0.25">
      <c r="B1083" s="55"/>
      <c r="C1083" s="55"/>
      <c r="D1083" s="54" t="s">
        <v>1692</v>
      </c>
      <c r="E1083" s="4" t="s">
        <v>1693</v>
      </c>
      <c r="F1083" s="4" t="s">
        <v>51</v>
      </c>
      <c r="G1083" s="4" t="s">
        <v>35</v>
      </c>
      <c r="H1083" s="54" t="s">
        <v>48</v>
      </c>
      <c r="I1083" s="52"/>
      <c r="J1083" s="57">
        <v>82.13</v>
      </c>
      <c r="K1083" s="52"/>
      <c r="L1083" s="6">
        <v>61.597499999999997</v>
      </c>
      <c r="M1083" s="6">
        <v>0.75</v>
      </c>
      <c r="N1083" s="6">
        <v>71.040000000000006</v>
      </c>
      <c r="O1083" s="57">
        <v>53.28</v>
      </c>
      <c r="P1083" s="52"/>
      <c r="Q1083" s="6">
        <v>0.75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11.09</v>
      </c>
      <c r="AB1083" s="6">
        <v>8.3175000000000008</v>
      </c>
      <c r="AC1083" s="6">
        <v>0.75000000000000011</v>
      </c>
      <c r="AD1083" s="6">
        <v>-11.089999999999989</v>
      </c>
      <c r="AE1083" s="6">
        <v>11.089999999999989</v>
      </c>
    </row>
    <row r="1084" spans="2:31" x14ac:dyDescent="0.25">
      <c r="B1084" s="55"/>
      <c r="C1084" s="55"/>
      <c r="D1084" s="55"/>
      <c r="E1084" s="4" t="s">
        <v>1694</v>
      </c>
      <c r="F1084" s="4" t="s">
        <v>51</v>
      </c>
      <c r="G1084" s="4" t="s">
        <v>35</v>
      </c>
      <c r="H1084" s="54" t="s">
        <v>41</v>
      </c>
      <c r="I1084" s="52"/>
      <c r="J1084" s="57">
        <v>34.44</v>
      </c>
      <c r="K1084" s="52"/>
      <c r="L1084" s="6">
        <v>25.83</v>
      </c>
      <c r="M1084" s="6">
        <v>0.75</v>
      </c>
      <c r="N1084" s="6">
        <v>30.29</v>
      </c>
      <c r="O1084" s="57">
        <v>22.717500000000001</v>
      </c>
      <c r="P1084" s="52"/>
      <c r="Q1084" s="6">
        <v>0.75000000000000011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4.1500000000000004</v>
      </c>
      <c r="AB1084" s="6">
        <v>3.1124999999999998</v>
      </c>
      <c r="AC1084" s="6">
        <v>0.74999999999999989</v>
      </c>
      <c r="AD1084" s="6">
        <v>-4.1499999999999986</v>
      </c>
      <c r="AE1084" s="6">
        <v>4.1499999999999986</v>
      </c>
    </row>
    <row r="1085" spans="2:31" x14ac:dyDescent="0.25">
      <c r="B1085" s="55"/>
      <c r="C1085" s="55"/>
      <c r="D1085" s="55"/>
      <c r="E1085" s="4" t="s">
        <v>1635</v>
      </c>
      <c r="F1085" s="4" t="s">
        <v>51</v>
      </c>
      <c r="G1085" s="4" t="s">
        <v>35</v>
      </c>
      <c r="H1085" s="54" t="s">
        <v>41</v>
      </c>
      <c r="I1085" s="52"/>
      <c r="J1085" s="57">
        <v>26.16</v>
      </c>
      <c r="K1085" s="52"/>
      <c r="L1085" s="6">
        <v>19.62</v>
      </c>
      <c r="M1085" s="6">
        <v>0.75</v>
      </c>
      <c r="N1085" s="6">
        <v>25.9</v>
      </c>
      <c r="O1085" s="57">
        <v>19.425000000000001</v>
      </c>
      <c r="P1085" s="52"/>
      <c r="Q1085" s="6">
        <v>0.75000000000000011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0.26</v>
      </c>
      <c r="AB1085" s="6">
        <v>0.19500000000000001</v>
      </c>
      <c r="AC1085" s="6">
        <v>0.75</v>
      </c>
      <c r="AD1085" s="6">
        <v>-0.26000000000000156</v>
      </c>
      <c r="AE1085" s="6">
        <v>0.26000000000000156</v>
      </c>
    </row>
    <row r="1086" spans="2:31" x14ac:dyDescent="0.25">
      <c r="B1086" s="55"/>
      <c r="C1086" s="55"/>
      <c r="D1086" s="55"/>
      <c r="E1086" s="4" t="s">
        <v>1695</v>
      </c>
      <c r="F1086" s="4" t="s">
        <v>51</v>
      </c>
      <c r="G1086" s="4" t="s">
        <v>35</v>
      </c>
      <c r="H1086" s="54" t="s">
        <v>41</v>
      </c>
      <c r="I1086" s="52"/>
      <c r="J1086" s="57">
        <v>28.78</v>
      </c>
      <c r="K1086" s="52"/>
      <c r="L1086" s="6">
        <v>21.585000000000001</v>
      </c>
      <c r="M1086" s="6">
        <v>0.75</v>
      </c>
      <c r="N1086" s="6">
        <v>26.06</v>
      </c>
      <c r="O1086" s="57">
        <v>19.545000000000002</v>
      </c>
      <c r="P1086" s="52"/>
      <c r="Q1086" s="6">
        <v>0.75000000000000011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2.72</v>
      </c>
      <c r="AB1086" s="6">
        <v>2.04</v>
      </c>
      <c r="AC1086" s="6">
        <v>0.75</v>
      </c>
      <c r="AD1086" s="6">
        <v>-2.7200000000000024</v>
      </c>
      <c r="AE1086" s="6">
        <v>2.7200000000000024</v>
      </c>
    </row>
    <row r="1087" spans="2:31" x14ac:dyDescent="0.25">
      <c r="B1087" s="55"/>
      <c r="C1087" s="55"/>
      <c r="D1087" s="55"/>
      <c r="E1087" s="4" t="s">
        <v>1696</v>
      </c>
      <c r="F1087" s="4" t="s">
        <v>51</v>
      </c>
      <c r="G1087" s="4" t="s">
        <v>35</v>
      </c>
      <c r="H1087" s="54" t="s">
        <v>48</v>
      </c>
      <c r="I1087" s="52"/>
      <c r="J1087" s="57">
        <v>28.02</v>
      </c>
      <c r="K1087" s="52"/>
      <c r="L1087" s="6">
        <v>21.015000000000001</v>
      </c>
      <c r="M1087" s="6">
        <v>0.75</v>
      </c>
      <c r="N1087" s="6">
        <v>25.17</v>
      </c>
      <c r="O1087" s="57">
        <v>18.877500000000001</v>
      </c>
      <c r="P1087" s="52"/>
      <c r="Q1087" s="6">
        <v>0.75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2.85</v>
      </c>
      <c r="AB1087" s="6">
        <v>2.1375000000000002</v>
      </c>
      <c r="AC1087" s="6">
        <v>0.75</v>
      </c>
      <c r="AD1087" s="6">
        <v>-2.8499999999999979</v>
      </c>
      <c r="AE1087" s="6">
        <v>2.8499999999999979</v>
      </c>
    </row>
    <row r="1088" spans="2:31" x14ac:dyDescent="0.25">
      <c r="B1088" s="55"/>
      <c r="C1088" s="55"/>
      <c r="D1088" s="56"/>
      <c r="E1088" s="4" t="s">
        <v>1697</v>
      </c>
      <c r="F1088" s="4" t="s">
        <v>51</v>
      </c>
      <c r="G1088" s="4" t="s">
        <v>35</v>
      </c>
      <c r="H1088" s="54" t="s">
        <v>48</v>
      </c>
      <c r="I1088" s="52"/>
      <c r="J1088" s="57">
        <v>21.65</v>
      </c>
      <c r="K1088" s="52"/>
      <c r="L1088" s="6">
        <v>16.237500000000001</v>
      </c>
      <c r="M1088" s="6">
        <v>0.75000000000000011</v>
      </c>
      <c r="N1088" s="6">
        <v>19.350000000000001</v>
      </c>
      <c r="O1088" s="57">
        <v>14.512499999999999</v>
      </c>
      <c r="P1088" s="52"/>
      <c r="Q1088" s="6">
        <v>0.74999999999999989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2.2999999999999998</v>
      </c>
      <c r="AB1088" s="6">
        <v>1.7250000000000001</v>
      </c>
      <c r="AC1088" s="6">
        <v>0.75000000000000011</v>
      </c>
      <c r="AD1088" s="6">
        <v>-2.2999999999999972</v>
      </c>
      <c r="AE1088" s="6">
        <v>2.2999999999999972</v>
      </c>
    </row>
    <row r="1089" spans="2:31" ht="20" x14ac:dyDescent="0.25">
      <c r="B1089" s="55"/>
      <c r="C1089" s="55"/>
      <c r="D1089" s="4" t="s">
        <v>1698</v>
      </c>
      <c r="E1089" s="4" t="s">
        <v>1699</v>
      </c>
      <c r="F1089" s="4" t="s">
        <v>51</v>
      </c>
      <c r="G1089" s="4" t="s">
        <v>35</v>
      </c>
      <c r="H1089" s="54" t="s">
        <v>41</v>
      </c>
      <c r="I1089" s="52"/>
      <c r="J1089" s="57">
        <v>9.2100000000000009</v>
      </c>
      <c r="K1089" s="52"/>
      <c r="L1089" s="6">
        <v>6.9074999999999998</v>
      </c>
      <c r="M1089" s="6">
        <v>0.74999999999999989</v>
      </c>
      <c r="N1089" s="6">
        <v>8.58</v>
      </c>
      <c r="O1089" s="57">
        <v>6.4349999999999996</v>
      </c>
      <c r="P1089" s="52"/>
      <c r="Q1089" s="6">
        <v>0.75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0.63</v>
      </c>
      <c r="AB1089" s="6">
        <v>0.47249999999999998</v>
      </c>
      <c r="AC1089" s="6">
        <v>0.75</v>
      </c>
      <c r="AD1089" s="6">
        <v>-0.63000000000000078</v>
      </c>
      <c r="AE1089" s="6">
        <v>0.63000000000000078</v>
      </c>
    </row>
    <row r="1090" spans="2:31" ht="20" x14ac:dyDescent="0.25">
      <c r="B1090" s="55"/>
      <c r="C1090" s="55"/>
      <c r="D1090" s="4" t="s">
        <v>1700</v>
      </c>
      <c r="E1090" s="4" t="s">
        <v>1672</v>
      </c>
      <c r="F1090" s="4" t="s">
        <v>51</v>
      </c>
      <c r="G1090" s="4" t="s">
        <v>35</v>
      </c>
      <c r="H1090" s="54" t="s">
        <v>41</v>
      </c>
      <c r="I1090" s="52"/>
      <c r="J1090" s="57">
        <v>474.04</v>
      </c>
      <c r="K1090" s="52"/>
      <c r="L1090" s="6">
        <v>355.53</v>
      </c>
      <c r="M1090" s="6">
        <v>0.74999999999999989</v>
      </c>
      <c r="N1090" s="6">
        <v>471.77</v>
      </c>
      <c r="O1090" s="57">
        <v>353.82749999999999</v>
      </c>
      <c r="P1090" s="52"/>
      <c r="Q1090" s="6">
        <v>0.75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2.27</v>
      </c>
      <c r="AB1090" s="6">
        <v>1.7024999999999999</v>
      </c>
      <c r="AC1090" s="6">
        <v>0.75</v>
      </c>
      <c r="AD1090" s="6">
        <v>-2.2700000000000387</v>
      </c>
      <c r="AE1090" s="6">
        <v>2.2700000000000387</v>
      </c>
    </row>
    <row r="1091" spans="2:31" ht="20" x14ac:dyDescent="0.25">
      <c r="B1091" s="55"/>
      <c r="C1091" s="55"/>
      <c r="D1091" s="4" t="s">
        <v>1701</v>
      </c>
      <c r="E1091" s="4" t="s">
        <v>1672</v>
      </c>
      <c r="F1091" s="4" t="s">
        <v>51</v>
      </c>
      <c r="G1091" s="4" t="s">
        <v>35</v>
      </c>
      <c r="H1091" s="54" t="s">
        <v>41</v>
      </c>
      <c r="I1091" s="52"/>
      <c r="J1091" s="57">
        <v>471.77</v>
      </c>
      <c r="K1091" s="52"/>
      <c r="L1091" s="6">
        <v>353.82749999999999</v>
      </c>
      <c r="M1091" s="6">
        <v>0.75</v>
      </c>
      <c r="N1091" s="6">
        <v>471.77</v>
      </c>
      <c r="O1091" s="57">
        <v>353.82749999999999</v>
      </c>
      <c r="P1091" s="52"/>
      <c r="Q1091" s="6">
        <v>0.75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</row>
    <row r="1092" spans="2:31" ht="20" x14ac:dyDescent="0.25">
      <c r="B1092" s="55"/>
      <c r="C1092" s="55"/>
      <c r="D1092" s="4" t="s">
        <v>1702</v>
      </c>
      <c r="E1092" s="4" t="s">
        <v>1675</v>
      </c>
      <c r="F1092" s="4" t="s">
        <v>51</v>
      </c>
      <c r="G1092" s="4" t="s">
        <v>35</v>
      </c>
      <c r="H1092" s="54" t="s">
        <v>41</v>
      </c>
      <c r="I1092" s="52"/>
      <c r="J1092" s="57">
        <v>21.05</v>
      </c>
      <c r="K1092" s="52"/>
      <c r="L1092" s="6">
        <v>15.7875</v>
      </c>
      <c r="M1092" s="6">
        <v>0.75</v>
      </c>
      <c r="N1092" s="6">
        <v>19.84</v>
      </c>
      <c r="O1092" s="57">
        <v>14.88</v>
      </c>
      <c r="P1092" s="52"/>
      <c r="Q1092" s="6">
        <v>0.75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1.21</v>
      </c>
      <c r="AB1092" s="6">
        <v>0.90749999999999997</v>
      </c>
      <c r="AC1092" s="6">
        <v>0.75</v>
      </c>
      <c r="AD1092" s="6">
        <v>-1.2100000000000009</v>
      </c>
      <c r="AE1092" s="6">
        <v>1.2100000000000009</v>
      </c>
    </row>
    <row r="1093" spans="2:31" ht="20" x14ac:dyDescent="0.25">
      <c r="B1093" s="55"/>
      <c r="C1093" s="55"/>
      <c r="D1093" s="4" t="s">
        <v>1703</v>
      </c>
      <c r="E1093" s="4" t="s">
        <v>1704</v>
      </c>
      <c r="F1093" s="4" t="s">
        <v>51</v>
      </c>
      <c r="G1093" s="4" t="s">
        <v>35</v>
      </c>
      <c r="H1093" s="54" t="s">
        <v>48</v>
      </c>
      <c r="I1093" s="52"/>
      <c r="J1093" s="57">
        <v>29.11</v>
      </c>
      <c r="K1093" s="52"/>
      <c r="L1093" s="6">
        <v>21.8325</v>
      </c>
      <c r="M1093" s="6">
        <v>0.75</v>
      </c>
      <c r="N1093" s="6">
        <v>25.25</v>
      </c>
      <c r="O1093" s="57">
        <v>18.9375</v>
      </c>
      <c r="P1093" s="52"/>
      <c r="Q1093" s="6">
        <v>0.75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3.86</v>
      </c>
      <c r="AB1093" s="6">
        <v>2.895</v>
      </c>
      <c r="AC1093" s="6">
        <v>0.75</v>
      </c>
      <c r="AD1093" s="6">
        <v>-3.8599999999999994</v>
      </c>
      <c r="AE1093" s="6">
        <v>3.8599999999999994</v>
      </c>
    </row>
    <row r="1094" spans="2:31" ht="20" x14ac:dyDescent="0.25">
      <c r="B1094" s="55"/>
      <c r="C1094" s="55"/>
      <c r="D1094" s="4" t="s">
        <v>1705</v>
      </c>
      <c r="E1094" s="4" t="s">
        <v>1513</v>
      </c>
      <c r="F1094" s="4" t="s">
        <v>51</v>
      </c>
      <c r="G1094" s="4" t="s">
        <v>35</v>
      </c>
      <c r="H1094" s="54" t="s">
        <v>36</v>
      </c>
      <c r="I1094" s="52"/>
      <c r="J1094" s="57">
        <v>37.08</v>
      </c>
      <c r="K1094" s="52"/>
      <c r="L1094" s="6">
        <v>34.002360000000003</v>
      </c>
      <c r="M1094" s="6">
        <v>0.91700000000000015</v>
      </c>
      <c r="N1094" s="6">
        <v>37.08</v>
      </c>
      <c r="O1094" s="57">
        <v>34.002360000000003</v>
      </c>
      <c r="P1094" s="52"/>
      <c r="Q1094" s="6">
        <v>0.91700000000000015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</row>
    <row r="1095" spans="2:31" ht="20" x14ac:dyDescent="0.25">
      <c r="B1095" s="55"/>
      <c r="C1095" s="55"/>
      <c r="D1095" s="4" t="s">
        <v>1706</v>
      </c>
      <c r="E1095" s="4" t="s">
        <v>1522</v>
      </c>
      <c r="F1095" s="4" t="s">
        <v>51</v>
      </c>
      <c r="G1095" s="4" t="s">
        <v>35</v>
      </c>
      <c r="H1095" s="54" t="s">
        <v>36</v>
      </c>
      <c r="I1095" s="52"/>
      <c r="J1095" s="57">
        <v>42.35</v>
      </c>
      <c r="K1095" s="52"/>
      <c r="L1095" s="6">
        <v>38.834949999999999</v>
      </c>
      <c r="M1095" s="6">
        <v>0.91699999999999993</v>
      </c>
      <c r="N1095" s="6">
        <v>41.36</v>
      </c>
      <c r="O1095" s="57">
        <v>37.927120000000002</v>
      </c>
      <c r="P1095" s="52"/>
      <c r="Q1095" s="6">
        <v>0.91700000000000004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0.99</v>
      </c>
      <c r="AB1095" s="6">
        <v>0.90783000000000003</v>
      </c>
      <c r="AC1095" s="6">
        <v>0.91700000000000004</v>
      </c>
      <c r="AD1095" s="6">
        <v>-0.99000000000000199</v>
      </c>
      <c r="AE1095" s="6">
        <v>0.99000000000000199</v>
      </c>
    </row>
    <row r="1096" spans="2:31" ht="20" x14ac:dyDescent="0.25">
      <c r="B1096" s="55"/>
      <c r="C1096" s="55"/>
      <c r="D1096" s="4" t="s">
        <v>1707</v>
      </c>
      <c r="E1096" s="4" t="s">
        <v>1708</v>
      </c>
      <c r="F1096" s="4" t="s">
        <v>51</v>
      </c>
      <c r="G1096" s="4" t="s">
        <v>35</v>
      </c>
      <c r="H1096" s="54" t="s">
        <v>36</v>
      </c>
      <c r="I1096" s="52"/>
      <c r="J1096" s="57">
        <v>55.13</v>
      </c>
      <c r="K1096" s="52"/>
      <c r="L1096" s="6">
        <v>50.554209999999998</v>
      </c>
      <c r="M1096" s="6">
        <v>0.91699999999999993</v>
      </c>
      <c r="N1096" s="6">
        <v>53.84</v>
      </c>
      <c r="O1096" s="57">
        <v>49.371279999999999</v>
      </c>
      <c r="P1096" s="52"/>
      <c r="Q1096" s="6">
        <v>0.91699999999999993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1.29</v>
      </c>
      <c r="AB1096" s="6">
        <v>1.18293</v>
      </c>
      <c r="AC1096" s="6">
        <v>0.91700000000000004</v>
      </c>
      <c r="AD1096" s="6">
        <v>-1.2899999999999991</v>
      </c>
      <c r="AE1096" s="6">
        <v>1.2899999999999991</v>
      </c>
    </row>
    <row r="1097" spans="2:31" ht="20" x14ac:dyDescent="0.25">
      <c r="B1097" s="55"/>
      <c r="C1097" s="55"/>
      <c r="D1097" s="4" t="s">
        <v>1709</v>
      </c>
      <c r="E1097" s="4" t="s">
        <v>1710</v>
      </c>
      <c r="F1097" s="4" t="s">
        <v>51</v>
      </c>
      <c r="G1097" s="4" t="s">
        <v>35</v>
      </c>
      <c r="H1097" s="54" t="s">
        <v>36</v>
      </c>
      <c r="I1097" s="52"/>
      <c r="J1097" s="57">
        <v>74.77</v>
      </c>
      <c r="K1097" s="52"/>
      <c r="L1097" s="6">
        <v>68.564089999999993</v>
      </c>
      <c r="M1097" s="6">
        <v>0.91699999999999993</v>
      </c>
      <c r="N1097" s="6">
        <v>68.77</v>
      </c>
      <c r="O1097" s="57">
        <v>63.062089999999998</v>
      </c>
      <c r="P1097" s="52"/>
      <c r="Q1097" s="6">
        <v>0.91700000000000004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6</v>
      </c>
      <c r="AB1097" s="6">
        <v>5.5019999999999998</v>
      </c>
      <c r="AC1097" s="6">
        <v>0.91699999999999993</v>
      </c>
      <c r="AD1097" s="6">
        <v>-6</v>
      </c>
      <c r="AE1097" s="6">
        <v>6</v>
      </c>
    </row>
    <row r="1098" spans="2:31" ht="20" x14ac:dyDescent="0.25">
      <c r="B1098" s="55"/>
      <c r="C1098" s="55"/>
      <c r="D1098" s="4" t="s">
        <v>1711</v>
      </c>
      <c r="E1098" s="4" t="s">
        <v>1674</v>
      </c>
      <c r="F1098" s="4" t="s">
        <v>51</v>
      </c>
      <c r="G1098" s="4" t="s">
        <v>35</v>
      </c>
      <c r="H1098" s="54" t="s">
        <v>41</v>
      </c>
      <c r="I1098" s="52"/>
      <c r="J1098" s="57">
        <v>21.08</v>
      </c>
      <c r="K1098" s="52"/>
      <c r="L1098" s="6">
        <v>15.81</v>
      </c>
      <c r="M1098" s="6">
        <v>0.75000000000000011</v>
      </c>
      <c r="N1098" s="6">
        <v>19.670000000000002</v>
      </c>
      <c r="O1098" s="57">
        <v>14.7525</v>
      </c>
      <c r="P1098" s="52"/>
      <c r="Q1098" s="6">
        <v>0.74999999999999989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1.41</v>
      </c>
      <c r="AB1098" s="6">
        <v>1.0575000000000001</v>
      </c>
      <c r="AC1098" s="6">
        <v>0.75000000000000011</v>
      </c>
      <c r="AD1098" s="6">
        <v>-1.4099999999999966</v>
      </c>
      <c r="AE1098" s="6">
        <v>1.4099999999999966</v>
      </c>
    </row>
    <row r="1099" spans="2:31" ht="20" x14ac:dyDescent="0.25">
      <c r="B1099" s="55"/>
      <c r="C1099" s="55"/>
      <c r="D1099" s="4" t="s">
        <v>1712</v>
      </c>
      <c r="E1099" s="4" t="s">
        <v>1513</v>
      </c>
      <c r="F1099" s="4" t="s">
        <v>51</v>
      </c>
      <c r="G1099" s="4" t="s">
        <v>35</v>
      </c>
      <c r="H1099" s="54" t="s">
        <v>36</v>
      </c>
      <c r="I1099" s="52"/>
      <c r="J1099" s="57">
        <v>37.08</v>
      </c>
      <c r="K1099" s="52"/>
      <c r="L1099" s="6">
        <v>34.002360000000003</v>
      </c>
      <c r="M1099" s="6">
        <v>0.91700000000000015</v>
      </c>
      <c r="N1099" s="6">
        <v>37.08</v>
      </c>
      <c r="O1099" s="57">
        <v>34.002360000000003</v>
      </c>
      <c r="P1099" s="52"/>
      <c r="Q1099" s="6">
        <v>0.91700000000000015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</row>
    <row r="1100" spans="2:31" x14ac:dyDescent="0.25">
      <c r="B1100" s="55"/>
      <c r="C1100" s="55"/>
      <c r="D1100" s="54" t="s">
        <v>1713</v>
      </c>
      <c r="E1100" s="4" t="s">
        <v>1714</v>
      </c>
      <c r="F1100" s="4" t="s">
        <v>51</v>
      </c>
      <c r="G1100" s="4" t="s">
        <v>35</v>
      </c>
      <c r="H1100" s="54" t="s">
        <v>36</v>
      </c>
      <c r="I1100" s="52"/>
      <c r="J1100" s="57">
        <v>98.21</v>
      </c>
      <c r="K1100" s="52"/>
      <c r="L1100" s="6">
        <v>90.058570000000003</v>
      </c>
      <c r="M1100" s="6">
        <v>0.91700000000000004</v>
      </c>
      <c r="N1100" s="6">
        <v>90.1</v>
      </c>
      <c r="O1100" s="57">
        <v>82.621700000000004</v>
      </c>
      <c r="P1100" s="52"/>
      <c r="Q1100" s="6">
        <v>0.91700000000000015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8.11</v>
      </c>
      <c r="AB1100" s="6">
        <v>7.4368699999999999</v>
      </c>
      <c r="AC1100" s="6">
        <v>0.91700000000000004</v>
      </c>
      <c r="AD1100" s="6">
        <v>-8.11</v>
      </c>
      <c r="AE1100" s="6">
        <v>8.11</v>
      </c>
    </row>
    <row r="1101" spans="2:31" x14ac:dyDescent="0.25">
      <c r="B1101" s="55"/>
      <c r="C1101" s="55"/>
      <c r="D1101" s="56"/>
      <c r="E1101" s="4" t="s">
        <v>1715</v>
      </c>
      <c r="F1101" s="4" t="s">
        <v>51</v>
      </c>
      <c r="G1101" s="4" t="s">
        <v>35</v>
      </c>
      <c r="H1101" s="54" t="s">
        <v>36</v>
      </c>
      <c r="I1101" s="52"/>
      <c r="J1101" s="57">
        <v>102.62</v>
      </c>
      <c r="K1101" s="52"/>
      <c r="L1101" s="6">
        <v>94.102540000000005</v>
      </c>
      <c r="M1101" s="6">
        <v>0.91700000000000004</v>
      </c>
      <c r="N1101" s="6">
        <v>102.62</v>
      </c>
      <c r="O1101" s="57">
        <v>94.102540000000005</v>
      </c>
      <c r="P1101" s="52"/>
      <c r="Q1101" s="6">
        <v>0.91700000000000004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</row>
    <row r="1102" spans="2:31" ht="20" x14ac:dyDescent="0.25">
      <c r="B1102" s="55"/>
      <c r="C1102" s="55"/>
      <c r="D1102" s="4" t="s">
        <v>1716</v>
      </c>
      <c r="E1102" s="4" t="s">
        <v>1717</v>
      </c>
      <c r="F1102" s="4" t="s">
        <v>51</v>
      </c>
      <c r="G1102" s="4" t="s">
        <v>35</v>
      </c>
      <c r="H1102" s="54" t="s">
        <v>41</v>
      </c>
      <c r="I1102" s="52"/>
      <c r="J1102" s="57">
        <v>21.32</v>
      </c>
      <c r="K1102" s="52"/>
      <c r="L1102" s="6">
        <v>15.99</v>
      </c>
      <c r="M1102" s="6">
        <v>0.75</v>
      </c>
      <c r="N1102" s="6">
        <v>19.29</v>
      </c>
      <c r="O1102" s="57">
        <v>14.467499999999999</v>
      </c>
      <c r="P1102" s="52"/>
      <c r="Q1102" s="6">
        <v>0.75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2.0299999999999998</v>
      </c>
      <c r="AB1102" s="6">
        <v>1.5225</v>
      </c>
      <c r="AC1102" s="6">
        <v>0.75</v>
      </c>
      <c r="AD1102" s="6">
        <v>-2.0300000000000011</v>
      </c>
      <c r="AE1102" s="6">
        <v>2.0300000000000011</v>
      </c>
    </row>
    <row r="1103" spans="2:31" ht="20" x14ac:dyDescent="0.25">
      <c r="B1103" s="55"/>
      <c r="C1103" s="55"/>
      <c r="D1103" s="4" t="s">
        <v>1718</v>
      </c>
      <c r="E1103" s="4" t="s">
        <v>1719</v>
      </c>
      <c r="F1103" s="4" t="s">
        <v>51</v>
      </c>
      <c r="G1103" s="4" t="s">
        <v>35</v>
      </c>
      <c r="H1103" s="54" t="s">
        <v>36</v>
      </c>
      <c r="I1103" s="52"/>
      <c r="J1103" s="57">
        <v>140.81</v>
      </c>
      <c r="K1103" s="52"/>
      <c r="L1103" s="6">
        <v>129.12277</v>
      </c>
      <c r="M1103" s="6">
        <v>0.91700000000000004</v>
      </c>
      <c r="N1103" s="6">
        <v>140.81</v>
      </c>
      <c r="O1103" s="57">
        <v>129.12277</v>
      </c>
      <c r="P1103" s="52"/>
      <c r="Q1103" s="6">
        <v>0.91700000000000004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</row>
    <row r="1104" spans="2:31" ht="20" x14ac:dyDescent="0.25">
      <c r="B1104" s="55"/>
      <c r="C1104" s="55"/>
      <c r="D1104" s="4" t="s">
        <v>1720</v>
      </c>
      <c r="E1104" s="4" t="s">
        <v>1721</v>
      </c>
      <c r="F1104" s="4" t="s">
        <v>51</v>
      </c>
      <c r="G1104" s="4" t="s">
        <v>35</v>
      </c>
      <c r="H1104" s="54" t="s">
        <v>41</v>
      </c>
      <c r="I1104" s="52"/>
      <c r="J1104" s="57">
        <v>23.43</v>
      </c>
      <c r="K1104" s="52"/>
      <c r="L1104" s="6">
        <v>17.572500000000002</v>
      </c>
      <c r="M1104" s="6">
        <v>0.75000000000000011</v>
      </c>
      <c r="N1104" s="6">
        <v>21.55</v>
      </c>
      <c r="O1104" s="57">
        <v>16.162500000000001</v>
      </c>
      <c r="P1104" s="52"/>
      <c r="Q1104" s="6">
        <v>0.75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1.88</v>
      </c>
      <c r="AB1104" s="6">
        <v>1.41</v>
      </c>
      <c r="AC1104" s="6">
        <v>0.75</v>
      </c>
      <c r="AD1104" s="6">
        <v>-1.879999999999999</v>
      </c>
      <c r="AE1104" s="6">
        <v>1.879999999999999</v>
      </c>
    </row>
    <row r="1105" spans="2:31" x14ac:dyDescent="0.25">
      <c r="B1105" s="55"/>
      <c r="C1105" s="55"/>
      <c r="D1105" s="54" t="s">
        <v>1722</v>
      </c>
      <c r="E1105" s="4" t="s">
        <v>1670</v>
      </c>
      <c r="F1105" s="4" t="s">
        <v>51</v>
      </c>
      <c r="G1105" s="4" t="s">
        <v>35</v>
      </c>
      <c r="H1105" s="54" t="s">
        <v>36</v>
      </c>
      <c r="I1105" s="52"/>
      <c r="J1105" s="57">
        <v>20.95</v>
      </c>
      <c r="K1105" s="52"/>
      <c r="L1105" s="6">
        <v>19.21115</v>
      </c>
      <c r="M1105" s="6">
        <v>0.91700000000000004</v>
      </c>
      <c r="N1105" s="6">
        <v>20.77</v>
      </c>
      <c r="O1105" s="57">
        <v>19.04609</v>
      </c>
      <c r="P1105" s="52"/>
      <c r="Q1105" s="6">
        <v>0.91700000000000004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0.18</v>
      </c>
      <c r="AB1105" s="6">
        <v>0.16506000000000001</v>
      </c>
      <c r="AC1105" s="6">
        <v>0.91700000000000015</v>
      </c>
      <c r="AD1105" s="6">
        <v>-0.17999999999999972</v>
      </c>
      <c r="AE1105" s="6">
        <v>0.17999999999999972</v>
      </c>
    </row>
    <row r="1106" spans="2:31" x14ac:dyDescent="0.25">
      <c r="B1106" s="55"/>
      <c r="C1106" s="55"/>
      <c r="D1106" s="56"/>
      <c r="E1106" s="4" t="s">
        <v>1723</v>
      </c>
      <c r="F1106" s="4" t="s">
        <v>51</v>
      </c>
      <c r="G1106" s="4" t="s">
        <v>35</v>
      </c>
      <c r="H1106" s="54" t="s">
        <v>41</v>
      </c>
      <c r="I1106" s="52"/>
      <c r="J1106" s="57">
        <v>28.91</v>
      </c>
      <c r="K1106" s="52"/>
      <c r="L1106" s="6">
        <v>21.682500000000001</v>
      </c>
      <c r="M1106" s="6">
        <v>0.75</v>
      </c>
      <c r="N1106" s="6">
        <v>28.75</v>
      </c>
      <c r="O1106" s="57">
        <v>21.5625</v>
      </c>
      <c r="P1106" s="52"/>
      <c r="Q1106" s="6">
        <v>0.75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0.16</v>
      </c>
      <c r="AB1106" s="6">
        <v>0.12</v>
      </c>
      <c r="AC1106" s="6">
        <v>0.75</v>
      </c>
      <c r="AD1106" s="6">
        <v>-0.16000000000000014</v>
      </c>
      <c r="AE1106" s="6">
        <v>0.16000000000000014</v>
      </c>
    </row>
    <row r="1107" spans="2:31" ht="20" x14ac:dyDescent="0.25">
      <c r="B1107" s="55"/>
      <c r="C1107" s="55"/>
      <c r="D1107" s="4" t="s">
        <v>1724</v>
      </c>
      <c r="E1107" s="4" t="s">
        <v>1725</v>
      </c>
      <c r="F1107" s="4" t="s">
        <v>51</v>
      </c>
      <c r="G1107" s="4" t="s">
        <v>35</v>
      </c>
      <c r="H1107" s="54" t="s">
        <v>36</v>
      </c>
      <c r="I1107" s="52"/>
      <c r="J1107" s="57">
        <v>38.14</v>
      </c>
      <c r="K1107" s="52"/>
      <c r="L1107" s="6">
        <v>34.974379999999996</v>
      </c>
      <c r="M1107" s="6">
        <v>0.91699999999999993</v>
      </c>
      <c r="N1107" s="6">
        <v>36.409999999999997</v>
      </c>
      <c r="O1107" s="57">
        <v>33.387970000000003</v>
      </c>
      <c r="P1107" s="52"/>
      <c r="Q1107" s="6">
        <v>0.91700000000000015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1.73</v>
      </c>
      <c r="AB1107" s="6">
        <v>1.5864100000000001</v>
      </c>
      <c r="AC1107" s="6">
        <v>0.91700000000000004</v>
      </c>
      <c r="AD1107" s="6">
        <v>-1.730000000000004</v>
      </c>
      <c r="AE1107" s="6">
        <v>1.730000000000004</v>
      </c>
    </row>
    <row r="1108" spans="2:31" x14ac:dyDescent="0.25">
      <c r="B1108" s="55"/>
      <c r="C1108" s="55"/>
      <c r="D1108" s="54" t="s">
        <v>1726</v>
      </c>
      <c r="E1108" s="4" t="s">
        <v>1727</v>
      </c>
      <c r="F1108" s="4" t="s">
        <v>51</v>
      </c>
      <c r="G1108" s="4" t="s">
        <v>35</v>
      </c>
      <c r="H1108" s="54" t="s">
        <v>41</v>
      </c>
      <c r="I1108" s="52"/>
      <c r="J1108" s="57">
        <v>34.5</v>
      </c>
      <c r="K1108" s="52"/>
      <c r="L1108" s="6">
        <v>25.875</v>
      </c>
      <c r="M1108" s="6">
        <v>0.75</v>
      </c>
      <c r="N1108" s="6">
        <v>31.74</v>
      </c>
      <c r="O1108" s="57">
        <v>23.805</v>
      </c>
      <c r="P1108" s="52"/>
      <c r="Q1108" s="6">
        <v>0.75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2.76</v>
      </c>
      <c r="AB1108" s="6">
        <v>2.0699999999999998</v>
      </c>
      <c r="AC1108" s="6">
        <v>0.75</v>
      </c>
      <c r="AD1108" s="6">
        <v>-2.7600000000000016</v>
      </c>
      <c r="AE1108" s="6">
        <v>2.7600000000000016</v>
      </c>
    </row>
    <row r="1109" spans="2:31" x14ac:dyDescent="0.25">
      <c r="B1109" s="55"/>
      <c r="C1109" s="55"/>
      <c r="D1109" s="56"/>
      <c r="E1109" s="4" t="s">
        <v>1728</v>
      </c>
      <c r="F1109" s="4" t="s">
        <v>51</v>
      </c>
      <c r="G1109" s="4" t="s">
        <v>35</v>
      </c>
      <c r="H1109" s="54" t="s">
        <v>36</v>
      </c>
      <c r="I1109" s="52"/>
      <c r="J1109" s="57">
        <v>100.12</v>
      </c>
      <c r="K1109" s="52"/>
      <c r="L1109" s="6">
        <v>91.810040000000001</v>
      </c>
      <c r="M1109" s="6">
        <v>0.91699999999999993</v>
      </c>
      <c r="N1109" s="6">
        <v>100.12</v>
      </c>
      <c r="O1109" s="57">
        <v>91.810040000000001</v>
      </c>
      <c r="P1109" s="52"/>
      <c r="Q1109" s="6">
        <v>0.91699999999999993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</row>
    <row r="1110" spans="2:31" x14ac:dyDescent="0.25">
      <c r="B1110" s="55"/>
      <c r="C1110" s="55"/>
      <c r="D1110" s="54" t="s">
        <v>1729</v>
      </c>
      <c r="E1110" s="4" t="s">
        <v>1730</v>
      </c>
      <c r="F1110" s="4" t="s">
        <v>51</v>
      </c>
      <c r="G1110" s="4" t="s">
        <v>35</v>
      </c>
      <c r="H1110" s="54" t="s">
        <v>36</v>
      </c>
      <c r="I1110" s="52"/>
      <c r="J1110" s="57">
        <v>45.67</v>
      </c>
      <c r="K1110" s="52"/>
      <c r="L1110" s="6">
        <v>41.879390000000001</v>
      </c>
      <c r="M1110" s="6">
        <v>0.91700000000000004</v>
      </c>
      <c r="N1110" s="6">
        <v>43.19</v>
      </c>
      <c r="O1110" s="57">
        <v>39.605229999999999</v>
      </c>
      <c r="P1110" s="52"/>
      <c r="Q1110" s="6">
        <v>0.91700000000000004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2.48</v>
      </c>
      <c r="AB1110" s="6">
        <v>2.2741600000000002</v>
      </c>
      <c r="AC1110" s="6">
        <v>0.91700000000000004</v>
      </c>
      <c r="AD1110" s="6">
        <v>-2.480000000000004</v>
      </c>
      <c r="AE1110" s="6">
        <v>2.480000000000004</v>
      </c>
    </row>
    <row r="1111" spans="2:31" x14ac:dyDescent="0.25">
      <c r="B1111" s="55"/>
      <c r="C1111" s="55"/>
      <c r="D1111" s="56"/>
      <c r="E1111" s="4" t="s">
        <v>1731</v>
      </c>
      <c r="F1111" s="4" t="s">
        <v>51</v>
      </c>
      <c r="G1111" s="4" t="s">
        <v>35</v>
      </c>
      <c r="H1111" s="54" t="s">
        <v>36</v>
      </c>
      <c r="I1111" s="52"/>
      <c r="J1111" s="57">
        <v>52.78</v>
      </c>
      <c r="K1111" s="52"/>
      <c r="L1111" s="6">
        <v>48.399259999999998</v>
      </c>
      <c r="M1111" s="6">
        <v>0.91699999999999993</v>
      </c>
      <c r="N1111" s="6">
        <v>50.12</v>
      </c>
      <c r="O1111" s="57">
        <v>45.960039999999999</v>
      </c>
      <c r="P1111" s="52"/>
      <c r="Q1111" s="6">
        <v>0.91700000000000004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2.66</v>
      </c>
      <c r="AB1111" s="6">
        <v>2.4392200000000002</v>
      </c>
      <c r="AC1111" s="6">
        <v>0.91700000000000004</v>
      </c>
      <c r="AD1111" s="6">
        <v>-2.6600000000000037</v>
      </c>
      <c r="AE1111" s="6">
        <v>2.6600000000000037</v>
      </c>
    </row>
    <row r="1112" spans="2:31" x14ac:dyDescent="0.25">
      <c r="B1112" s="55"/>
      <c r="C1112" s="55"/>
      <c r="D1112" s="54" t="s">
        <v>1732</v>
      </c>
      <c r="E1112" s="4" t="s">
        <v>1654</v>
      </c>
      <c r="F1112" s="4" t="s">
        <v>51</v>
      </c>
      <c r="G1112" s="4" t="s">
        <v>35</v>
      </c>
      <c r="H1112" s="54" t="s">
        <v>36</v>
      </c>
      <c r="I1112" s="52"/>
      <c r="J1112" s="57">
        <v>16.600000000000001</v>
      </c>
      <c r="K1112" s="52"/>
      <c r="L1112" s="6">
        <v>15.222200000000001</v>
      </c>
      <c r="M1112" s="6">
        <v>0.91699999999999993</v>
      </c>
      <c r="N1112" s="6">
        <v>16.52</v>
      </c>
      <c r="O1112" s="57">
        <v>15.14884</v>
      </c>
      <c r="P1112" s="52"/>
      <c r="Q1112" s="6">
        <v>0.91700000000000004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0.08</v>
      </c>
      <c r="AB1112" s="6">
        <v>7.3359999999999995E-2</v>
      </c>
      <c r="AC1112" s="6">
        <v>0.91699999999999993</v>
      </c>
      <c r="AD1112" s="6">
        <v>-8.0000000000001847E-2</v>
      </c>
      <c r="AE1112" s="6">
        <v>8.0000000000001847E-2</v>
      </c>
    </row>
    <row r="1113" spans="2:31" x14ac:dyDescent="0.25">
      <c r="B1113" s="55"/>
      <c r="C1113" s="55"/>
      <c r="D1113" s="56"/>
      <c r="E1113" s="4" t="s">
        <v>1733</v>
      </c>
      <c r="F1113" s="4" t="s">
        <v>51</v>
      </c>
      <c r="G1113" s="4" t="s">
        <v>35</v>
      </c>
      <c r="H1113" s="54" t="s">
        <v>36</v>
      </c>
      <c r="I1113" s="52"/>
      <c r="J1113" s="57">
        <v>35.04</v>
      </c>
      <c r="K1113" s="52"/>
      <c r="L1113" s="6">
        <v>32.131680000000003</v>
      </c>
      <c r="M1113" s="6">
        <v>0.91700000000000015</v>
      </c>
      <c r="N1113" s="6">
        <v>34.700000000000003</v>
      </c>
      <c r="O1113" s="57">
        <v>31.819900000000001</v>
      </c>
      <c r="P1113" s="52"/>
      <c r="Q1113" s="6">
        <v>0.91699999999999993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0.34</v>
      </c>
      <c r="AB1113" s="6">
        <v>0.31178</v>
      </c>
      <c r="AC1113" s="6">
        <v>0.91699999999999993</v>
      </c>
      <c r="AD1113" s="6">
        <v>-0.33999999999999631</v>
      </c>
      <c r="AE1113" s="6">
        <v>0.33999999999999631</v>
      </c>
    </row>
    <row r="1114" spans="2:31" ht="20" x14ac:dyDescent="0.25">
      <c r="B1114" s="55"/>
      <c r="C1114" s="55"/>
      <c r="D1114" s="4" t="s">
        <v>1734</v>
      </c>
      <c r="E1114" s="4" t="s">
        <v>1735</v>
      </c>
      <c r="F1114" s="4" t="s">
        <v>51</v>
      </c>
      <c r="G1114" s="4" t="s">
        <v>35</v>
      </c>
      <c r="H1114" s="54" t="s">
        <v>36</v>
      </c>
      <c r="I1114" s="52"/>
      <c r="J1114" s="57">
        <v>68.180000000000007</v>
      </c>
      <c r="K1114" s="52"/>
      <c r="L1114" s="6">
        <v>62.521059999999999</v>
      </c>
      <c r="M1114" s="6">
        <v>0.91699999999999993</v>
      </c>
      <c r="N1114" s="6">
        <v>65.38</v>
      </c>
      <c r="O1114" s="57">
        <v>59.95346</v>
      </c>
      <c r="P1114" s="52"/>
      <c r="Q1114" s="6">
        <v>0.91700000000000004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2.8</v>
      </c>
      <c r="AB1114" s="6">
        <v>2.5676000000000001</v>
      </c>
      <c r="AC1114" s="6">
        <v>0.91700000000000015</v>
      </c>
      <c r="AD1114" s="6">
        <v>-2.8000000000000114</v>
      </c>
      <c r="AE1114" s="6">
        <v>2.8000000000000114</v>
      </c>
    </row>
    <row r="1115" spans="2:31" ht="20" x14ac:dyDescent="0.25">
      <c r="B1115" s="55"/>
      <c r="C1115" s="55"/>
      <c r="D1115" s="4" t="s">
        <v>1736</v>
      </c>
      <c r="E1115" s="4" t="s">
        <v>1737</v>
      </c>
      <c r="F1115" s="4" t="s">
        <v>51</v>
      </c>
      <c r="G1115" s="4" t="s">
        <v>35</v>
      </c>
      <c r="H1115" s="54" t="s">
        <v>41</v>
      </c>
      <c r="I1115" s="52"/>
      <c r="J1115" s="57">
        <v>31.82</v>
      </c>
      <c r="K1115" s="52"/>
      <c r="L1115" s="6">
        <v>23.864999999999998</v>
      </c>
      <c r="M1115" s="6">
        <v>0.74999999999999989</v>
      </c>
      <c r="N1115" s="6">
        <v>28.07</v>
      </c>
      <c r="O1115" s="57">
        <v>21.052499999999998</v>
      </c>
      <c r="P1115" s="52"/>
      <c r="Q1115" s="6">
        <v>0.74999999999999989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3.75</v>
      </c>
      <c r="AB1115" s="6">
        <v>2.8125</v>
      </c>
      <c r="AC1115" s="6">
        <v>0.75</v>
      </c>
      <c r="AD1115" s="6">
        <v>-3.75</v>
      </c>
      <c r="AE1115" s="6">
        <v>3.75</v>
      </c>
    </row>
    <row r="1116" spans="2:31" ht="20" x14ac:dyDescent="0.25">
      <c r="B1116" s="55"/>
      <c r="C1116" s="55"/>
      <c r="D1116" s="4" t="s">
        <v>1738</v>
      </c>
      <c r="E1116" s="4" t="s">
        <v>1637</v>
      </c>
      <c r="F1116" s="4" t="s">
        <v>51</v>
      </c>
      <c r="G1116" s="4" t="s">
        <v>35</v>
      </c>
      <c r="H1116" s="54" t="s">
        <v>48</v>
      </c>
      <c r="I1116" s="52"/>
      <c r="J1116" s="57">
        <v>17.260000000000002</v>
      </c>
      <c r="K1116" s="52"/>
      <c r="L1116" s="6">
        <v>12.945</v>
      </c>
      <c r="M1116" s="6">
        <v>0.75</v>
      </c>
      <c r="N1116" s="6">
        <v>16.95</v>
      </c>
      <c r="O1116" s="57">
        <v>12.7125</v>
      </c>
      <c r="P1116" s="52"/>
      <c r="Q1116" s="6">
        <v>0.75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0.31</v>
      </c>
      <c r="AB1116" s="6">
        <v>0.23250000000000001</v>
      </c>
      <c r="AC1116" s="6">
        <v>0.75</v>
      </c>
      <c r="AD1116" s="6">
        <v>-0.31000000000000227</v>
      </c>
      <c r="AE1116" s="6">
        <v>0.31000000000000227</v>
      </c>
    </row>
    <row r="1117" spans="2:31" ht="20" x14ac:dyDescent="0.25">
      <c r="B1117" s="55"/>
      <c r="C1117" s="55"/>
      <c r="D1117" s="4" t="s">
        <v>1739</v>
      </c>
      <c r="E1117" s="4" t="s">
        <v>1543</v>
      </c>
      <c r="F1117" s="4" t="s">
        <v>51</v>
      </c>
      <c r="G1117" s="4" t="s">
        <v>35</v>
      </c>
      <c r="H1117" s="54" t="s">
        <v>36</v>
      </c>
      <c r="I1117" s="52"/>
      <c r="J1117" s="57">
        <v>44.53</v>
      </c>
      <c r="K1117" s="52"/>
      <c r="L1117" s="6">
        <v>40.834009999999999</v>
      </c>
      <c r="M1117" s="6">
        <v>0.91699999999999993</v>
      </c>
      <c r="N1117" s="6">
        <v>43.63</v>
      </c>
      <c r="O1117" s="57">
        <v>40.008710000000001</v>
      </c>
      <c r="P1117" s="52"/>
      <c r="Q1117" s="6">
        <v>0.91699999999999993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0.9</v>
      </c>
      <c r="AB1117" s="6">
        <v>0.82530000000000003</v>
      </c>
      <c r="AC1117" s="6">
        <v>0.91700000000000004</v>
      </c>
      <c r="AD1117" s="6">
        <v>-0.89999999999999858</v>
      </c>
      <c r="AE1117" s="6">
        <v>0.89999999999999858</v>
      </c>
    </row>
    <row r="1118" spans="2:31" ht="20" x14ac:dyDescent="0.25">
      <c r="B1118" s="55"/>
      <c r="C1118" s="55"/>
      <c r="D1118" s="4" t="s">
        <v>1740</v>
      </c>
      <c r="E1118" s="4" t="s">
        <v>1741</v>
      </c>
      <c r="F1118" s="4" t="s">
        <v>51</v>
      </c>
      <c r="G1118" s="4" t="s">
        <v>35</v>
      </c>
      <c r="H1118" s="54" t="s">
        <v>41</v>
      </c>
      <c r="I1118" s="52"/>
      <c r="J1118" s="57">
        <v>28.52</v>
      </c>
      <c r="K1118" s="52"/>
      <c r="L1118" s="6">
        <v>21.39</v>
      </c>
      <c r="M1118" s="6">
        <v>0.75</v>
      </c>
      <c r="N1118" s="6">
        <v>26.25</v>
      </c>
      <c r="O1118" s="57">
        <v>19.6875</v>
      </c>
      <c r="P1118" s="52"/>
      <c r="Q1118" s="6">
        <v>0.75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2.27</v>
      </c>
      <c r="AB1118" s="6">
        <v>1.7024999999999999</v>
      </c>
      <c r="AC1118" s="6">
        <v>0.75</v>
      </c>
      <c r="AD1118" s="6">
        <v>-2.2699999999999996</v>
      </c>
      <c r="AE1118" s="6">
        <v>2.2699999999999996</v>
      </c>
    </row>
    <row r="1119" spans="2:31" x14ac:dyDescent="0.25">
      <c r="B1119" s="55"/>
      <c r="C1119" s="55"/>
      <c r="D1119" s="54" t="s">
        <v>1742</v>
      </c>
      <c r="E1119" s="4" t="s">
        <v>1743</v>
      </c>
      <c r="F1119" s="4" t="s">
        <v>51</v>
      </c>
      <c r="G1119" s="4" t="s">
        <v>35</v>
      </c>
      <c r="H1119" s="54" t="s">
        <v>36</v>
      </c>
      <c r="I1119" s="52"/>
      <c r="J1119" s="57">
        <v>115.16</v>
      </c>
      <c r="K1119" s="52"/>
      <c r="L1119" s="6">
        <v>105.60172</v>
      </c>
      <c r="M1119" s="6">
        <v>0.91700000000000004</v>
      </c>
      <c r="N1119" s="6">
        <v>108.68</v>
      </c>
      <c r="O1119" s="57">
        <v>99.659559999999999</v>
      </c>
      <c r="P1119" s="52"/>
      <c r="Q1119" s="6">
        <v>0.91699999999999993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6.48</v>
      </c>
      <c r="AB1119" s="6">
        <v>5.9421600000000003</v>
      </c>
      <c r="AC1119" s="6">
        <v>0.91700000000000004</v>
      </c>
      <c r="AD1119" s="6">
        <v>-6.4799999999999898</v>
      </c>
      <c r="AE1119" s="6">
        <v>6.4799999999999898</v>
      </c>
    </row>
    <row r="1120" spans="2:31" x14ac:dyDescent="0.25">
      <c r="B1120" s="55"/>
      <c r="C1120" s="55"/>
      <c r="D1120" s="56"/>
      <c r="E1120" s="4" t="s">
        <v>1744</v>
      </c>
      <c r="F1120" s="4" t="s">
        <v>51</v>
      </c>
      <c r="G1120" s="4" t="s">
        <v>35</v>
      </c>
      <c r="H1120" s="54" t="s">
        <v>36</v>
      </c>
      <c r="I1120" s="52"/>
      <c r="J1120" s="57">
        <v>32.82</v>
      </c>
      <c r="K1120" s="52"/>
      <c r="L1120" s="6">
        <v>30.095939999999999</v>
      </c>
      <c r="M1120" s="6">
        <v>0.91699999999999993</v>
      </c>
      <c r="N1120" s="6">
        <v>30.71</v>
      </c>
      <c r="O1120" s="57">
        <v>28.161069999999999</v>
      </c>
      <c r="P1120" s="52"/>
      <c r="Q1120" s="6">
        <v>0.91699999999999993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2.11</v>
      </c>
      <c r="AB1120" s="6">
        <v>1.9348700000000001</v>
      </c>
      <c r="AC1120" s="6">
        <v>0.91700000000000015</v>
      </c>
      <c r="AD1120" s="6">
        <v>-2.1099999999999994</v>
      </c>
      <c r="AE1120" s="6">
        <v>2.1099999999999994</v>
      </c>
    </row>
    <row r="1121" spans="2:31" ht="20" x14ac:dyDescent="0.25">
      <c r="B1121" s="55"/>
      <c r="C1121" s="55"/>
      <c r="D1121" s="4" t="s">
        <v>1745</v>
      </c>
      <c r="E1121" s="4" t="s">
        <v>1746</v>
      </c>
      <c r="F1121" s="4" t="s">
        <v>51</v>
      </c>
      <c r="G1121" s="4" t="s">
        <v>35</v>
      </c>
      <c r="H1121" s="54" t="s">
        <v>36</v>
      </c>
      <c r="I1121" s="52"/>
      <c r="J1121" s="57">
        <v>27.58</v>
      </c>
      <c r="K1121" s="52"/>
      <c r="L1121" s="6">
        <v>25.290859999999999</v>
      </c>
      <c r="M1121" s="6">
        <v>0.91700000000000004</v>
      </c>
      <c r="N1121" s="6">
        <v>25.12</v>
      </c>
      <c r="O1121" s="57">
        <v>23.035039999999999</v>
      </c>
      <c r="P1121" s="52"/>
      <c r="Q1121" s="6">
        <v>0.91699999999999993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2.46</v>
      </c>
      <c r="AB1121" s="6">
        <v>2.2558199999999999</v>
      </c>
      <c r="AC1121" s="6">
        <v>0.91700000000000004</v>
      </c>
      <c r="AD1121" s="6">
        <v>-2.4599999999999973</v>
      </c>
      <c r="AE1121" s="6">
        <v>2.4599999999999973</v>
      </c>
    </row>
    <row r="1122" spans="2:31" ht="20" x14ac:dyDescent="0.25">
      <c r="B1122" s="55"/>
      <c r="C1122" s="55"/>
      <c r="D1122" s="4" t="s">
        <v>1747</v>
      </c>
      <c r="E1122" s="4" t="s">
        <v>1748</v>
      </c>
      <c r="F1122" s="4" t="s">
        <v>51</v>
      </c>
      <c r="G1122" s="4" t="s">
        <v>35</v>
      </c>
      <c r="H1122" s="54" t="s">
        <v>36</v>
      </c>
      <c r="I1122" s="52"/>
      <c r="J1122" s="57">
        <v>463.41</v>
      </c>
      <c r="K1122" s="52"/>
      <c r="L1122" s="6">
        <v>424.94697000000002</v>
      </c>
      <c r="M1122" s="6">
        <v>0.91700000000000004</v>
      </c>
      <c r="N1122" s="6">
        <v>434.86</v>
      </c>
      <c r="O1122" s="57">
        <v>398.76661999999999</v>
      </c>
      <c r="P1122" s="52"/>
      <c r="Q1122" s="6">
        <v>0.91699999999999993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28.55</v>
      </c>
      <c r="AB1122" s="6">
        <v>26.180350000000001</v>
      </c>
      <c r="AC1122" s="6">
        <v>0.91700000000000004</v>
      </c>
      <c r="AD1122" s="6">
        <v>-28.550000000000011</v>
      </c>
      <c r="AE1122" s="6">
        <v>28.550000000000011</v>
      </c>
    </row>
    <row r="1123" spans="2:31" x14ac:dyDescent="0.25">
      <c r="B1123" s="55"/>
      <c r="C1123" s="55"/>
      <c r="D1123" s="54" t="s">
        <v>1749</v>
      </c>
      <c r="E1123" s="54" t="s">
        <v>338</v>
      </c>
      <c r="F1123" s="54" t="s">
        <v>51</v>
      </c>
      <c r="G1123" s="54" t="s">
        <v>35</v>
      </c>
      <c r="H1123" s="54" t="s">
        <v>48</v>
      </c>
      <c r="I1123" s="52"/>
      <c r="J1123" s="57">
        <v>12.4</v>
      </c>
      <c r="K1123" s="52"/>
      <c r="L1123" s="6">
        <v>9.3000000000000007</v>
      </c>
      <c r="M1123" s="6">
        <v>0.75</v>
      </c>
      <c r="N1123" s="6">
        <v>12.04</v>
      </c>
      <c r="O1123" s="57">
        <v>9.0299999999999994</v>
      </c>
      <c r="P1123" s="52"/>
      <c r="Q1123" s="6">
        <v>0.75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0.36</v>
      </c>
      <c r="AB1123" s="6">
        <v>0.27</v>
      </c>
      <c r="AC1123" s="6">
        <v>0.75000000000000011</v>
      </c>
      <c r="AD1123" s="6">
        <v>-0.36000000000000121</v>
      </c>
      <c r="AE1123" s="6">
        <v>0.36000000000000121</v>
      </c>
    </row>
    <row r="1124" spans="2:31" x14ac:dyDescent="0.25">
      <c r="B1124" s="55"/>
      <c r="C1124" s="55"/>
      <c r="D1124" s="55"/>
      <c r="E1124" s="55"/>
      <c r="F1124" s="55"/>
      <c r="G1124" s="55"/>
      <c r="H1124" s="54" t="s">
        <v>481</v>
      </c>
      <c r="I1124" s="52"/>
      <c r="J1124" s="57">
        <v>3.64</v>
      </c>
      <c r="K1124" s="52"/>
      <c r="L1124" s="6">
        <v>2.73</v>
      </c>
      <c r="M1124" s="6">
        <v>0.75</v>
      </c>
      <c r="N1124" s="6">
        <v>3.61</v>
      </c>
      <c r="O1124" s="57">
        <v>2.7075</v>
      </c>
      <c r="P1124" s="52"/>
      <c r="Q1124" s="6">
        <v>0.75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0.03</v>
      </c>
      <c r="AB1124" s="6">
        <v>2.2499999999999999E-2</v>
      </c>
      <c r="AC1124" s="6">
        <v>0.75</v>
      </c>
      <c r="AD1124" s="6">
        <v>-3.0000000000000249E-2</v>
      </c>
      <c r="AE1124" s="6">
        <v>3.0000000000000249E-2</v>
      </c>
    </row>
    <row r="1125" spans="2:31" x14ac:dyDescent="0.25">
      <c r="B1125" s="55"/>
      <c r="C1125" s="55"/>
      <c r="D1125" s="56"/>
      <c r="E1125" s="56"/>
      <c r="F1125" s="56"/>
      <c r="G1125" s="56"/>
      <c r="H1125" s="54" t="s">
        <v>41</v>
      </c>
      <c r="I1125" s="52"/>
      <c r="J1125" s="57">
        <v>6.88</v>
      </c>
      <c r="K1125" s="52"/>
      <c r="L1125" s="6">
        <v>5.16</v>
      </c>
      <c r="M1125" s="6">
        <v>0.75</v>
      </c>
      <c r="N1125" s="6">
        <v>6.07</v>
      </c>
      <c r="O1125" s="57">
        <v>4.5525000000000002</v>
      </c>
      <c r="P1125" s="52"/>
      <c r="Q1125" s="6">
        <v>0.75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0.81</v>
      </c>
      <c r="AB1125" s="6">
        <v>0.60750000000000004</v>
      </c>
      <c r="AC1125" s="6">
        <v>0.75</v>
      </c>
      <c r="AD1125" s="6">
        <v>-0.80999999999999961</v>
      </c>
      <c r="AE1125" s="6">
        <v>0.80999999999999961</v>
      </c>
    </row>
    <row r="1126" spans="2:31" ht="20" x14ac:dyDescent="0.25">
      <c r="B1126" s="55"/>
      <c r="C1126" s="56"/>
      <c r="D1126" s="4" t="s">
        <v>1750</v>
      </c>
      <c r="E1126" s="4" t="s">
        <v>338</v>
      </c>
      <c r="F1126" s="4" t="s">
        <v>51</v>
      </c>
      <c r="G1126" s="4" t="s">
        <v>35</v>
      </c>
      <c r="H1126" s="54" t="s">
        <v>36</v>
      </c>
      <c r="I1126" s="52"/>
      <c r="J1126" s="57">
        <v>28.84</v>
      </c>
      <c r="K1126" s="52"/>
      <c r="L1126" s="6">
        <v>26.446280000000002</v>
      </c>
      <c r="M1126" s="6">
        <v>0.91700000000000004</v>
      </c>
      <c r="N1126" s="6">
        <v>17.600000000000001</v>
      </c>
      <c r="O1126" s="57">
        <v>16.139199999999999</v>
      </c>
      <c r="P1126" s="52"/>
      <c r="Q1126" s="6">
        <v>0.91699999999999982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11.24</v>
      </c>
      <c r="AB1126" s="6">
        <v>10.307079999999999</v>
      </c>
      <c r="AC1126" s="6">
        <v>0.91699999999999993</v>
      </c>
      <c r="AD1126" s="6">
        <v>-11.239999999999998</v>
      </c>
      <c r="AE1126" s="6">
        <v>11.239999999999998</v>
      </c>
    </row>
    <row r="1127" spans="2:31" x14ac:dyDescent="0.25">
      <c r="B1127" s="55"/>
      <c r="C1127" s="58">
        <v>46190</v>
      </c>
      <c r="D1127" s="4" t="s">
        <v>1751</v>
      </c>
      <c r="E1127" s="4" t="s">
        <v>1752</v>
      </c>
      <c r="F1127" s="4" t="s">
        <v>34</v>
      </c>
      <c r="G1127" s="4" t="s">
        <v>35</v>
      </c>
      <c r="H1127" s="54" t="s">
        <v>36</v>
      </c>
      <c r="I1127" s="52"/>
      <c r="J1127" s="57">
        <v>72.02</v>
      </c>
      <c r="K1127" s="52"/>
      <c r="L1127" s="6">
        <v>66.042339999999996</v>
      </c>
      <c r="M1127" s="6">
        <v>0.91700000000000004</v>
      </c>
      <c r="N1127" s="6">
        <v>67.23</v>
      </c>
      <c r="O1127" s="57">
        <v>61.649909999999998</v>
      </c>
      <c r="P1127" s="52"/>
      <c r="Q1127" s="6">
        <v>0.91699999999999993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4.79</v>
      </c>
      <c r="AB1127" s="6">
        <v>4.3924300000000001</v>
      </c>
      <c r="AC1127" s="6">
        <v>0.91700000000000004</v>
      </c>
      <c r="AD1127" s="6">
        <v>-4.789999999999992</v>
      </c>
      <c r="AE1127" s="6">
        <v>4.789999999999992</v>
      </c>
    </row>
    <row r="1128" spans="2:31" x14ac:dyDescent="0.25">
      <c r="B1128" s="55"/>
      <c r="C1128" s="55"/>
      <c r="D1128" s="4" t="s">
        <v>1753</v>
      </c>
      <c r="E1128" s="4" t="s">
        <v>1754</v>
      </c>
      <c r="F1128" s="4" t="s">
        <v>34</v>
      </c>
      <c r="G1128" s="4" t="s">
        <v>35</v>
      </c>
      <c r="H1128" s="54" t="s">
        <v>36</v>
      </c>
      <c r="I1128" s="52"/>
      <c r="J1128" s="57">
        <v>302.27</v>
      </c>
      <c r="K1128" s="52"/>
      <c r="L1128" s="6">
        <v>277.18159000000003</v>
      </c>
      <c r="M1128" s="6">
        <v>0.91700000000000015</v>
      </c>
      <c r="N1128" s="6">
        <v>285.99</v>
      </c>
      <c r="O1128" s="57">
        <v>262.25283000000002</v>
      </c>
      <c r="P1128" s="52"/>
      <c r="Q1128" s="6">
        <v>0.91700000000000004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16.28</v>
      </c>
      <c r="AB1128" s="6">
        <v>14.92876</v>
      </c>
      <c r="AC1128" s="6">
        <v>0.91699999999999993</v>
      </c>
      <c r="AD1128" s="6">
        <v>-16.279999999999973</v>
      </c>
      <c r="AE1128" s="6">
        <v>16.279999999999973</v>
      </c>
    </row>
    <row r="1129" spans="2:31" ht="20" x14ac:dyDescent="0.25">
      <c r="B1129" s="55"/>
      <c r="C1129" s="55"/>
      <c r="D1129" s="4" t="s">
        <v>1755</v>
      </c>
      <c r="E1129" s="4" t="s">
        <v>1756</v>
      </c>
      <c r="F1129" s="4" t="s">
        <v>51</v>
      </c>
      <c r="G1129" s="4" t="s">
        <v>35</v>
      </c>
      <c r="H1129" s="54" t="s">
        <v>41</v>
      </c>
      <c r="I1129" s="52"/>
      <c r="J1129" s="57">
        <v>38.340000000000003</v>
      </c>
      <c r="K1129" s="52"/>
      <c r="L1129" s="6">
        <v>28.754999999999999</v>
      </c>
      <c r="M1129" s="6">
        <v>0.74999999999999989</v>
      </c>
      <c r="N1129" s="6">
        <v>34.450000000000003</v>
      </c>
      <c r="O1129" s="57">
        <v>25.837499999999999</v>
      </c>
      <c r="P1129" s="52"/>
      <c r="Q1129" s="6">
        <v>0.74999999999999989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3.89</v>
      </c>
      <c r="AB1129" s="6">
        <v>2.9175</v>
      </c>
      <c r="AC1129" s="6">
        <v>0.75</v>
      </c>
      <c r="AD1129" s="6">
        <v>-3.8900000000000006</v>
      </c>
      <c r="AE1129" s="6">
        <v>3.8900000000000006</v>
      </c>
    </row>
    <row r="1130" spans="2:31" ht="20" x14ac:dyDescent="0.25">
      <c r="B1130" s="55"/>
      <c r="C1130" s="55"/>
      <c r="D1130" s="4" t="s">
        <v>1757</v>
      </c>
      <c r="E1130" s="4" t="s">
        <v>1758</v>
      </c>
      <c r="F1130" s="4" t="s">
        <v>51</v>
      </c>
      <c r="G1130" s="4" t="s">
        <v>35</v>
      </c>
      <c r="H1130" s="54" t="s">
        <v>36</v>
      </c>
      <c r="I1130" s="52"/>
      <c r="J1130" s="57">
        <v>10.58</v>
      </c>
      <c r="K1130" s="52"/>
      <c r="L1130" s="6">
        <v>9.7018599999999999</v>
      </c>
      <c r="M1130" s="6">
        <v>0.91700000000000004</v>
      </c>
      <c r="N1130" s="6">
        <v>10.119999999999999</v>
      </c>
      <c r="O1130" s="57">
        <v>9.2800399999999996</v>
      </c>
      <c r="P1130" s="52"/>
      <c r="Q1130" s="6">
        <v>0.91700000000000004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0.46</v>
      </c>
      <c r="AB1130" s="6">
        <v>0.42181999999999997</v>
      </c>
      <c r="AC1130" s="6">
        <v>0.91699999999999993</v>
      </c>
      <c r="AD1130" s="6">
        <v>-0.46000000000000085</v>
      </c>
      <c r="AE1130" s="6">
        <v>0.46000000000000085</v>
      </c>
    </row>
    <row r="1131" spans="2:31" ht="20" x14ac:dyDescent="0.25">
      <c r="B1131" s="55"/>
      <c r="C1131" s="55"/>
      <c r="D1131" s="4" t="s">
        <v>1759</v>
      </c>
      <c r="E1131" s="4" t="s">
        <v>1643</v>
      </c>
      <c r="F1131" s="4" t="s">
        <v>51</v>
      </c>
      <c r="G1131" s="4" t="s">
        <v>35</v>
      </c>
      <c r="H1131" s="54" t="s">
        <v>36</v>
      </c>
      <c r="I1131" s="52"/>
      <c r="J1131" s="57">
        <v>54.74</v>
      </c>
      <c r="K1131" s="52"/>
      <c r="L1131" s="6">
        <v>50.196579999999997</v>
      </c>
      <c r="M1131" s="6">
        <v>0.91699999999999993</v>
      </c>
      <c r="N1131" s="6">
        <v>54</v>
      </c>
      <c r="O1131" s="57">
        <v>49.518000000000001</v>
      </c>
      <c r="P1131" s="52"/>
      <c r="Q1131" s="6">
        <v>0.91700000000000004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0.74</v>
      </c>
      <c r="AB1131" s="6">
        <v>0.67857999999999996</v>
      </c>
      <c r="AC1131" s="6">
        <v>0.91699999999999993</v>
      </c>
      <c r="AD1131" s="6">
        <v>-0.74000000000000199</v>
      </c>
      <c r="AE1131" s="6">
        <v>0.74000000000000199</v>
      </c>
    </row>
    <row r="1132" spans="2:31" ht="20" x14ac:dyDescent="0.25">
      <c r="B1132" s="55"/>
      <c r="C1132" s="55"/>
      <c r="D1132" s="4" t="s">
        <v>1760</v>
      </c>
      <c r="E1132" s="4" t="s">
        <v>1761</v>
      </c>
      <c r="F1132" s="4" t="s">
        <v>51</v>
      </c>
      <c r="G1132" s="4" t="s">
        <v>35</v>
      </c>
      <c r="H1132" s="54" t="s">
        <v>36</v>
      </c>
      <c r="I1132" s="52"/>
      <c r="J1132" s="57">
        <v>89.9</v>
      </c>
      <c r="K1132" s="52"/>
      <c r="L1132" s="6">
        <v>82.438299999999998</v>
      </c>
      <c r="M1132" s="6">
        <v>0.91699999999999993</v>
      </c>
      <c r="N1132" s="6">
        <v>84.05</v>
      </c>
      <c r="O1132" s="57">
        <v>77.073849999999993</v>
      </c>
      <c r="P1132" s="52"/>
      <c r="Q1132" s="6">
        <v>0.91699999999999993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5.85</v>
      </c>
      <c r="AB1132" s="6">
        <v>5.3644499999999997</v>
      </c>
      <c r="AC1132" s="6">
        <v>0.91700000000000004</v>
      </c>
      <c r="AD1132" s="6">
        <v>-5.8500000000000085</v>
      </c>
      <c r="AE1132" s="6">
        <v>5.8500000000000085</v>
      </c>
    </row>
    <row r="1133" spans="2:31" ht="20" x14ac:dyDescent="0.25">
      <c r="B1133" s="55"/>
      <c r="C1133" s="55"/>
      <c r="D1133" s="4" t="s">
        <v>1762</v>
      </c>
      <c r="E1133" s="4" t="s">
        <v>1763</v>
      </c>
      <c r="F1133" s="4" t="s">
        <v>51</v>
      </c>
      <c r="G1133" s="4" t="s">
        <v>35</v>
      </c>
      <c r="H1133" s="54" t="s">
        <v>36</v>
      </c>
      <c r="I1133" s="52"/>
      <c r="J1133" s="57">
        <v>80</v>
      </c>
      <c r="K1133" s="52"/>
      <c r="L1133" s="6">
        <v>73.36</v>
      </c>
      <c r="M1133" s="6">
        <v>0.91700000000000004</v>
      </c>
      <c r="N1133" s="6">
        <v>74.77</v>
      </c>
      <c r="O1133" s="57">
        <v>68.564089999999993</v>
      </c>
      <c r="P1133" s="52"/>
      <c r="Q1133" s="6">
        <v>0.91699999999999993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5.23</v>
      </c>
      <c r="AB1133" s="6">
        <v>4.7959100000000001</v>
      </c>
      <c r="AC1133" s="6">
        <v>0.91699999999999993</v>
      </c>
      <c r="AD1133" s="6">
        <v>-5.230000000000004</v>
      </c>
      <c r="AE1133" s="6">
        <v>5.230000000000004</v>
      </c>
    </row>
    <row r="1134" spans="2:31" ht="20" x14ac:dyDescent="0.25">
      <c r="B1134" s="55"/>
      <c r="C1134" s="55"/>
      <c r="D1134" s="4" t="s">
        <v>1764</v>
      </c>
      <c r="E1134" s="4" t="s">
        <v>1765</v>
      </c>
      <c r="F1134" s="4" t="s">
        <v>51</v>
      </c>
      <c r="G1134" s="4" t="s">
        <v>35</v>
      </c>
      <c r="H1134" s="54" t="s">
        <v>36</v>
      </c>
      <c r="I1134" s="52"/>
      <c r="J1134" s="57">
        <v>64.13</v>
      </c>
      <c r="K1134" s="52"/>
      <c r="L1134" s="6">
        <v>58.807209999999998</v>
      </c>
      <c r="M1134" s="6">
        <v>0.91700000000000004</v>
      </c>
      <c r="N1134" s="6">
        <v>63.97</v>
      </c>
      <c r="O1134" s="57">
        <v>58.660490000000003</v>
      </c>
      <c r="P1134" s="52"/>
      <c r="Q1134" s="6">
        <v>0.91700000000000004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0.16</v>
      </c>
      <c r="AB1134" s="6">
        <v>0.14671999999999999</v>
      </c>
      <c r="AC1134" s="6">
        <v>0.91699999999999993</v>
      </c>
      <c r="AD1134" s="6">
        <v>-0.15999999999999659</v>
      </c>
      <c r="AE1134" s="6">
        <v>0.15999999999999659</v>
      </c>
    </row>
    <row r="1135" spans="2:31" ht="20" x14ac:dyDescent="0.25">
      <c r="B1135" s="55"/>
      <c r="C1135" s="55"/>
      <c r="D1135" s="4" t="s">
        <v>1766</v>
      </c>
      <c r="E1135" s="4" t="s">
        <v>1767</v>
      </c>
      <c r="F1135" s="4" t="s">
        <v>51</v>
      </c>
      <c r="G1135" s="4" t="s">
        <v>35</v>
      </c>
      <c r="H1135" s="54" t="s">
        <v>36</v>
      </c>
      <c r="I1135" s="52"/>
      <c r="J1135" s="57">
        <v>50.04</v>
      </c>
      <c r="K1135" s="52"/>
      <c r="L1135" s="6">
        <v>45.886679999999998</v>
      </c>
      <c r="M1135" s="6">
        <v>0.91700000000000004</v>
      </c>
      <c r="N1135" s="6">
        <v>49.79</v>
      </c>
      <c r="O1135" s="57">
        <v>45.657429999999998</v>
      </c>
      <c r="P1135" s="52"/>
      <c r="Q1135" s="6">
        <v>0.91699999999999993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0.25</v>
      </c>
      <c r="AB1135" s="6">
        <v>0.22925000000000001</v>
      </c>
      <c r="AC1135" s="6">
        <v>0.91700000000000004</v>
      </c>
      <c r="AD1135" s="6">
        <v>-0.25</v>
      </c>
      <c r="AE1135" s="6">
        <v>0.25</v>
      </c>
    </row>
    <row r="1136" spans="2:31" ht="20" x14ac:dyDescent="0.25">
      <c r="B1136" s="55"/>
      <c r="C1136" s="55"/>
      <c r="D1136" s="4" t="s">
        <v>1768</v>
      </c>
      <c r="E1136" s="4" t="s">
        <v>1769</v>
      </c>
      <c r="F1136" s="4" t="s">
        <v>51</v>
      </c>
      <c r="G1136" s="4" t="s">
        <v>35</v>
      </c>
      <c r="H1136" s="54" t="s">
        <v>41</v>
      </c>
      <c r="I1136" s="52"/>
      <c r="J1136" s="57">
        <v>54.22</v>
      </c>
      <c r="K1136" s="52"/>
      <c r="L1136" s="6">
        <v>40.664999999999999</v>
      </c>
      <c r="M1136" s="6">
        <v>0.75</v>
      </c>
      <c r="N1136" s="6">
        <v>51.5</v>
      </c>
      <c r="O1136" s="57">
        <v>38.625</v>
      </c>
      <c r="P1136" s="52"/>
      <c r="Q1136" s="6">
        <v>0.75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2.72</v>
      </c>
      <c r="AB1136" s="6">
        <v>2.04</v>
      </c>
      <c r="AC1136" s="6">
        <v>0.75</v>
      </c>
      <c r="AD1136" s="6">
        <v>-2.7199999999999989</v>
      </c>
      <c r="AE1136" s="6">
        <v>2.7199999999999989</v>
      </c>
    </row>
    <row r="1137" spans="2:31" ht="20" x14ac:dyDescent="0.25">
      <c r="B1137" s="55"/>
      <c r="C1137" s="55"/>
      <c r="D1137" s="4" t="s">
        <v>1770</v>
      </c>
      <c r="E1137" s="4" t="s">
        <v>1550</v>
      </c>
      <c r="F1137" s="4" t="s">
        <v>51</v>
      </c>
      <c r="G1137" s="4" t="s">
        <v>35</v>
      </c>
      <c r="H1137" s="54" t="s">
        <v>36</v>
      </c>
      <c r="I1137" s="52"/>
      <c r="J1137" s="57">
        <v>52.25</v>
      </c>
      <c r="K1137" s="52"/>
      <c r="L1137" s="6">
        <v>47.913249999999998</v>
      </c>
      <c r="M1137" s="6">
        <v>0.91699999999999993</v>
      </c>
      <c r="N1137" s="6">
        <v>51.31</v>
      </c>
      <c r="O1137" s="57">
        <v>47.051270000000002</v>
      </c>
      <c r="P1137" s="52"/>
      <c r="Q1137" s="6">
        <v>0.91700000000000004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0.94</v>
      </c>
      <c r="AB1137" s="6">
        <v>0.86197999999999997</v>
      </c>
      <c r="AC1137" s="6">
        <v>0.91700000000000004</v>
      </c>
      <c r="AD1137" s="6">
        <v>-0.93999999999999773</v>
      </c>
      <c r="AE1137" s="6">
        <v>0.93999999999999773</v>
      </c>
    </row>
    <row r="1138" spans="2:31" ht="20" x14ac:dyDescent="0.25">
      <c r="B1138" s="55"/>
      <c r="C1138" s="55"/>
      <c r="D1138" s="4" t="s">
        <v>1771</v>
      </c>
      <c r="E1138" s="4" t="s">
        <v>1772</v>
      </c>
      <c r="F1138" s="4" t="s">
        <v>51</v>
      </c>
      <c r="G1138" s="4" t="s">
        <v>35</v>
      </c>
      <c r="H1138" s="54" t="s">
        <v>41</v>
      </c>
      <c r="I1138" s="52"/>
      <c r="J1138" s="57">
        <v>57.62</v>
      </c>
      <c r="K1138" s="52"/>
      <c r="L1138" s="6">
        <v>43.215000000000003</v>
      </c>
      <c r="M1138" s="6">
        <v>0.75000000000000011</v>
      </c>
      <c r="N1138" s="6">
        <v>54.71</v>
      </c>
      <c r="O1138" s="57">
        <v>41.032499999999999</v>
      </c>
      <c r="P1138" s="52"/>
      <c r="Q1138" s="6">
        <v>0.75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2.91</v>
      </c>
      <c r="AB1138" s="6">
        <v>2.1825000000000001</v>
      </c>
      <c r="AC1138" s="6">
        <v>0.75</v>
      </c>
      <c r="AD1138" s="6">
        <v>-2.9099999999999966</v>
      </c>
      <c r="AE1138" s="6">
        <v>2.9099999999999966</v>
      </c>
    </row>
    <row r="1139" spans="2:31" x14ac:dyDescent="0.25">
      <c r="B1139" s="55"/>
      <c r="C1139" s="55"/>
      <c r="D1139" s="54" t="s">
        <v>1773</v>
      </c>
      <c r="E1139" s="4" t="s">
        <v>1774</v>
      </c>
      <c r="F1139" s="4" t="s">
        <v>51</v>
      </c>
      <c r="G1139" s="4" t="s">
        <v>35</v>
      </c>
      <c r="H1139" s="54" t="s">
        <v>41</v>
      </c>
      <c r="I1139" s="52"/>
      <c r="J1139" s="57">
        <v>30</v>
      </c>
      <c r="K1139" s="52"/>
      <c r="L1139" s="6">
        <v>22.5</v>
      </c>
      <c r="M1139" s="6">
        <v>0.75</v>
      </c>
      <c r="N1139" s="6">
        <v>26.67</v>
      </c>
      <c r="O1139" s="57">
        <v>20.002500000000001</v>
      </c>
      <c r="P1139" s="52"/>
      <c r="Q1139" s="6">
        <v>0.75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3.33</v>
      </c>
      <c r="AB1139" s="6">
        <v>2.4975000000000001</v>
      </c>
      <c r="AC1139" s="6">
        <v>0.75</v>
      </c>
      <c r="AD1139" s="6">
        <v>-3.3299999999999983</v>
      </c>
      <c r="AE1139" s="6">
        <v>3.3299999999999983</v>
      </c>
    </row>
    <row r="1140" spans="2:31" x14ac:dyDescent="0.25">
      <c r="B1140" s="55"/>
      <c r="C1140" s="55"/>
      <c r="D1140" s="56"/>
      <c r="E1140" s="4" t="s">
        <v>1775</v>
      </c>
      <c r="F1140" s="4" t="s">
        <v>51</v>
      </c>
      <c r="G1140" s="4" t="s">
        <v>35</v>
      </c>
      <c r="H1140" s="54" t="s">
        <v>41</v>
      </c>
      <c r="I1140" s="52"/>
      <c r="J1140" s="57">
        <v>27.02</v>
      </c>
      <c r="K1140" s="52"/>
      <c r="L1140" s="6">
        <v>20.265000000000001</v>
      </c>
      <c r="M1140" s="6">
        <v>0.75</v>
      </c>
      <c r="N1140" s="6">
        <v>24.52</v>
      </c>
      <c r="O1140" s="57">
        <v>18.39</v>
      </c>
      <c r="P1140" s="52"/>
      <c r="Q1140" s="6">
        <v>0.75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2.5</v>
      </c>
      <c r="AB1140" s="6">
        <v>1.875</v>
      </c>
      <c r="AC1140" s="6">
        <v>0.75</v>
      </c>
      <c r="AD1140" s="6">
        <v>-2.5</v>
      </c>
      <c r="AE1140" s="6">
        <v>2.5</v>
      </c>
    </row>
    <row r="1141" spans="2:31" ht="20" x14ac:dyDescent="0.25">
      <c r="B1141" s="55"/>
      <c r="C1141" s="55"/>
      <c r="D1141" s="4" t="s">
        <v>1776</v>
      </c>
      <c r="E1141" s="4" t="s">
        <v>1777</v>
      </c>
      <c r="F1141" s="4" t="s">
        <v>51</v>
      </c>
      <c r="G1141" s="4" t="s">
        <v>35</v>
      </c>
      <c r="H1141" s="54" t="s">
        <v>36</v>
      </c>
      <c r="I1141" s="52"/>
      <c r="J1141" s="57">
        <v>41.53</v>
      </c>
      <c r="K1141" s="52"/>
      <c r="L1141" s="6">
        <v>38.083010000000002</v>
      </c>
      <c r="M1141" s="6">
        <v>0.91700000000000004</v>
      </c>
      <c r="N1141" s="6">
        <v>39.03</v>
      </c>
      <c r="O1141" s="57">
        <v>35.790509999999998</v>
      </c>
      <c r="P1141" s="52"/>
      <c r="Q1141" s="6">
        <v>0.91699999999999993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2.5</v>
      </c>
      <c r="AB1141" s="6">
        <v>2.2925</v>
      </c>
      <c r="AC1141" s="6">
        <v>0.91700000000000004</v>
      </c>
      <c r="AD1141" s="6">
        <v>-2.5</v>
      </c>
      <c r="AE1141" s="6">
        <v>2.5</v>
      </c>
    </row>
    <row r="1142" spans="2:31" ht="20" x14ac:dyDescent="0.25">
      <c r="B1142" s="55"/>
      <c r="C1142" s="55"/>
      <c r="D1142" s="4" t="s">
        <v>1778</v>
      </c>
      <c r="E1142" s="4" t="s">
        <v>1513</v>
      </c>
      <c r="F1142" s="4" t="s">
        <v>51</v>
      </c>
      <c r="G1142" s="4" t="s">
        <v>35</v>
      </c>
      <c r="H1142" s="54" t="s">
        <v>36</v>
      </c>
      <c r="I1142" s="52"/>
      <c r="J1142" s="57">
        <v>37.19</v>
      </c>
      <c r="K1142" s="52"/>
      <c r="L1142" s="6">
        <v>34.103230000000003</v>
      </c>
      <c r="M1142" s="6">
        <v>0.91700000000000015</v>
      </c>
      <c r="N1142" s="6">
        <v>37.19</v>
      </c>
      <c r="O1142" s="57">
        <v>34.103230000000003</v>
      </c>
      <c r="P1142" s="52"/>
      <c r="Q1142" s="6">
        <v>0.91700000000000015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</row>
    <row r="1143" spans="2:31" ht="20" x14ac:dyDescent="0.25">
      <c r="B1143" s="55"/>
      <c r="C1143" s="55"/>
      <c r="D1143" s="4" t="s">
        <v>1779</v>
      </c>
      <c r="E1143" s="4" t="s">
        <v>1780</v>
      </c>
      <c r="F1143" s="4" t="s">
        <v>51</v>
      </c>
      <c r="G1143" s="4" t="s">
        <v>35</v>
      </c>
      <c r="H1143" s="54" t="s">
        <v>36</v>
      </c>
      <c r="I1143" s="52"/>
      <c r="J1143" s="57">
        <v>112.16</v>
      </c>
      <c r="K1143" s="52"/>
      <c r="L1143" s="6">
        <v>102.85072</v>
      </c>
      <c r="M1143" s="6">
        <v>0.91700000000000004</v>
      </c>
      <c r="N1143" s="6">
        <v>106.64</v>
      </c>
      <c r="O1143" s="57">
        <v>97.788880000000006</v>
      </c>
      <c r="P1143" s="52"/>
      <c r="Q1143" s="6">
        <v>0.91700000000000004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5.52</v>
      </c>
      <c r="AB1143" s="6">
        <v>5.0618400000000001</v>
      </c>
      <c r="AC1143" s="6">
        <v>0.91700000000000004</v>
      </c>
      <c r="AD1143" s="6">
        <v>-5.519999999999996</v>
      </c>
      <c r="AE1143" s="6">
        <v>5.519999999999996</v>
      </c>
    </row>
    <row r="1144" spans="2:31" ht="20" x14ac:dyDescent="0.25">
      <c r="B1144" s="55"/>
      <c r="C1144" s="55"/>
      <c r="D1144" s="4" t="s">
        <v>1781</v>
      </c>
      <c r="E1144" s="4" t="s">
        <v>1715</v>
      </c>
      <c r="F1144" s="4" t="s">
        <v>51</v>
      </c>
      <c r="G1144" s="4" t="s">
        <v>35</v>
      </c>
      <c r="H1144" s="54" t="s">
        <v>36</v>
      </c>
      <c r="I1144" s="52"/>
      <c r="J1144" s="57">
        <v>102.57</v>
      </c>
      <c r="K1144" s="52"/>
      <c r="L1144" s="6">
        <v>94.056690000000003</v>
      </c>
      <c r="M1144" s="6">
        <v>0.91700000000000004</v>
      </c>
      <c r="N1144" s="6">
        <v>96.77</v>
      </c>
      <c r="O1144" s="57">
        <v>88.73809</v>
      </c>
      <c r="P1144" s="52"/>
      <c r="Q1144" s="6">
        <v>0.91700000000000004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5.8</v>
      </c>
      <c r="AB1144" s="6">
        <v>5.3186</v>
      </c>
      <c r="AC1144" s="6">
        <v>0.91700000000000004</v>
      </c>
      <c r="AD1144" s="6">
        <v>-5.7999999999999972</v>
      </c>
      <c r="AE1144" s="6">
        <v>5.7999999999999972</v>
      </c>
    </row>
    <row r="1145" spans="2:31" ht="20" x14ac:dyDescent="0.25">
      <c r="B1145" s="55"/>
      <c r="C1145" s="55"/>
      <c r="D1145" s="4" t="s">
        <v>1782</v>
      </c>
      <c r="E1145" s="4" t="s">
        <v>1783</v>
      </c>
      <c r="F1145" s="4" t="s">
        <v>51</v>
      </c>
      <c r="G1145" s="4" t="s">
        <v>35</v>
      </c>
      <c r="H1145" s="54" t="s">
        <v>48</v>
      </c>
      <c r="I1145" s="52"/>
      <c r="J1145" s="57">
        <v>39</v>
      </c>
      <c r="K1145" s="52"/>
      <c r="L1145" s="6">
        <v>29.25</v>
      </c>
      <c r="M1145" s="6">
        <v>0.75</v>
      </c>
      <c r="N1145" s="6">
        <v>36.61</v>
      </c>
      <c r="O1145" s="57">
        <v>27.4575</v>
      </c>
      <c r="P1145" s="52"/>
      <c r="Q1145" s="6">
        <v>0.75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2.39</v>
      </c>
      <c r="AB1145" s="6">
        <v>1.7925</v>
      </c>
      <c r="AC1145" s="6">
        <v>0.75</v>
      </c>
      <c r="AD1145" s="6">
        <v>-2.3900000000000006</v>
      </c>
      <c r="AE1145" s="6">
        <v>2.3900000000000006</v>
      </c>
    </row>
    <row r="1146" spans="2:31" ht="20" x14ac:dyDescent="0.25">
      <c r="B1146" s="55"/>
      <c r="C1146" s="55"/>
      <c r="D1146" s="4" t="s">
        <v>1784</v>
      </c>
      <c r="E1146" s="4" t="s">
        <v>1785</v>
      </c>
      <c r="F1146" s="4" t="s">
        <v>51</v>
      </c>
      <c r="G1146" s="4" t="s">
        <v>35</v>
      </c>
      <c r="H1146" s="54" t="s">
        <v>41</v>
      </c>
      <c r="I1146" s="52"/>
      <c r="J1146" s="57">
        <v>22.06</v>
      </c>
      <c r="K1146" s="52"/>
      <c r="L1146" s="6">
        <v>16.545000000000002</v>
      </c>
      <c r="M1146" s="6">
        <v>0.75000000000000011</v>
      </c>
      <c r="N1146" s="6">
        <v>21.48</v>
      </c>
      <c r="O1146" s="57">
        <v>16.11</v>
      </c>
      <c r="P1146" s="52"/>
      <c r="Q1146" s="6">
        <v>0.75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0.57999999999999996</v>
      </c>
      <c r="AB1146" s="6">
        <v>0.435</v>
      </c>
      <c r="AC1146" s="6">
        <v>0.75</v>
      </c>
      <c r="AD1146" s="6">
        <v>-0.57999999999999829</v>
      </c>
      <c r="AE1146" s="6">
        <v>0.57999999999999829</v>
      </c>
    </row>
    <row r="1147" spans="2:31" ht="20" x14ac:dyDescent="0.25">
      <c r="B1147" s="55"/>
      <c r="C1147" s="55"/>
      <c r="D1147" s="4" t="s">
        <v>1786</v>
      </c>
      <c r="E1147" s="4" t="s">
        <v>1787</v>
      </c>
      <c r="F1147" s="4" t="s">
        <v>51</v>
      </c>
      <c r="G1147" s="4" t="s">
        <v>35</v>
      </c>
      <c r="H1147" s="54" t="s">
        <v>36</v>
      </c>
      <c r="I1147" s="52"/>
      <c r="J1147" s="57">
        <v>70.84</v>
      </c>
      <c r="K1147" s="52"/>
      <c r="L1147" s="6">
        <v>64.960279999999997</v>
      </c>
      <c r="M1147" s="6">
        <v>0.91699999999999993</v>
      </c>
      <c r="N1147" s="6">
        <v>70.84</v>
      </c>
      <c r="O1147" s="57">
        <v>64.960279999999997</v>
      </c>
      <c r="P1147" s="52"/>
      <c r="Q1147" s="6">
        <v>0.91699999999999993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</row>
    <row r="1148" spans="2:31" ht="20" x14ac:dyDescent="0.25">
      <c r="B1148" s="55"/>
      <c r="C1148" s="55"/>
      <c r="D1148" s="4" t="s">
        <v>1788</v>
      </c>
      <c r="E1148" s="4" t="s">
        <v>1789</v>
      </c>
      <c r="F1148" s="4" t="s">
        <v>51</v>
      </c>
      <c r="G1148" s="4" t="s">
        <v>35</v>
      </c>
      <c r="H1148" s="54" t="s">
        <v>48</v>
      </c>
      <c r="I1148" s="52"/>
      <c r="J1148" s="57">
        <v>38.880000000000003</v>
      </c>
      <c r="K1148" s="52"/>
      <c r="L1148" s="6">
        <v>29.16</v>
      </c>
      <c r="M1148" s="6">
        <v>0.75</v>
      </c>
      <c r="N1148" s="6">
        <v>36.14</v>
      </c>
      <c r="O1148" s="57">
        <v>27.105</v>
      </c>
      <c r="P1148" s="52"/>
      <c r="Q1148" s="6">
        <v>0.75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2.74</v>
      </c>
      <c r="AB1148" s="6">
        <v>2.0550000000000002</v>
      </c>
      <c r="AC1148" s="6">
        <v>0.75</v>
      </c>
      <c r="AD1148" s="6">
        <v>-2.740000000000002</v>
      </c>
      <c r="AE1148" s="6">
        <v>2.740000000000002</v>
      </c>
    </row>
    <row r="1149" spans="2:31" ht="20" x14ac:dyDescent="0.25">
      <c r="B1149" s="55"/>
      <c r="C1149" s="55"/>
      <c r="D1149" s="4" t="s">
        <v>1790</v>
      </c>
      <c r="E1149" s="4" t="s">
        <v>1791</v>
      </c>
      <c r="F1149" s="4" t="s">
        <v>51</v>
      </c>
      <c r="G1149" s="4" t="s">
        <v>35</v>
      </c>
      <c r="H1149" s="54" t="s">
        <v>36</v>
      </c>
      <c r="I1149" s="52"/>
      <c r="J1149" s="57">
        <v>60.48</v>
      </c>
      <c r="K1149" s="52"/>
      <c r="L1149" s="6">
        <v>55.460160000000002</v>
      </c>
      <c r="M1149" s="6">
        <v>0.91700000000000004</v>
      </c>
      <c r="N1149" s="6">
        <v>57.43</v>
      </c>
      <c r="O1149" s="57">
        <v>52.663310000000003</v>
      </c>
      <c r="P1149" s="52"/>
      <c r="Q1149" s="6">
        <v>0.91700000000000004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3.05</v>
      </c>
      <c r="AB1149" s="6">
        <v>2.7968500000000001</v>
      </c>
      <c r="AC1149" s="6">
        <v>0.91700000000000004</v>
      </c>
      <c r="AD1149" s="6">
        <v>-3.0499999999999972</v>
      </c>
      <c r="AE1149" s="6">
        <v>3.0499999999999972</v>
      </c>
    </row>
    <row r="1150" spans="2:31" ht="20" x14ac:dyDescent="0.25">
      <c r="B1150" s="55"/>
      <c r="C1150" s="55"/>
      <c r="D1150" s="4" t="s">
        <v>1792</v>
      </c>
      <c r="E1150" s="4" t="s">
        <v>1793</v>
      </c>
      <c r="F1150" s="4" t="s">
        <v>51</v>
      </c>
      <c r="G1150" s="4" t="s">
        <v>35</v>
      </c>
      <c r="H1150" s="54" t="s">
        <v>48</v>
      </c>
      <c r="I1150" s="52"/>
      <c r="J1150" s="57">
        <v>18.16</v>
      </c>
      <c r="K1150" s="52"/>
      <c r="L1150" s="6">
        <v>13.62</v>
      </c>
      <c r="M1150" s="6">
        <v>0.75</v>
      </c>
      <c r="N1150" s="6">
        <v>17.18</v>
      </c>
      <c r="O1150" s="57">
        <v>12.885</v>
      </c>
      <c r="P1150" s="52"/>
      <c r="Q1150" s="6">
        <v>0.75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0.98</v>
      </c>
      <c r="AB1150" s="6">
        <v>0.73499999999999999</v>
      </c>
      <c r="AC1150" s="6">
        <v>0.75</v>
      </c>
      <c r="AD1150" s="6">
        <v>-0.98000000000000043</v>
      </c>
      <c r="AE1150" s="6">
        <v>0.98000000000000043</v>
      </c>
    </row>
    <row r="1151" spans="2:31" ht="20" x14ac:dyDescent="0.25">
      <c r="B1151" s="55"/>
      <c r="C1151" s="55"/>
      <c r="D1151" s="4" t="s">
        <v>1794</v>
      </c>
      <c r="E1151" s="4" t="s">
        <v>1515</v>
      </c>
      <c r="F1151" s="4" t="s">
        <v>51</v>
      </c>
      <c r="G1151" s="4" t="s">
        <v>35</v>
      </c>
      <c r="H1151" s="54" t="s">
        <v>36</v>
      </c>
      <c r="I1151" s="52"/>
      <c r="J1151" s="57">
        <v>214.77</v>
      </c>
      <c r="K1151" s="52"/>
      <c r="L1151" s="6">
        <v>196.94408999999999</v>
      </c>
      <c r="M1151" s="6">
        <v>0.91699999999999993</v>
      </c>
      <c r="N1151" s="6">
        <v>214.72</v>
      </c>
      <c r="O1151" s="57">
        <v>196.89823999999999</v>
      </c>
      <c r="P1151" s="52"/>
      <c r="Q1151" s="6">
        <v>0.91699999999999993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0.05</v>
      </c>
      <c r="AB1151" s="6">
        <v>4.5850000000000002E-2</v>
      </c>
      <c r="AC1151" s="6">
        <v>0.91700000000000004</v>
      </c>
      <c r="AD1151" s="6">
        <v>-5.0000000000011369E-2</v>
      </c>
      <c r="AE1151" s="6">
        <v>5.0000000000011369E-2</v>
      </c>
    </row>
    <row r="1152" spans="2:31" ht="20" x14ac:dyDescent="0.25">
      <c r="B1152" s="55"/>
      <c r="C1152" s="55"/>
      <c r="D1152" s="4" t="s">
        <v>1795</v>
      </c>
      <c r="E1152" s="4" t="s">
        <v>1515</v>
      </c>
      <c r="F1152" s="4" t="s">
        <v>51</v>
      </c>
      <c r="G1152" s="4" t="s">
        <v>35</v>
      </c>
      <c r="H1152" s="54" t="s">
        <v>36</v>
      </c>
      <c r="I1152" s="52"/>
      <c r="J1152" s="57">
        <v>214.72</v>
      </c>
      <c r="K1152" s="52"/>
      <c r="L1152" s="6">
        <v>196.89823999999999</v>
      </c>
      <c r="M1152" s="6">
        <v>0.91699999999999993</v>
      </c>
      <c r="N1152" s="6">
        <v>214.64</v>
      </c>
      <c r="O1152" s="57">
        <v>196.82488000000001</v>
      </c>
      <c r="P1152" s="52"/>
      <c r="Q1152" s="6">
        <v>0.91700000000000004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0.08</v>
      </c>
      <c r="AB1152" s="6">
        <v>7.3359999999999995E-2</v>
      </c>
      <c r="AC1152" s="6">
        <v>0.91699999999999993</v>
      </c>
      <c r="AD1152" s="6">
        <v>-8.0000000000012506E-2</v>
      </c>
      <c r="AE1152" s="6">
        <v>8.0000000000012506E-2</v>
      </c>
    </row>
    <row r="1153" spans="2:31" ht="20" x14ac:dyDescent="0.25">
      <c r="B1153" s="55"/>
      <c r="C1153" s="55"/>
      <c r="D1153" s="4" t="s">
        <v>1796</v>
      </c>
      <c r="E1153" s="4" t="s">
        <v>1748</v>
      </c>
      <c r="F1153" s="4" t="s">
        <v>51</v>
      </c>
      <c r="G1153" s="4" t="s">
        <v>35</v>
      </c>
      <c r="H1153" s="54" t="s">
        <v>36</v>
      </c>
      <c r="I1153" s="52"/>
      <c r="J1153" s="57">
        <v>435</v>
      </c>
      <c r="K1153" s="52"/>
      <c r="L1153" s="6">
        <v>398.89499999999998</v>
      </c>
      <c r="M1153" s="6">
        <v>0.91699999999999993</v>
      </c>
      <c r="N1153" s="6">
        <v>434.78</v>
      </c>
      <c r="O1153" s="57">
        <v>398.69326000000001</v>
      </c>
      <c r="P1153" s="52"/>
      <c r="Q1153" s="6">
        <v>0.91700000000000004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0.22</v>
      </c>
      <c r="AB1153" s="6">
        <v>0.20174</v>
      </c>
      <c r="AC1153" s="6">
        <v>0.91700000000000004</v>
      </c>
      <c r="AD1153" s="6">
        <v>-0.22000000000002728</v>
      </c>
      <c r="AE1153" s="6">
        <v>0.22000000000002728</v>
      </c>
    </row>
    <row r="1154" spans="2:31" ht="20" x14ac:dyDescent="0.25">
      <c r="B1154" s="55"/>
      <c r="C1154" s="55"/>
      <c r="D1154" s="4" t="s">
        <v>1797</v>
      </c>
      <c r="E1154" s="4" t="s">
        <v>1798</v>
      </c>
      <c r="F1154" s="4" t="s">
        <v>51</v>
      </c>
      <c r="G1154" s="4" t="s">
        <v>35</v>
      </c>
      <c r="H1154" s="54" t="s">
        <v>36</v>
      </c>
      <c r="I1154" s="52"/>
      <c r="J1154" s="57">
        <v>80.48</v>
      </c>
      <c r="K1154" s="52"/>
      <c r="L1154" s="6">
        <v>73.800160000000005</v>
      </c>
      <c r="M1154" s="6">
        <v>0.91700000000000004</v>
      </c>
      <c r="N1154" s="6">
        <v>80.48</v>
      </c>
      <c r="O1154" s="57">
        <v>73.800160000000005</v>
      </c>
      <c r="P1154" s="52"/>
      <c r="Q1154" s="6">
        <v>0.91700000000000004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</row>
    <row r="1155" spans="2:31" ht="20" x14ac:dyDescent="0.25">
      <c r="B1155" s="55"/>
      <c r="C1155" s="55"/>
      <c r="D1155" s="4" t="s">
        <v>1799</v>
      </c>
      <c r="E1155" s="4" t="s">
        <v>1800</v>
      </c>
      <c r="F1155" s="4" t="s">
        <v>51</v>
      </c>
      <c r="G1155" s="4" t="s">
        <v>35</v>
      </c>
      <c r="H1155" s="54" t="s">
        <v>41</v>
      </c>
      <c r="I1155" s="52"/>
      <c r="J1155" s="57">
        <v>29.69</v>
      </c>
      <c r="K1155" s="52"/>
      <c r="L1155" s="6">
        <v>22.267499999999998</v>
      </c>
      <c r="M1155" s="6">
        <v>0.74999999999999989</v>
      </c>
      <c r="N1155" s="6">
        <v>28.07</v>
      </c>
      <c r="O1155" s="57">
        <v>21.052499999999998</v>
      </c>
      <c r="P1155" s="52"/>
      <c r="Q1155" s="6">
        <v>0.74999999999999989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1.62</v>
      </c>
      <c r="AB1155" s="6">
        <v>1.2150000000000001</v>
      </c>
      <c r="AC1155" s="6">
        <v>0.75</v>
      </c>
      <c r="AD1155" s="6">
        <v>-1.620000000000001</v>
      </c>
      <c r="AE1155" s="6">
        <v>1.620000000000001</v>
      </c>
    </row>
    <row r="1156" spans="2:31" ht="20" x14ac:dyDescent="0.25">
      <c r="B1156" s="55"/>
      <c r="C1156" s="55"/>
      <c r="D1156" s="4" t="s">
        <v>1801</v>
      </c>
      <c r="E1156" s="4" t="s">
        <v>1802</v>
      </c>
      <c r="F1156" s="4" t="s">
        <v>51</v>
      </c>
      <c r="G1156" s="4" t="s">
        <v>35</v>
      </c>
      <c r="H1156" s="54" t="s">
        <v>36</v>
      </c>
      <c r="I1156" s="52"/>
      <c r="J1156" s="57">
        <v>36.36</v>
      </c>
      <c r="K1156" s="52"/>
      <c r="L1156" s="6">
        <v>33.342120000000001</v>
      </c>
      <c r="M1156" s="6">
        <v>0.91700000000000004</v>
      </c>
      <c r="N1156" s="6">
        <v>34.42</v>
      </c>
      <c r="O1156" s="57">
        <v>31.563140000000001</v>
      </c>
      <c r="P1156" s="52"/>
      <c r="Q1156" s="6">
        <v>0.91699999999999993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1.94</v>
      </c>
      <c r="AB1156" s="6">
        <v>1.77898</v>
      </c>
      <c r="AC1156" s="6">
        <v>0.91700000000000004</v>
      </c>
      <c r="AD1156" s="6">
        <v>-1.9399999999999977</v>
      </c>
      <c r="AE1156" s="6">
        <v>1.9399999999999977</v>
      </c>
    </row>
    <row r="1157" spans="2:31" ht="20" x14ac:dyDescent="0.25">
      <c r="B1157" s="55"/>
      <c r="C1157" s="55"/>
      <c r="D1157" s="4" t="s">
        <v>1803</v>
      </c>
      <c r="E1157" s="4" t="s">
        <v>1748</v>
      </c>
      <c r="F1157" s="4" t="s">
        <v>51</v>
      </c>
      <c r="G1157" s="4" t="s">
        <v>35</v>
      </c>
      <c r="H1157" s="54" t="s">
        <v>36</v>
      </c>
      <c r="I1157" s="52"/>
      <c r="J1157" s="57">
        <v>434.78</v>
      </c>
      <c r="K1157" s="52"/>
      <c r="L1157" s="6">
        <v>398.69326000000001</v>
      </c>
      <c r="M1157" s="6">
        <v>0.91700000000000004</v>
      </c>
      <c r="N1157" s="6">
        <v>434.73</v>
      </c>
      <c r="O1157" s="57">
        <v>398.64740999999998</v>
      </c>
      <c r="P1157" s="52"/>
      <c r="Q1157" s="6">
        <v>0.91699999999999993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0.05</v>
      </c>
      <c r="AB1157" s="6">
        <v>4.5850000000000002E-2</v>
      </c>
      <c r="AC1157" s="6">
        <v>0.91700000000000004</v>
      </c>
      <c r="AD1157" s="6">
        <v>-4.9999999999954525E-2</v>
      </c>
      <c r="AE1157" s="6">
        <v>4.9999999999954525E-2</v>
      </c>
    </row>
    <row r="1158" spans="2:31" ht="20" x14ac:dyDescent="0.25">
      <c r="B1158" s="55"/>
      <c r="C1158" s="55"/>
      <c r="D1158" s="4" t="s">
        <v>1804</v>
      </c>
      <c r="E1158" s="4" t="s">
        <v>1805</v>
      </c>
      <c r="F1158" s="4" t="s">
        <v>51</v>
      </c>
      <c r="G1158" s="4" t="s">
        <v>35</v>
      </c>
      <c r="H1158" s="54" t="s">
        <v>36</v>
      </c>
      <c r="I1158" s="52"/>
      <c r="J1158" s="57">
        <v>28.62</v>
      </c>
      <c r="K1158" s="52"/>
      <c r="L1158" s="6">
        <v>26.244540000000001</v>
      </c>
      <c r="M1158" s="6">
        <v>0.91700000000000004</v>
      </c>
      <c r="N1158" s="6">
        <v>25.95</v>
      </c>
      <c r="O1158" s="57">
        <v>23.796150000000001</v>
      </c>
      <c r="P1158" s="52"/>
      <c r="Q1158" s="6">
        <v>0.91700000000000004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2.67</v>
      </c>
      <c r="AB1158" s="6">
        <v>2.4483899999999998</v>
      </c>
      <c r="AC1158" s="6">
        <v>0.91699999999999993</v>
      </c>
      <c r="AD1158" s="6">
        <v>-2.6700000000000017</v>
      </c>
      <c r="AE1158" s="6">
        <v>2.6700000000000017</v>
      </c>
    </row>
    <row r="1159" spans="2:31" ht="20" x14ac:dyDescent="0.25">
      <c r="B1159" s="55"/>
      <c r="C1159" s="55"/>
      <c r="D1159" s="4" t="s">
        <v>1806</v>
      </c>
      <c r="E1159" s="4" t="s">
        <v>1807</v>
      </c>
      <c r="F1159" s="4" t="s">
        <v>51</v>
      </c>
      <c r="G1159" s="4" t="s">
        <v>35</v>
      </c>
      <c r="H1159" s="54" t="s">
        <v>36</v>
      </c>
      <c r="I1159" s="52"/>
      <c r="J1159" s="57">
        <v>19.721</v>
      </c>
      <c r="K1159" s="52"/>
      <c r="L1159" s="6">
        <v>18.084157000000001</v>
      </c>
      <c r="M1159" s="6">
        <v>0.91700000000000004</v>
      </c>
      <c r="N1159" s="6">
        <v>18.640999999999998</v>
      </c>
      <c r="O1159" s="57">
        <v>17.093796999999999</v>
      </c>
      <c r="P1159" s="52"/>
      <c r="Q1159" s="6">
        <v>0.91700000000000004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1.08</v>
      </c>
      <c r="AB1159" s="6">
        <v>0.99036000000000002</v>
      </c>
      <c r="AC1159" s="6">
        <v>0.91699999999999993</v>
      </c>
      <c r="AD1159" s="6">
        <v>-1.0800000000000018</v>
      </c>
      <c r="AE1159" s="6">
        <v>1.0800000000000018</v>
      </c>
    </row>
    <row r="1160" spans="2:31" ht="20" x14ac:dyDescent="0.25">
      <c r="B1160" s="55"/>
      <c r="C1160" s="55"/>
      <c r="D1160" s="4" t="s">
        <v>1808</v>
      </c>
      <c r="E1160" s="4" t="s">
        <v>1809</v>
      </c>
      <c r="F1160" s="4" t="s">
        <v>51</v>
      </c>
      <c r="G1160" s="4" t="s">
        <v>35</v>
      </c>
      <c r="H1160" s="54" t="s">
        <v>36</v>
      </c>
      <c r="I1160" s="52"/>
      <c r="J1160" s="57">
        <v>26.43</v>
      </c>
      <c r="K1160" s="52"/>
      <c r="L1160" s="6">
        <v>24.23631</v>
      </c>
      <c r="M1160" s="6">
        <v>0.91700000000000004</v>
      </c>
      <c r="N1160" s="6">
        <v>24.44</v>
      </c>
      <c r="O1160" s="57">
        <v>22.411480000000001</v>
      </c>
      <c r="P1160" s="52"/>
      <c r="Q1160" s="6">
        <v>0.91700000000000004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1.99</v>
      </c>
      <c r="AB1160" s="6">
        <v>1.82483</v>
      </c>
      <c r="AC1160" s="6">
        <v>0.91699999999999993</v>
      </c>
      <c r="AD1160" s="6">
        <v>-1.9899999999999984</v>
      </c>
      <c r="AE1160" s="6">
        <v>1.9899999999999984</v>
      </c>
    </row>
    <row r="1161" spans="2:31" ht="20" x14ac:dyDescent="0.25">
      <c r="B1161" s="55"/>
      <c r="C1161" s="55"/>
      <c r="D1161" s="4" t="s">
        <v>1810</v>
      </c>
      <c r="E1161" s="4" t="s">
        <v>1811</v>
      </c>
      <c r="F1161" s="4" t="s">
        <v>51</v>
      </c>
      <c r="G1161" s="4" t="s">
        <v>35</v>
      </c>
      <c r="H1161" s="54" t="s">
        <v>36</v>
      </c>
      <c r="I1161" s="52"/>
      <c r="J1161" s="57">
        <v>108.15</v>
      </c>
      <c r="K1161" s="52"/>
      <c r="L1161" s="6">
        <v>99.173550000000006</v>
      </c>
      <c r="M1161" s="6">
        <v>0.91700000000000004</v>
      </c>
      <c r="N1161" s="6">
        <v>100.6</v>
      </c>
      <c r="O1161" s="57">
        <v>92.250200000000007</v>
      </c>
      <c r="P1161" s="52"/>
      <c r="Q1161" s="6">
        <v>0.91700000000000015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7.55</v>
      </c>
      <c r="AB1161" s="6">
        <v>6.9233500000000001</v>
      </c>
      <c r="AC1161" s="6">
        <v>0.91700000000000004</v>
      </c>
      <c r="AD1161" s="6">
        <v>-7.5500000000000114</v>
      </c>
      <c r="AE1161" s="6">
        <v>7.5500000000000114</v>
      </c>
    </row>
    <row r="1162" spans="2:31" ht="20" x14ac:dyDescent="0.25">
      <c r="B1162" s="55"/>
      <c r="C1162" s="55"/>
      <c r="D1162" s="4" t="s">
        <v>1812</v>
      </c>
      <c r="E1162" s="4" t="s">
        <v>1813</v>
      </c>
      <c r="F1162" s="4" t="s">
        <v>51</v>
      </c>
      <c r="G1162" s="4" t="s">
        <v>35</v>
      </c>
      <c r="H1162" s="54" t="s">
        <v>36</v>
      </c>
      <c r="I1162" s="52"/>
      <c r="J1162" s="57">
        <v>13.88</v>
      </c>
      <c r="K1162" s="52"/>
      <c r="L1162" s="6">
        <v>12.727959999999999</v>
      </c>
      <c r="M1162" s="6">
        <v>0.91699999999999993</v>
      </c>
      <c r="N1162" s="6">
        <v>13.21</v>
      </c>
      <c r="O1162" s="57">
        <v>12.113569999999999</v>
      </c>
      <c r="P1162" s="52"/>
      <c r="Q1162" s="6">
        <v>0.91699999999999993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0.67</v>
      </c>
      <c r="AB1162" s="6">
        <v>0.61438999999999999</v>
      </c>
      <c r="AC1162" s="6">
        <v>0.91699999999999993</v>
      </c>
      <c r="AD1162" s="6">
        <v>-0.67</v>
      </c>
      <c r="AE1162" s="6">
        <v>0.67</v>
      </c>
    </row>
    <row r="1163" spans="2:31" ht="20" x14ac:dyDescent="0.25">
      <c r="B1163" s="55"/>
      <c r="C1163" s="55"/>
      <c r="D1163" s="4" t="s">
        <v>1814</v>
      </c>
      <c r="E1163" s="4" t="s">
        <v>1728</v>
      </c>
      <c r="F1163" s="4" t="s">
        <v>51</v>
      </c>
      <c r="G1163" s="4" t="s">
        <v>35</v>
      </c>
      <c r="H1163" s="54" t="s">
        <v>36</v>
      </c>
      <c r="I1163" s="52"/>
      <c r="J1163" s="57">
        <v>100.06</v>
      </c>
      <c r="K1163" s="52"/>
      <c r="L1163" s="6">
        <v>91.755020000000002</v>
      </c>
      <c r="M1163" s="6">
        <v>0.91700000000000004</v>
      </c>
      <c r="N1163" s="6">
        <v>96.89</v>
      </c>
      <c r="O1163" s="57">
        <v>88.848129999999998</v>
      </c>
      <c r="P1163" s="52"/>
      <c r="Q1163" s="6">
        <v>0.91699999999999993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3.17</v>
      </c>
      <c r="AB1163" s="6">
        <v>2.9068900000000002</v>
      </c>
      <c r="AC1163" s="6">
        <v>0.91700000000000004</v>
      </c>
      <c r="AD1163" s="6">
        <v>-3.1700000000000017</v>
      </c>
      <c r="AE1163" s="6">
        <v>3.1700000000000017</v>
      </c>
    </row>
    <row r="1164" spans="2:31" ht="20" x14ac:dyDescent="0.25">
      <c r="B1164" s="55"/>
      <c r="C1164" s="55"/>
      <c r="D1164" s="4" t="s">
        <v>1815</v>
      </c>
      <c r="E1164" s="4" t="s">
        <v>1816</v>
      </c>
      <c r="F1164" s="4" t="s">
        <v>51</v>
      </c>
      <c r="G1164" s="4" t="s">
        <v>35</v>
      </c>
      <c r="H1164" s="54" t="s">
        <v>36</v>
      </c>
      <c r="I1164" s="52"/>
      <c r="J1164" s="57">
        <v>105.42</v>
      </c>
      <c r="K1164" s="52"/>
      <c r="L1164" s="6">
        <v>96.670140000000004</v>
      </c>
      <c r="M1164" s="6">
        <v>0.91700000000000004</v>
      </c>
      <c r="N1164" s="6">
        <v>98.8</v>
      </c>
      <c r="O1164" s="57">
        <v>90.599599999999995</v>
      </c>
      <c r="P1164" s="52"/>
      <c r="Q1164" s="6">
        <v>0.91699999999999993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6.62</v>
      </c>
      <c r="AB1164" s="6">
        <v>6.0705400000000003</v>
      </c>
      <c r="AC1164" s="6">
        <v>0.91700000000000004</v>
      </c>
      <c r="AD1164" s="6">
        <v>-6.6200000000000045</v>
      </c>
      <c r="AE1164" s="6">
        <v>6.6200000000000045</v>
      </c>
    </row>
    <row r="1165" spans="2:31" x14ac:dyDescent="0.25">
      <c r="B1165" s="55"/>
      <c r="C1165" s="55"/>
      <c r="D1165" s="54" t="s">
        <v>1817</v>
      </c>
      <c r="E1165" s="4" t="s">
        <v>1710</v>
      </c>
      <c r="F1165" s="4" t="s">
        <v>51</v>
      </c>
      <c r="G1165" s="4" t="s">
        <v>35</v>
      </c>
      <c r="H1165" s="54" t="s">
        <v>36</v>
      </c>
      <c r="I1165" s="52"/>
      <c r="J1165" s="57">
        <v>68.28</v>
      </c>
      <c r="K1165" s="52"/>
      <c r="L1165" s="6">
        <v>62.612760000000002</v>
      </c>
      <c r="M1165" s="6">
        <v>0.91700000000000004</v>
      </c>
      <c r="N1165" s="6">
        <v>63.57</v>
      </c>
      <c r="O1165" s="57">
        <v>58.293689999999998</v>
      </c>
      <c r="P1165" s="52"/>
      <c r="Q1165" s="6">
        <v>0.91699999999999993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4.71</v>
      </c>
      <c r="AB1165" s="6">
        <v>4.31907</v>
      </c>
      <c r="AC1165" s="6">
        <v>0.91700000000000004</v>
      </c>
      <c r="AD1165" s="6">
        <v>-4.7100000000000009</v>
      </c>
      <c r="AE1165" s="6">
        <v>4.7100000000000009</v>
      </c>
    </row>
    <row r="1166" spans="2:31" x14ac:dyDescent="0.25">
      <c r="B1166" s="55"/>
      <c r="C1166" s="55"/>
      <c r="D1166" s="55"/>
      <c r="E1166" s="4" t="s">
        <v>1818</v>
      </c>
      <c r="F1166" s="4" t="s">
        <v>51</v>
      </c>
      <c r="G1166" s="4" t="s">
        <v>35</v>
      </c>
      <c r="H1166" s="54" t="s">
        <v>41</v>
      </c>
      <c r="I1166" s="52"/>
      <c r="J1166" s="57">
        <v>32.76</v>
      </c>
      <c r="K1166" s="52"/>
      <c r="L1166" s="6">
        <v>24.57</v>
      </c>
      <c r="M1166" s="6">
        <v>0.75</v>
      </c>
      <c r="N1166" s="6">
        <v>30.21</v>
      </c>
      <c r="O1166" s="57">
        <v>22.657499999999999</v>
      </c>
      <c r="P1166" s="52"/>
      <c r="Q1166" s="6">
        <v>0.74999999999999989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2.5499999999999998</v>
      </c>
      <c r="AB1166" s="6">
        <v>1.9125000000000001</v>
      </c>
      <c r="AC1166" s="6">
        <v>0.75000000000000011</v>
      </c>
      <c r="AD1166" s="6">
        <v>-2.5499999999999972</v>
      </c>
      <c r="AE1166" s="6">
        <v>2.5499999999999972</v>
      </c>
    </row>
    <row r="1167" spans="2:31" x14ac:dyDescent="0.25">
      <c r="B1167" s="55"/>
      <c r="C1167" s="55"/>
      <c r="D1167" s="56"/>
      <c r="E1167" s="4" t="s">
        <v>1819</v>
      </c>
      <c r="F1167" s="4" t="s">
        <v>51</v>
      </c>
      <c r="G1167" s="4" t="s">
        <v>35</v>
      </c>
      <c r="H1167" s="54" t="s">
        <v>36</v>
      </c>
      <c r="I1167" s="52"/>
      <c r="J1167" s="57">
        <v>17.61</v>
      </c>
      <c r="K1167" s="52"/>
      <c r="L1167" s="6">
        <v>16.14837</v>
      </c>
      <c r="M1167" s="6">
        <v>0.91700000000000004</v>
      </c>
      <c r="N1167" s="6">
        <v>15.91</v>
      </c>
      <c r="O1167" s="57">
        <v>14.58947</v>
      </c>
      <c r="P1167" s="52"/>
      <c r="Q1167" s="6">
        <v>0.91700000000000004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1.7</v>
      </c>
      <c r="AB1167" s="6">
        <v>1.5589</v>
      </c>
      <c r="AC1167" s="6">
        <v>0.91700000000000004</v>
      </c>
      <c r="AD1167" s="6">
        <v>-1.6999999999999993</v>
      </c>
      <c r="AE1167" s="6">
        <v>1.6999999999999993</v>
      </c>
    </row>
    <row r="1168" spans="2:31" x14ac:dyDescent="0.25">
      <c r="B1168" s="55"/>
      <c r="C1168" s="55"/>
      <c r="D1168" s="54" t="s">
        <v>1820</v>
      </c>
      <c r="E1168" s="4" t="s">
        <v>1821</v>
      </c>
      <c r="F1168" s="4" t="s">
        <v>51</v>
      </c>
      <c r="G1168" s="4" t="s">
        <v>35</v>
      </c>
      <c r="H1168" s="54" t="s">
        <v>41</v>
      </c>
      <c r="I1168" s="52"/>
      <c r="J1168" s="57">
        <v>24.83</v>
      </c>
      <c r="K1168" s="52"/>
      <c r="L1168" s="6">
        <v>18.622499999999999</v>
      </c>
      <c r="M1168" s="6">
        <v>0.75</v>
      </c>
      <c r="N1168" s="6">
        <v>22.56</v>
      </c>
      <c r="O1168" s="57">
        <v>16.920000000000002</v>
      </c>
      <c r="P1168" s="52"/>
      <c r="Q1168" s="6">
        <v>0.75000000000000011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2.27</v>
      </c>
      <c r="AB1168" s="6">
        <v>1.7024999999999999</v>
      </c>
      <c r="AC1168" s="6">
        <v>0.75</v>
      </c>
      <c r="AD1168" s="6">
        <v>-2.2699999999999996</v>
      </c>
      <c r="AE1168" s="6">
        <v>2.2699999999999996</v>
      </c>
    </row>
    <row r="1169" spans="2:31" x14ac:dyDescent="0.25">
      <c r="B1169" s="55"/>
      <c r="C1169" s="55"/>
      <c r="D1169" s="56"/>
      <c r="E1169" s="4" t="s">
        <v>1822</v>
      </c>
      <c r="F1169" s="4" t="s">
        <v>51</v>
      </c>
      <c r="G1169" s="4" t="s">
        <v>35</v>
      </c>
      <c r="H1169" s="54" t="s">
        <v>36</v>
      </c>
      <c r="I1169" s="52"/>
      <c r="J1169" s="57">
        <v>34.32</v>
      </c>
      <c r="K1169" s="52"/>
      <c r="L1169" s="6">
        <v>31.471440000000001</v>
      </c>
      <c r="M1169" s="6">
        <v>0.91700000000000004</v>
      </c>
      <c r="N1169" s="6">
        <v>30.84</v>
      </c>
      <c r="O1169" s="57">
        <v>28.280280000000001</v>
      </c>
      <c r="P1169" s="52"/>
      <c r="Q1169" s="6">
        <v>0.91700000000000004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3.48</v>
      </c>
      <c r="AB1169" s="6">
        <v>3.19116</v>
      </c>
      <c r="AC1169" s="6">
        <v>0.91700000000000004</v>
      </c>
      <c r="AD1169" s="6">
        <v>-3.4800000000000004</v>
      </c>
      <c r="AE1169" s="6">
        <v>3.4800000000000004</v>
      </c>
    </row>
    <row r="1170" spans="2:31" ht="20" x14ac:dyDescent="0.25">
      <c r="B1170" s="55"/>
      <c r="C1170" s="55"/>
      <c r="D1170" s="4" t="s">
        <v>1823</v>
      </c>
      <c r="E1170" s="4" t="s">
        <v>1824</v>
      </c>
      <c r="F1170" s="4" t="s">
        <v>51</v>
      </c>
      <c r="G1170" s="4" t="s">
        <v>35</v>
      </c>
      <c r="H1170" s="54" t="s">
        <v>36</v>
      </c>
      <c r="I1170" s="52"/>
      <c r="J1170" s="57">
        <v>406.33</v>
      </c>
      <c r="K1170" s="52"/>
      <c r="L1170" s="6">
        <v>372.60460999999998</v>
      </c>
      <c r="M1170" s="6">
        <v>0.91700000000000004</v>
      </c>
      <c r="N1170" s="6">
        <v>403.43</v>
      </c>
      <c r="O1170" s="57">
        <v>369.94531000000001</v>
      </c>
      <c r="P1170" s="52"/>
      <c r="Q1170" s="6">
        <v>0.91700000000000004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2.9</v>
      </c>
      <c r="AB1170" s="6">
        <v>2.6593</v>
      </c>
      <c r="AC1170" s="6">
        <v>0.91700000000000004</v>
      </c>
      <c r="AD1170" s="6">
        <v>-2.8999999999999773</v>
      </c>
      <c r="AE1170" s="6">
        <v>2.8999999999999773</v>
      </c>
    </row>
    <row r="1171" spans="2:31" ht="20" x14ac:dyDescent="0.25">
      <c r="B1171" s="55"/>
      <c r="C1171" s="55"/>
      <c r="D1171" s="4" t="s">
        <v>1825</v>
      </c>
      <c r="E1171" s="4" t="s">
        <v>1826</v>
      </c>
      <c r="F1171" s="4" t="s">
        <v>51</v>
      </c>
      <c r="G1171" s="4" t="s">
        <v>35</v>
      </c>
      <c r="H1171" s="54" t="s">
        <v>48</v>
      </c>
      <c r="I1171" s="52"/>
      <c r="J1171" s="57">
        <v>18.920000000000002</v>
      </c>
      <c r="K1171" s="52"/>
      <c r="L1171" s="6">
        <v>14.19</v>
      </c>
      <c r="M1171" s="6">
        <v>0.74999999999999989</v>
      </c>
      <c r="N1171" s="6">
        <v>17.84</v>
      </c>
      <c r="O1171" s="57">
        <v>13.38</v>
      </c>
      <c r="P1171" s="52"/>
      <c r="Q1171" s="6">
        <v>0.75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1.08</v>
      </c>
      <c r="AB1171" s="6">
        <v>0.81</v>
      </c>
      <c r="AC1171" s="6">
        <v>0.75</v>
      </c>
      <c r="AD1171" s="6">
        <v>-1.0800000000000018</v>
      </c>
      <c r="AE1171" s="6">
        <v>1.0800000000000018</v>
      </c>
    </row>
    <row r="1172" spans="2:31" x14ac:dyDescent="0.25">
      <c r="B1172" s="55"/>
      <c r="C1172" s="55"/>
      <c r="D1172" s="54" t="s">
        <v>1827</v>
      </c>
      <c r="E1172" s="4" t="s">
        <v>1828</v>
      </c>
      <c r="F1172" s="4" t="s">
        <v>51</v>
      </c>
      <c r="G1172" s="4" t="s">
        <v>35</v>
      </c>
      <c r="H1172" s="54" t="s">
        <v>36</v>
      </c>
      <c r="I1172" s="52"/>
      <c r="J1172" s="57">
        <v>15.87</v>
      </c>
      <c r="K1172" s="52"/>
      <c r="L1172" s="6">
        <v>14.55279</v>
      </c>
      <c r="M1172" s="6">
        <v>0.91700000000000004</v>
      </c>
      <c r="N1172" s="6">
        <v>14.87</v>
      </c>
      <c r="O1172" s="57">
        <v>13.63579</v>
      </c>
      <c r="P1172" s="52"/>
      <c r="Q1172" s="6">
        <v>0.91700000000000004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1</v>
      </c>
      <c r="AB1172" s="6">
        <v>0.91700000000000004</v>
      </c>
      <c r="AC1172" s="6">
        <v>0.91700000000000004</v>
      </c>
      <c r="AD1172" s="6">
        <v>-1</v>
      </c>
      <c r="AE1172" s="6">
        <v>1</v>
      </c>
    </row>
    <row r="1173" spans="2:31" x14ac:dyDescent="0.25">
      <c r="B1173" s="55"/>
      <c r="C1173" s="55"/>
      <c r="D1173" s="55"/>
      <c r="E1173" s="4" t="s">
        <v>1829</v>
      </c>
      <c r="F1173" s="4" t="s">
        <v>51</v>
      </c>
      <c r="G1173" s="4" t="s">
        <v>35</v>
      </c>
      <c r="H1173" s="54" t="s">
        <v>36</v>
      </c>
      <c r="I1173" s="52"/>
      <c r="J1173" s="57">
        <v>13.76</v>
      </c>
      <c r="K1173" s="52"/>
      <c r="L1173" s="6">
        <v>12.61792</v>
      </c>
      <c r="M1173" s="6">
        <v>0.91700000000000004</v>
      </c>
      <c r="N1173" s="6">
        <v>13.09</v>
      </c>
      <c r="O1173" s="57">
        <v>12.00353</v>
      </c>
      <c r="P1173" s="52"/>
      <c r="Q1173" s="6">
        <v>0.91699999999999993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0.67</v>
      </c>
      <c r="AB1173" s="6">
        <v>0.61438999999999999</v>
      </c>
      <c r="AC1173" s="6">
        <v>0.91699999999999993</v>
      </c>
      <c r="AD1173" s="6">
        <v>-0.67</v>
      </c>
      <c r="AE1173" s="6">
        <v>0.67</v>
      </c>
    </row>
    <row r="1174" spans="2:31" x14ac:dyDescent="0.25">
      <c r="B1174" s="55"/>
      <c r="C1174" s="55"/>
      <c r="D1174" s="55"/>
      <c r="E1174" s="4" t="s">
        <v>1830</v>
      </c>
      <c r="F1174" s="4" t="s">
        <v>51</v>
      </c>
      <c r="G1174" s="4" t="s">
        <v>35</v>
      </c>
      <c r="H1174" s="54" t="s">
        <v>36</v>
      </c>
      <c r="I1174" s="52"/>
      <c r="J1174" s="57">
        <v>13.74</v>
      </c>
      <c r="K1174" s="52"/>
      <c r="L1174" s="6">
        <v>12.59958</v>
      </c>
      <c r="M1174" s="6">
        <v>0.91699999999999993</v>
      </c>
      <c r="N1174" s="6">
        <v>13.07</v>
      </c>
      <c r="O1174" s="57">
        <v>11.985189999999999</v>
      </c>
      <c r="P1174" s="52"/>
      <c r="Q1174" s="6">
        <v>0.91699999999999993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0.67</v>
      </c>
      <c r="AB1174" s="6">
        <v>0.61438999999999999</v>
      </c>
      <c r="AC1174" s="6">
        <v>0.91699999999999993</v>
      </c>
      <c r="AD1174" s="6">
        <v>-0.67</v>
      </c>
      <c r="AE1174" s="6">
        <v>0.67</v>
      </c>
    </row>
    <row r="1175" spans="2:31" x14ac:dyDescent="0.25">
      <c r="B1175" s="55"/>
      <c r="C1175" s="55"/>
      <c r="D1175" s="56"/>
      <c r="E1175" s="4" t="s">
        <v>1831</v>
      </c>
      <c r="F1175" s="4" t="s">
        <v>51</v>
      </c>
      <c r="G1175" s="4" t="s">
        <v>35</v>
      </c>
      <c r="H1175" s="54" t="s">
        <v>36</v>
      </c>
      <c r="I1175" s="52"/>
      <c r="J1175" s="57">
        <v>15.83</v>
      </c>
      <c r="K1175" s="52"/>
      <c r="L1175" s="6">
        <v>14.516109999999999</v>
      </c>
      <c r="M1175" s="6">
        <v>0.91699999999999993</v>
      </c>
      <c r="N1175" s="6">
        <v>14.99</v>
      </c>
      <c r="O1175" s="57">
        <v>13.74583</v>
      </c>
      <c r="P1175" s="52"/>
      <c r="Q1175" s="6">
        <v>0.91699999999999993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0.84</v>
      </c>
      <c r="AB1175" s="6">
        <v>0.77027999999999996</v>
      </c>
      <c r="AC1175" s="6">
        <v>0.91700000000000004</v>
      </c>
      <c r="AD1175" s="6">
        <v>-0.83999999999999986</v>
      </c>
      <c r="AE1175" s="6">
        <v>0.83999999999999986</v>
      </c>
    </row>
    <row r="1176" spans="2:31" ht="20" x14ac:dyDescent="0.25">
      <c r="B1176" s="55"/>
      <c r="C1176" s="55"/>
      <c r="D1176" s="4" t="s">
        <v>1832</v>
      </c>
      <c r="E1176" s="4" t="s">
        <v>1719</v>
      </c>
      <c r="F1176" s="4" t="s">
        <v>51</v>
      </c>
      <c r="G1176" s="4" t="s">
        <v>35</v>
      </c>
      <c r="H1176" s="54" t="s">
        <v>36</v>
      </c>
      <c r="I1176" s="52"/>
      <c r="J1176" s="57">
        <v>140.75</v>
      </c>
      <c r="K1176" s="52"/>
      <c r="L1176" s="6">
        <v>129.06774999999999</v>
      </c>
      <c r="M1176" s="6">
        <v>0.91699999999999993</v>
      </c>
      <c r="N1176" s="6">
        <v>133.75</v>
      </c>
      <c r="O1176" s="57">
        <v>122.64875000000001</v>
      </c>
      <c r="P1176" s="52"/>
      <c r="Q1176" s="6">
        <v>0.91700000000000004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7</v>
      </c>
      <c r="AB1176" s="6">
        <v>6.4189999999999996</v>
      </c>
      <c r="AC1176" s="6">
        <v>0.91699999999999993</v>
      </c>
      <c r="AD1176" s="6">
        <v>-7</v>
      </c>
      <c r="AE1176" s="6">
        <v>7</v>
      </c>
    </row>
    <row r="1177" spans="2:31" ht="20" x14ac:dyDescent="0.25">
      <c r="B1177" s="55"/>
      <c r="C1177" s="55"/>
      <c r="D1177" s="4" t="s">
        <v>1833</v>
      </c>
      <c r="E1177" s="4" t="s">
        <v>1834</v>
      </c>
      <c r="F1177" s="4" t="s">
        <v>51</v>
      </c>
      <c r="G1177" s="4" t="s">
        <v>35</v>
      </c>
      <c r="H1177" s="54" t="s">
        <v>36</v>
      </c>
      <c r="I1177" s="52"/>
      <c r="J1177" s="57">
        <v>108.18</v>
      </c>
      <c r="K1177" s="52"/>
      <c r="L1177" s="6">
        <v>99.201059999999998</v>
      </c>
      <c r="M1177" s="6">
        <v>0.91699999999999993</v>
      </c>
      <c r="N1177" s="6">
        <v>103.45</v>
      </c>
      <c r="O1177" s="57">
        <v>94.863650000000007</v>
      </c>
      <c r="P1177" s="52"/>
      <c r="Q1177" s="6">
        <v>0.91700000000000004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4.7300000000000004</v>
      </c>
      <c r="AB1177" s="6">
        <v>4.3374100000000002</v>
      </c>
      <c r="AC1177" s="6">
        <v>0.91699999999999993</v>
      </c>
      <c r="AD1177" s="6">
        <v>-4.730000000000004</v>
      </c>
      <c r="AE1177" s="6">
        <v>4.730000000000004</v>
      </c>
    </row>
    <row r="1178" spans="2:31" ht="20" x14ac:dyDescent="0.25">
      <c r="B1178" s="55"/>
      <c r="C1178" s="55"/>
      <c r="D1178" s="4" t="s">
        <v>1835</v>
      </c>
      <c r="E1178" s="4" t="s">
        <v>1824</v>
      </c>
      <c r="F1178" s="4" t="s">
        <v>51</v>
      </c>
      <c r="G1178" s="4" t="s">
        <v>35</v>
      </c>
      <c r="H1178" s="54" t="s">
        <v>36</v>
      </c>
      <c r="I1178" s="52"/>
      <c r="J1178" s="57">
        <v>403.43</v>
      </c>
      <c r="K1178" s="52"/>
      <c r="L1178" s="6">
        <v>369.94531000000001</v>
      </c>
      <c r="M1178" s="6">
        <v>0.91700000000000004</v>
      </c>
      <c r="N1178" s="6">
        <v>402.9</v>
      </c>
      <c r="O1178" s="57">
        <v>369.45929999999998</v>
      </c>
      <c r="P1178" s="52"/>
      <c r="Q1178" s="6">
        <v>0.91700000000000004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0.53</v>
      </c>
      <c r="AB1178" s="6">
        <v>0.48601</v>
      </c>
      <c r="AC1178" s="6">
        <v>0.91699999999999993</v>
      </c>
      <c r="AD1178" s="6">
        <v>-0.53000000000002956</v>
      </c>
      <c r="AE1178" s="6">
        <v>0.53000000000002956</v>
      </c>
    </row>
    <row r="1179" spans="2:31" ht="20" x14ac:dyDescent="0.25">
      <c r="B1179" s="55"/>
      <c r="C1179" s="55"/>
      <c r="D1179" s="4" t="s">
        <v>1836</v>
      </c>
      <c r="E1179" s="4" t="s">
        <v>1837</v>
      </c>
      <c r="F1179" s="4" t="s">
        <v>51</v>
      </c>
      <c r="G1179" s="4" t="s">
        <v>35</v>
      </c>
      <c r="H1179" s="54" t="s">
        <v>48</v>
      </c>
      <c r="I1179" s="52"/>
      <c r="J1179" s="57">
        <v>7.181</v>
      </c>
      <c r="K1179" s="52"/>
      <c r="L1179" s="6">
        <v>5.3857499999999998</v>
      </c>
      <c r="M1179" s="6">
        <v>0.75</v>
      </c>
      <c r="N1179" s="6">
        <v>6.891</v>
      </c>
      <c r="O1179" s="57">
        <v>5.1682499999999996</v>
      </c>
      <c r="P1179" s="52"/>
      <c r="Q1179" s="6">
        <v>0.74999999999999989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0.28999999999999998</v>
      </c>
      <c r="AB1179" s="6">
        <v>0.2175</v>
      </c>
      <c r="AC1179" s="6">
        <v>0.75</v>
      </c>
      <c r="AD1179" s="6">
        <v>-0.29000000000000004</v>
      </c>
      <c r="AE1179" s="6">
        <v>0.29000000000000004</v>
      </c>
    </row>
    <row r="1180" spans="2:31" ht="20" x14ac:dyDescent="0.25">
      <c r="B1180" s="55"/>
      <c r="C1180" s="55"/>
      <c r="D1180" s="4" t="s">
        <v>1838</v>
      </c>
      <c r="E1180" s="4" t="s">
        <v>1839</v>
      </c>
      <c r="F1180" s="4" t="s">
        <v>51</v>
      </c>
      <c r="G1180" s="4" t="s">
        <v>35</v>
      </c>
      <c r="H1180" s="54" t="s">
        <v>48</v>
      </c>
      <c r="I1180" s="52"/>
      <c r="J1180" s="57">
        <v>3.0139999999999998</v>
      </c>
      <c r="K1180" s="52"/>
      <c r="L1180" s="6">
        <v>2.2605</v>
      </c>
      <c r="M1180" s="6">
        <v>0.75</v>
      </c>
      <c r="N1180" s="6">
        <v>2.8340000000000001</v>
      </c>
      <c r="O1180" s="57">
        <v>2.1255000000000002</v>
      </c>
      <c r="P1180" s="52"/>
      <c r="Q1180" s="6">
        <v>0.75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0.18</v>
      </c>
      <c r="AB1180" s="6">
        <v>0.13500000000000001</v>
      </c>
      <c r="AC1180" s="6">
        <v>0.75000000000000011</v>
      </c>
      <c r="AD1180" s="6">
        <v>-0.17999999999999972</v>
      </c>
      <c r="AE1180" s="6">
        <v>0.17999999999999972</v>
      </c>
    </row>
    <row r="1181" spans="2:31" ht="20" x14ac:dyDescent="0.25">
      <c r="B1181" s="55"/>
      <c r="C1181" s="55"/>
      <c r="D1181" s="4" t="s">
        <v>1840</v>
      </c>
      <c r="E1181" s="4" t="s">
        <v>1841</v>
      </c>
      <c r="F1181" s="4" t="s">
        <v>51</v>
      </c>
      <c r="G1181" s="4" t="s">
        <v>35</v>
      </c>
      <c r="H1181" s="54" t="s">
        <v>36</v>
      </c>
      <c r="I1181" s="52"/>
      <c r="J1181" s="57">
        <v>42.44</v>
      </c>
      <c r="K1181" s="52"/>
      <c r="L1181" s="6">
        <v>38.917479999999998</v>
      </c>
      <c r="M1181" s="6">
        <v>0.91700000000000004</v>
      </c>
      <c r="N1181" s="6">
        <v>40.659999999999997</v>
      </c>
      <c r="O1181" s="57">
        <v>37.285220000000002</v>
      </c>
      <c r="P1181" s="52"/>
      <c r="Q1181" s="6">
        <v>0.91700000000000015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1.78</v>
      </c>
      <c r="AB1181" s="6">
        <v>1.63226</v>
      </c>
      <c r="AC1181" s="6">
        <v>0.91700000000000004</v>
      </c>
      <c r="AD1181" s="6">
        <v>-1.7800000000000011</v>
      </c>
      <c r="AE1181" s="6">
        <v>1.7800000000000011</v>
      </c>
    </row>
    <row r="1182" spans="2:31" ht="20" x14ac:dyDescent="0.25">
      <c r="B1182" s="55"/>
      <c r="C1182" s="55"/>
      <c r="D1182" s="4" t="s">
        <v>1842</v>
      </c>
      <c r="E1182" s="4" t="s">
        <v>1843</v>
      </c>
      <c r="F1182" s="4" t="s">
        <v>51</v>
      </c>
      <c r="G1182" s="4" t="s">
        <v>35</v>
      </c>
      <c r="H1182" s="54" t="s">
        <v>36</v>
      </c>
      <c r="I1182" s="52"/>
      <c r="J1182" s="57">
        <v>91.02</v>
      </c>
      <c r="K1182" s="52"/>
      <c r="L1182" s="6">
        <v>83.465339999999998</v>
      </c>
      <c r="M1182" s="6">
        <v>0.91700000000000004</v>
      </c>
      <c r="N1182" s="6">
        <v>85.65</v>
      </c>
      <c r="O1182" s="57">
        <v>78.541049999999998</v>
      </c>
      <c r="P1182" s="52"/>
      <c r="Q1182" s="6">
        <v>0.91699999999999993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5.37</v>
      </c>
      <c r="AB1182" s="6">
        <v>4.9242900000000001</v>
      </c>
      <c r="AC1182" s="6">
        <v>0.91700000000000004</v>
      </c>
      <c r="AD1182" s="6">
        <v>-5.3699999999999903</v>
      </c>
      <c r="AE1182" s="6">
        <v>5.3699999999999903</v>
      </c>
    </row>
    <row r="1183" spans="2:31" ht="20" x14ac:dyDescent="0.25">
      <c r="B1183" s="55"/>
      <c r="C1183" s="55"/>
      <c r="D1183" s="4" t="s">
        <v>1844</v>
      </c>
      <c r="E1183" s="4" t="s">
        <v>1845</v>
      </c>
      <c r="F1183" s="4" t="s">
        <v>51</v>
      </c>
      <c r="G1183" s="4" t="s">
        <v>35</v>
      </c>
      <c r="H1183" s="54" t="s">
        <v>48</v>
      </c>
      <c r="I1183" s="52"/>
      <c r="J1183" s="57">
        <v>50.98</v>
      </c>
      <c r="K1183" s="52"/>
      <c r="L1183" s="6">
        <v>38.234999999999999</v>
      </c>
      <c r="M1183" s="6">
        <v>0.75</v>
      </c>
      <c r="N1183" s="6">
        <v>47</v>
      </c>
      <c r="O1183" s="57">
        <v>35.25</v>
      </c>
      <c r="P1183" s="52"/>
      <c r="Q1183" s="6">
        <v>0.75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3.98</v>
      </c>
      <c r="AB1183" s="6">
        <v>2.9849999999999999</v>
      </c>
      <c r="AC1183" s="6">
        <v>0.75</v>
      </c>
      <c r="AD1183" s="6">
        <v>-3.9799999999999969</v>
      </c>
      <c r="AE1183" s="6">
        <v>3.9799999999999969</v>
      </c>
    </row>
    <row r="1184" spans="2:31" ht="20" x14ac:dyDescent="0.25">
      <c r="B1184" s="55"/>
      <c r="C1184" s="55"/>
      <c r="D1184" s="4" t="s">
        <v>1846</v>
      </c>
      <c r="E1184" s="4" t="s">
        <v>1847</v>
      </c>
      <c r="F1184" s="4" t="s">
        <v>51</v>
      </c>
      <c r="G1184" s="4" t="s">
        <v>35</v>
      </c>
      <c r="H1184" s="54" t="s">
        <v>41</v>
      </c>
      <c r="I1184" s="52"/>
      <c r="J1184" s="57">
        <v>47.61</v>
      </c>
      <c r="K1184" s="52"/>
      <c r="L1184" s="6">
        <v>35.707500000000003</v>
      </c>
      <c r="M1184" s="6">
        <v>0.75000000000000011</v>
      </c>
      <c r="N1184" s="6">
        <v>43.36</v>
      </c>
      <c r="O1184" s="57">
        <v>32.520000000000003</v>
      </c>
      <c r="P1184" s="52"/>
      <c r="Q1184" s="6">
        <v>0.75000000000000011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4.25</v>
      </c>
      <c r="AB1184" s="6">
        <v>3.1875</v>
      </c>
      <c r="AC1184" s="6">
        <v>0.75</v>
      </c>
      <c r="AD1184" s="6">
        <v>-4.25</v>
      </c>
      <c r="AE1184" s="6">
        <v>4.25</v>
      </c>
    </row>
    <row r="1185" spans="2:31" ht="20" x14ac:dyDescent="0.25">
      <c r="B1185" s="55"/>
      <c r="C1185" s="55"/>
      <c r="D1185" s="4" t="s">
        <v>1848</v>
      </c>
      <c r="E1185" s="4" t="s">
        <v>1787</v>
      </c>
      <c r="F1185" s="4" t="s">
        <v>51</v>
      </c>
      <c r="G1185" s="4" t="s">
        <v>35</v>
      </c>
      <c r="H1185" s="54" t="s">
        <v>36</v>
      </c>
      <c r="I1185" s="52"/>
      <c r="J1185" s="57">
        <v>70.81</v>
      </c>
      <c r="K1185" s="52"/>
      <c r="L1185" s="6">
        <v>64.932770000000005</v>
      </c>
      <c r="M1185" s="6">
        <v>0.91700000000000004</v>
      </c>
      <c r="N1185" s="6">
        <v>67.510000000000005</v>
      </c>
      <c r="O1185" s="57">
        <v>61.906669999999998</v>
      </c>
      <c r="P1185" s="52"/>
      <c r="Q1185" s="6">
        <v>0.91699999999999993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3.3</v>
      </c>
      <c r="AB1185" s="6">
        <v>3.0261</v>
      </c>
      <c r="AC1185" s="6">
        <v>0.91700000000000004</v>
      </c>
      <c r="AD1185" s="6">
        <v>-3.2999999999999972</v>
      </c>
      <c r="AE1185" s="6">
        <v>3.2999999999999972</v>
      </c>
    </row>
    <row r="1186" spans="2:31" ht="20" x14ac:dyDescent="0.25">
      <c r="B1186" s="55"/>
      <c r="C1186" s="55"/>
      <c r="D1186" s="4" t="s">
        <v>1849</v>
      </c>
      <c r="E1186" s="4" t="s">
        <v>1515</v>
      </c>
      <c r="F1186" s="4" t="s">
        <v>51</v>
      </c>
      <c r="G1186" s="4" t="s">
        <v>35</v>
      </c>
      <c r="H1186" s="54" t="s">
        <v>36</v>
      </c>
      <c r="I1186" s="52"/>
      <c r="J1186" s="57">
        <v>214.64</v>
      </c>
      <c r="K1186" s="52"/>
      <c r="L1186" s="6">
        <v>196.82488000000001</v>
      </c>
      <c r="M1186" s="6">
        <v>0.91700000000000004</v>
      </c>
      <c r="N1186" s="6">
        <v>214.32</v>
      </c>
      <c r="O1186" s="57">
        <v>196.53144</v>
      </c>
      <c r="P1186" s="52"/>
      <c r="Q1186" s="6">
        <v>0.91700000000000004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0.32</v>
      </c>
      <c r="AB1186" s="6">
        <v>0.29343999999999998</v>
      </c>
      <c r="AC1186" s="6">
        <v>0.91699999999999993</v>
      </c>
      <c r="AD1186" s="6">
        <v>-0.31999999999999318</v>
      </c>
      <c r="AE1186" s="6">
        <v>0.31999999999999318</v>
      </c>
    </row>
    <row r="1187" spans="2:31" x14ac:dyDescent="0.25">
      <c r="B1187" s="55"/>
      <c r="C1187" s="55"/>
      <c r="D1187" s="54" t="s">
        <v>1850</v>
      </c>
      <c r="E1187" s="54" t="s">
        <v>338</v>
      </c>
      <c r="F1187" s="54" t="s">
        <v>51</v>
      </c>
      <c r="G1187" s="54" t="s">
        <v>35</v>
      </c>
      <c r="H1187" s="54" t="s">
        <v>48</v>
      </c>
      <c r="I1187" s="52"/>
      <c r="J1187" s="57">
        <v>12.04</v>
      </c>
      <c r="K1187" s="52"/>
      <c r="L1187" s="6">
        <v>9.0299999999999994</v>
      </c>
      <c r="M1187" s="6">
        <v>0.75</v>
      </c>
      <c r="N1187" s="6">
        <v>12.01</v>
      </c>
      <c r="O1187" s="57">
        <v>9.0075000000000003</v>
      </c>
      <c r="P1187" s="52"/>
      <c r="Q1187" s="6">
        <v>0.75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0.03</v>
      </c>
      <c r="AB1187" s="6">
        <v>2.2499999999999999E-2</v>
      </c>
      <c r="AC1187" s="6">
        <v>0.75</v>
      </c>
      <c r="AD1187" s="6">
        <v>-2.9999999999999361E-2</v>
      </c>
      <c r="AE1187" s="6">
        <v>2.9999999999999361E-2</v>
      </c>
    </row>
    <row r="1188" spans="2:31" x14ac:dyDescent="0.25">
      <c r="B1188" s="55"/>
      <c r="C1188" s="55"/>
      <c r="D1188" s="55"/>
      <c r="E1188" s="55"/>
      <c r="F1188" s="55"/>
      <c r="G1188" s="55"/>
      <c r="H1188" s="54" t="s">
        <v>41</v>
      </c>
      <c r="I1188" s="52"/>
      <c r="J1188" s="57">
        <v>6.07</v>
      </c>
      <c r="K1188" s="52"/>
      <c r="L1188" s="6">
        <v>4.5525000000000002</v>
      </c>
      <c r="M1188" s="6">
        <v>0.75</v>
      </c>
      <c r="N1188" s="6">
        <v>5.69</v>
      </c>
      <c r="O1188" s="57">
        <v>4.2675000000000001</v>
      </c>
      <c r="P1188" s="52"/>
      <c r="Q1188" s="6">
        <v>0.75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0.38</v>
      </c>
      <c r="AB1188" s="6">
        <v>0.28499999999999998</v>
      </c>
      <c r="AC1188" s="6">
        <v>0.74999999999999989</v>
      </c>
      <c r="AD1188" s="6">
        <v>-0.37999999999999989</v>
      </c>
      <c r="AE1188" s="6">
        <v>0.37999999999999989</v>
      </c>
    </row>
    <row r="1189" spans="2:31" x14ac:dyDescent="0.25">
      <c r="B1189" s="55"/>
      <c r="C1189" s="55"/>
      <c r="D1189" s="56"/>
      <c r="E1189" s="56"/>
      <c r="F1189" s="56"/>
      <c r="G1189" s="56"/>
      <c r="H1189" s="54" t="s">
        <v>36</v>
      </c>
      <c r="I1189" s="52"/>
      <c r="J1189" s="57">
        <v>17.579999999999998</v>
      </c>
      <c r="K1189" s="52"/>
      <c r="L1189" s="6">
        <v>16.12086</v>
      </c>
      <c r="M1189" s="6">
        <v>0.91700000000000015</v>
      </c>
      <c r="N1189" s="6">
        <v>11.14</v>
      </c>
      <c r="O1189" s="57">
        <v>10.21538</v>
      </c>
      <c r="P1189" s="52"/>
      <c r="Q1189" s="6">
        <v>0.91699999999999993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6.44</v>
      </c>
      <c r="AB1189" s="6">
        <v>5.9054799999999998</v>
      </c>
      <c r="AC1189" s="6">
        <v>0.91699999999999993</v>
      </c>
      <c r="AD1189" s="6">
        <v>-6.4399999999999977</v>
      </c>
      <c r="AE1189" s="6">
        <v>6.4399999999999977</v>
      </c>
    </row>
    <row r="1190" spans="2:31" x14ac:dyDescent="0.25">
      <c r="B1190" s="55"/>
      <c r="C1190" s="55"/>
      <c r="D1190" s="54" t="s">
        <v>1851</v>
      </c>
      <c r="E1190" s="54" t="s">
        <v>338</v>
      </c>
      <c r="F1190" s="54" t="s">
        <v>51</v>
      </c>
      <c r="G1190" s="54" t="s">
        <v>35</v>
      </c>
      <c r="H1190" s="54" t="s">
        <v>48</v>
      </c>
      <c r="I1190" s="52"/>
      <c r="J1190" s="57">
        <v>12.01</v>
      </c>
      <c r="K1190" s="52"/>
      <c r="L1190" s="6">
        <v>9.0075000000000003</v>
      </c>
      <c r="M1190" s="6">
        <v>0.75</v>
      </c>
      <c r="N1190" s="6">
        <v>11.89</v>
      </c>
      <c r="O1190" s="57">
        <v>8.9175000000000004</v>
      </c>
      <c r="P1190" s="52"/>
      <c r="Q1190" s="6">
        <v>0.75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0.12</v>
      </c>
      <c r="AB1190" s="6">
        <v>0.09</v>
      </c>
      <c r="AC1190" s="6">
        <v>0.75</v>
      </c>
      <c r="AD1190" s="6">
        <v>-0.11999999999999922</v>
      </c>
      <c r="AE1190" s="6">
        <v>0.11999999999999922</v>
      </c>
    </row>
    <row r="1191" spans="2:31" x14ac:dyDescent="0.25">
      <c r="B1191" s="55"/>
      <c r="C1191" s="55"/>
      <c r="D1191" s="55"/>
      <c r="E1191" s="55"/>
      <c r="F1191" s="55"/>
      <c r="G1191" s="55"/>
      <c r="H1191" s="54" t="s">
        <v>41</v>
      </c>
      <c r="I1191" s="52"/>
      <c r="J1191" s="57">
        <v>5.69</v>
      </c>
      <c r="K1191" s="52"/>
      <c r="L1191" s="6">
        <v>4.2675000000000001</v>
      </c>
      <c r="M1191" s="6">
        <v>0.75</v>
      </c>
      <c r="N1191" s="6">
        <v>5.47</v>
      </c>
      <c r="O1191" s="57">
        <v>4.1025</v>
      </c>
      <c r="P1191" s="52"/>
      <c r="Q1191" s="6">
        <v>0.75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0.22</v>
      </c>
      <c r="AB1191" s="6">
        <v>0.16500000000000001</v>
      </c>
      <c r="AC1191" s="6">
        <v>0.75</v>
      </c>
      <c r="AD1191" s="6">
        <v>-0.22000000000000064</v>
      </c>
      <c r="AE1191" s="6">
        <v>0.22000000000000064</v>
      </c>
    </row>
    <row r="1192" spans="2:31" x14ac:dyDescent="0.25">
      <c r="B1192" s="55"/>
      <c r="C1192" s="56"/>
      <c r="D1192" s="56"/>
      <c r="E1192" s="56"/>
      <c r="F1192" s="56"/>
      <c r="G1192" s="56"/>
      <c r="H1192" s="54" t="s">
        <v>36</v>
      </c>
      <c r="I1192" s="52"/>
      <c r="J1192" s="57">
        <v>11.14</v>
      </c>
      <c r="K1192" s="52"/>
      <c r="L1192" s="6">
        <v>10.21538</v>
      </c>
      <c r="M1192" s="6">
        <v>0.91699999999999993</v>
      </c>
      <c r="N1192" s="6">
        <v>5.68</v>
      </c>
      <c r="O1192" s="57">
        <v>5.2085600000000003</v>
      </c>
      <c r="P1192" s="52"/>
      <c r="Q1192" s="6">
        <v>0.91700000000000015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5.46</v>
      </c>
      <c r="AB1192" s="6">
        <v>5.0068200000000003</v>
      </c>
      <c r="AC1192" s="6">
        <v>0.91700000000000004</v>
      </c>
      <c r="AD1192" s="6">
        <v>-5.4600000000000009</v>
      </c>
      <c r="AE1192" s="6">
        <v>5.4600000000000009</v>
      </c>
    </row>
    <row r="1193" spans="2:31" x14ac:dyDescent="0.25">
      <c r="B1193" s="55"/>
      <c r="C1193" s="58">
        <v>46191</v>
      </c>
      <c r="D1193" s="4" t="s">
        <v>1852</v>
      </c>
      <c r="E1193" s="4" t="s">
        <v>1853</v>
      </c>
      <c r="F1193" s="4" t="s">
        <v>34</v>
      </c>
      <c r="G1193" s="4" t="s">
        <v>35</v>
      </c>
      <c r="H1193" s="54" t="s">
        <v>36</v>
      </c>
      <c r="I1193" s="52"/>
      <c r="J1193" s="57">
        <v>178.33</v>
      </c>
      <c r="K1193" s="52"/>
      <c r="L1193" s="6">
        <v>163.52860999999999</v>
      </c>
      <c r="M1193" s="6">
        <v>0.91699999999999982</v>
      </c>
      <c r="N1193" s="6">
        <v>178.33</v>
      </c>
      <c r="O1193" s="57">
        <v>163.52860999999999</v>
      </c>
      <c r="P1193" s="52"/>
      <c r="Q1193" s="6">
        <v>0.91699999999999982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</row>
    <row r="1194" spans="2:31" x14ac:dyDescent="0.25">
      <c r="B1194" s="55"/>
      <c r="C1194" s="55"/>
      <c r="D1194" s="4" t="s">
        <v>1854</v>
      </c>
      <c r="E1194" s="4" t="s">
        <v>1855</v>
      </c>
      <c r="F1194" s="4" t="s">
        <v>34</v>
      </c>
      <c r="G1194" s="4" t="s">
        <v>35</v>
      </c>
      <c r="H1194" s="54" t="s">
        <v>48</v>
      </c>
      <c r="I1194" s="52"/>
      <c r="J1194" s="57">
        <v>72.459999999999994</v>
      </c>
      <c r="K1194" s="52"/>
      <c r="L1194" s="6">
        <v>54.344999999999999</v>
      </c>
      <c r="M1194" s="6">
        <v>0.75</v>
      </c>
      <c r="N1194" s="6">
        <v>67.95</v>
      </c>
      <c r="O1194" s="57">
        <v>50.962499999999999</v>
      </c>
      <c r="P1194" s="52"/>
      <c r="Q1194" s="6">
        <v>0.75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4.51</v>
      </c>
      <c r="AB1194" s="6">
        <v>3.3824999999999998</v>
      </c>
      <c r="AC1194" s="6">
        <v>0.75</v>
      </c>
      <c r="AD1194" s="6">
        <v>-4.5099999999999909</v>
      </c>
      <c r="AE1194" s="6">
        <v>4.5099999999999909</v>
      </c>
    </row>
    <row r="1195" spans="2:31" x14ac:dyDescent="0.25">
      <c r="B1195" s="55"/>
      <c r="C1195" s="55"/>
      <c r="D1195" s="4" t="s">
        <v>1856</v>
      </c>
      <c r="E1195" s="4" t="s">
        <v>1857</v>
      </c>
      <c r="F1195" s="4" t="s">
        <v>34</v>
      </c>
      <c r="G1195" s="4" t="s">
        <v>35</v>
      </c>
      <c r="H1195" s="54" t="s">
        <v>36</v>
      </c>
      <c r="I1195" s="52"/>
      <c r="J1195" s="57">
        <v>159.84</v>
      </c>
      <c r="K1195" s="52"/>
      <c r="L1195" s="6">
        <v>146.57328000000001</v>
      </c>
      <c r="M1195" s="6">
        <v>0.91700000000000004</v>
      </c>
      <c r="N1195" s="6">
        <v>148.13</v>
      </c>
      <c r="O1195" s="57">
        <v>135.83520999999999</v>
      </c>
      <c r="P1195" s="52"/>
      <c r="Q1195" s="6">
        <v>0.91699999999999993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11.71</v>
      </c>
      <c r="AB1195" s="6">
        <v>10.73807</v>
      </c>
      <c r="AC1195" s="6">
        <v>0.91699999999999993</v>
      </c>
      <c r="AD1195" s="6">
        <v>-11.710000000000008</v>
      </c>
      <c r="AE1195" s="6">
        <v>11.710000000000008</v>
      </c>
    </row>
    <row r="1196" spans="2:31" x14ac:dyDescent="0.25">
      <c r="B1196" s="55"/>
      <c r="C1196" s="55"/>
      <c r="D1196" s="4" t="s">
        <v>1858</v>
      </c>
      <c r="E1196" s="4" t="s">
        <v>1859</v>
      </c>
      <c r="F1196" s="4" t="s">
        <v>34</v>
      </c>
      <c r="G1196" s="4" t="s">
        <v>35</v>
      </c>
      <c r="H1196" s="54" t="s">
        <v>36</v>
      </c>
      <c r="I1196" s="52"/>
      <c r="J1196" s="57">
        <v>180.93</v>
      </c>
      <c r="K1196" s="52"/>
      <c r="L1196" s="6">
        <v>165.91281000000001</v>
      </c>
      <c r="M1196" s="6">
        <v>0.91700000000000004</v>
      </c>
      <c r="N1196" s="6">
        <v>168</v>
      </c>
      <c r="O1196" s="57">
        <v>154.05600000000001</v>
      </c>
      <c r="P1196" s="52"/>
      <c r="Q1196" s="6">
        <v>0.91700000000000004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12.93</v>
      </c>
      <c r="AB1196" s="6">
        <v>11.856809999999999</v>
      </c>
      <c r="AC1196" s="6">
        <v>0.91699999999999993</v>
      </c>
      <c r="AD1196" s="6">
        <v>-12.930000000000007</v>
      </c>
      <c r="AE1196" s="6">
        <v>12.930000000000007</v>
      </c>
    </row>
    <row r="1197" spans="2:31" x14ac:dyDescent="0.25">
      <c r="B1197" s="55"/>
      <c r="C1197" s="55"/>
      <c r="D1197" s="4" t="s">
        <v>1860</v>
      </c>
      <c r="E1197" s="4" t="s">
        <v>1861</v>
      </c>
      <c r="F1197" s="4" t="s">
        <v>34</v>
      </c>
      <c r="G1197" s="4" t="s">
        <v>35</v>
      </c>
      <c r="H1197" s="54" t="s">
        <v>48</v>
      </c>
      <c r="I1197" s="52"/>
      <c r="J1197" s="57">
        <v>118.65</v>
      </c>
      <c r="K1197" s="52"/>
      <c r="L1197" s="6">
        <v>88.987499999999997</v>
      </c>
      <c r="M1197" s="6">
        <v>0.74999999999999989</v>
      </c>
      <c r="N1197" s="6">
        <v>110.36</v>
      </c>
      <c r="O1197" s="57">
        <v>82.77</v>
      </c>
      <c r="P1197" s="52"/>
      <c r="Q1197" s="6">
        <v>0.75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8.2899999999999991</v>
      </c>
      <c r="AB1197" s="6">
        <v>6.2175000000000002</v>
      </c>
      <c r="AC1197" s="6">
        <v>0.75000000000000011</v>
      </c>
      <c r="AD1197" s="6">
        <v>-8.2900000000000063</v>
      </c>
      <c r="AE1197" s="6">
        <v>8.2900000000000063</v>
      </c>
    </row>
    <row r="1198" spans="2:31" x14ac:dyDescent="0.25">
      <c r="B1198" s="55"/>
      <c r="C1198" s="55"/>
      <c r="D1198" s="54" t="s">
        <v>1862</v>
      </c>
      <c r="E1198" s="4" t="s">
        <v>1863</v>
      </c>
      <c r="F1198" s="4" t="s">
        <v>51</v>
      </c>
      <c r="G1198" s="4" t="s">
        <v>35</v>
      </c>
      <c r="H1198" s="54" t="s">
        <v>36</v>
      </c>
      <c r="I1198" s="52"/>
      <c r="J1198" s="57">
        <v>80.69</v>
      </c>
      <c r="K1198" s="52"/>
      <c r="L1198" s="6">
        <v>73.992729999999995</v>
      </c>
      <c r="M1198" s="6">
        <v>0.91699999999999993</v>
      </c>
      <c r="N1198" s="6">
        <v>75.099999999999994</v>
      </c>
      <c r="O1198" s="57">
        <v>68.866699999999994</v>
      </c>
      <c r="P1198" s="52"/>
      <c r="Q1198" s="6">
        <v>0.91700000000000004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5.59</v>
      </c>
      <c r="AB1198" s="6">
        <v>5.1260300000000001</v>
      </c>
      <c r="AC1198" s="6">
        <v>0.91700000000000004</v>
      </c>
      <c r="AD1198" s="6">
        <v>-5.5900000000000034</v>
      </c>
      <c r="AE1198" s="6">
        <v>5.5900000000000034</v>
      </c>
    </row>
    <row r="1199" spans="2:31" x14ac:dyDescent="0.25">
      <c r="B1199" s="55"/>
      <c r="C1199" s="55"/>
      <c r="D1199" s="56"/>
      <c r="E1199" s="4" t="s">
        <v>1864</v>
      </c>
      <c r="F1199" s="4" t="s">
        <v>51</v>
      </c>
      <c r="G1199" s="4" t="s">
        <v>35</v>
      </c>
      <c r="H1199" s="54" t="s">
        <v>36</v>
      </c>
      <c r="I1199" s="52"/>
      <c r="J1199" s="57">
        <v>46.8</v>
      </c>
      <c r="K1199" s="52"/>
      <c r="L1199" s="6">
        <v>42.915599999999998</v>
      </c>
      <c r="M1199" s="6">
        <v>0.91700000000000004</v>
      </c>
      <c r="N1199" s="6">
        <v>43.4</v>
      </c>
      <c r="O1199" s="57">
        <v>39.797800000000002</v>
      </c>
      <c r="P1199" s="52"/>
      <c r="Q1199" s="6">
        <v>0.91700000000000004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3.4</v>
      </c>
      <c r="AB1199" s="6">
        <v>3.1177999999999999</v>
      </c>
      <c r="AC1199" s="6">
        <v>0.91700000000000004</v>
      </c>
      <c r="AD1199" s="6">
        <v>-3.3999999999999986</v>
      </c>
      <c r="AE1199" s="6">
        <v>3.3999999999999986</v>
      </c>
    </row>
    <row r="1200" spans="2:31" ht="20" x14ac:dyDescent="0.25">
      <c r="B1200" s="55"/>
      <c r="C1200" s="55"/>
      <c r="D1200" s="4" t="s">
        <v>1865</v>
      </c>
      <c r="E1200" s="4" t="s">
        <v>1866</v>
      </c>
      <c r="F1200" s="4" t="s">
        <v>51</v>
      </c>
      <c r="G1200" s="4" t="s">
        <v>35</v>
      </c>
      <c r="H1200" s="54" t="s">
        <v>41</v>
      </c>
      <c r="I1200" s="52"/>
      <c r="J1200" s="57">
        <v>14.83</v>
      </c>
      <c r="K1200" s="52"/>
      <c r="L1200" s="6">
        <v>11.1225</v>
      </c>
      <c r="M1200" s="6">
        <v>0.75</v>
      </c>
      <c r="N1200" s="6">
        <v>14.06</v>
      </c>
      <c r="O1200" s="57">
        <v>10.545</v>
      </c>
      <c r="P1200" s="52"/>
      <c r="Q1200" s="6">
        <v>0.75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0.77</v>
      </c>
      <c r="AB1200" s="6">
        <v>0.57750000000000001</v>
      </c>
      <c r="AC1200" s="6">
        <v>0.75</v>
      </c>
      <c r="AD1200" s="6">
        <v>-0.76999999999999957</v>
      </c>
      <c r="AE1200" s="6">
        <v>0.76999999999999957</v>
      </c>
    </row>
    <row r="1201" spans="2:31" ht="20" x14ac:dyDescent="0.25">
      <c r="B1201" s="55"/>
      <c r="C1201" s="55"/>
      <c r="D1201" s="4" t="s">
        <v>1867</v>
      </c>
      <c r="E1201" s="4" t="s">
        <v>1868</v>
      </c>
      <c r="F1201" s="4" t="s">
        <v>51</v>
      </c>
      <c r="G1201" s="4" t="s">
        <v>35</v>
      </c>
      <c r="H1201" s="54" t="s">
        <v>36</v>
      </c>
      <c r="I1201" s="52"/>
      <c r="J1201" s="57">
        <v>53.5</v>
      </c>
      <c r="K1201" s="52"/>
      <c r="L1201" s="6">
        <v>49.0595</v>
      </c>
      <c r="M1201" s="6">
        <v>0.91700000000000004</v>
      </c>
      <c r="N1201" s="6">
        <v>51.73</v>
      </c>
      <c r="O1201" s="57">
        <v>47.436410000000002</v>
      </c>
      <c r="P1201" s="52"/>
      <c r="Q1201" s="6">
        <v>0.91700000000000015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1.77</v>
      </c>
      <c r="AB1201" s="6">
        <v>1.6230899999999999</v>
      </c>
      <c r="AC1201" s="6">
        <v>0.91699999999999993</v>
      </c>
      <c r="AD1201" s="6">
        <v>-1.7700000000000031</v>
      </c>
      <c r="AE1201" s="6">
        <v>1.7700000000000031</v>
      </c>
    </row>
    <row r="1202" spans="2:31" ht="20" x14ac:dyDescent="0.25">
      <c r="B1202" s="55"/>
      <c r="C1202" s="55"/>
      <c r="D1202" s="4" t="s">
        <v>1869</v>
      </c>
      <c r="E1202" s="4" t="s">
        <v>1870</v>
      </c>
      <c r="F1202" s="4" t="s">
        <v>51</v>
      </c>
      <c r="G1202" s="4" t="s">
        <v>35</v>
      </c>
      <c r="H1202" s="54" t="s">
        <v>36</v>
      </c>
      <c r="I1202" s="52"/>
      <c r="J1202" s="57">
        <v>117.28</v>
      </c>
      <c r="K1202" s="52"/>
      <c r="L1202" s="6">
        <v>107.54576</v>
      </c>
      <c r="M1202" s="6">
        <v>0.91700000000000004</v>
      </c>
      <c r="N1202" s="6">
        <v>113.95</v>
      </c>
      <c r="O1202" s="57">
        <v>104.49215</v>
      </c>
      <c r="P1202" s="52"/>
      <c r="Q1202" s="6">
        <v>0.91699999999999993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3.33</v>
      </c>
      <c r="AB1202" s="6">
        <v>3.0536099999999999</v>
      </c>
      <c r="AC1202" s="6">
        <v>0.91699999999999993</v>
      </c>
      <c r="AD1202" s="6">
        <v>-3.3299999999999983</v>
      </c>
      <c r="AE1202" s="6">
        <v>3.3299999999999983</v>
      </c>
    </row>
    <row r="1203" spans="2:31" ht="20" x14ac:dyDescent="0.25">
      <c r="B1203" s="55"/>
      <c r="C1203" s="55"/>
      <c r="D1203" s="4" t="s">
        <v>1871</v>
      </c>
      <c r="E1203" s="4" t="s">
        <v>1872</v>
      </c>
      <c r="F1203" s="4" t="s">
        <v>51</v>
      </c>
      <c r="G1203" s="4" t="s">
        <v>35</v>
      </c>
      <c r="H1203" s="54" t="s">
        <v>48</v>
      </c>
      <c r="I1203" s="52"/>
      <c r="J1203" s="57">
        <v>31.89</v>
      </c>
      <c r="K1203" s="52"/>
      <c r="L1203" s="6">
        <v>23.9175</v>
      </c>
      <c r="M1203" s="6">
        <v>0.75</v>
      </c>
      <c r="N1203" s="6">
        <v>28.16</v>
      </c>
      <c r="O1203" s="57">
        <v>21.12</v>
      </c>
      <c r="P1203" s="52"/>
      <c r="Q1203" s="6">
        <v>0.75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3.73</v>
      </c>
      <c r="AB1203" s="6">
        <v>2.7974999999999999</v>
      </c>
      <c r="AC1203" s="6">
        <v>0.75</v>
      </c>
      <c r="AD1203" s="6">
        <v>-3.7300000000000004</v>
      </c>
      <c r="AE1203" s="6">
        <v>3.7300000000000004</v>
      </c>
    </row>
    <row r="1204" spans="2:31" ht="20" x14ac:dyDescent="0.25">
      <c r="B1204" s="55"/>
      <c r="C1204" s="55"/>
      <c r="D1204" s="4" t="s">
        <v>1873</v>
      </c>
      <c r="E1204" s="4" t="s">
        <v>1725</v>
      </c>
      <c r="F1204" s="4" t="s">
        <v>51</v>
      </c>
      <c r="G1204" s="4" t="s">
        <v>35</v>
      </c>
      <c r="H1204" s="54" t="s">
        <v>36</v>
      </c>
      <c r="I1204" s="52"/>
      <c r="J1204" s="57">
        <v>42.85</v>
      </c>
      <c r="K1204" s="52"/>
      <c r="L1204" s="6">
        <v>39.29345</v>
      </c>
      <c r="M1204" s="6">
        <v>0.91699999999999993</v>
      </c>
      <c r="N1204" s="6">
        <v>40.74</v>
      </c>
      <c r="O1204" s="57">
        <v>37.358580000000003</v>
      </c>
      <c r="P1204" s="52"/>
      <c r="Q1204" s="6">
        <v>0.91700000000000004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2.11</v>
      </c>
      <c r="AB1204" s="6">
        <v>1.9348700000000001</v>
      </c>
      <c r="AC1204" s="6">
        <v>0.91700000000000015</v>
      </c>
      <c r="AD1204" s="6">
        <v>-2.1099999999999994</v>
      </c>
      <c r="AE1204" s="6">
        <v>2.1099999999999994</v>
      </c>
    </row>
    <row r="1205" spans="2:31" ht="20" x14ac:dyDescent="0.25">
      <c r="B1205" s="55"/>
      <c r="C1205" s="55"/>
      <c r="D1205" s="4" t="s">
        <v>1874</v>
      </c>
      <c r="E1205" s="4" t="s">
        <v>1875</v>
      </c>
      <c r="F1205" s="4" t="s">
        <v>51</v>
      </c>
      <c r="G1205" s="4" t="s">
        <v>35</v>
      </c>
      <c r="H1205" s="54" t="s">
        <v>36</v>
      </c>
      <c r="I1205" s="52"/>
      <c r="J1205" s="57">
        <v>42.68</v>
      </c>
      <c r="K1205" s="52"/>
      <c r="L1205" s="6">
        <v>39.137560000000001</v>
      </c>
      <c r="M1205" s="6">
        <v>0.91700000000000004</v>
      </c>
      <c r="N1205" s="6">
        <v>38.729999999999997</v>
      </c>
      <c r="O1205" s="57">
        <v>35.515410000000003</v>
      </c>
      <c r="P1205" s="52"/>
      <c r="Q1205" s="6">
        <v>0.91700000000000015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3.95</v>
      </c>
      <c r="AB1205" s="6">
        <v>3.62215</v>
      </c>
      <c r="AC1205" s="6">
        <v>0.91699999999999993</v>
      </c>
      <c r="AD1205" s="6">
        <v>-3.9500000000000028</v>
      </c>
      <c r="AE1205" s="6">
        <v>3.9500000000000028</v>
      </c>
    </row>
    <row r="1206" spans="2:31" ht="20" x14ac:dyDescent="0.25">
      <c r="B1206" s="55"/>
      <c r="C1206" s="55"/>
      <c r="D1206" s="4" t="s">
        <v>1876</v>
      </c>
      <c r="E1206" s="4" t="s">
        <v>1877</v>
      </c>
      <c r="F1206" s="4" t="s">
        <v>51</v>
      </c>
      <c r="G1206" s="4" t="s">
        <v>35</v>
      </c>
      <c r="H1206" s="54" t="s">
        <v>36</v>
      </c>
      <c r="I1206" s="52"/>
      <c r="J1206" s="57">
        <v>14.11</v>
      </c>
      <c r="K1206" s="52"/>
      <c r="L1206" s="6">
        <v>12.93887</v>
      </c>
      <c r="M1206" s="6">
        <v>0.91700000000000004</v>
      </c>
      <c r="N1206" s="6">
        <v>13.22</v>
      </c>
      <c r="O1206" s="57">
        <v>12.12274</v>
      </c>
      <c r="P1206" s="52"/>
      <c r="Q1206" s="6">
        <v>0.91699999999999993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0.89</v>
      </c>
      <c r="AB1206" s="6">
        <v>0.81613000000000002</v>
      </c>
      <c r="AC1206" s="6">
        <v>0.91700000000000004</v>
      </c>
      <c r="AD1206" s="6">
        <v>-0.88999999999999879</v>
      </c>
      <c r="AE1206" s="6">
        <v>0.88999999999999879</v>
      </c>
    </row>
    <row r="1207" spans="2:31" ht="20" x14ac:dyDescent="0.25">
      <c r="B1207" s="55"/>
      <c r="C1207" s="55"/>
      <c r="D1207" s="4" t="s">
        <v>1878</v>
      </c>
      <c r="E1207" s="4" t="s">
        <v>1879</v>
      </c>
      <c r="F1207" s="4" t="s">
        <v>51</v>
      </c>
      <c r="G1207" s="4" t="s">
        <v>35</v>
      </c>
      <c r="H1207" s="54" t="s">
        <v>36</v>
      </c>
      <c r="I1207" s="52"/>
      <c r="J1207" s="57">
        <v>13.37</v>
      </c>
      <c r="K1207" s="52"/>
      <c r="L1207" s="6">
        <v>12.260289999999999</v>
      </c>
      <c r="M1207" s="6">
        <v>0.91700000000000004</v>
      </c>
      <c r="N1207" s="6">
        <v>12.82</v>
      </c>
      <c r="O1207" s="57">
        <v>11.755940000000001</v>
      </c>
      <c r="P1207" s="52"/>
      <c r="Q1207" s="6">
        <v>0.91700000000000004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0.55000000000000004</v>
      </c>
      <c r="AB1207" s="6">
        <v>0.50434999999999997</v>
      </c>
      <c r="AC1207" s="6">
        <v>0.91699999999999982</v>
      </c>
      <c r="AD1207" s="6">
        <v>-0.54999999999999893</v>
      </c>
      <c r="AE1207" s="6">
        <v>0.54999999999999893</v>
      </c>
    </row>
    <row r="1208" spans="2:31" ht="20" x14ac:dyDescent="0.25">
      <c r="B1208" s="55"/>
      <c r="C1208" s="55"/>
      <c r="D1208" s="4" t="s">
        <v>1880</v>
      </c>
      <c r="E1208" s="4" t="s">
        <v>1881</v>
      </c>
      <c r="F1208" s="4" t="s">
        <v>51</v>
      </c>
      <c r="G1208" s="4" t="s">
        <v>35</v>
      </c>
      <c r="H1208" s="54" t="s">
        <v>36</v>
      </c>
      <c r="I1208" s="52"/>
      <c r="J1208" s="57">
        <v>14.06</v>
      </c>
      <c r="K1208" s="52"/>
      <c r="L1208" s="6">
        <v>12.89302</v>
      </c>
      <c r="M1208" s="6">
        <v>0.91699999999999993</v>
      </c>
      <c r="N1208" s="6">
        <v>13.29</v>
      </c>
      <c r="O1208" s="57">
        <v>12.18693</v>
      </c>
      <c r="P1208" s="52"/>
      <c r="Q1208" s="6">
        <v>0.91700000000000004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0.77</v>
      </c>
      <c r="AB1208" s="6">
        <v>0.70609</v>
      </c>
      <c r="AC1208" s="6">
        <v>0.91699999999999993</v>
      </c>
      <c r="AD1208" s="6">
        <v>-0.77000000000000135</v>
      </c>
      <c r="AE1208" s="6">
        <v>0.77000000000000135</v>
      </c>
    </row>
    <row r="1209" spans="2:31" ht="20" x14ac:dyDescent="0.25">
      <c r="B1209" s="55"/>
      <c r="C1209" s="55"/>
      <c r="D1209" s="4" t="s">
        <v>1882</v>
      </c>
      <c r="E1209" s="4" t="s">
        <v>1883</v>
      </c>
      <c r="F1209" s="4" t="s">
        <v>51</v>
      </c>
      <c r="G1209" s="4" t="s">
        <v>35</v>
      </c>
      <c r="H1209" s="54" t="s">
        <v>36</v>
      </c>
      <c r="I1209" s="52"/>
      <c r="J1209" s="57">
        <v>47.15</v>
      </c>
      <c r="K1209" s="52"/>
      <c r="L1209" s="6">
        <v>43.236550000000001</v>
      </c>
      <c r="M1209" s="6">
        <v>0.91700000000000004</v>
      </c>
      <c r="N1209" s="6">
        <v>43.84</v>
      </c>
      <c r="O1209" s="57">
        <v>40.201279999999997</v>
      </c>
      <c r="P1209" s="52"/>
      <c r="Q1209" s="6">
        <v>0.91699999999999982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3.31</v>
      </c>
      <c r="AB1209" s="6">
        <v>3.0352700000000001</v>
      </c>
      <c r="AC1209" s="6">
        <v>0.91700000000000004</v>
      </c>
      <c r="AD1209" s="6">
        <v>-3.3099999999999952</v>
      </c>
      <c r="AE1209" s="6">
        <v>3.3099999999999952</v>
      </c>
    </row>
    <row r="1210" spans="2:31" ht="20" x14ac:dyDescent="0.25">
      <c r="B1210" s="55"/>
      <c r="C1210" s="55"/>
      <c r="D1210" s="4" t="s">
        <v>1884</v>
      </c>
      <c r="E1210" s="4" t="s">
        <v>1885</v>
      </c>
      <c r="F1210" s="4" t="s">
        <v>51</v>
      </c>
      <c r="G1210" s="4" t="s">
        <v>35</v>
      </c>
      <c r="H1210" s="54" t="s">
        <v>36</v>
      </c>
      <c r="I1210" s="52"/>
      <c r="J1210" s="57">
        <v>71.599999999999994</v>
      </c>
      <c r="K1210" s="52"/>
      <c r="L1210" s="6">
        <v>65.657200000000003</v>
      </c>
      <c r="M1210" s="6">
        <v>0.91700000000000015</v>
      </c>
      <c r="N1210" s="6">
        <v>63.47</v>
      </c>
      <c r="O1210" s="57">
        <v>58.201990000000002</v>
      </c>
      <c r="P1210" s="52"/>
      <c r="Q1210" s="6">
        <v>0.91700000000000004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8.1300000000000008</v>
      </c>
      <c r="AB1210" s="6">
        <v>7.4552100000000001</v>
      </c>
      <c r="AC1210" s="6">
        <v>0.91699999999999993</v>
      </c>
      <c r="AD1210" s="6">
        <v>-8.1299999999999955</v>
      </c>
      <c r="AE1210" s="6">
        <v>8.1299999999999955</v>
      </c>
    </row>
    <row r="1211" spans="2:31" ht="20" x14ac:dyDescent="0.25">
      <c r="B1211" s="55"/>
      <c r="C1211" s="55"/>
      <c r="D1211" s="4" t="s">
        <v>1886</v>
      </c>
      <c r="E1211" s="4" t="s">
        <v>1887</v>
      </c>
      <c r="F1211" s="4" t="s">
        <v>51</v>
      </c>
      <c r="G1211" s="4" t="s">
        <v>35</v>
      </c>
      <c r="H1211" s="54" t="s">
        <v>41</v>
      </c>
      <c r="I1211" s="52"/>
      <c r="J1211" s="57">
        <v>75.92</v>
      </c>
      <c r="K1211" s="52"/>
      <c r="L1211" s="6">
        <v>56.94</v>
      </c>
      <c r="M1211" s="6">
        <v>0.75</v>
      </c>
      <c r="N1211" s="6">
        <v>71.53</v>
      </c>
      <c r="O1211" s="57">
        <v>53.647500000000001</v>
      </c>
      <c r="P1211" s="52"/>
      <c r="Q1211" s="6">
        <v>0.75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4.3899999999999997</v>
      </c>
      <c r="AB1211" s="6">
        <v>3.2925</v>
      </c>
      <c r="AC1211" s="6">
        <v>0.75</v>
      </c>
      <c r="AD1211" s="6">
        <v>-4.3900000000000006</v>
      </c>
      <c r="AE1211" s="6">
        <v>4.3900000000000006</v>
      </c>
    </row>
    <row r="1212" spans="2:31" ht="20" x14ac:dyDescent="0.25">
      <c r="B1212" s="55"/>
      <c r="C1212" s="55"/>
      <c r="D1212" s="4" t="s">
        <v>1888</v>
      </c>
      <c r="E1212" s="4" t="s">
        <v>1868</v>
      </c>
      <c r="F1212" s="4" t="s">
        <v>51</v>
      </c>
      <c r="G1212" s="4" t="s">
        <v>35</v>
      </c>
      <c r="H1212" s="54" t="s">
        <v>36</v>
      </c>
      <c r="I1212" s="52"/>
      <c r="J1212" s="57">
        <v>50.35</v>
      </c>
      <c r="K1212" s="52"/>
      <c r="L1212" s="6">
        <v>46.170949999999998</v>
      </c>
      <c r="M1212" s="6">
        <v>0.91699999999999993</v>
      </c>
      <c r="N1212" s="6">
        <v>50.35</v>
      </c>
      <c r="O1212" s="57">
        <v>46.170949999999998</v>
      </c>
      <c r="P1212" s="52"/>
      <c r="Q1212" s="6">
        <v>0.91699999999999993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</row>
    <row r="1213" spans="2:31" ht="20" x14ac:dyDescent="0.25">
      <c r="B1213" s="55"/>
      <c r="C1213" s="55"/>
      <c r="D1213" s="4" t="s">
        <v>1889</v>
      </c>
      <c r="E1213" s="4" t="s">
        <v>1890</v>
      </c>
      <c r="F1213" s="4" t="s">
        <v>51</v>
      </c>
      <c r="G1213" s="4" t="s">
        <v>35</v>
      </c>
      <c r="H1213" s="54" t="s">
        <v>48</v>
      </c>
      <c r="I1213" s="52"/>
      <c r="J1213" s="57">
        <v>28.75</v>
      </c>
      <c r="K1213" s="52"/>
      <c r="L1213" s="6">
        <v>21.5625</v>
      </c>
      <c r="M1213" s="6">
        <v>0.75</v>
      </c>
      <c r="N1213" s="6">
        <v>25.31</v>
      </c>
      <c r="O1213" s="57">
        <v>18.982500000000002</v>
      </c>
      <c r="P1213" s="52"/>
      <c r="Q1213" s="6">
        <v>0.75000000000000011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3.44</v>
      </c>
      <c r="AB1213" s="6">
        <v>2.58</v>
      </c>
      <c r="AC1213" s="6">
        <v>0.75</v>
      </c>
      <c r="AD1213" s="6">
        <v>-3.4400000000000013</v>
      </c>
      <c r="AE1213" s="6">
        <v>3.4400000000000013</v>
      </c>
    </row>
    <row r="1214" spans="2:31" ht="20" x14ac:dyDescent="0.25">
      <c r="B1214" s="55"/>
      <c r="C1214" s="55"/>
      <c r="D1214" s="4" t="s">
        <v>1891</v>
      </c>
      <c r="E1214" s="4" t="s">
        <v>1798</v>
      </c>
      <c r="F1214" s="4" t="s">
        <v>51</v>
      </c>
      <c r="G1214" s="4" t="s">
        <v>35</v>
      </c>
      <c r="H1214" s="54" t="s">
        <v>36</v>
      </c>
      <c r="I1214" s="52"/>
      <c r="J1214" s="57">
        <v>80.430000000000007</v>
      </c>
      <c r="K1214" s="52"/>
      <c r="L1214" s="6">
        <v>73.754310000000004</v>
      </c>
      <c r="M1214" s="6">
        <v>0.91699999999999993</v>
      </c>
      <c r="N1214" s="6">
        <v>77.540000000000006</v>
      </c>
      <c r="O1214" s="57">
        <v>71.104179999999999</v>
      </c>
      <c r="P1214" s="52"/>
      <c r="Q1214" s="6">
        <v>0.91699999999999993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2.89</v>
      </c>
      <c r="AB1214" s="6">
        <v>2.6501299999999999</v>
      </c>
      <c r="AC1214" s="6">
        <v>0.91699999999999993</v>
      </c>
      <c r="AD1214" s="6">
        <v>-2.8900000000000006</v>
      </c>
      <c r="AE1214" s="6">
        <v>2.8900000000000006</v>
      </c>
    </row>
    <row r="1215" spans="2:31" ht="20" x14ac:dyDescent="0.25">
      <c r="B1215" s="55"/>
      <c r="C1215" s="55"/>
      <c r="D1215" s="4" t="s">
        <v>1892</v>
      </c>
      <c r="E1215" s="4" t="s">
        <v>1893</v>
      </c>
      <c r="F1215" s="4" t="s">
        <v>51</v>
      </c>
      <c r="G1215" s="4" t="s">
        <v>35</v>
      </c>
      <c r="H1215" s="54" t="s">
        <v>36</v>
      </c>
      <c r="I1215" s="52"/>
      <c r="J1215" s="57">
        <v>13.04</v>
      </c>
      <c r="K1215" s="52"/>
      <c r="L1215" s="6">
        <v>11.95768</v>
      </c>
      <c r="M1215" s="6">
        <v>0.91700000000000004</v>
      </c>
      <c r="N1215" s="6">
        <v>12.36</v>
      </c>
      <c r="O1215" s="57">
        <v>11.33412</v>
      </c>
      <c r="P1215" s="52"/>
      <c r="Q1215" s="6">
        <v>0.91700000000000004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0.68</v>
      </c>
      <c r="AB1215" s="6">
        <v>0.62356</v>
      </c>
      <c r="AC1215" s="6">
        <v>0.91699999999999993</v>
      </c>
      <c r="AD1215" s="6">
        <v>-0.67999999999999972</v>
      </c>
      <c r="AE1215" s="6">
        <v>0.67999999999999972</v>
      </c>
    </row>
    <row r="1216" spans="2:31" ht="20" x14ac:dyDescent="0.25">
      <c r="B1216" s="55"/>
      <c r="C1216" s="55"/>
      <c r="D1216" s="4" t="s">
        <v>1894</v>
      </c>
      <c r="E1216" s="4" t="s">
        <v>1895</v>
      </c>
      <c r="F1216" s="4" t="s">
        <v>51</v>
      </c>
      <c r="G1216" s="4" t="s">
        <v>35</v>
      </c>
      <c r="H1216" s="54" t="s">
        <v>41</v>
      </c>
      <c r="I1216" s="52"/>
      <c r="J1216" s="57">
        <v>14.21</v>
      </c>
      <c r="K1216" s="52"/>
      <c r="L1216" s="6">
        <v>10.657500000000001</v>
      </c>
      <c r="M1216" s="6">
        <v>0.75</v>
      </c>
      <c r="N1216" s="6">
        <v>12.83</v>
      </c>
      <c r="O1216" s="57">
        <v>9.6225000000000005</v>
      </c>
      <c r="P1216" s="52"/>
      <c r="Q1216" s="6">
        <v>0.75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1.38</v>
      </c>
      <c r="AB1216" s="6">
        <v>1.0349999999999999</v>
      </c>
      <c r="AC1216" s="6">
        <v>0.75</v>
      </c>
      <c r="AD1216" s="6">
        <v>-1.3800000000000008</v>
      </c>
      <c r="AE1216" s="6">
        <v>1.3800000000000008</v>
      </c>
    </row>
    <row r="1217" spans="2:31" ht="20" x14ac:dyDescent="0.25">
      <c r="B1217" s="55"/>
      <c r="C1217" s="55"/>
      <c r="D1217" s="4" t="s">
        <v>1896</v>
      </c>
      <c r="E1217" s="4" t="s">
        <v>1897</v>
      </c>
      <c r="F1217" s="4" t="s">
        <v>51</v>
      </c>
      <c r="G1217" s="4" t="s">
        <v>35</v>
      </c>
      <c r="H1217" s="54" t="s">
        <v>41</v>
      </c>
      <c r="I1217" s="52"/>
      <c r="J1217" s="57">
        <v>19.260000000000002</v>
      </c>
      <c r="K1217" s="52"/>
      <c r="L1217" s="6">
        <v>14.445</v>
      </c>
      <c r="M1217" s="6">
        <v>0.75</v>
      </c>
      <c r="N1217" s="6">
        <v>17.25</v>
      </c>
      <c r="O1217" s="57">
        <v>12.9375</v>
      </c>
      <c r="P1217" s="52"/>
      <c r="Q1217" s="6">
        <v>0.75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2.0099999999999998</v>
      </c>
      <c r="AB1217" s="6">
        <v>1.5075000000000001</v>
      </c>
      <c r="AC1217" s="6">
        <v>0.75000000000000011</v>
      </c>
      <c r="AD1217" s="6">
        <v>-2.0100000000000016</v>
      </c>
      <c r="AE1217" s="6">
        <v>2.0100000000000016</v>
      </c>
    </row>
    <row r="1218" spans="2:31" ht="20" x14ac:dyDescent="0.25">
      <c r="B1218" s="55"/>
      <c r="C1218" s="55"/>
      <c r="D1218" s="4" t="s">
        <v>1898</v>
      </c>
      <c r="E1218" s="4" t="s">
        <v>1899</v>
      </c>
      <c r="F1218" s="4" t="s">
        <v>51</v>
      </c>
      <c r="G1218" s="4" t="s">
        <v>35</v>
      </c>
      <c r="H1218" s="54" t="s">
        <v>36</v>
      </c>
      <c r="I1218" s="52"/>
      <c r="J1218" s="57">
        <v>89.05</v>
      </c>
      <c r="K1218" s="52"/>
      <c r="L1218" s="6">
        <v>81.658850000000001</v>
      </c>
      <c r="M1218" s="6">
        <v>0.91700000000000004</v>
      </c>
      <c r="N1218" s="6">
        <v>80.48</v>
      </c>
      <c r="O1218" s="57">
        <v>73.800160000000005</v>
      </c>
      <c r="P1218" s="52"/>
      <c r="Q1218" s="6">
        <v>0.91700000000000004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8.57</v>
      </c>
      <c r="AB1218" s="6">
        <v>7.8586900000000002</v>
      </c>
      <c r="AC1218" s="6">
        <v>0.91700000000000004</v>
      </c>
      <c r="AD1218" s="6">
        <v>-8.5699999999999932</v>
      </c>
      <c r="AE1218" s="6">
        <v>8.5699999999999932</v>
      </c>
    </row>
    <row r="1219" spans="2:31" ht="20" x14ac:dyDescent="0.25">
      <c r="B1219" s="55"/>
      <c r="C1219" s="55"/>
      <c r="D1219" s="4" t="s">
        <v>1900</v>
      </c>
      <c r="E1219" s="4" t="s">
        <v>1901</v>
      </c>
      <c r="F1219" s="4" t="s">
        <v>51</v>
      </c>
      <c r="G1219" s="4" t="s">
        <v>35</v>
      </c>
      <c r="H1219" s="54" t="s">
        <v>36</v>
      </c>
      <c r="I1219" s="52"/>
      <c r="J1219" s="57">
        <v>16.03</v>
      </c>
      <c r="K1219" s="52"/>
      <c r="L1219" s="6">
        <v>14.69951</v>
      </c>
      <c r="M1219" s="6">
        <v>0.91699999999999993</v>
      </c>
      <c r="N1219" s="6">
        <v>15.04</v>
      </c>
      <c r="O1219" s="57">
        <v>13.791679999999999</v>
      </c>
      <c r="P1219" s="52"/>
      <c r="Q1219" s="6">
        <v>0.91700000000000004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0.99</v>
      </c>
      <c r="AB1219" s="6">
        <v>0.90783000000000003</v>
      </c>
      <c r="AC1219" s="6">
        <v>0.91700000000000004</v>
      </c>
      <c r="AD1219" s="6">
        <v>-0.99000000000000199</v>
      </c>
      <c r="AE1219" s="6">
        <v>0.99000000000000199</v>
      </c>
    </row>
    <row r="1220" spans="2:31" ht="20" x14ac:dyDescent="0.25">
      <c r="B1220" s="55"/>
      <c r="C1220" s="55"/>
      <c r="D1220" s="4" t="s">
        <v>1902</v>
      </c>
      <c r="E1220" s="4" t="s">
        <v>1877</v>
      </c>
      <c r="F1220" s="4" t="s">
        <v>51</v>
      </c>
      <c r="G1220" s="4" t="s">
        <v>35</v>
      </c>
      <c r="H1220" s="54" t="s">
        <v>36</v>
      </c>
      <c r="I1220" s="52"/>
      <c r="J1220" s="57">
        <v>11.98</v>
      </c>
      <c r="K1220" s="52"/>
      <c r="L1220" s="6">
        <v>10.985659999999999</v>
      </c>
      <c r="M1220" s="6">
        <v>0.91699999999999993</v>
      </c>
      <c r="N1220" s="6">
        <v>11.98</v>
      </c>
      <c r="O1220" s="57">
        <v>10.985659999999999</v>
      </c>
      <c r="P1220" s="52"/>
      <c r="Q1220" s="6">
        <v>0.91699999999999993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</row>
    <row r="1221" spans="2:31" ht="20" x14ac:dyDescent="0.25">
      <c r="B1221" s="55"/>
      <c r="C1221" s="55"/>
      <c r="D1221" s="4" t="s">
        <v>1903</v>
      </c>
      <c r="E1221" s="4" t="s">
        <v>1866</v>
      </c>
      <c r="F1221" s="4" t="s">
        <v>51</v>
      </c>
      <c r="G1221" s="4" t="s">
        <v>35</v>
      </c>
      <c r="H1221" s="54" t="s">
        <v>41</v>
      </c>
      <c r="I1221" s="52"/>
      <c r="J1221" s="57">
        <v>14.4</v>
      </c>
      <c r="K1221" s="52"/>
      <c r="L1221" s="6">
        <v>10.8</v>
      </c>
      <c r="M1221" s="6">
        <v>0.75</v>
      </c>
      <c r="N1221" s="6">
        <v>14.37</v>
      </c>
      <c r="O1221" s="57">
        <v>10.7775</v>
      </c>
      <c r="P1221" s="52"/>
      <c r="Q1221" s="6">
        <v>0.75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0.03</v>
      </c>
      <c r="AB1221" s="6">
        <v>2.2499999999999999E-2</v>
      </c>
      <c r="AC1221" s="6">
        <v>0.75</v>
      </c>
      <c r="AD1221" s="6">
        <v>-3.0000000000001137E-2</v>
      </c>
      <c r="AE1221" s="6">
        <v>3.0000000000001137E-2</v>
      </c>
    </row>
    <row r="1222" spans="2:31" ht="20" x14ac:dyDescent="0.25">
      <c r="B1222" s="55"/>
      <c r="C1222" s="55"/>
      <c r="D1222" s="4" t="s">
        <v>1904</v>
      </c>
      <c r="E1222" s="4" t="s">
        <v>1905</v>
      </c>
      <c r="F1222" s="4" t="s">
        <v>51</v>
      </c>
      <c r="G1222" s="4" t="s">
        <v>35</v>
      </c>
      <c r="H1222" s="54" t="s">
        <v>36</v>
      </c>
      <c r="I1222" s="52"/>
      <c r="J1222" s="57">
        <v>28.62</v>
      </c>
      <c r="K1222" s="52"/>
      <c r="L1222" s="6">
        <v>26.244540000000001</v>
      </c>
      <c r="M1222" s="6">
        <v>0.91700000000000004</v>
      </c>
      <c r="N1222" s="6">
        <v>28.62</v>
      </c>
      <c r="O1222" s="57">
        <v>26.244540000000001</v>
      </c>
      <c r="P1222" s="52"/>
      <c r="Q1222" s="6">
        <v>0.91700000000000004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</row>
    <row r="1223" spans="2:31" ht="20" x14ac:dyDescent="0.25">
      <c r="B1223" s="55"/>
      <c r="C1223" s="55"/>
      <c r="D1223" s="4" t="s">
        <v>1906</v>
      </c>
      <c r="E1223" s="4" t="s">
        <v>1907</v>
      </c>
      <c r="F1223" s="4" t="s">
        <v>51</v>
      </c>
      <c r="G1223" s="4" t="s">
        <v>35</v>
      </c>
      <c r="H1223" s="54" t="s">
        <v>36</v>
      </c>
      <c r="I1223" s="52"/>
      <c r="J1223" s="57">
        <v>65.430000000000007</v>
      </c>
      <c r="K1223" s="52"/>
      <c r="L1223" s="6">
        <v>59.999310000000001</v>
      </c>
      <c r="M1223" s="6">
        <v>0.91699999999999993</v>
      </c>
      <c r="N1223" s="6">
        <v>60.6</v>
      </c>
      <c r="O1223" s="57">
        <v>55.5702</v>
      </c>
      <c r="P1223" s="52"/>
      <c r="Q1223" s="6">
        <v>0.91699999999999993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4.83</v>
      </c>
      <c r="AB1223" s="6">
        <v>4.4291099999999997</v>
      </c>
      <c r="AC1223" s="6">
        <v>0.91699999999999993</v>
      </c>
      <c r="AD1223" s="6">
        <v>-4.8300000000000054</v>
      </c>
      <c r="AE1223" s="6">
        <v>4.8300000000000054</v>
      </c>
    </row>
    <row r="1224" spans="2:31" ht="20" x14ac:dyDescent="0.25">
      <c r="B1224" s="55"/>
      <c r="C1224" s="55"/>
      <c r="D1224" s="4" t="s">
        <v>1908</v>
      </c>
      <c r="E1224" s="4" t="s">
        <v>1909</v>
      </c>
      <c r="F1224" s="4" t="s">
        <v>51</v>
      </c>
      <c r="G1224" s="4" t="s">
        <v>35</v>
      </c>
      <c r="H1224" s="54" t="s">
        <v>36</v>
      </c>
      <c r="I1224" s="52"/>
      <c r="J1224" s="57">
        <v>64.75</v>
      </c>
      <c r="K1224" s="52"/>
      <c r="L1224" s="6">
        <v>59.375749999999996</v>
      </c>
      <c r="M1224" s="6">
        <v>0.91699999999999993</v>
      </c>
      <c r="N1224" s="6">
        <v>62.14</v>
      </c>
      <c r="O1224" s="57">
        <v>56.982379999999999</v>
      </c>
      <c r="P1224" s="52"/>
      <c r="Q1224" s="6">
        <v>0.91699999999999993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2.61</v>
      </c>
      <c r="AB1224" s="6">
        <v>2.39337</v>
      </c>
      <c r="AC1224" s="6">
        <v>0.91700000000000004</v>
      </c>
      <c r="AD1224" s="6">
        <v>-2.6099999999999994</v>
      </c>
      <c r="AE1224" s="6">
        <v>2.6099999999999994</v>
      </c>
    </row>
    <row r="1225" spans="2:31" ht="20" x14ac:dyDescent="0.25">
      <c r="B1225" s="55"/>
      <c r="C1225" s="55"/>
      <c r="D1225" s="4" t="s">
        <v>1910</v>
      </c>
      <c r="E1225" s="4" t="s">
        <v>1911</v>
      </c>
      <c r="F1225" s="4" t="s">
        <v>51</v>
      </c>
      <c r="G1225" s="4" t="s">
        <v>35</v>
      </c>
      <c r="H1225" s="54" t="s">
        <v>36</v>
      </c>
      <c r="I1225" s="52"/>
      <c r="J1225" s="57">
        <v>47.86</v>
      </c>
      <c r="K1225" s="52"/>
      <c r="L1225" s="6">
        <v>43.887619999999998</v>
      </c>
      <c r="M1225" s="6">
        <v>0.91699999999999993</v>
      </c>
      <c r="N1225" s="6">
        <v>43.69</v>
      </c>
      <c r="O1225" s="57">
        <v>40.06373</v>
      </c>
      <c r="P1225" s="52"/>
      <c r="Q1225" s="6">
        <v>0.91700000000000004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4.17</v>
      </c>
      <c r="AB1225" s="6">
        <v>3.82389</v>
      </c>
      <c r="AC1225" s="6">
        <v>0.91700000000000004</v>
      </c>
      <c r="AD1225" s="6">
        <v>-4.1700000000000017</v>
      </c>
      <c r="AE1225" s="6">
        <v>4.1700000000000017</v>
      </c>
    </row>
    <row r="1226" spans="2:31" ht="20" x14ac:dyDescent="0.25">
      <c r="B1226" s="55"/>
      <c r="C1226" s="55"/>
      <c r="D1226" s="4" t="s">
        <v>1912</v>
      </c>
      <c r="E1226" s="4" t="s">
        <v>1913</v>
      </c>
      <c r="F1226" s="4" t="s">
        <v>51</v>
      </c>
      <c r="G1226" s="4" t="s">
        <v>35</v>
      </c>
      <c r="H1226" s="54" t="s">
        <v>36</v>
      </c>
      <c r="I1226" s="52"/>
      <c r="J1226" s="57">
        <v>58.61</v>
      </c>
      <c r="K1226" s="52"/>
      <c r="L1226" s="6">
        <v>53.745370000000001</v>
      </c>
      <c r="M1226" s="6">
        <v>0.91700000000000004</v>
      </c>
      <c r="N1226" s="6">
        <v>55.48</v>
      </c>
      <c r="O1226" s="57">
        <v>50.875160000000001</v>
      </c>
      <c r="P1226" s="52"/>
      <c r="Q1226" s="6">
        <v>0.91700000000000004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3.13</v>
      </c>
      <c r="AB1226" s="6">
        <v>2.8702100000000002</v>
      </c>
      <c r="AC1226" s="6">
        <v>0.91700000000000004</v>
      </c>
      <c r="AD1226" s="6">
        <v>-3.1300000000000026</v>
      </c>
      <c r="AE1226" s="6">
        <v>3.1300000000000026</v>
      </c>
    </row>
    <row r="1227" spans="2:31" ht="20" x14ac:dyDescent="0.25">
      <c r="B1227" s="55"/>
      <c r="C1227" s="55"/>
      <c r="D1227" s="4" t="s">
        <v>1914</v>
      </c>
      <c r="E1227" s="4" t="s">
        <v>1915</v>
      </c>
      <c r="F1227" s="4" t="s">
        <v>51</v>
      </c>
      <c r="G1227" s="4" t="s">
        <v>35</v>
      </c>
      <c r="H1227" s="54" t="s">
        <v>48</v>
      </c>
      <c r="I1227" s="52"/>
      <c r="J1227" s="57">
        <v>32.69</v>
      </c>
      <c r="K1227" s="52"/>
      <c r="L1227" s="6">
        <v>24.517499999999998</v>
      </c>
      <c r="M1227" s="6">
        <v>0.75</v>
      </c>
      <c r="N1227" s="6">
        <v>30.92</v>
      </c>
      <c r="O1227" s="57">
        <v>23.19</v>
      </c>
      <c r="P1227" s="52"/>
      <c r="Q1227" s="6">
        <v>0.75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1.77</v>
      </c>
      <c r="AB1227" s="6">
        <v>1.3274999999999999</v>
      </c>
      <c r="AC1227" s="6">
        <v>0.74999999999999989</v>
      </c>
      <c r="AD1227" s="6">
        <v>-1.769999999999996</v>
      </c>
      <c r="AE1227" s="6">
        <v>1.769999999999996</v>
      </c>
    </row>
    <row r="1228" spans="2:31" ht="20" x14ac:dyDescent="0.25">
      <c r="B1228" s="55"/>
      <c r="C1228" s="55"/>
      <c r="D1228" s="4" t="s">
        <v>1916</v>
      </c>
      <c r="E1228" s="4" t="s">
        <v>1913</v>
      </c>
      <c r="F1228" s="4" t="s">
        <v>51</v>
      </c>
      <c r="G1228" s="4" t="s">
        <v>35</v>
      </c>
      <c r="H1228" s="54" t="s">
        <v>36</v>
      </c>
      <c r="I1228" s="52"/>
      <c r="J1228" s="57">
        <v>55.48</v>
      </c>
      <c r="K1228" s="52"/>
      <c r="L1228" s="6">
        <v>50.875160000000001</v>
      </c>
      <c r="M1228" s="6">
        <v>0.91700000000000004</v>
      </c>
      <c r="N1228" s="6">
        <v>55.48</v>
      </c>
      <c r="O1228" s="57">
        <v>50.875160000000001</v>
      </c>
      <c r="P1228" s="52"/>
      <c r="Q1228" s="6">
        <v>0.91700000000000004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</row>
    <row r="1229" spans="2:31" ht="20" x14ac:dyDescent="0.25">
      <c r="B1229" s="55"/>
      <c r="C1229" s="55"/>
      <c r="D1229" s="4" t="s">
        <v>1917</v>
      </c>
      <c r="E1229" s="4" t="s">
        <v>1798</v>
      </c>
      <c r="F1229" s="4" t="s">
        <v>51</v>
      </c>
      <c r="G1229" s="4" t="s">
        <v>35</v>
      </c>
      <c r="H1229" s="54" t="s">
        <v>36</v>
      </c>
      <c r="I1229" s="52"/>
      <c r="J1229" s="57">
        <v>77.430000000000007</v>
      </c>
      <c r="K1229" s="52"/>
      <c r="L1229" s="6">
        <v>71.003309999999999</v>
      </c>
      <c r="M1229" s="6">
        <v>0.91699999999999993</v>
      </c>
      <c r="N1229" s="6">
        <v>77.25</v>
      </c>
      <c r="O1229" s="57">
        <v>70.838250000000002</v>
      </c>
      <c r="P1229" s="52"/>
      <c r="Q1229" s="6">
        <v>0.91700000000000004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0.18</v>
      </c>
      <c r="AB1229" s="6">
        <v>0.16506000000000001</v>
      </c>
      <c r="AC1229" s="6">
        <v>0.91700000000000015</v>
      </c>
      <c r="AD1229" s="6">
        <v>-0.18000000000000682</v>
      </c>
      <c r="AE1229" s="6">
        <v>0.18000000000000682</v>
      </c>
    </row>
    <row r="1230" spans="2:31" ht="20" x14ac:dyDescent="0.25">
      <c r="B1230" s="55"/>
      <c r="C1230" s="55"/>
      <c r="D1230" s="4" t="s">
        <v>1918</v>
      </c>
      <c r="E1230" s="4" t="s">
        <v>1919</v>
      </c>
      <c r="F1230" s="4" t="s">
        <v>51</v>
      </c>
      <c r="G1230" s="4" t="s">
        <v>35</v>
      </c>
      <c r="H1230" s="54" t="s">
        <v>48</v>
      </c>
      <c r="I1230" s="52"/>
      <c r="J1230" s="57">
        <v>93.37</v>
      </c>
      <c r="K1230" s="52"/>
      <c r="L1230" s="6">
        <v>70.027500000000003</v>
      </c>
      <c r="M1230" s="6">
        <v>0.75</v>
      </c>
      <c r="N1230" s="6">
        <v>88.05</v>
      </c>
      <c r="O1230" s="57">
        <v>66.037499999999994</v>
      </c>
      <c r="P1230" s="52"/>
      <c r="Q1230" s="6">
        <v>0.75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5.32</v>
      </c>
      <c r="AB1230" s="6">
        <v>3.99</v>
      </c>
      <c r="AC1230" s="6">
        <v>0.75</v>
      </c>
      <c r="AD1230" s="6">
        <v>-5.3200000000000074</v>
      </c>
      <c r="AE1230" s="6">
        <v>5.3200000000000074</v>
      </c>
    </row>
    <row r="1231" spans="2:31" x14ac:dyDescent="0.25">
      <c r="B1231" s="55"/>
      <c r="C1231" s="55"/>
      <c r="D1231" s="54" t="s">
        <v>1920</v>
      </c>
      <c r="E1231" s="4" t="s">
        <v>1802</v>
      </c>
      <c r="F1231" s="4" t="s">
        <v>51</v>
      </c>
      <c r="G1231" s="4" t="s">
        <v>35</v>
      </c>
      <c r="H1231" s="54" t="s">
        <v>36</v>
      </c>
      <c r="I1231" s="52"/>
      <c r="J1231" s="57">
        <v>34.42</v>
      </c>
      <c r="K1231" s="52"/>
      <c r="L1231" s="6">
        <v>31.563140000000001</v>
      </c>
      <c r="M1231" s="6">
        <v>0.91699999999999993</v>
      </c>
      <c r="N1231" s="6">
        <v>34.42</v>
      </c>
      <c r="O1231" s="57">
        <v>31.563140000000001</v>
      </c>
      <c r="P1231" s="52"/>
      <c r="Q1231" s="6">
        <v>0.91699999999999993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</row>
    <row r="1232" spans="2:31" x14ac:dyDescent="0.25">
      <c r="B1232" s="55"/>
      <c r="C1232" s="55"/>
      <c r="D1232" s="56"/>
      <c r="E1232" s="4" t="s">
        <v>1921</v>
      </c>
      <c r="F1232" s="4" t="s">
        <v>51</v>
      </c>
      <c r="G1232" s="4" t="s">
        <v>35</v>
      </c>
      <c r="H1232" s="54" t="s">
        <v>36</v>
      </c>
      <c r="I1232" s="52"/>
      <c r="J1232" s="57">
        <v>53.32</v>
      </c>
      <c r="K1232" s="52"/>
      <c r="L1232" s="6">
        <v>48.894440000000003</v>
      </c>
      <c r="M1232" s="6">
        <v>0.91700000000000004</v>
      </c>
      <c r="N1232" s="6">
        <v>51.37</v>
      </c>
      <c r="O1232" s="57">
        <v>47.106290000000001</v>
      </c>
      <c r="P1232" s="52"/>
      <c r="Q1232" s="6">
        <v>0.91700000000000004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1.95</v>
      </c>
      <c r="AB1232" s="6">
        <v>1.7881499999999999</v>
      </c>
      <c r="AC1232" s="6">
        <v>0.91699999999999993</v>
      </c>
      <c r="AD1232" s="6">
        <v>-1.9500000000000028</v>
      </c>
      <c r="AE1232" s="6">
        <v>1.9500000000000028</v>
      </c>
    </row>
    <row r="1233" spans="2:31" x14ac:dyDescent="0.25">
      <c r="B1233" s="55"/>
      <c r="C1233" s="55"/>
      <c r="D1233" s="54" t="s">
        <v>1922</v>
      </c>
      <c r="E1233" s="4" t="s">
        <v>1758</v>
      </c>
      <c r="F1233" s="4" t="s">
        <v>51</v>
      </c>
      <c r="G1233" s="4" t="s">
        <v>35</v>
      </c>
      <c r="H1233" s="54" t="s">
        <v>36</v>
      </c>
      <c r="I1233" s="52"/>
      <c r="J1233" s="57">
        <v>8.81</v>
      </c>
      <c r="K1233" s="52"/>
      <c r="L1233" s="6">
        <v>8.0787700000000005</v>
      </c>
      <c r="M1233" s="6">
        <v>0.91700000000000004</v>
      </c>
      <c r="N1233" s="6">
        <v>8.76</v>
      </c>
      <c r="O1233" s="57">
        <v>8.0329200000000007</v>
      </c>
      <c r="P1233" s="52"/>
      <c r="Q1233" s="6">
        <v>0.91700000000000015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0.05</v>
      </c>
      <c r="AB1233" s="6">
        <v>4.5850000000000002E-2</v>
      </c>
      <c r="AC1233" s="6">
        <v>0.91700000000000004</v>
      </c>
      <c r="AD1233" s="6">
        <v>-5.0000000000000711E-2</v>
      </c>
      <c r="AE1233" s="6">
        <v>5.0000000000000711E-2</v>
      </c>
    </row>
    <row r="1234" spans="2:31" x14ac:dyDescent="0.25">
      <c r="B1234" s="55"/>
      <c r="C1234" s="55"/>
      <c r="D1234" s="56"/>
      <c r="E1234" s="4" t="s">
        <v>1923</v>
      </c>
      <c r="F1234" s="4" t="s">
        <v>51</v>
      </c>
      <c r="G1234" s="4" t="s">
        <v>35</v>
      </c>
      <c r="H1234" s="54" t="s">
        <v>36</v>
      </c>
      <c r="I1234" s="52"/>
      <c r="J1234" s="57">
        <v>13.48</v>
      </c>
      <c r="K1234" s="52"/>
      <c r="L1234" s="6">
        <v>12.36116</v>
      </c>
      <c r="M1234" s="6">
        <v>0.91699999999999993</v>
      </c>
      <c r="N1234" s="6">
        <v>12.33</v>
      </c>
      <c r="O1234" s="57">
        <v>11.306609999999999</v>
      </c>
      <c r="P1234" s="52"/>
      <c r="Q1234" s="6">
        <v>0.91699999999999993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1.1499999999999999</v>
      </c>
      <c r="AB1234" s="6">
        <v>1.0545500000000001</v>
      </c>
      <c r="AC1234" s="6">
        <v>0.91700000000000015</v>
      </c>
      <c r="AD1234" s="6">
        <v>-1.1500000000000004</v>
      </c>
      <c r="AE1234" s="6">
        <v>1.1500000000000004</v>
      </c>
    </row>
    <row r="1235" spans="2:31" ht="20" x14ac:dyDescent="0.25">
      <c r="B1235" s="55"/>
      <c r="C1235" s="55"/>
      <c r="D1235" s="4" t="s">
        <v>1924</v>
      </c>
      <c r="E1235" s="4" t="s">
        <v>1925</v>
      </c>
      <c r="F1235" s="4" t="s">
        <v>51</v>
      </c>
      <c r="G1235" s="4" t="s">
        <v>35</v>
      </c>
      <c r="H1235" s="54" t="s">
        <v>36</v>
      </c>
      <c r="I1235" s="52"/>
      <c r="J1235" s="57">
        <v>43.33</v>
      </c>
      <c r="K1235" s="52"/>
      <c r="L1235" s="6">
        <v>39.733609999999999</v>
      </c>
      <c r="M1235" s="6">
        <v>0.91700000000000004</v>
      </c>
      <c r="N1235" s="6">
        <v>39.22</v>
      </c>
      <c r="O1235" s="57">
        <v>35.964739999999999</v>
      </c>
      <c r="P1235" s="52"/>
      <c r="Q1235" s="6">
        <v>0.91700000000000004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4.1100000000000003</v>
      </c>
      <c r="AB1235" s="6">
        <v>3.7688700000000002</v>
      </c>
      <c r="AC1235" s="6">
        <v>0.91699999999999993</v>
      </c>
      <c r="AD1235" s="6">
        <v>-4.1099999999999994</v>
      </c>
      <c r="AE1235" s="6">
        <v>4.1099999999999994</v>
      </c>
    </row>
    <row r="1236" spans="2:31" ht="20" x14ac:dyDescent="0.25">
      <c r="B1236" s="55"/>
      <c r="C1236" s="55"/>
      <c r="D1236" s="4" t="s">
        <v>1926</v>
      </c>
      <c r="E1236" s="4" t="s">
        <v>1927</v>
      </c>
      <c r="F1236" s="4" t="s">
        <v>51</v>
      </c>
      <c r="G1236" s="4" t="s">
        <v>35</v>
      </c>
      <c r="H1236" s="54" t="s">
        <v>36</v>
      </c>
      <c r="I1236" s="52"/>
      <c r="J1236" s="57">
        <v>493.52</v>
      </c>
      <c r="K1236" s="52"/>
      <c r="L1236" s="6">
        <v>452.55784</v>
      </c>
      <c r="M1236" s="6">
        <v>0.91700000000000004</v>
      </c>
      <c r="N1236" s="6">
        <v>462.68</v>
      </c>
      <c r="O1236" s="57">
        <v>424.27755999999999</v>
      </c>
      <c r="P1236" s="52"/>
      <c r="Q1236" s="6">
        <v>0.91699999999999993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30.84</v>
      </c>
      <c r="AB1236" s="6">
        <v>28.280280000000001</v>
      </c>
      <c r="AC1236" s="6">
        <v>0.91700000000000004</v>
      </c>
      <c r="AD1236" s="6">
        <v>-30.839999999999975</v>
      </c>
      <c r="AE1236" s="6">
        <v>30.839999999999975</v>
      </c>
    </row>
    <row r="1237" spans="2:31" x14ac:dyDescent="0.25">
      <c r="B1237" s="55"/>
      <c r="C1237" s="55"/>
      <c r="D1237" s="54" t="s">
        <v>1928</v>
      </c>
      <c r="E1237" s="4" t="s">
        <v>1929</v>
      </c>
      <c r="F1237" s="4" t="s">
        <v>51</v>
      </c>
      <c r="G1237" s="4" t="s">
        <v>35</v>
      </c>
      <c r="H1237" s="54" t="s">
        <v>36</v>
      </c>
      <c r="I1237" s="52"/>
      <c r="J1237" s="57">
        <v>106.02</v>
      </c>
      <c r="K1237" s="52"/>
      <c r="L1237" s="6">
        <v>97.220339999999993</v>
      </c>
      <c r="M1237" s="6">
        <v>0.91699999999999993</v>
      </c>
      <c r="N1237" s="6">
        <v>100.63</v>
      </c>
      <c r="O1237" s="57">
        <v>92.277709999999999</v>
      </c>
      <c r="P1237" s="52"/>
      <c r="Q1237" s="6">
        <v>0.91700000000000004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5.39</v>
      </c>
      <c r="AB1237" s="6">
        <v>4.9426300000000003</v>
      </c>
      <c r="AC1237" s="6">
        <v>0.91700000000000015</v>
      </c>
      <c r="AD1237" s="6">
        <v>-5.39</v>
      </c>
      <c r="AE1237" s="6">
        <v>5.39</v>
      </c>
    </row>
    <row r="1238" spans="2:31" x14ac:dyDescent="0.25">
      <c r="B1238" s="55"/>
      <c r="C1238" s="55"/>
      <c r="D1238" s="55"/>
      <c r="E1238" s="4" t="s">
        <v>1930</v>
      </c>
      <c r="F1238" s="4" t="s">
        <v>51</v>
      </c>
      <c r="G1238" s="4" t="s">
        <v>35</v>
      </c>
      <c r="H1238" s="54" t="s">
        <v>36</v>
      </c>
      <c r="I1238" s="52"/>
      <c r="J1238" s="57">
        <v>49.01</v>
      </c>
      <c r="K1238" s="52"/>
      <c r="L1238" s="6">
        <v>44.942169999999997</v>
      </c>
      <c r="M1238" s="6">
        <v>0.91700000000000004</v>
      </c>
      <c r="N1238" s="6">
        <v>44.84</v>
      </c>
      <c r="O1238" s="57">
        <v>41.118279999999999</v>
      </c>
      <c r="P1238" s="52"/>
      <c r="Q1238" s="6">
        <v>0.91699999999999993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4.17</v>
      </c>
      <c r="AB1238" s="6">
        <v>3.82389</v>
      </c>
      <c r="AC1238" s="6">
        <v>0.91700000000000004</v>
      </c>
      <c r="AD1238" s="6">
        <v>-4.1699999999999946</v>
      </c>
      <c r="AE1238" s="6">
        <v>4.1699999999999946</v>
      </c>
    </row>
    <row r="1239" spans="2:31" x14ac:dyDescent="0.25">
      <c r="B1239" s="55"/>
      <c r="C1239" s="55"/>
      <c r="D1239" s="56"/>
      <c r="E1239" s="4" t="s">
        <v>1875</v>
      </c>
      <c r="F1239" s="4" t="s">
        <v>51</v>
      </c>
      <c r="G1239" s="4" t="s">
        <v>35</v>
      </c>
      <c r="H1239" s="54" t="s">
        <v>36</v>
      </c>
      <c r="I1239" s="52"/>
      <c r="J1239" s="57">
        <v>38.799999999999997</v>
      </c>
      <c r="K1239" s="52"/>
      <c r="L1239" s="6">
        <v>35.579599999999999</v>
      </c>
      <c r="M1239" s="6">
        <v>0.91700000000000004</v>
      </c>
      <c r="N1239" s="6">
        <v>38.5</v>
      </c>
      <c r="O1239" s="57">
        <v>35.304499999999997</v>
      </c>
      <c r="P1239" s="52"/>
      <c r="Q1239" s="6">
        <v>0.91699999999999993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0.3</v>
      </c>
      <c r="AB1239" s="6">
        <v>0.27510000000000001</v>
      </c>
      <c r="AC1239" s="6">
        <v>0.91700000000000004</v>
      </c>
      <c r="AD1239" s="6">
        <v>-0.29999999999999716</v>
      </c>
      <c r="AE1239" s="6">
        <v>0.29999999999999716</v>
      </c>
    </row>
    <row r="1240" spans="2:31" ht="20" x14ac:dyDescent="0.25">
      <c r="B1240" s="55"/>
      <c r="C1240" s="55"/>
      <c r="D1240" s="4" t="s">
        <v>1931</v>
      </c>
      <c r="E1240" s="4" t="s">
        <v>1932</v>
      </c>
      <c r="F1240" s="4" t="s">
        <v>51</v>
      </c>
      <c r="G1240" s="4" t="s">
        <v>35</v>
      </c>
      <c r="H1240" s="54" t="s">
        <v>48</v>
      </c>
      <c r="I1240" s="52"/>
      <c r="J1240" s="57">
        <v>26.1</v>
      </c>
      <c r="K1240" s="52"/>
      <c r="L1240" s="6">
        <v>19.574999999999999</v>
      </c>
      <c r="M1240" s="6">
        <v>0.74999999999999989</v>
      </c>
      <c r="N1240" s="6">
        <v>23.7</v>
      </c>
      <c r="O1240" s="57">
        <v>17.774999999999999</v>
      </c>
      <c r="P1240" s="52"/>
      <c r="Q1240" s="6">
        <v>0.75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2.4</v>
      </c>
      <c r="AB1240" s="6">
        <v>1.8</v>
      </c>
      <c r="AC1240" s="6">
        <v>0.75</v>
      </c>
      <c r="AD1240" s="6">
        <v>-2.4000000000000021</v>
      </c>
      <c r="AE1240" s="6">
        <v>2.4000000000000021</v>
      </c>
    </row>
    <row r="1241" spans="2:31" ht="20" x14ac:dyDescent="0.25">
      <c r="B1241" s="55"/>
      <c r="C1241" s="55"/>
      <c r="D1241" s="4" t="s">
        <v>1933</v>
      </c>
      <c r="E1241" s="4" t="s">
        <v>1927</v>
      </c>
      <c r="F1241" s="4" t="s">
        <v>51</v>
      </c>
      <c r="G1241" s="4" t="s">
        <v>35</v>
      </c>
      <c r="H1241" s="54" t="s">
        <v>36</v>
      </c>
      <c r="I1241" s="52"/>
      <c r="J1241" s="57">
        <v>462.68</v>
      </c>
      <c r="K1241" s="52"/>
      <c r="L1241" s="6">
        <v>424.27755999999999</v>
      </c>
      <c r="M1241" s="6">
        <v>0.91699999999999993</v>
      </c>
      <c r="N1241" s="6">
        <v>462.56</v>
      </c>
      <c r="O1241" s="57">
        <v>424.16752000000002</v>
      </c>
      <c r="P1241" s="52"/>
      <c r="Q1241" s="6">
        <v>0.91700000000000004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0.12</v>
      </c>
      <c r="AB1241" s="6">
        <v>0.11004</v>
      </c>
      <c r="AC1241" s="6">
        <v>0.91700000000000004</v>
      </c>
      <c r="AD1241" s="6">
        <v>-0.12000000000000455</v>
      </c>
      <c r="AE1241" s="6">
        <v>0.12000000000000455</v>
      </c>
    </row>
    <row r="1242" spans="2:31" ht="20" x14ac:dyDescent="0.25">
      <c r="B1242" s="55"/>
      <c r="C1242" s="55"/>
      <c r="D1242" s="4" t="s">
        <v>1934</v>
      </c>
      <c r="E1242" s="4" t="s">
        <v>1905</v>
      </c>
      <c r="F1242" s="4" t="s">
        <v>51</v>
      </c>
      <c r="G1242" s="4" t="s">
        <v>35</v>
      </c>
      <c r="H1242" s="54" t="s">
        <v>36</v>
      </c>
      <c r="I1242" s="52"/>
      <c r="J1242" s="57">
        <v>28.6</v>
      </c>
      <c r="K1242" s="52"/>
      <c r="L1242" s="6">
        <v>26.226199999999999</v>
      </c>
      <c r="M1242" s="6">
        <v>0.91699999999999993</v>
      </c>
      <c r="N1242" s="6">
        <v>27.68</v>
      </c>
      <c r="O1242" s="57">
        <v>25.382560000000002</v>
      </c>
      <c r="P1242" s="52"/>
      <c r="Q1242" s="6">
        <v>0.91700000000000004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0.92</v>
      </c>
      <c r="AB1242" s="6">
        <v>0.84363999999999995</v>
      </c>
      <c r="AC1242" s="6">
        <v>0.91699999999999993</v>
      </c>
      <c r="AD1242" s="6">
        <v>-0.92000000000000171</v>
      </c>
      <c r="AE1242" s="6">
        <v>0.92000000000000171</v>
      </c>
    </row>
    <row r="1243" spans="2:31" ht="20" x14ac:dyDescent="0.25">
      <c r="B1243" s="55"/>
      <c r="C1243" s="55"/>
      <c r="D1243" s="4" t="s">
        <v>1935</v>
      </c>
      <c r="E1243" s="4" t="s">
        <v>1936</v>
      </c>
      <c r="F1243" s="4" t="s">
        <v>51</v>
      </c>
      <c r="G1243" s="4" t="s">
        <v>35</v>
      </c>
      <c r="H1243" s="54" t="s">
        <v>48</v>
      </c>
      <c r="I1243" s="52"/>
      <c r="J1243" s="57">
        <v>67.98</v>
      </c>
      <c r="K1243" s="52"/>
      <c r="L1243" s="6">
        <v>50.984999999999999</v>
      </c>
      <c r="M1243" s="6">
        <v>0.75</v>
      </c>
      <c r="N1243" s="6">
        <v>62.43</v>
      </c>
      <c r="O1243" s="57">
        <v>46.822499999999998</v>
      </c>
      <c r="P1243" s="52"/>
      <c r="Q1243" s="6">
        <v>0.75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5.55</v>
      </c>
      <c r="AB1243" s="6">
        <v>4.1624999999999996</v>
      </c>
      <c r="AC1243" s="6">
        <v>0.75</v>
      </c>
      <c r="AD1243" s="6">
        <v>-5.5500000000000043</v>
      </c>
      <c r="AE1243" s="6">
        <v>5.5500000000000043</v>
      </c>
    </row>
    <row r="1244" spans="2:31" ht="20" x14ac:dyDescent="0.25">
      <c r="B1244" s="55"/>
      <c r="C1244" s="55"/>
      <c r="D1244" s="4" t="s">
        <v>1937</v>
      </c>
      <c r="E1244" s="4" t="s">
        <v>1142</v>
      </c>
      <c r="F1244" s="4" t="s">
        <v>51</v>
      </c>
      <c r="G1244" s="4" t="s">
        <v>35</v>
      </c>
      <c r="H1244" s="54" t="s">
        <v>41</v>
      </c>
      <c r="I1244" s="52"/>
      <c r="J1244" s="57">
        <v>303.14999999999998</v>
      </c>
      <c r="K1244" s="52"/>
      <c r="L1244" s="6">
        <v>227.36250000000001</v>
      </c>
      <c r="M1244" s="6">
        <v>0.75000000000000011</v>
      </c>
      <c r="N1244" s="6">
        <v>279.5</v>
      </c>
      <c r="O1244" s="57">
        <v>209.625</v>
      </c>
      <c r="P1244" s="52"/>
      <c r="Q1244" s="6">
        <v>0.75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23.65</v>
      </c>
      <c r="AB1244" s="6">
        <v>17.737500000000001</v>
      </c>
      <c r="AC1244" s="6">
        <v>0.75000000000000011</v>
      </c>
      <c r="AD1244" s="6">
        <v>-23.649999999999977</v>
      </c>
      <c r="AE1244" s="6">
        <v>23.649999999999977</v>
      </c>
    </row>
    <row r="1245" spans="2:31" ht="20" x14ac:dyDescent="0.25">
      <c r="B1245" s="55"/>
      <c r="C1245" s="55"/>
      <c r="D1245" s="4" t="s">
        <v>1938</v>
      </c>
      <c r="E1245" s="4" t="s">
        <v>1939</v>
      </c>
      <c r="F1245" s="4" t="s">
        <v>51</v>
      </c>
      <c r="G1245" s="4" t="s">
        <v>35</v>
      </c>
      <c r="H1245" s="54" t="s">
        <v>48</v>
      </c>
      <c r="I1245" s="52"/>
      <c r="J1245" s="57">
        <v>62.57</v>
      </c>
      <c r="K1245" s="52"/>
      <c r="L1245" s="6">
        <v>46.927500000000002</v>
      </c>
      <c r="M1245" s="6">
        <v>0.75</v>
      </c>
      <c r="N1245" s="6">
        <v>58.86</v>
      </c>
      <c r="O1245" s="57">
        <v>44.145000000000003</v>
      </c>
      <c r="P1245" s="52"/>
      <c r="Q1245" s="6">
        <v>0.75000000000000011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3.71</v>
      </c>
      <c r="AB1245" s="6">
        <v>2.7825000000000002</v>
      </c>
      <c r="AC1245" s="6">
        <v>0.75000000000000011</v>
      </c>
      <c r="AD1245" s="6">
        <v>-3.7100000000000009</v>
      </c>
      <c r="AE1245" s="6">
        <v>3.7100000000000009</v>
      </c>
    </row>
    <row r="1246" spans="2:31" ht="20" x14ac:dyDescent="0.25">
      <c r="B1246" s="55"/>
      <c r="C1246" s="56"/>
      <c r="D1246" s="4" t="s">
        <v>1940</v>
      </c>
      <c r="E1246" s="4" t="s">
        <v>1370</v>
      </c>
      <c r="F1246" s="4" t="s">
        <v>51</v>
      </c>
      <c r="G1246" s="4" t="s">
        <v>35</v>
      </c>
      <c r="H1246" s="54" t="s">
        <v>41</v>
      </c>
      <c r="I1246" s="52"/>
      <c r="J1246" s="57">
        <v>308.02</v>
      </c>
      <c r="K1246" s="52"/>
      <c r="L1246" s="6">
        <v>231.01499999999999</v>
      </c>
      <c r="M1246" s="6">
        <v>0.75</v>
      </c>
      <c r="N1246" s="6">
        <v>283.27999999999997</v>
      </c>
      <c r="O1246" s="57">
        <v>212.46</v>
      </c>
      <c r="P1246" s="52"/>
      <c r="Q1246" s="6">
        <v>0.75000000000000011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24.74</v>
      </c>
      <c r="AB1246" s="6">
        <v>18.555</v>
      </c>
      <c r="AC1246" s="6">
        <v>0.75</v>
      </c>
      <c r="AD1246" s="6">
        <v>-24.740000000000009</v>
      </c>
      <c r="AE1246" s="6">
        <v>24.740000000000009</v>
      </c>
    </row>
    <row r="1247" spans="2:31" x14ac:dyDescent="0.25">
      <c r="B1247" s="55"/>
      <c r="C1247" s="58">
        <v>46192</v>
      </c>
      <c r="D1247" s="4" t="s">
        <v>1941</v>
      </c>
      <c r="E1247" s="4" t="s">
        <v>1853</v>
      </c>
      <c r="F1247" s="4" t="s">
        <v>34</v>
      </c>
      <c r="G1247" s="4" t="s">
        <v>35</v>
      </c>
      <c r="H1247" s="54" t="s">
        <v>36</v>
      </c>
      <c r="I1247" s="52"/>
      <c r="J1247" s="57">
        <v>178.28</v>
      </c>
      <c r="K1247" s="52"/>
      <c r="L1247" s="6">
        <v>163.48276000000001</v>
      </c>
      <c r="M1247" s="6">
        <v>0.91700000000000004</v>
      </c>
      <c r="N1247" s="6">
        <v>173.19</v>
      </c>
      <c r="O1247" s="57">
        <v>158.81523000000001</v>
      </c>
      <c r="P1247" s="52"/>
      <c r="Q1247" s="6">
        <v>0.91700000000000004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5.09</v>
      </c>
      <c r="AB1247" s="6">
        <v>4.6675300000000002</v>
      </c>
      <c r="AC1247" s="6">
        <v>0.91700000000000004</v>
      </c>
      <c r="AD1247" s="6">
        <v>-5.0900000000000034</v>
      </c>
      <c r="AE1247" s="6">
        <v>5.0900000000000034</v>
      </c>
    </row>
    <row r="1248" spans="2:31" x14ac:dyDescent="0.25">
      <c r="B1248" s="55"/>
      <c r="C1248" s="55"/>
      <c r="D1248" s="4" t="s">
        <v>1942</v>
      </c>
      <c r="E1248" s="4" t="s">
        <v>1943</v>
      </c>
      <c r="F1248" s="4" t="s">
        <v>34</v>
      </c>
      <c r="G1248" s="4" t="s">
        <v>35</v>
      </c>
      <c r="H1248" s="54" t="s">
        <v>36</v>
      </c>
      <c r="I1248" s="52"/>
      <c r="J1248" s="57">
        <v>12.33</v>
      </c>
      <c r="K1248" s="52"/>
      <c r="L1248" s="6">
        <v>11.306609999999999</v>
      </c>
      <c r="M1248" s="6">
        <v>0.91699999999999993</v>
      </c>
      <c r="N1248" s="6">
        <v>11.53</v>
      </c>
      <c r="O1248" s="57">
        <v>10.57301</v>
      </c>
      <c r="P1248" s="52"/>
      <c r="Q1248" s="6">
        <v>0.91700000000000004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0.8</v>
      </c>
      <c r="AB1248" s="6">
        <v>0.73360000000000003</v>
      </c>
      <c r="AC1248" s="6">
        <v>0.91700000000000004</v>
      </c>
      <c r="AD1248" s="6">
        <v>-0.80000000000000071</v>
      </c>
      <c r="AE1248" s="6">
        <v>0.80000000000000071</v>
      </c>
    </row>
    <row r="1249" spans="2:31" ht="20" x14ac:dyDescent="0.25">
      <c r="B1249" s="55"/>
      <c r="C1249" s="55"/>
      <c r="D1249" s="4" t="s">
        <v>1944</v>
      </c>
      <c r="E1249" s="4" t="s">
        <v>1945</v>
      </c>
      <c r="F1249" s="4" t="s">
        <v>51</v>
      </c>
      <c r="G1249" s="4" t="s">
        <v>35</v>
      </c>
      <c r="H1249" s="54" t="s">
        <v>48</v>
      </c>
      <c r="I1249" s="52"/>
      <c r="J1249" s="57">
        <v>69.83</v>
      </c>
      <c r="K1249" s="52"/>
      <c r="L1249" s="6">
        <v>52.372500000000002</v>
      </c>
      <c r="M1249" s="6">
        <v>0.75</v>
      </c>
      <c r="N1249" s="6">
        <v>65.33</v>
      </c>
      <c r="O1249" s="57">
        <v>48.997500000000002</v>
      </c>
      <c r="P1249" s="52"/>
      <c r="Q1249" s="6">
        <v>0.75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4.5</v>
      </c>
      <c r="AB1249" s="6">
        <v>3.375</v>
      </c>
      <c r="AC1249" s="6">
        <v>0.75</v>
      </c>
      <c r="AD1249" s="6">
        <v>-4.5</v>
      </c>
      <c r="AE1249" s="6">
        <v>4.5</v>
      </c>
    </row>
    <row r="1250" spans="2:31" ht="20" x14ac:dyDescent="0.25">
      <c r="B1250" s="55"/>
      <c r="C1250" s="55"/>
      <c r="D1250" s="4" t="s">
        <v>1946</v>
      </c>
      <c r="E1250" s="4" t="s">
        <v>1947</v>
      </c>
      <c r="F1250" s="4" t="s">
        <v>51</v>
      </c>
      <c r="G1250" s="4" t="s">
        <v>35</v>
      </c>
      <c r="H1250" s="54" t="s">
        <v>48</v>
      </c>
      <c r="I1250" s="52"/>
      <c r="J1250" s="57">
        <v>36.86</v>
      </c>
      <c r="K1250" s="52"/>
      <c r="L1250" s="6">
        <v>27.645</v>
      </c>
      <c r="M1250" s="6">
        <v>0.75</v>
      </c>
      <c r="N1250" s="6">
        <v>33.520000000000003</v>
      </c>
      <c r="O1250" s="57">
        <v>25.14</v>
      </c>
      <c r="P1250" s="52"/>
      <c r="Q1250" s="6">
        <v>0.75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3.34</v>
      </c>
      <c r="AB1250" s="6">
        <v>2.5049999999999999</v>
      </c>
      <c r="AC1250" s="6">
        <v>0.75</v>
      </c>
      <c r="AD1250" s="6">
        <v>-3.3399999999999963</v>
      </c>
      <c r="AE1250" s="6">
        <v>3.3399999999999963</v>
      </c>
    </row>
    <row r="1251" spans="2:31" ht="20" x14ac:dyDescent="0.25">
      <c r="B1251" s="55"/>
      <c r="C1251" s="55"/>
      <c r="D1251" s="4" t="s">
        <v>1948</v>
      </c>
      <c r="E1251" s="4" t="s">
        <v>1949</v>
      </c>
      <c r="F1251" s="4" t="s">
        <v>51</v>
      </c>
      <c r="G1251" s="4" t="s">
        <v>35</v>
      </c>
      <c r="H1251" s="54" t="s">
        <v>41</v>
      </c>
      <c r="I1251" s="52"/>
      <c r="J1251" s="57">
        <v>3.56</v>
      </c>
      <c r="K1251" s="52"/>
      <c r="L1251" s="6">
        <v>2.67</v>
      </c>
      <c r="M1251" s="6">
        <v>0.75</v>
      </c>
      <c r="N1251" s="6">
        <v>3.56</v>
      </c>
      <c r="O1251" s="57">
        <v>2.67</v>
      </c>
      <c r="P1251" s="52"/>
      <c r="Q1251" s="6">
        <v>0.75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</row>
    <row r="1252" spans="2:31" ht="20" x14ac:dyDescent="0.25">
      <c r="B1252" s="55"/>
      <c r="C1252" s="55"/>
      <c r="D1252" s="4" t="s">
        <v>1950</v>
      </c>
      <c r="E1252" s="4" t="s">
        <v>1951</v>
      </c>
      <c r="F1252" s="4" t="s">
        <v>51</v>
      </c>
      <c r="G1252" s="4" t="s">
        <v>35</v>
      </c>
      <c r="H1252" s="54" t="s">
        <v>41</v>
      </c>
      <c r="I1252" s="52"/>
      <c r="J1252" s="57">
        <v>16.829999999999998</v>
      </c>
      <c r="K1252" s="52"/>
      <c r="L1252" s="6">
        <v>12.6225</v>
      </c>
      <c r="M1252" s="6">
        <v>0.75000000000000011</v>
      </c>
      <c r="N1252" s="6">
        <v>16.03</v>
      </c>
      <c r="O1252" s="57">
        <v>12.022500000000001</v>
      </c>
      <c r="P1252" s="52"/>
      <c r="Q1252" s="6">
        <v>0.75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0.8</v>
      </c>
      <c r="AB1252" s="6">
        <v>0.6</v>
      </c>
      <c r="AC1252" s="6">
        <v>0.74999999999999989</v>
      </c>
      <c r="AD1252" s="6">
        <v>-0.79999999999999716</v>
      </c>
      <c r="AE1252" s="6">
        <v>0.79999999999999716</v>
      </c>
    </row>
    <row r="1253" spans="2:31" ht="20" x14ac:dyDescent="0.25">
      <c r="B1253" s="55"/>
      <c r="C1253" s="55"/>
      <c r="D1253" s="4" t="s">
        <v>1952</v>
      </c>
      <c r="E1253" s="4" t="s">
        <v>1953</v>
      </c>
      <c r="F1253" s="4" t="s">
        <v>51</v>
      </c>
      <c r="G1253" s="4" t="s">
        <v>35</v>
      </c>
      <c r="H1253" s="54" t="s">
        <v>36</v>
      </c>
      <c r="I1253" s="52"/>
      <c r="J1253" s="57">
        <v>3.37</v>
      </c>
      <c r="K1253" s="52"/>
      <c r="L1253" s="6">
        <v>3.09029</v>
      </c>
      <c r="M1253" s="6">
        <v>0.91699999999999993</v>
      </c>
      <c r="N1253" s="6">
        <v>3.01</v>
      </c>
      <c r="O1253" s="57">
        <v>2.76017</v>
      </c>
      <c r="P1253" s="52"/>
      <c r="Q1253" s="6">
        <v>0.91700000000000004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0.36</v>
      </c>
      <c r="AB1253" s="6">
        <v>0.33012000000000002</v>
      </c>
      <c r="AC1253" s="6">
        <v>0.91700000000000015</v>
      </c>
      <c r="AD1253" s="6">
        <v>-0.36000000000000032</v>
      </c>
      <c r="AE1253" s="6">
        <v>0.36000000000000032</v>
      </c>
    </row>
    <row r="1254" spans="2:31" ht="20" x14ac:dyDescent="0.25">
      <c r="B1254" s="55"/>
      <c r="C1254" s="55"/>
      <c r="D1254" s="4" t="s">
        <v>1954</v>
      </c>
      <c r="E1254" s="4" t="s">
        <v>1939</v>
      </c>
      <c r="F1254" s="4" t="s">
        <v>51</v>
      </c>
      <c r="G1254" s="4" t="s">
        <v>35</v>
      </c>
      <c r="H1254" s="54" t="s">
        <v>48</v>
      </c>
      <c r="I1254" s="52"/>
      <c r="J1254" s="57">
        <v>54.53</v>
      </c>
      <c r="K1254" s="52"/>
      <c r="L1254" s="6">
        <v>40.897500000000001</v>
      </c>
      <c r="M1254" s="6">
        <v>0.75</v>
      </c>
      <c r="N1254" s="6">
        <v>54.53</v>
      </c>
      <c r="O1254" s="57">
        <v>40.897500000000001</v>
      </c>
      <c r="P1254" s="52"/>
      <c r="Q1254" s="6">
        <v>0.75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</row>
    <row r="1255" spans="2:31" ht="20" x14ac:dyDescent="0.25">
      <c r="B1255" s="55"/>
      <c r="C1255" s="55"/>
      <c r="D1255" s="4" t="s">
        <v>1955</v>
      </c>
      <c r="E1255" s="4" t="s">
        <v>1939</v>
      </c>
      <c r="F1255" s="4" t="s">
        <v>51</v>
      </c>
      <c r="G1255" s="4" t="s">
        <v>35</v>
      </c>
      <c r="H1255" s="54" t="s">
        <v>48</v>
      </c>
      <c r="I1255" s="52"/>
      <c r="J1255" s="57">
        <v>54.62</v>
      </c>
      <c r="K1255" s="52"/>
      <c r="L1255" s="6">
        <v>40.965000000000003</v>
      </c>
      <c r="M1255" s="6">
        <v>0.75000000000000011</v>
      </c>
      <c r="N1255" s="6">
        <v>54.62</v>
      </c>
      <c r="O1255" s="57">
        <v>40.965000000000003</v>
      </c>
      <c r="P1255" s="52"/>
      <c r="Q1255" s="6">
        <v>0.75000000000000011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</row>
    <row r="1256" spans="2:31" ht="20" x14ac:dyDescent="0.25">
      <c r="B1256" s="55"/>
      <c r="C1256" s="55"/>
      <c r="D1256" s="4" t="s">
        <v>1956</v>
      </c>
      <c r="E1256" s="4" t="s">
        <v>444</v>
      </c>
      <c r="F1256" s="4" t="s">
        <v>51</v>
      </c>
      <c r="G1256" s="4" t="s">
        <v>35</v>
      </c>
      <c r="H1256" s="54" t="s">
        <v>48</v>
      </c>
      <c r="I1256" s="52"/>
      <c r="J1256" s="57">
        <v>149.02000000000001</v>
      </c>
      <c r="K1256" s="52"/>
      <c r="L1256" s="6">
        <v>111.765</v>
      </c>
      <c r="M1256" s="6">
        <v>0.75</v>
      </c>
      <c r="N1256" s="6">
        <v>130.63999999999999</v>
      </c>
      <c r="O1256" s="57">
        <v>97.98</v>
      </c>
      <c r="P1256" s="52"/>
      <c r="Q1256" s="6">
        <v>0.75000000000000011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18.38</v>
      </c>
      <c r="AB1256" s="6">
        <v>13.785</v>
      </c>
      <c r="AC1256" s="6">
        <v>0.75</v>
      </c>
      <c r="AD1256" s="6">
        <v>-18.380000000000024</v>
      </c>
      <c r="AE1256" s="6">
        <v>18.380000000000024</v>
      </c>
    </row>
    <row r="1257" spans="2:31" ht="20" x14ac:dyDescent="0.25">
      <c r="B1257" s="55"/>
      <c r="C1257" s="55"/>
      <c r="D1257" s="4" t="s">
        <v>1957</v>
      </c>
      <c r="E1257" s="4" t="s">
        <v>1958</v>
      </c>
      <c r="F1257" s="4" t="s">
        <v>51</v>
      </c>
      <c r="G1257" s="4" t="s">
        <v>35</v>
      </c>
      <c r="H1257" s="54" t="s">
        <v>48</v>
      </c>
      <c r="I1257" s="52"/>
      <c r="J1257" s="57">
        <v>31.87</v>
      </c>
      <c r="K1257" s="52"/>
      <c r="L1257" s="6">
        <v>23.9025</v>
      </c>
      <c r="M1257" s="6">
        <v>0.75</v>
      </c>
      <c r="N1257" s="6">
        <v>30.98</v>
      </c>
      <c r="O1257" s="57">
        <v>23.234999999999999</v>
      </c>
      <c r="P1257" s="52"/>
      <c r="Q1257" s="6">
        <v>0.75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0.89</v>
      </c>
      <c r="AB1257" s="6">
        <v>0.66749999999999998</v>
      </c>
      <c r="AC1257" s="6">
        <v>0.75</v>
      </c>
      <c r="AD1257" s="6">
        <v>-0.89000000000000057</v>
      </c>
      <c r="AE1257" s="6">
        <v>0.89000000000000057</v>
      </c>
    </row>
    <row r="1258" spans="2:31" x14ac:dyDescent="0.25">
      <c r="B1258" s="55"/>
      <c r="C1258" s="55"/>
      <c r="D1258" s="54" t="s">
        <v>1959</v>
      </c>
      <c r="E1258" s="4" t="s">
        <v>1960</v>
      </c>
      <c r="F1258" s="4" t="s">
        <v>51</v>
      </c>
      <c r="G1258" s="4" t="s">
        <v>35</v>
      </c>
      <c r="H1258" s="54" t="s">
        <v>36</v>
      </c>
      <c r="I1258" s="52"/>
      <c r="J1258" s="57">
        <v>73.197000000000003</v>
      </c>
      <c r="K1258" s="52"/>
      <c r="L1258" s="6">
        <v>67.121649000000005</v>
      </c>
      <c r="M1258" s="6">
        <v>0.91700000000000004</v>
      </c>
      <c r="N1258" s="6">
        <v>69.427000000000007</v>
      </c>
      <c r="O1258" s="57">
        <v>63.664558999999997</v>
      </c>
      <c r="P1258" s="52"/>
      <c r="Q1258" s="6">
        <v>0.91699999999999982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3.77</v>
      </c>
      <c r="AB1258" s="6">
        <v>3.45709</v>
      </c>
      <c r="AC1258" s="6">
        <v>0.91700000000000004</v>
      </c>
      <c r="AD1258" s="6">
        <v>-3.769999999999996</v>
      </c>
      <c r="AE1258" s="6">
        <v>3.769999999999996</v>
      </c>
    </row>
    <row r="1259" spans="2:31" x14ac:dyDescent="0.25">
      <c r="B1259" s="55"/>
      <c r="C1259" s="55"/>
      <c r="D1259" s="55"/>
      <c r="E1259" s="4" t="s">
        <v>1961</v>
      </c>
      <c r="F1259" s="4" t="s">
        <v>51</v>
      </c>
      <c r="G1259" s="4" t="s">
        <v>35</v>
      </c>
      <c r="H1259" s="54" t="s">
        <v>36</v>
      </c>
      <c r="I1259" s="52"/>
      <c r="J1259" s="57">
        <v>77.097999999999999</v>
      </c>
      <c r="K1259" s="52"/>
      <c r="L1259" s="6">
        <v>70.698865999999995</v>
      </c>
      <c r="M1259" s="6">
        <v>0.91699999999999993</v>
      </c>
      <c r="N1259" s="6">
        <v>70.858000000000004</v>
      </c>
      <c r="O1259" s="57">
        <v>64.976786000000004</v>
      </c>
      <c r="P1259" s="52"/>
      <c r="Q1259" s="6">
        <v>0.91700000000000004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6.24</v>
      </c>
      <c r="AB1259" s="6">
        <v>5.7220800000000001</v>
      </c>
      <c r="AC1259" s="6">
        <v>0.91699999999999993</v>
      </c>
      <c r="AD1259" s="6">
        <v>-6.2399999999999949</v>
      </c>
      <c r="AE1259" s="6">
        <v>6.2399999999999949</v>
      </c>
    </row>
    <row r="1260" spans="2:31" x14ac:dyDescent="0.25">
      <c r="B1260" s="55"/>
      <c r="C1260" s="55"/>
      <c r="D1260" s="55"/>
      <c r="E1260" s="4" t="s">
        <v>1962</v>
      </c>
      <c r="F1260" s="4" t="s">
        <v>51</v>
      </c>
      <c r="G1260" s="4" t="s">
        <v>35</v>
      </c>
      <c r="H1260" s="54" t="s">
        <v>36</v>
      </c>
      <c r="I1260" s="52"/>
      <c r="J1260" s="57">
        <v>64.855999999999995</v>
      </c>
      <c r="K1260" s="52"/>
      <c r="L1260" s="6">
        <v>59.472951999999999</v>
      </c>
      <c r="M1260" s="6">
        <v>0.91700000000000004</v>
      </c>
      <c r="N1260" s="6">
        <v>60.496000000000002</v>
      </c>
      <c r="O1260" s="57">
        <v>55.474831999999999</v>
      </c>
      <c r="P1260" s="52"/>
      <c r="Q1260" s="6">
        <v>0.91699999999999993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4.3600000000000003</v>
      </c>
      <c r="AB1260" s="6">
        <v>3.9981200000000001</v>
      </c>
      <c r="AC1260" s="6">
        <v>0.91699999999999993</v>
      </c>
      <c r="AD1260" s="6">
        <v>-4.3599999999999923</v>
      </c>
      <c r="AE1260" s="6">
        <v>4.3599999999999923</v>
      </c>
    </row>
    <row r="1261" spans="2:31" x14ac:dyDescent="0.25">
      <c r="B1261" s="55"/>
      <c r="C1261" s="55"/>
      <c r="D1261" s="56"/>
      <c r="E1261" s="4" t="s">
        <v>1947</v>
      </c>
      <c r="F1261" s="4" t="s">
        <v>51</v>
      </c>
      <c r="G1261" s="4" t="s">
        <v>35</v>
      </c>
      <c r="H1261" s="54" t="s">
        <v>48</v>
      </c>
      <c r="I1261" s="52"/>
      <c r="J1261" s="57">
        <v>33.700000000000003</v>
      </c>
      <c r="K1261" s="52"/>
      <c r="L1261" s="6">
        <v>25.274999999999999</v>
      </c>
      <c r="M1261" s="6">
        <v>0.74999999999999989</v>
      </c>
      <c r="N1261" s="6">
        <v>33.68</v>
      </c>
      <c r="O1261" s="57">
        <v>25.26</v>
      </c>
      <c r="P1261" s="52"/>
      <c r="Q1261" s="6">
        <v>0.75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0.02</v>
      </c>
      <c r="AB1261" s="6">
        <v>1.4999999999999999E-2</v>
      </c>
      <c r="AC1261" s="6">
        <v>0.75</v>
      </c>
      <c r="AD1261" s="6">
        <v>-2.0000000000003126E-2</v>
      </c>
      <c r="AE1261" s="6">
        <v>2.0000000000003126E-2</v>
      </c>
    </row>
    <row r="1262" spans="2:31" ht="20" x14ac:dyDescent="0.25">
      <c r="B1262" s="55"/>
      <c r="C1262" s="55"/>
      <c r="D1262" s="4" t="s">
        <v>1963</v>
      </c>
      <c r="E1262" s="4" t="s">
        <v>1708</v>
      </c>
      <c r="F1262" s="4" t="s">
        <v>51</v>
      </c>
      <c r="G1262" s="4" t="s">
        <v>35</v>
      </c>
      <c r="H1262" s="54" t="s">
        <v>36</v>
      </c>
      <c r="I1262" s="52"/>
      <c r="J1262" s="57">
        <v>61.78</v>
      </c>
      <c r="K1262" s="52"/>
      <c r="L1262" s="6">
        <v>56.652259999999998</v>
      </c>
      <c r="M1262" s="6">
        <v>0.91699999999999993</v>
      </c>
      <c r="N1262" s="6">
        <v>57.08</v>
      </c>
      <c r="O1262" s="57">
        <v>52.342359999999999</v>
      </c>
      <c r="P1262" s="52"/>
      <c r="Q1262" s="6">
        <v>0.91700000000000004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4.7</v>
      </c>
      <c r="AB1262" s="6">
        <v>4.3098999999999998</v>
      </c>
      <c r="AC1262" s="6">
        <v>0.91699999999999993</v>
      </c>
      <c r="AD1262" s="6">
        <v>-4.7000000000000028</v>
      </c>
      <c r="AE1262" s="6">
        <v>4.7000000000000028</v>
      </c>
    </row>
    <row r="1263" spans="2:31" ht="20" x14ac:dyDescent="0.25">
      <c r="B1263" s="55"/>
      <c r="C1263" s="55"/>
      <c r="D1263" s="4" t="s">
        <v>1964</v>
      </c>
      <c r="E1263" s="4" t="s">
        <v>1965</v>
      </c>
      <c r="F1263" s="4" t="s">
        <v>51</v>
      </c>
      <c r="G1263" s="4" t="s">
        <v>35</v>
      </c>
      <c r="H1263" s="54" t="s">
        <v>48</v>
      </c>
      <c r="I1263" s="52"/>
      <c r="J1263" s="57">
        <v>47.54</v>
      </c>
      <c r="K1263" s="52"/>
      <c r="L1263" s="6">
        <v>35.655000000000001</v>
      </c>
      <c r="M1263" s="6">
        <v>0.75</v>
      </c>
      <c r="N1263" s="6">
        <v>43.89</v>
      </c>
      <c r="O1263" s="57">
        <v>32.917499999999997</v>
      </c>
      <c r="P1263" s="52"/>
      <c r="Q1263" s="6">
        <v>0.74999999999999989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3.65</v>
      </c>
      <c r="AB1263" s="6">
        <v>2.7374999999999998</v>
      </c>
      <c r="AC1263" s="6">
        <v>0.75</v>
      </c>
      <c r="AD1263" s="6">
        <v>-3.6499999999999986</v>
      </c>
      <c r="AE1263" s="6">
        <v>3.6499999999999986</v>
      </c>
    </row>
    <row r="1264" spans="2:31" ht="20" x14ac:dyDescent="0.25">
      <c r="B1264" s="55"/>
      <c r="C1264" s="55"/>
      <c r="D1264" s="4" t="s">
        <v>1966</v>
      </c>
      <c r="E1264" s="4" t="s">
        <v>1967</v>
      </c>
      <c r="F1264" s="4" t="s">
        <v>51</v>
      </c>
      <c r="G1264" s="4" t="s">
        <v>35</v>
      </c>
      <c r="H1264" s="54" t="s">
        <v>48</v>
      </c>
      <c r="I1264" s="52"/>
      <c r="J1264" s="57">
        <v>95.93</v>
      </c>
      <c r="K1264" s="52"/>
      <c r="L1264" s="6">
        <v>71.947500000000005</v>
      </c>
      <c r="M1264" s="6">
        <v>0.75</v>
      </c>
      <c r="N1264" s="6">
        <v>88.83</v>
      </c>
      <c r="O1264" s="57">
        <v>66.622500000000002</v>
      </c>
      <c r="P1264" s="52"/>
      <c r="Q1264" s="6">
        <v>0.75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7.1</v>
      </c>
      <c r="AB1264" s="6">
        <v>5.3250000000000002</v>
      </c>
      <c r="AC1264" s="6">
        <v>0.75000000000000011</v>
      </c>
      <c r="AD1264" s="6">
        <v>-7.1000000000000085</v>
      </c>
      <c r="AE1264" s="6">
        <v>7.1000000000000085</v>
      </c>
    </row>
    <row r="1265" spans="2:31" x14ac:dyDescent="0.25">
      <c r="B1265" s="55"/>
      <c r="C1265" s="55"/>
      <c r="D1265" s="54" t="s">
        <v>1968</v>
      </c>
      <c r="E1265" s="4" t="s">
        <v>1887</v>
      </c>
      <c r="F1265" s="4" t="s">
        <v>51</v>
      </c>
      <c r="G1265" s="4" t="s">
        <v>35</v>
      </c>
      <c r="H1265" s="54" t="s">
        <v>41</v>
      </c>
      <c r="I1265" s="52"/>
      <c r="J1265" s="57">
        <v>67.69</v>
      </c>
      <c r="K1265" s="52"/>
      <c r="L1265" s="6">
        <v>50.767499999999998</v>
      </c>
      <c r="M1265" s="6">
        <v>0.75</v>
      </c>
      <c r="N1265" s="6">
        <v>67.69</v>
      </c>
      <c r="O1265" s="57">
        <v>50.767499999999998</v>
      </c>
      <c r="P1265" s="52"/>
      <c r="Q1265" s="6">
        <v>0.75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</row>
    <row r="1266" spans="2:31" x14ac:dyDescent="0.25">
      <c r="B1266" s="55"/>
      <c r="C1266" s="55"/>
      <c r="D1266" s="56"/>
      <c r="E1266" s="4" t="s">
        <v>1932</v>
      </c>
      <c r="F1266" s="4" t="s">
        <v>51</v>
      </c>
      <c r="G1266" s="4" t="s">
        <v>35</v>
      </c>
      <c r="H1266" s="54" t="s">
        <v>48</v>
      </c>
      <c r="I1266" s="52"/>
      <c r="J1266" s="57">
        <v>21.39</v>
      </c>
      <c r="K1266" s="52"/>
      <c r="L1266" s="6">
        <v>16.0425</v>
      </c>
      <c r="M1266" s="6">
        <v>0.75</v>
      </c>
      <c r="N1266" s="6">
        <v>21.19</v>
      </c>
      <c r="O1266" s="57">
        <v>15.8925</v>
      </c>
      <c r="P1266" s="52"/>
      <c r="Q1266" s="6">
        <v>0.75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0.2</v>
      </c>
      <c r="AB1266" s="6">
        <v>0.15</v>
      </c>
      <c r="AC1266" s="6">
        <v>0.74999999999999989</v>
      </c>
      <c r="AD1266" s="6">
        <v>-0.19999999999999929</v>
      </c>
      <c r="AE1266" s="6">
        <v>0.19999999999999929</v>
      </c>
    </row>
    <row r="1267" spans="2:31" ht="20" x14ac:dyDescent="0.25">
      <c r="B1267" s="55"/>
      <c r="C1267" s="55"/>
      <c r="D1267" s="4" t="s">
        <v>1969</v>
      </c>
      <c r="E1267" s="4" t="s">
        <v>1970</v>
      </c>
      <c r="F1267" s="4" t="s">
        <v>51</v>
      </c>
      <c r="G1267" s="4" t="s">
        <v>35</v>
      </c>
      <c r="H1267" s="54" t="s">
        <v>36</v>
      </c>
      <c r="I1267" s="52"/>
      <c r="J1267" s="57">
        <v>20.18</v>
      </c>
      <c r="K1267" s="52"/>
      <c r="L1267" s="6">
        <v>18.50506</v>
      </c>
      <c r="M1267" s="6">
        <v>0.91700000000000004</v>
      </c>
      <c r="N1267" s="6">
        <v>19.36</v>
      </c>
      <c r="O1267" s="57">
        <v>17.753119999999999</v>
      </c>
      <c r="P1267" s="52"/>
      <c r="Q1267" s="6">
        <v>0.91699999999999993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0.82</v>
      </c>
      <c r="AB1267" s="6">
        <v>0.75194000000000005</v>
      </c>
      <c r="AC1267" s="6">
        <v>0.91700000000000015</v>
      </c>
      <c r="AD1267" s="6">
        <v>-0.82000000000000028</v>
      </c>
      <c r="AE1267" s="6">
        <v>0.82000000000000028</v>
      </c>
    </row>
    <row r="1268" spans="2:31" ht="20" x14ac:dyDescent="0.25">
      <c r="B1268" s="55"/>
      <c r="C1268" s="55"/>
      <c r="D1268" s="4" t="s">
        <v>1971</v>
      </c>
      <c r="E1268" s="4" t="s">
        <v>1972</v>
      </c>
      <c r="F1268" s="4" t="s">
        <v>51</v>
      </c>
      <c r="G1268" s="4" t="s">
        <v>35</v>
      </c>
      <c r="H1268" s="54" t="s">
        <v>36</v>
      </c>
      <c r="I1268" s="52"/>
      <c r="J1268" s="57">
        <v>31.86</v>
      </c>
      <c r="K1268" s="52"/>
      <c r="L1268" s="6">
        <v>29.215620000000001</v>
      </c>
      <c r="M1268" s="6">
        <v>0.91700000000000004</v>
      </c>
      <c r="N1268" s="6">
        <v>31.86</v>
      </c>
      <c r="O1268" s="57">
        <v>29.215620000000001</v>
      </c>
      <c r="P1268" s="52"/>
      <c r="Q1268" s="6">
        <v>0.91700000000000004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</row>
    <row r="1269" spans="2:31" ht="20" x14ac:dyDescent="0.25">
      <c r="B1269" s="55"/>
      <c r="C1269" s="55"/>
      <c r="D1269" s="4" t="s">
        <v>1973</v>
      </c>
      <c r="E1269" s="4" t="s">
        <v>1945</v>
      </c>
      <c r="F1269" s="4" t="s">
        <v>51</v>
      </c>
      <c r="G1269" s="4" t="s">
        <v>35</v>
      </c>
      <c r="H1269" s="54" t="s">
        <v>48</v>
      </c>
      <c r="I1269" s="52"/>
      <c r="J1269" s="57">
        <v>61.44</v>
      </c>
      <c r="K1269" s="52"/>
      <c r="L1269" s="6">
        <v>46.08</v>
      </c>
      <c r="M1269" s="6">
        <v>0.75</v>
      </c>
      <c r="N1269" s="6">
        <v>61.44</v>
      </c>
      <c r="O1269" s="57">
        <v>46.08</v>
      </c>
      <c r="P1269" s="52"/>
      <c r="Q1269" s="6">
        <v>0.75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</row>
    <row r="1270" spans="2:31" ht="20" x14ac:dyDescent="0.25">
      <c r="B1270" s="55"/>
      <c r="C1270" s="55"/>
      <c r="D1270" s="4" t="s">
        <v>1974</v>
      </c>
      <c r="E1270" s="4" t="s">
        <v>1945</v>
      </c>
      <c r="F1270" s="4" t="s">
        <v>51</v>
      </c>
      <c r="G1270" s="4" t="s">
        <v>35</v>
      </c>
      <c r="H1270" s="54" t="s">
        <v>48</v>
      </c>
      <c r="I1270" s="52"/>
      <c r="J1270" s="57">
        <v>61.54</v>
      </c>
      <c r="K1270" s="52"/>
      <c r="L1270" s="6">
        <v>46.155000000000001</v>
      </c>
      <c r="M1270" s="6">
        <v>0.75</v>
      </c>
      <c r="N1270" s="6">
        <v>61.54</v>
      </c>
      <c r="O1270" s="57">
        <v>46.155000000000001</v>
      </c>
      <c r="P1270" s="52"/>
      <c r="Q1270" s="6">
        <v>0.75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</row>
    <row r="1271" spans="2:31" x14ac:dyDescent="0.25">
      <c r="B1271" s="55"/>
      <c r="C1271" s="55"/>
      <c r="D1271" s="54" t="s">
        <v>1975</v>
      </c>
      <c r="E1271" s="4" t="s">
        <v>1976</v>
      </c>
      <c r="F1271" s="4" t="s">
        <v>51</v>
      </c>
      <c r="G1271" s="4" t="s">
        <v>35</v>
      </c>
      <c r="H1271" s="54" t="s">
        <v>41</v>
      </c>
      <c r="I1271" s="52"/>
      <c r="J1271" s="57">
        <v>30.08</v>
      </c>
      <c r="K1271" s="52"/>
      <c r="L1271" s="6">
        <v>22.56</v>
      </c>
      <c r="M1271" s="6">
        <v>0.75</v>
      </c>
      <c r="N1271" s="6">
        <v>28.22</v>
      </c>
      <c r="O1271" s="57">
        <v>21.164999999999999</v>
      </c>
      <c r="P1271" s="52"/>
      <c r="Q1271" s="6">
        <v>0.75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1.86</v>
      </c>
      <c r="AB1271" s="6">
        <v>1.395</v>
      </c>
      <c r="AC1271" s="6">
        <v>0.75</v>
      </c>
      <c r="AD1271" s="6">
        <v>-1.8599999999999994</v>
      </c>
      <c r="AE1271" s="6">
        <v>1.8599999999999994</v>
      </c>
    </row>
    <row r="1272" spans="2:31" x14ac:dyDescent="0.25">
      <c r="B1272" s="55"/>
      <c r="C1272" s="55"/>
      <c r="D1272" s="55"/>
      <c r="E1272" s="4" t="s">
        <v>1977</v>
      </c>
      <c r="F1272" s="4" t="s">
        <v>51</v>
      </c>
      <c r="G1272" s="4" t="s">
        <v>35</v>
      </c>
      <c r="H1272" s="54" t="s">
        <v>36</v>
      </c>
      <c r="I1272" s="52"/>
      <c r="J1272" s="57">
        <v>17.350000000000001</v>
      </c>
      <c r="K1272" s="52"/>
      <c r="L1272" s="6">
        <v>15.90995</v>
      </c>
      <c r="M1272" s="6">
        <v>0.91699999999999993</v>
      </c>
      <c r="N1272" s="6">
        <v>16.32</v>
      </c>
      <c r="O1272" s="57">
        <v>14.965439999999999</v>
      </c>
      <c r="P1272" s="52"/>
      <c r="Q1272" s="6">
        <v>0.91699999999999993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1.03</v>
      </c>
      <c r="AB1272" s="6">
        <v>0.94450999999999996</v>
      </c>
      <c r="AC1272" s="6">
        <v>0.91699999999999993</v>
      </c>
      <c r="AD1272" s="6">
        <v>-1.0300000000000011</v>
      </c>
      <c r="AE1272" s="6">
        <v>1.0300000000000011</v>
      </c>
    </row>
    <row r="1273" spans="2:31" x14ac:dyDescent="0.25">
      <c r="B1273" s="55"/>
      <c r="C1273" s="55"/>
      <c r="D1273" s="56"/>
      <c r="E1273" s="4" t="s">
        <v>1978</v>
      </c>
      <c r="F1273" s="4" t="s">
        <v>51</v>
      </c>
      <c r="G1273" s="4" t="s">
        <v>35</v>
      </c>
      <c r="H1273" s="54" t="s">
        <v>48</v>
      </c>
      <c r="I1273" s="52"/>
      <c r="J1273" s="57">
        <v>8.35</v>
      </c>
      <c r="K1273" s="52"/>
      <c r="L1273" s="6">
        <v>6.2625000000000002</v>
      </c>
      <c r="M1273" s="6">
        <v>0.75</v>
      </c>
      <c r="N1273" s="6">
        <v>7.72</v>
      </c>
      <c r="O1273" s="57">
        <v>5.79</v>
      </c>
      <c r="P1273" s="52"/>
      <c r="Q1273" s="6">
        <v>0.75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0.63</v>
      </c>
      <c r="AB1273" s="6">
        <v>0.47249999999999998</v>
      </c>
      <c r="AC1273" s="6">
        <v>0.75</v>
      </c>
      <c r="AD1273" s="6">
        <v>-0.62999999999999989</v>
      </c>
      <c r="AE1273" s="6">
        <v>0.62999999999999989</v>
      </c>
    </row>
    <row r="1274" spans="2:31" x14ac:dyDescent="0.25">
      <c r="B1274" s="55"/>
      <c r="C1274" s="55"/>
      <c r="D1274" s="54" t="s">
        <v>1979</v>
      </c>
      <c r="E1274" s="4" t="s">
        <v>1980</v>
      </c>
      <c r="F1274" s="4" t="s">
        <v>51</v>
      </c>
      <c r="G1274" s="4" t="s">
        <v>35</v>
      </c>
      <c r="H1274" s="54" t="s">
        <v>36</v>
      </c>
      <c r="I1274" s="52"/>
      <c r="J1274" s="57">
        <v>92.069000000000003</v>
      </c>
      <c r="K1274" s="52"/>
      <c r="L1274" s="6">
        <v>84.427273</v>
      </c>
      <c r="M1274" s="6">
        <v>0.91699999999999993</v>
      </c>
      <c r="N1274" s="6">
        <v>86.578999999999994</v>
      </c>
      <c r="O1274" s="57">
        <v>79.392943000000002</v>
      </c>
      <c r="P1274" s="52"/>
      <c r="Q1274" s="6">
        <v>0.91700000000000015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5.49</v>
      </c>
      <c r="AB1274" s="6">
        <v>5.0343299999999997</v>
      </c>
      <c r="AC1274" s="6">
        <v>0.91699999999999993</v>
      </c>
      <c r="AD1274" s="6">
        <v>-5.4900000000000091</v>
      </c>
      <c r="AE1274" s="6">
        <v>5.4900000000000091</v>
      </c>
    </row>
    <row r="1275" spans="2:31" x14ac:dyDescent="0.25">
      <c r="B1275" s="55"/>
      <c r="C1275" s="55"/>
      <c r="D1275" s="55"/>
      <c r="E1275" s="4" t="s">
        <v>1981</v>
      </c>
      <c r="F1275" s="4" t="s">
        <v>51</v>
      </c>
      <c r="G1275" s="4" t="s">
        <v>35</v>
      </c>
      <c r="H1275" s="54" t="s">
        <v>36</v>
      </c>
      <c r="I1275" s="52"/>
      <c r="J1275" s="57">
        <v>71.126000000000005</v>
      </c>
      <c r="K1275" s="52"/>
      <c r="L1275" s="6">
        <v>65.222542000000004</v>
      </c>
      <c r="M1275" s="6">
        <v>0.91700000000000004</v>
      </c>
      <c r="N1275" s="6">
        <v>67.105999999999995</v>
      </c>
      <c r="O1275" s="57">
        <v>61.536202000000003</v>
      </c>
      <c r="P1275" s="52"/>
      <c r="Q1275" s="6">
        <v>0.91700000000000015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4.0199999999999996</v>
      </c>
      <c r="AB1275" s="6">
        <v>3.68634</v>
      </c>
      <c r="AC1275" s="6">
        <v>0.91700000000000004</v>
      </c>
      <c r="AD1275" s="6">
        <v>-4.0200000000000102</v>
      </c>
      <c r="AE1275" s="6">
        <v>4.0200000000000102</v>
      </c>
    </row>
    <row r="1276" spans="2:31" x14ac:dyDescent="0.25">
      <c r="B1276" s="55"/>
      <c r="C1276" s="55"/>
      <c r="D1276" s="56"/>
      <c r="E1276" s="4" t="s">
        <v>1982</v>
      </c>
      <c r="F1276" s="4" t="s">
        <v>51</v>
      </c>
      <c r="G1276" s="4" t="s">
        <v>35</v>
      </c>
      <c r="H1276" s="54" t="s">
        <v>36</v>
      </c>
      <c r="I1276" s="52"/>
      <c r="J1276" s="57">
        <v>74.078000000000003</v>
      </c>
      <c r="K1276" s="52"/>
      <c r="L1276" s="6">
        <v>67.929525999999996</v>
      </c>
      <c r="M1276" s="6">
        <v>0.91699999999999993</v>
      </c>
      <c r="N1276" s="6">
        <v>68.378</v>
      </c>
      <c r="O1276" s="57">
        <v>62.702626000000002</v>
      </c>
      <c r="P1276" s="52"/>
      <c r="Q1276" s="6">
        <v>0.91700000000000004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5.7</v>
      </c>
      <c r="AB1276" s="6">
        <v>5.2268999999999997</v>
      </c>
      <c r="AC1276" s="6">
        <v>0.91699999999999993</v>
      </c>
      <c r="AD1276" s="6">
        <v>-5.7000000000000028</v>
      </c>
      <c r="AE1276" s="6">
        <v>5.7000000000000028</v>
      </c>
    </row>
    <row r="1277" spans="2:31" ht="20" x14ac:dyDescent="0.25">
      <c r="B1277" s="55"/>
      <c r="C1277" s="55"/>
      <c r="D1277" s="4" t="s">
        <v>1983</v>
      </c>
      <c r="E1277" s="4" t="s">
        <v>1984</v>
      </c>
      <c r="F1277" s="4" t="s">
        <v>51</v>
      </c>
      <c r="G1277" s="4" t="s">
        <v>35</v>
      </c>
      <c r="H1277" s="54" t="s">
        <v>48</v>
      </c>
      <c r="I1277" s="52"/>
      <c r="J1277" s="57">
        <v>143.36000000000001</v>
      </c>
      <c r="K1277" s="52"/>
      <c r="L1277" s="6">
        <v>107.52</v>
      </c>
      <c r="M1277" s="6">
        <v>0.74999999999999989</v>
      </c>
      <c r="N1277" s="6">
        <v>132.94999999999999</v>
      </c>
      <c r="O1277" s="57">
        <v>99.712500000000006</v>
      </c>
      <c r="P1277" s="52"/>
      <c r="Q1277" s="6">
        <v>0.75000000000000011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10.41</v>
      </c>
      <c r="AB1277" s="6">
        <v>7.8075000000000001</v>
      </c>
      <c r="AC1277" s="6">
        <v>0.75</v>
      </c>
      <c r="AD1277" s="6">
        <v>-10.410000000000025</v>
      </c>
      <c r="AE1277" s="6">
        <v>10.410000000000025</v>
      </c>
    </row>
    <row r="1278" spans="2:31" x14ac:dyDescent="0.25">
      <c r="B1278" s="55"/>
      <c r="C1278" s="55"/>
      <c r="D1278" s="54" t="s">
        <v>1985</v>
      </c>
      <c r="E1278" s="4" t="s">
        <v>1986</v>
      </c>
      <c r="F1278" s="4" t="s">
        <v>51</v>
      </c>
      <c r="G1278" s="4" t="s">
        <v>35</v>
      </c>
      <c r="H1278" s="54" t="s">
        <v>41</v>
      </c>
      <c r="I1278" s="52"/>
      <c r="J1278" s="57">
        <v>52.14</v>
      </c>
      <c r="K1278" s="52"/>
      <c r="L1278" s="6">
        <v>39.104999999999997</v>
      </c>
      <c r="M1278" s="6">
        <v>0.74999999999999989</v>
      </c>
      <c r="N1278" s="6">
        <v>48.04</v>
      </c>
      <c r="O1278" s="57">
        <v>36.03</v>
      </c>
      <c r="P1278" s="52"/>
      <c r="Q1278" s="6">
        <v>0.75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4.0999999999999996</v>
      </c>
      <c r="AB1278" s="6">
        <v>3.0750000000000002</v>
      </c>
      <c r="AC1278" s="6">
        <v>0.75000000000000011</v>
      </c>
      <c r="AD1278" s="6">
        <v>-4.1000000000000014</v>
      </c>
      <c r="AE1278" s="6">
        <v>4.1000000000000014</v>
      </c>
    </row>
    <row r="1279" spans="2:31" x14ac:dyDescent="0.25">
      <c r="B1279" s="55"/>
      <c r="C1279" s="55"/>
      <c r="D1279" s="55"/>
      <c r="E1279" s="4" t="s">
        <v>1987</v>
      </c>
      <c r="F1279" s="4" t="s">
        <v>51</v>
      </c>
      <c r="G1279" s="4" t="s">
        <v>35</v>
      </c>
      <c r="H1279" s="54" t="s">
        <v>36</v>
      </c>
      <c r="I1279" s="52"/>
      <c r="J1279" s="57">
        <v>75.900000000000006</v>
      </c>
      <c r="K1279" s="52"/>
      <c r="L1279" s="6">
        <v>69.600300000000004</v>
      </c>
      <c r="M1279" s="6">
        <v>0.91700000000000004</v>
      </c>
      <c r="N1279" s="6">
        <v>73.180000000000007</v>
      </c>
      <c r="O1279" s="57">
        <v>67.106059999999999</v>
      </c>
      <c r="P1279" s="52"/>
      <c r="Q1279" s="6">
        <v>0.91699999999999993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2.72</v>
      </c>
      <c r="AB1279" s="6">
        <v>2.49424</v>
      </c>
      <c r="AC1279" s="6">
        <v>0.91699999999999993</v>
      </c>
      <c r="AD1279" s="6">
        <v>-2.7199999999999989</v>
      </c>
      <c r="AE1279" s="6">
        <v>2.7199999999999989</v>
      </c>
    </row>
    <row r="1280" spans="2:31" x14ac:dyDescent="0.25">
      <c r="B1280" s="55"/>
      <c r="C1280" s="55"/>
      <c r="D1280" s="55"/>
      <c r="E1280" s="4" t="s">
        <v>1988</v>
      </c>
      <c r="F1280" s="4" t="s">
        <v>51</v>
      </c>
      <c r="G1280" s="4" t="s">
        <v>35</v>
      </c>
      <c r="H1280" s="54" t="s">
        <v>41</v>
      </c>
      <c r="I1280" s="52"/>
      <c r="J1280" s="57">
        <v>65.209999999999994</v>
      </c>
      <c r="K1280" s="52"/>
      <c r="L1280" s="6">
        <v>48.907499999999999</v>
      </c>
      <c r="M1280" s="6">
        <v>0.75</v>
      </c>
      <c r="N1280" s="6">
        <v>57.39</v>
      </c>
      <c r="O1280" s="57">
        <v>43.042499999999997</v>
      </c>
      <c r="P1280" s="52"/>
      <c r="Q1280" s="6">
        <v>0.74999999999999989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7.82</v>
      </c>
      <c r="AB1280" s="6">
        <v>5.8650000000000002</v>
      </c>
      <c r="AC1280" s="6">
        <v>0.75</v>
      </c>
      <c r="AD1280" s="6">
        <v>-7.8199999999999932</v>
      </c>
      <c r="AE1280" s="6">
        <v>7.8199999999999932</v>
      </c>
    </row>
    <row r="1281" spans="2:31" x14ac:dyDescent="0.25">
      <c r="B1281" s="55"/>
      <c r="C1281" s="55"/>
      <c r="D1281" s="55"/>
      <c r="E1281" s="4" t="s">
        <v>1989</v>
      </c>
      <c r="F1281" s="4" t="s">
        <v>51</v>
      </c>
      <c r="G1281" s="4" t="s">
        <v>35</v>
      </c>
      <c r="H1281" s="54" t="s">
        <v>36</v>
      </c>
      <c r="I1281" s="52"/>
      <c r="J1281" s="57">
        <v>38.880000000000003</v>
      </c>
      <c r="K1281" s="52"/>
      <c r="L1281" s="6">
        <v>35.65296</v>
      </c>
      <c r="M1281" s="6">
        <v>0.91699999999999993</v>
      </c>
      <c r="N1281" s="6">
        <v>35.270000000000003</v>
      </c>
      <c r="O1281" s="57">
        <v>32.342590000000001</v>
      </c>
      <c r="P1281" s="52"/>
      <c r="Q1281" s="6">
        <v>0.91699999999999993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3.61</v>
      </c>
      <c r="AB1281" s="6">
        <v>3.3103699999999998</v>
      </c>
      <c r="AC1281" s="6">
        <v>0.91699999999999993</v>
      </c>
      <c r="AD1281" s="6">
        <v>-3.6099999999999994</v>
      </c>
      <c r="AE1281" s="6">
        <v>3.6099999999999994</v>
      </c>
    </row>
    <row r="1282" spans="2:31" x14ac:dyDescent="0.25">
      <c r="B1282" s="55"/>
      <c r="C1282" s="55"/>
      <c r="D1282" s="56"/>
      <c r="E1282" s="4" t="s">
        <v>1949</v>
      </c>
      <c r="F1282" s="4" t="s">
        <v>51</v>
      </c>
      <c r="G1282" s="4" t="s">
        <v>35</v>
      </c>
      <c r="H1282" s="54" t="s">
        <v>41</v>
      </c>
      <c r="I1282" s="52"/>
      <c r="J1282" s="57">
        <v>8.6300000000000008</v>
      </c>
      <c r="K1282" s="52"/>
      <c r="L1282" s="6">
        <v>6.4725000000000001</v>
      </c>
      <c r="M1282" s="6">
        <v>0.75</v>
      </c>
      <c r="N1282" s="6">
        <v>8.31</v>
      </c>
      <c r="O1282" s="57">
        <v>6.2324999999999999</v>
      </c>
      <c r="P1282" s="52"/>
      <c r="Q1282" s="6">
        <v>0.75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0.32</v>
      </c>
      <c r="AB1282" s="6">
        <v>0.24</v>
      </c>
      <c r="AC1282" s="6">
        <v>0.75</v>
      </c>
      <c r="AD1282" s="6">
        <v>-0.32000000000000028</v>
      </c>
      <c r="AE1282" s="6">
        <v>0.32000000000000028</v>
      </c>
    </row>
    <row r="1283" spans="2:31" x14ac:dyDescent="0.25">
      <c r="B1283" s="55"/>
      <c r="C1283" s="55"/>
      <c r="D1283" s="54" t="s">
        <v>1990</v>
      </c>
      <c r="E1283" s="4" t="s">
        <v>1991</v>
      </c>
      <c r="F1283" s="4" t="s">
        <v>51</v>
      </c>
      <c r="G1283" s="4" t="s">
        <v>35</v>
      </c>
      <c r="H1283" s="54" t="s">
        <v>41</v>
      </c>
      <c r="I1283" s="52"/>
      <c r="J1283" s="57">
        <v>198.81</v>
      </c>
      <c r="K1283" s="52"/>
      <c r="L1283" s="6">
        <v>149.10749999999999</v>
      </c>
      <c r="M1283" s="6">
        <v>0.74999999999999989</v>
      </c>
      <c r="N1283" s="6">
        <v>187.19</v>
      </c>
      <c r="O1283" s="57">
        <v>140.39250000000001</v>
      </c>
      <c r="P1283" s="52"/>
      <c r="Q1283" s="6">
        <v>0.75000000000000011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11.62</v>
      </c>
      <c r="AB1283" s="6">
        <v>8.7149999999999999</v>
      </c>
      <c r="AC1283" s="6">
        <v>0.75</v>
      </c>
      <c r="AD1283" s="6">
        <v>-11.620000000000005</v>
      </c>
      <c r="AE1283" s="6">
        <v>11.620000000000005</v>
      </c>
    </row>
    <row r="1284" spans="2:31" x14ac:dyDescent="0.25">
      <c r="B1284" s="55"/>
      <c r="C1284" s="55"/>
      <c r="D1284" s="56"/>
      <c r="E1284" s="4" t="s">
        <v>1992</v>
      </c>
      <c r="F1284" s="4" t="s">
        <v>51</v>
      </c>
      <c r="G1284" s="4" t="s">
        <v>35</v>
      </c>
      <c r="H1284" s="54" t="s">
        <v>41</v>
      </c>
      <c r="I1284" s="52"/>
      <c r="J1284" s="57">
        <v>8.24</v>
      </c>
      <c r="K1284" s="52"/>
      <c r="L1284" s="6">
        <v>6.18</v>
      </c>
      <c r="M1284" s="6">
        <v>0.75</v>
      </c>
      <c r="N1284" s="6">
        <v>7.41</v>
      </c>
      <c r="O1284" s="57">
        <v>5.5575000000000001</v>
      </c>
      <c r="P1284" s="52"/>
      <c r="Q1284" s="6">
        <v>0.75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0.83</v>
      </c>
      <c r="AB1284" s="6">
        <v>0.62250000000000005</v>
      </c>
      <c r="AC1284" s="6">
        <v>0.75000000000000011</v>
      </c>
      <c r="AD1284" s="6">
        <v>-0.83</v>
      </c>
      <c r="AE1284" s="6">
        <v>0.83</v>
      </c>
    </row>
    <row r="1285" spans="2:31" ht="20" x14ac:dyDescent="0.25">
      <c r="B1285" s="55"/>
      <c r="C1285" s="55"/>
      <c r="D1285" s="4" t="s">
        <v>1993</v>
      </c>
      <c r="E1285" s="4" t="s">
        <v>1994</v>
      </c>
      <c r="F1285" s="4" t="s">
        <v>51</v>
      </c>
      <c r="G1285" s="4" t="s">
        <v>35</v>
      </c>
      <c r="H1285" s="54" t="s">
        <v>48</v>
      </c>
      <c r="I1285" s="52"/>
      <c r="J1285" s="57">
        <v>26.251999999999999</v>
      </c>
      <c r="K1285" s="52"/>
      <c r="L1285" s="6">
        <v>19.689</v>
      </c>
      <c r="M1285" s="6">
        <v>0.75</v>
      </c>
      <c r="N1285" s="6">
        <v>24.521999999999998</v>
      </c>
      <c r="O1285" s="57">
        <v>18.391500000000001</v>
      </c>
      <c r="P1285" s="52"/>
      <c r="Q1285" s="6">
        <v>0.75000000000000011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1.73</v>
      </c>
      <c r="AB1285" s="6">
        <v>1.2975000000000001</v>
      </c>
      <c r="AC1285" s="6">
        <v>0.75000000000000011</v>
      </c>
      <c r="AD1285" s="6">
        <v>-1.7300000000000004</v>
      </c>
      <c r="AE1285" s="6">
        <v>1.7300000000000004</v>
      </c>
    </row>
    <row r="1286" spans="2:31" ht="20" x14ac:dyDescent="0.25">
      <c r="B1286" s="55"/>
      <c r="C1286" s="55"/>
      <c r="D1286" s="4" t="s">
        <v>1995</v>
      </c>
      <c r="E1286" s="4" t="s">
        <v>1965</v>
      </c>
      <c r="F1286" s="4" t="s">
        <v>51</v>
      </c>
      <c r="G1286" s="4" t="s">
        <v>35</v>
      </c>
      <c r="H1286" s="54" t="s">
        <v>48</v>
      </c>
      <c r="I1286" s="52"/>
      <c r="J1286" s="57">
        <v>43.87</v>
      </c>
      <c r="K1286" s="52"/>
      <c r="L1286" s="6">
        <v>32.902500000000003</v>
      </c>
      <c r="M1286" s="6">
        <v>0.75000000000000011</v>
      </c>
      <c r="N1286" s="6">
        <v>43.7</v>
      </c>
      <c r="O1286" s="57">
        <v>32.774999999999999</v>
      </c>
      <c r="P1286" s="52"/>
      <c r="Q1286" s="6">
        <v>0.74999999999999989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0.17</v>
      </c>
      <c r="AB1286" s="6">
        <v>0.1275</v>
      </c>
      <c r="AC1286" s="6">
        <v>0.75</v>
      </c>
      <c r="AD1286" s="6">
        <v>-0.1699999999999946</v>
      </c>
      <c r="AE1286" s="6">
        <v>0.1699999999999946</v>
      </c>
    </row>
    <row r="1287" spans="2:31" x14ac:dyDescent="0.25">
      <c r="B1287" s="55"/>
      <c r="C1287" s="55"/>
      <c r="D1287" s="54" t="s">
        <v>1996</v>
      </c>
      <c r="E1287" s="54" t="s">
        <v>338</v>
      </c>
      <c r="F1287" s="54" t="s">
        <v>51</v>
      </c>
      <c r="G1287" s="54" t="s">
        <v>35</v>
      </c>
      <c r="H1287" s="54" t="s">
        <v>48</v>
      </c>
      <c r="I1287" s="52"/>
      <c r="J1287" s="57">
        <v>11.89</v>
      </c>
      <c r="K1287" s="52"/>
      <c r="L1287" s="6">
        <v>8.9175000000000004</v>
      </c>
      <c r="M1287" s="6">
        <v>0.75</v>
      </c>
      <c r="N1287" s="6">
        <v>10.8</v>
      </c>
      <c r="O1287" s="57">
        <v>8.1</v>
      </c>
      <c r="P1287" s="52"/>
      <c r="Q1287" s="6">
        <v>0.74999999999999989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1.0900000000000001</v>
      </c>
      <c r="AB1287" s="6">
        <v>0.8175</v>
      </c>
      <c r="AC1287" s="6">
        <v>0.75</v>
      </c>
      <c r="AD1287" s="6">
        <v>-1.0899999999999999</v>
      </c>
      <c r="AE1287" s="6">
        <v>1.0899999999999999</v>
      </c>
    </row>
    <row r="1288" spans="2:31" x14ac:dyDescent="0.25">
      <c r="B1288" s="55"/>
      <c r="C1288" s="55"/>
      <c r="D1288" s="55"/>
      <c r="E1288" s="55"/>
      <c r="F1288" s="55"/>
      <c r="G1288" s="55"/>
      <c r="H1288" s="54" t="s">
        <v>41</v>
      </c>
      <c r="I1288" s="52"/>
      <c r="J1288" s="57">
        <v>5.47</v>
      </c>
      <c r="K1288" s="52"/>
      <c r="L1288" s="6">
        <v>4.1025</v>
      </c>
      <c r="M1288" s="6">
        <v>0.75</v>
      </c>
      <c r="N1288" s="6">
        <v>4.82</v>
      </c>
      <c r="O1288" s="57">
        <v>3.6150000000000002</v>
      </c>
      <c r="P1288" s="52"/>
      <c r="Q1288" s="6">
        <v>0.75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0.65</v>
      </c>
      <c r="AB1288" s="6">
        <v>0.48749999999999999</v>
      </c>
      <c r="AC1288" s="6">
        <v>0.75</v>
      </c>
      <c r="AD1288" s="6">
        <v>-0.64999999999999947</v>
      </c>
      <c r="AE1288" s="6">
        <v>0.64999999999999947</v>
      </c>
    </row>
    <row r="1289" spans="2:31" x14ac:dyDescent="0.25">
      <c r="B1289" s="55"/>
      <c r="C1289" s="55"/>
      <c r="D1289" s="56"/>
      <c r="E1289" s="56"/>
      <c r="F1289" s="56"/>
      <c r="G1289" s="56"/>
      <c r="H1289" s="54" t="s">
        <v>36</v>
      </c>
      <c r="I1289" s="52"/>
      <c r="J1289" s="57">
        <v>5.68</v>
      </c>
      <c r="K1289" s="52"/>
      <c r="L1289" s="6">
        <v>5.2085600000000003</v>
      </c>
      <c r="M1289" s="6">
        <v>0.91700000000000015</v>
      </c>
      <c r="N1289" s="6">
        <v>2.5099999999999998</v>
      </c>
      <c r="O1289" s="57">
        <v>2.3016700000000001</v>
      </c>
      <c r="P1289" s="52"/>
      <c r="Q1289" s="6">
        <v>0.91700000000000015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3.17</v>
      </c>
      <c r="AB1289" s="6">
        <v>2.9068900000000002</v>
      </c>
      <c r="AC1289" s="6">
        <v>0.91700000000000004</v>
      </c>
      <c r="AD1289" s="6">
        <v>-3.17</v>
      </c>
      <c r="AE1289" s="6">
        <v>3.17</v>
      </c>
    </row>
    <row r="1290" spans="2:31" ht="20" x14ac:dyDescent="0.25">
      <c r="B1290" s="55"/>
      <c r="C1290" s="55"/>
      <c r="D1290" s="4" t="s">
        <v>1997</v>
      </c>
      <c r="E1290" s="4" t="s">
        <v>338</v>
      </c>
      <c r="F1290" s="4" t="s">
        <v>51</v>
      </c>
      <c r="G1290" s="4" t="s">
        <v>35</v>
      </c>
      <c r="H1290" s="54" t="s">
        <v>48</v>
      </c>
      <c r="I1290" s="52"/>
      <c r="J1290" s="57">
        <v>0.57999999999999996</v>
      </c>
      <c r="K1290" s="52"/>
      <c r="L1290" s="6">
        <v>0.435</v>
      </c>
      <c r="M1290" s="6">
        <v>0.75</v>
      </c>
      <c r="N1290" s="6">
        <v>0.49</v>
      </c>
      <c r="O1290" s="57">
        <v>0.36749999999999999</v>
      </c>
      <c r="P1290" s="52"/>
      <c r="Q1290" s="6">
        <v>0.75</v>
      </c>
      <c r="R1290" s="6">
        <v>0.09</v>
      </c>
      <c r="S1290" s="6">
        <v>6.7500000000000004E-2</v>
      </c>
      <c r="T1290" s="6">
        <v>0.75000000000000011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-0.17999999999999997</v>
      </c>
      <c r="AE1290" s="6">
        <v>-2.7755575615628914E-17</v>
      </c>
    </row>
    <row r="1291" spans="2:31" ht="20" x14ac:dyDescent="0.25">
      <c r="B1291" s="55"/>
      <c r="C1291" s="56"/>
      <c r="D1291" s="4" t="s">
        <v>1998</v>
      </c>
      <c r="E1291" s="4" t="s">
        <v>338</v>
      </c>
      <c r="F1291" s="4" t="s">
        <v>51</v>
      </c>
      <c r="G1291" s="4" t="s">
        <v>35</v>
      </c>
      <c r="H1291" s="54" t="s">
        <v>48</v>
      </c>
      <c r="I1291" s="52"/>
      <c r="J1291" s="57">
        <v>0.49</v>
      </c>
      <c r="K1291" s="52"/>
      <c r="L1291" s="6">
        <v>0.36749999999999999</v>
      </c>
      <c r="M1291" s="6">
        <v>0.75</v>
      </c>
      <c r="N1291" s="6">
        <v>0.39</v>
      </c>
      <c r="O1291" s="57">
        <v>0.29249999999999998</v>
      </c>
      <c r="P1291" s="52"/>
      <c r="Q1291" s="6">
        <v>0.74999999999999989</v>
      </c>
      <c r="R1291" s="6">
        <v>0.1</v>
      </c>
      <c r="S1291" s="6">
        <v>7.4999999999999997E-2</v>
      </c>
      <c r="T1291" s="6">
        <v>0.74999999999999989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-0.2</v>
      </c>
      <c r="AE1291" s="6">
        <v>-2.7755575615628914E-17</v>
      </c>
    </row>
    <row r="1292" spans="2:31" x14ac:dyDescent="0.25">
      <c r="B1292" s="55"/>
      <c r="C1292" s="58">
        <v>46193</v>
      </c>
      <c r="D1292" s="4" t="s">
        <v>1999</v>
      </c>
      <c r="E1292" s="4" t="s">
        <v>2000</v>
      </c>
      <c r="F1292" s="4" t="s">
        <v>34</v>
      </c>
      <c r="G1292" s="4" t="s">
        <v>35</v>
      </c>
      <c r="H1292" s="54" t="s">
        <v>36</v>
      </c>
      <c r="I1292" s="52"/>
      <c r="J1292" s="57">
        <v>15.045999999999999</v>
      </c>
      <c r="K1292" s="52"/>
      <c r="L1292" s="6">
        <v>13.797181999999999</v>
      </c>
      <c r="M1292" s="6">
        <v>0.91700000000000004</v>
      </c>
      <c r="N1292" s="6">
        <v>13.986000000000001</v>
      </c>
      <c r="O1292" s="57">
        <v>12.825162000000001</v>
      </c>
      <c r="P1292" s="52"/>
      <c r="Q1292" s="6">
        <v>0.91700000000000004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1.06</v>
      </c>
      <c r="AB1292" s="6">
        <v>0.97202</v>
      </c>
      <c r="AC1292" s="6">
        <v>0.91699999999999993</v>
      </c>
      <c r="AD1292" s="6">
        <v>-1.0599999999999987</v>
      </c>
      <c r="AE1292" s="6">
        <v>1.0599999999999987</v>
      </c>
    </row>
    <row r="1293" spans="2:31" x14ac:dyDescent="0.25">
      <c r="B1293" s="55"/>
      <c r="C1293" s="55"/>
      <c r="D1293" s="4" t="s">
        <v>2001</v>
      </c>
      <c r="E1293" s="4" t="s">
        <v>2002</v>
      </c>
      <c r="F1293" s="4" t="s">
        <v>34</v>
      </c>
      <c r="G1293" s="4" t="s">
        <v>35</v>
      </c>
      <c r="H1293" s="54" t="s">
        <v>36</v>
      </c>
      <c r="I1293" s="52"/>
      <c r="J1293" s="57">
        <v>108.93</v>
      </c>
      <c r="K1293" s="52"/>
      <c r="L1293" s="6">
        <v>99.888810000000007</v>
      </c>
      <c r="M1293" s="6">
        <v>0.91700000000000004</v>
      </c>
      <c r="N1293" s="6">
        <v>101.52</v>
      </c>
      <c r="O1293" s="57">
        <v>93.09384</v>
      </c>
      <c r="P1293" s="52"/>
      <c r="Q1293" s="6">
        <v>0.91700000000000004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7.41</v>
      </c>
      <c r="AB1293" s="6">
        <v>6.7949700000000002</v>
      </c>
      <c r="AC1293" s="6">
        <v>0.91700000000000004</v>
      </c>
      <c r="AD1293" s="6">
        <v>-7.4100000000000108</v>
      </c>
      <c r="AE1293" s="6">
        <v>7.4100000000000108</v>
      </c>
    </row>
    <row r="1294" spans="2:31" x14ac:dyDescent="0.25">
      <c r="B1294" s="55"/>
      <c r="C1294" s="55"/>
      <c r="D1294" s="4" t="s">
        <v>2003</v>
      </c>
      <c r="E1294" s="4" t="s">
        <v>2004</v>
      </c>
      <c r="F1294" s="4" t="s">
        <v>34</v>
      </c>
      <c r="G1294" s="4" t="s">
        <v>35</v>
      </c>
      <c r="H1294" s="54" t="s">
        <v>48</v>
      </c>
      <c r="I1294" s="52"/>
      <c r="J1294" s="57">
        <v>54.23</v>
      </c>
      <c r="K1294" s="52"/>
      <c r="L1294" s="6">
        <v>40.672499999999999</v>
      </c>
      <c r="M1294" s="6">
        <v>0.75</v>
      </c>
      <c r="N1294" s="6">
        <v>49.13</v>
      </c>
      <c r="O1294" s="57">
        <v>36.847499999999997</v>
      </c>
      <c r="P1294" s="52"/>
      <c r="Q1294" s="6">
        <v>0.74999999999999989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5.0999999999999996</v>
      </c>
      <c r="AB1294" s="6">
        <v>3.8250000000000002</v>
      </c>
      <c r="AC1294" s="6">
        <v>0.75000000000000011</v>
      </c>
      <c r="AD1294" s="6">
        <v>-5.0999999999999943</v>
      </c>
      <c r="AE1294" s="6">
        <v>5.0999999999999943</v>
      </c>
    </row>
    <row r="1295" spans="2:31" x14ac:dyDescent="0.25">
      <c r="B1295" s="55"/>
      <c r="C1295" s="55"/>
      <c r="D1295" s="4" t="s">
        <v>2005</v>
      </c>
      <c r="E1295" s="4" t="s">
        <v>2006</v>
      </c>
      <c r="F1295" s="4" t="s">
        <v>34</v>
      </c>
      <c r="G1295" s="4" t="s">
        <v>35</v>
      </c>
      <c r="H1295" s="54" t="s">
        <v>36</v>
      </c>
      <c r="I1295" s="52"/>
      <c r="J1295" s="57">
        <v>41.8</v>
      </c>
      <c r="K1295" s="52"/>
      <c r="L1295" s="6">
        <v>38.330599999999997</v>
      </c>
      <c r="M1295" s="6">
        <v>0.91700000000000004</v>
      </c>
      <c r="N1295" s="6">
        <v>37.32</v>
      </c>
      <c r="O1295" s="57">
        <v>34.222439999999999</v>
      </c>
      <c r="P1295" s="52"/>
      <c r="Q1295" s="6">
        <v>0.91699999999999993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4.4800000000000004</v>
      </c>
      <c r="AB1295" s="6">
        <v>4.1081599999999998</v>
      </c>
      <c r="AC1295" s="6">
        <v>0.91699999999999982</v>
      </c>
      <c r="AD1295" s="6">
        <v>-4.4799999999999969</v>
      </c>
      <c r="AE1295" s="6">
        <v>4.4799999999999969</v>
      </c>
    </row>
    <row r="1296" spans="2:31" x14ac:dyDescent="0.25">
      <c r="B1296" s="55"/>
      <c r="C1296" s="55"/>
      <c r="D1296" s="4" t="s">
        <v>2007</v>
      </c>
      <c r="E1296" s="4" t="s">
        <v>2008</v>
      </c>
      <c r="F1296" s="4" t="s">
        <v>34</v>
      </c>
      <c r="G1296" s="4" t="s">
        <v>35</v>
      </c>
      <c r="H1296" s="54" t="s">
        <v>36</v>
      </c>
      <c r="I1296" s="52"/>
      <c r="J1296" s="57">
        <v>94.29</v>
      </c>
      <c r="K1296" s="52"/>
      <c r="L1296" s="6">
        <v>86.463930000000005</v>
      </c>
      <c r="M1296" s="6">
        <v>0.91700000000000004</v>
      </c>
      <c r="N1296" s="6">
        <v>87.77</v>
      </c>
      <c r="O1296" s="57">
        <v>80.48509</v>
      </c>
      <c r="P1296" s="52"/>
      <c r="Q1296" s="6">
        <v>0.91700000000000004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6.52</v>
      </c>
      <c r="AB1296" s="6">
        <v>5.9788399999999999</v>
      </c>
      <c r="AC1296" s="6">
        <v>0.91700000000000004</v>
      </c>
      <c r="AD1296" s="6">
        <v>-6.5200000000000102</v>
      </c>
      <c r="AE1296" s="6">
        <v>6.5200000000000102</v>
      </c>
    </row>
    <row r="1297" spans="2:31" x14ac:dyDescent="0.25">
      <c r="B1297" s="55"/>
      <c r="C1297" s="55"/>
      <c r="D1297" s="4" t="s">
        <v>2009</v>
      </c>
      <c r="E1297" s="4" t="s">
        <v>2010</v>
      </c>
      <c r="F1297" s="4" t="s">
        <v>34</v>
      </c>
      <c r="G1297" s="4" t="s">
        <v>35</v>
      </c>
      <c r="H1297" s="54" t="s">
        <v>36</v>
      </c>
      <c r="I1297" s="52"/>
      <c r="J1297" s="57">
        <v>92.89</v>
      </c>
      <c r="K1297" s="52"/>
      <c r="L1297" s="6">
        <v>85.180130000000005</v>
      </c>
      <c r="M1297" s="6">
        <v>0.91700000000000004</v>
      </c>
      <c r="N1297" s="6">
        <v>86.95</v>
      </c>
      <c r="O1297" s="57">
        <v>79.733149999999995</v>
      </c>
      <c r="P1297" s="52"/>
      <c r="Q1297" s="6">
        <v>0.91699999999999993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5.94</v>
      </c>
      <c r="AB1297" s="6">
        <v>5.4469799999999999</v>
      </c>
      <c r="AC1297" s="6">
        <v>0.91699999999999993</v>
      </c>
      <c r="AD1297" s="6">
        <v>-5.9399999999999977</v>
      </c>
      <c r="AE1297" s="6">
        <v>5.9399999999999977</v>
      </c>
    </row>
    <row r="1298" spans="2:31" x14ac:dyDescent="0.25">
      <c r="B1298" s="55"/>
      <c r="C1298" s="55"/>
      <c r="D1298" s="4" t="s">
        <v>2011</v>
      </c>
      <c r="E1298" s="4" t="s">
        <v>2012</v>
      </c>
      <c r="F1298" s="4" t="s">
        <v>34</v>
      </c>
      <c r="G1298" s="4" t="s">
        <v>35</v>
      </c>
      <c r="H1298" s="54" t="s">
        <v>36</v>
      </c>
      <c r="I1298" s="52"/>
      <c r="J1298" s="57">
        <v>57.02</v>
      </c>
      <c r="K1298" s="52"/>
      <c r="L1298" s="6">
        <v>52.28734</v>
      </c>
      <c r="M1298" s="6">
        <v>0.91699999999999993</v>
      </c>
      <c r="N1298" s="6">
        <v>51.02</v>
      </c>
      <c r="O1298" s="57">
        <v>46.785339999999998</v>
      </c>
      <c r="P1298" s="52"/>
      <c r="Q1298" s="6">
        <v>0.91699999999999993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6</v>
      </c>
      <c r="AB1298" s="6">
        <v>5.5019999999999998</v>
      </c>
      <c r="AC1298" s="6">
        <v>0.91699999999999993</v>
      </c>
      <c r="AD1298" s="6">
        <v>-6</v>
      </c>
      <c r="AE1298" s="6">
        <v>6</v>
      </c>
    </row>
    <row r="1299" spans="2:31" x14ac:dyDescent="0.25">
      <c r="B1299" s="55"/>
      <c r="C1299" s="55"/>
      <c r="D1299" s="4" t="s">
        <v>2013</v>
      </c>
      <c r="E1299" s="4" t="s">
        <v>2014</v>
      </c>
      <c r="F1299" s="4" t="s">
        <v>34</v>
      </c>
      <c r="G1299" s="4" t="s">
        <v>35</v>
      </c>
      <c r="H1299" s="54" t="s">
        <v>36</v>
      </c>
      <c r="I1299" s="52"/>
      <c r="J1299" s="57">
        <v>47.47</v>
      </c>
      <c r="K1299" s="52"/>
      <c r="L1299" s="6">
        <v>43.529989999999998</v>
      </c>
      <c r="M1299" s="6">
        <v>0.91699999999999993</v>
      </c>
      <c r="N1299" s="6">
        <v>43.74</v>
      </c>
      <c r="O1299" s="57">
        <v>40.109580000000001</v>
      </c>
      <c r="P1299" s="52"/>
      <c r="Q1299" s="6">
        <v>0.91700000000000004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3.73</v>
      </c>
      <c r="AB1299" s="6">
        <v>3.42041</v>
      </c>
      <c r="AC1299" s="6">
        <v>0.91700000000000004</v>
      </c>
      <c r="AD1299" s="6">
        <v>-3.7299999999999969</v>
      </c>
      <c r="AE1299" s="6">
        <v>3.7299999999999969</v>
      </c>
    </row>
    <row r="1300" spans="2:31" x14ac:dyDescent="0.25">
      <c r="B1300" s="55"/>
      <c r="C1300" s="55"/>
      <c r="D1300" s="4" t="s">
        <v>2015</v>
      </c>
      <c r="E1300" s="4" t="s">
        <v>2016</v>
      </c>
      <c r="F1300" s="4" t="s">
        <v>34</v>
      </c>
      <c r="G1300" s="4" t="s">
        <v>35</v>
      </c>
      <c r="H1300" s="54" t="s">
        <v>36</v>
      </c>
      <c r="I1300" s="52"/>
      <c r="J1300" s="57">
        <v>59.47</v>
      </c>
      <c r="K1300" s="52"/>
      <c r="L1300" s="6">
        <v>54.533990000000003</v>
      </c>
      <c r="M1300" s="6">
        <v>0.91700000000000004</v>
      </c>
      <c r="N1300" s="6">
        <v>55.65</v>
      </c>
      <c r="O1300" s="57">
        <v>51.03105</v>
      </c>
      <c r="P1300" s="52"/>
      <c r="Q1300" s="6">
        <v>0.91700000000000004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3.82</v>
      </c>
      <c r="AB1300" s="6">
        <v>3.5029400000000002</v>
      </c>
      <c r="AC1300" s="6">
        <v>0.91700000000000004</v>
      </c>
      <c r="AD1300" s="6">
        <v>-3.82</v>
      </c>
      <c r="AE1300" s="6">
        <v>3.82</v>
      </c>
    </row>
    <row r="1301" spans="2:31" x14ac:dyDescent="0.25">
      <c r="B1301" s="55"/>
      <c r="C1301" s="55"/>
      <c r="D1301" s="4" t="s">
        <v>2017</v>
      </c>
      <c r="E1301" s="4" t="s">
        <v>2018</v>
      </c>
      <c r="F1301" s="4" t="s">
        <v>34</v>
      </c>
      <c r="G1301" s="4" t="s">
        <v>35</v>
      </c>
      <c r="H1301" s="54" t="s">
        <v>36</v>
      </c>
      <c r="I1301" s="52"/>
      <c r="J1301" s="57">
        <v>192.8</v>
      </c>
      <c r="K1301" s="52"/>
      <c r="L1301" s="6">
        <v>176.79759999999999</v>
      </c>
      <c r="M1301" s="6">
        <v>0.91699999999999993</v>
      </c>
      <c r="N1301" s="6">
        <v>182.07</v>
      </c>
      <c r="O1301" s="57">
        <v>166.95819</v>
      </c>
      <c r="P1301" s="52"/>
      <c r="Q1301" s="6">
        <v>0.91700000000000004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10.73</v>
      </c>
      <c r="AB1301" s="6">
        <v>9.8394100000000009</v>
      </c>
      <c r="AC1301" s="6">
        <v>0.91700000000000004</v>
      </c>
      <c r="AD1301" s="6">
        <v>-10.730000000000018</v>
      </c>
      <c r="AE1301" s="6">
        <v>10.730000000000018</v>
      </c>
    </row>
    <row r="1302" spans="2:31" x14ac:dyDescent="0.25">
      <c r="B1302" s="55"/>
      <c r="C1302" s="55"/>
      <c r="D1302" s="4" t="s">
        <v>2019</v>
      </c>
      <c r="E1302" s="4" t="s">
        <v>2020</v>
      </c>
      <c r="F1302" s="4" t="s">
        <v>34</v>
      </c>
      <c r="G1302" s="4" t="s">
        <v>35</v>
      </c>
      <c r="H1302" s="54" t="s">
        <v>36</v>
      </c>
      <c r="I1302" s="52"/>
      <c r="J1302" s="57">
        <v>32.840000000000003</v>
      </c>
      <c r="K1302" s="52"/>
      <c r="L1302" s="6">
        <v>30.114280000000001</v>
      </c>
      <c r="M1302" s="6">
        <v>0.91699999999999993</v>
      </c>
      <c r="N1302" s="6">
        <v>31.63</v>
      </c>
      <c r="O1302" s="57">
        <v>29.004709999999999</v>
      </c>
      <c r="P1302" s="52"/>
      <c r="Q1302" s="6">
        <v>0.91700000000000004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1.21</v>
      </c>
      <c r="AB1302" s="6">
        <v>1.1095699999999999</v>
      </c>
      <c r="AC1302" s="6">
        <v>0.91699999999999993</v>
      </c>
      <c r="AD1302" s="6">
        <v>-1.2100000000000044</v>
      </c>
      <c r="AE1302" s="6">
        <v>1.2100000000000044</v>
      </c>
    </row>
    <row r="1303" spans="2:31" ht="20" x14ac:dyDescent="0.25">
      <c r="B1303" s="55"/>
      <c r="C1303" s="55"/>
      <c r="D1303" s="4" t="s">
        <v>2021</v>
      </c>
      <c r="E1303" s="4" t="s">
        <v>2022</v>
      </c>
      <c r="F1303" s="4" t="s">
        <v>51</v>
      </c>
      <c r="G1303" s="4" t="s">
        <v>35</v>
      </c>
      <c r="H1303" s="54" t="s">
        <v>41</v>
      </c>
      <c r="I1303" s="52"/>
      <c r="J1303" s="57">
        <v>32.19</v>
      </c>
      <c r="K1303" s="52"/>
      <c r="L1303" s="6">
        <v>24.142499999999998</v>
      </c>
      <c r="M1303" s="6">
        <v>0.75</v>
      </c>
      <c r="N1303" s="6">
        <v>32.19</v>
      </c>
      <c r="O1303" s="57">
        <v>24.142499999999998</v>
      </c>
      <c r="P1303" s="52"/>
      <c r="Q1303" s="6">
        <v>0.75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</row>
    <row r="1304" spans="2:31" ht="20" x14ac:dyDescent="0.25">
      <c r="B1304" s="55"/>
      <c r="C1304" s="55"/>
      <c r="D1304" s="4" t="s">
        <v>2023</v>
      </c>
      <c r="E1304" s="4" t="s">
        <v>1824</v>
      </c>
      <c r="F1304" s="4" t="s">
        <v>51</v>
      </c>
      <c r="G1304" s="4" t="s">
        <v>35</v>
      </c>
      <c r="H1304" s="54" t="s">
        <v>36</v>
      </c>
      <c r="I1304" s="52"/>
      <c r="J1304" s="57">
        <v>277.93</v>
      </c>
      <c r="K1304" s="52"/>
      <c r="L1304" s="6">
        <v>254.86180999999999</v>
      </c>
      <c r="M1304" s="6">
        <v>0.91699999999999993</v>
      </c>
      <c r="N1304" s="6">
        <v>277.93</v>
      </c>
      <c r="O1304" s="57">
        <v>254.86180999999999</v>
      </c>
      <c r="P1304" s="52"/>
      <c r="Q1304" s="6">
        <v>0.91699999999999993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</row>
    <row r="1305" spans="2:31" ht="20" x14ac:dyDescent="0.25">
      <c r="B1305" s="55"/>
      <c r="C1305" s="55"/>
      <c r="D1305" s="4" t="s">
        <v>2024</v>
      </c>
      <c r="E1305" s="4" t="s">
        <v>1824</v>
      </c>
      <c r="F1305" s="4" t="s">
        <v>51</v>
      </c>
      <c r="G1305" s="4" t="s">
        <v>35</v>
      </c>
      <c r="H1305" s="54" t="s">
        <v>36</v>
      </c>
      <c r="I1305" s="52"/>
      <c r="J1305" s="57">
        <v>278.14</v>
      </c>
      <c r="K1305" s="52"/>
      <c r="L1305" s="6">
        <v>255.05438000000001</v>
      </c>
      <c r="M1305" s="6">
        <v>0.91700000000000004</v>
      </c>
      <c r="N1305" s="6">
        <v>278.14</v>
      </c>
      <c r="O1305" s="57">
        <v>255.05438000000001</v>
      </c>
      <c r="P1305" s="52"/>
      <c r="Q1305" s="6">
        <v>0.91700000000000004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</row>
    <row r="1306" spans="2:31" ht="20" x14ac:dyDescent="0.25">
      <c r="B1306" s="55"/>
      <c r="C1306" s="55"/>
      <c r="D1306" s="4" t="s">
        <v>2025</v>
      </c>
      <c r="E1306" s="4" t="s">
        <v>2026</v>
      </c>
      <c r="F1306" s="4" t="s">
        <v>51</v>
      </c>
      <c r="G1306" s="4" t="s">
        <v>35</v>
      </c>
      <c r="H1306" s="54" t="s">
        <v>36</v>
      </c>
      <c r="I1306" s="52"/>
      <c r="J1306" s="57">
        <v>107.85</v>
      </c>
      <c r="K1306" s="52"/>
      <c r="L1306" s="6">
        <v>98.898449999999997</v>
      </c>
      <c r="M1306" s="6">
        <v>0.91700000000000004</v>
      </c>
      <c r="N1306" s="6">
        <v>100.49</v>
      </c>
      <c r="O1306" s="57">
        <v>92.149330000000006</v>
      </c>
      <c r="P1306" s="52"/>
      <c r="Q1306" s="6">
        <v>0.91700000000000015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7.36</v>
      </c>
      <c r="AB1306" s="6">
        <v>6.7491199999999996</v>
      </c>
      <c r="AC1306" s="6">
        <v>0.91699999999999993</v>
      </c>
      <c r="AD1306" s="6">
        <v>-7.36</v>
      </c>
      <c r="AE1306" s="6">
        <v>7.36</v>
      </c>
    </row>
    <row r="1307" spans="2:31" ht="20" x14ac:dyDescent="0.25">
      <c r="B1307" s="55"/>
      <c r="C1307" s="55"/>
      <c r="D1307" s="4" t="s">
        <v>2027</v>
      </c>
      <c r="E1307" s="4" t="s">
        <v>2028</v>
      </c>
      <c r="F1307" s="4" t="s">
        <v>51</v>
      </c>
      <c r="G1307" s="4" t="s">
        <v>35</v>
      </c>
      <c r="H1307" s="54" t="s">
        <v>48</v>
      </c>
      <c r="I1307" s="52"/>
      <c r="J1307" s="57">
        <v>12.01</v>
      </c>
      <c r="K1307" s="52"/>
      <c r="L1307" s="6">
        <v>9.0075000000000003</v>
      </c>
      <c r="M1307" s="6">
        <v>0.75</v>
      </c>
      <c r="N1307" s="6">
        <v>10.48</v>
      </c>
      <c r="O1307" s="57">
        <v>7.86</v>
      </c>
      <c r="P1307" s="52"/>
      <c r="Q1307" s="6">
        <v>0.75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1.53</v>
      </c>
      <c r="AB1307" s="6">
        <v>1.1475</v>
      </c>
      <c r="AC1307" s="6">
        <v>0.75</v>
      </c>
      <c r="AD1307" s="6">
        <v>-1.5299999999999994</v>
      </c>
      <c r="AE1307" s="6">
        <v>1.5299999999999994</v>
      </c>
    </row>
    <row r="1308" spans="2:31" x14ac:dyDescent="0.25">
      <c r="B1308" s="55"/>
      <c r="C1308" s="55"/>
      <c r="D1308" s="54" t="s">
        <v>2029</v>
      </c>
      <c r="E1308" s="4" t="s">
        <v>1915</v>
      </c>
      <c r="F1308" s="4" t="s">
        <v>51</v>
      </c>
      <c r="G1308" s="4" t="s">
        <v>35</v>
      </c>
      <c r="H1308" s="54" t="s">
        <v>48</v>
      </c>
      <c r="I1308" s="52"/>
      <c r="J1308" s="57">
        <v>30.39</v>
      </c>
      <c r="K1308" s="52"/>
      <c r="L1308" s="6">
        <v>22.7925</v>
      </c>
      <c r="M1308" s="6">
        <v>0.75</v>
      </c>
      <c r="N1308" s="6">
        <v>30.23</v>
      </c>
      <c r="O1308" s="57">
        <v>22.672499999999999</v>
      </c>
      <c r="P1308" s="52"/>
      <c r="Q1308" s="6">
        <v>0.75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0.16</v>
      </c>
      <c r="AB1308" s="6">
        <v>0.12</v>
      </c>
      <c r="AC1308" s="6">
        <v>0.75</v>
      </c>
      <c r="AD1308" s="6">
        <v>-0.16000000000000014</v>
      </c>
      <c r="AE1308" s="6">
        <v>0.16000000000000014</v>
      </c>
    </row>
    <row r="1309" spans="2:31" x14ac:dyDescent="0.25">
      <c r="B1309" s="55"/>
      <c r="C1309" s="55"/>
      <c r="D1309" s="56"/>
      <c r="E1309" s="4" t="s">
        <v>2030</v>
      </c>
      <c r="F1309" s="4" t="s">
        <v>51</v>
      </c>
      <c r="G1309" s="4" t="s">
        <v>35</v>
      </c>
      <c r="H1309" s="54" t="s">
        <v>36</v>
      </c>
      <c r="I1309" s="52"/>
      <c r="J1309" s="57">
        <v>172.64</v>
      </c>
      <c r="K1309" s="52"/>
      <c r="L1309" s="6">
        <v>158.31088</v>
      </c>
      <c r="M1309" s="6">
        <v>0.91700000000000004</v>
      </c>
      <c r="N1309" s="6">
        <v>163.69</v>
      </c>
      <c r="O1309" s="57">
        <v>150.10373000000001</v>
      </c>
      <c r="P1309" s="52"/>
      <c r="Q1309" s="6">
        <v>0.91700000000000004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8.9499999999999993</v>
      </c>
      <c r="AB1309" s="6">
        <v>8.2071500000000004</v>
      </c>
      <c r="AC1309" s="6">
        <v>0.91700000000000015</v>
      </c>
      <c r="AD1309" s="6">
        <v>-8.9499999999999886</v>
      </c>
      <c r="AE1309" s="6">
        <v>8.9499999999999886</v>
      </c>
    </row>
    <row r="1310" spans="2:31" ht="20" x14ac:dyDescent="0.25">
      <c r="B1310" s="55"/>
      <c r="C1310" s="55"/>
      <c r="D1310" s="4" t="s">
        <v>2031</v>
      </c>
      <c r="E1310" s="4" t="s">
        <v>2032</v>
      </c>
      <c r="F1310" s="4" t="s">
        <v>51</v>
      </c>
      <c r="G1310" s="4" t="s">
        <v>35</v>
      </c>
      <c r="H1310" s="54" t="s">
        <v>41</v>
      </c>
      <c r="I1310" s="52"/>
      <c r="J1310" s="57">
        <v>25.44</v>
      </c>
      <c r="K1310" s="52"/>
      <c r="L1310" s="6">
        <v>19.079999999999998</v>
      </c>
      <c r="M1310" s="6">
        <v>0.74999999999999989</v>
      </c>
      <c r="N1310" s="6">
        <v>23.12</v>
      </c>
      <c r="O1310" s="57">
        <v>17.34</v>
      </c>
      <c r="P1310" s="52"/>
      <c r="Q1310" s="6">
        <v>0.75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2.3199999999999998</v>
      </c>
      <c r="AB1310" s="6">
        <v>1.74</v>
      </c>
      <c r="AC1310" s="6">
        <v>0.75</v>
      </c>
      <c r="AD1310" s="6">
        <v>-2.3200000000000003</v>
      </c>
      <c r="AE1310" s="6">
        <v>2.3200000000000003</v>
      </c>
    </row>
    <row r="1311" spans="2:31" ht="20" x14ac:dyDescent="0.25">
      <c r="B1311" s="55"/>
      <c r="C1311" s="55"/>
      <c r="D1311" s="4" t="s">
        <v>2033</v>
      </c>
      <c r="E1311" s="4" t="s">
        <v>2034</v>
      </c>
      <c r="F1311" s="4" t="s">
        <v>51</v>
      </c>
      <c r="G1311" s="4" t="s">
        <v>35</v>
      </c>
      <c r="H1311" s="54" t="s">
        <v>36</v>
      </c>
      <c r="I1311" s="52"/>
      <c r="J1311" s="57">
        <v>17.559999999999999</v>
      </c>
      <c r="K1311" s="52"/>
      <c r="L1311" s="6">
        <v>16.102519999999998</v>
      </c>
      <c r="M1311" s="6">
        <v>0.91699999999999993</v>
      </c>
      <c r="N1311" s="6">
        <v>17.11</v>
      </c>
      <c r="O1311" s="57">
        <v>15.689870000000001</v>
      </c>
      <c r="P1311" s="52"/>
      <c r="Q1311" s="6">
        <v>0.91700000000000004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0.45</v>
      </c>
      <c r="AB1311" s="6">
        <v>0.41265000000000002</v>
      </c>
      <c r="AC1311" s="6">
        <v>0.91700000000000004</v>
      </c>
      <c r="AD1311" s="6">
        <v>-0.44999999999999929</v>
      </c>
      <c r="AE1311" s="6">
        <v>0.44999999999999929</v>
      </c>
    </row>
    <row r="1312" spans="2:31" ht="20" x14ac:dyDescent="0.25">
      <c r="B1312" s="55"/>
      <c r="C1312" s="55"/>
      <c r="D1312" s="4" t="s">
        <v>2035</v>
      </c>
      <c r="E1312" s="4" t="s">
        <v>1984</v>
      </c>
      <c r="F1312" s="4" t="s">
        <v>51</v>
      </c>
      <c r="G1312" s="4" t="s">
        <v>35</v>
      </c>
      <c r="H1312" s="54" t="s">
        <v>48</v>
      </c>
      <c r="I1312" s="52"/>
      <c r="J1312" s="57">
        <v>133.36000000000001</v>
      </c>
      <c r="K1312" s="52"/>
      <c r="L1312" s="6">
        <v>100.02</v>
      </c>
      <c r="M1312" s="6">
        <v>0.74999999999999989</v>
      </c>
      <c r="N1312" s="6">
        <v>132.94999999999999</v>
      </c>
      <c r="O1312" s="57">
        <v>99.712500000000006</v>
      </c>
      <c r="P1312" s="52"/>
      <c r="Q1312" s="6">
        <v>0.75000000000000011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0.41</v>
      </c>
      <c r="AB1312" s="6">
        <v>0.3075</v>
      </c>
      <c r="AC1312" s="6">
        <v>0.75</v>
      </c>
      <c r="AD1312" s="6">
        <v>-0.41000000000002501</v>
      </c>
      <c r="AE1312" s="6">
        <v>0.41000000000002501</v>
      </c>
    </row>
    <row r="1313" spans="2:31" ht="20" x14ac:dyDescent="0.25">
      <c r="B1313" s="55"/>
      <c r="C1313" s="55"/>
      <c r="D1313" s="4" t="s">
        <v>2036</v>
      </c>
      <c r="E1313" s="4" t="s">
        <v>2037</v>
      </c>
      <c r="F1313" s="4" t="s">
        <v>51</v>
      </c>
      <c r="G1313" s="4" t="s">
        <v>35</v>
      </c>
      <c r="H1313" s="54" t="s">
        <v>36</v>
      </c>
      <c r="I1313" s="52"/>
      <c r="J1313" s="57">
        <v>73.2</v>
      </c>
      <c r="K1313" s="52"/>
      <c r="L1313" s="6">
        <v>67.124399999999994</v>
      </c>
      <c r="M1313" s="6">
        <v>0.91699999999999993</v>
      </c>
      <c r="N1313" s="6">
        <v>69.599999999999994</v>
      </c>
      <c r="O1313" s="57">
        <v>63.8232</v>
      </c>
      <c r="P1313" s="52"/>
      <c r="Q1313" s="6">
        <v>0.91700000000000004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3.6</v>
      </c>
      <c r="AB1313" s="6">
        <v>3.3012000000000001</v>
      </c>
      <c r="AC1313" s="6">
        <v>0.91700000000000004</v>
      </c>
      <c r="AD1313" s="6">
        <v>-3.6000000000000085</v>
      </c>
      <c r="AE1313" s="6">
        <v>3.6000000000000085</v>
      </c>
    </row>
    <row r="1314" spans="2:31" ht="20" x14ac:dyDescent="0.25">
      <c r="B1314" s="55"/>
      <c r="C1314" s="55"/>
      <c r="D1314" s="4" t="s">
        <v>2038</v>
      </c>
      <c r="E1314" s="4" t="s">
        <v>2039</v>
      </c>
      <c r="F1314" s="4" t="s">
        <v>51</v>
      </c>
      <c r="G1314" s="4" t="s">
        <v>35</v>
      </c>
      <c r="H1314" s="54" t="s">
        <v>36</v>
      </c>
      <c r="I1314" s="52"/>
      <c r="J1314" s="57">
        <v>41.28</v>
      </c>
      <c r="K1314" s="52"/>
      <c r="L1314" s="6">
        <v>37.853760000000001</v>
      </c>
      <c r="M1314" s="6">
        <v>0.91700000000000004</v>
      </c>
      <c r="N1314" s="6">
        <v>37.58</v>
      </c>
      <c r="O1314" s="57">
        <v>34.460859999999997</v>
      </c>
      <c r="P1314" s="52"/>
      <c r="Q1314" s="6">
        <v>0.91699999999999993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3.7</v>
      </c>
      <c r="AB1314" s="6">
        <v>3.3929</v>
      </c>
      <c r="AC1314" s="6">
        <v>0.91699999999999993</v>
      </c>
      <c r="AD1314" s="6">
        <v>-3.7000000000000028</v>
      </c>
      <c r="AE1314" s="6">
        <v>3.7000000000000028</v>
      </c>
    </row>
    <row r="1315" spans="2:31" ht="20" x14ac:dyDescent="0.25">
      <c r="B1315" s="55"/>
      <c r="C1315" s="55"/>
      <c r="D1315" s="4" t="s">
        <v>2040</v>
      </c>
      <c r="E1315" s="4" t="s">
        <v>2041</v>
      </c>
      <c r="F1315" s="4" t="s">
        <v>51</v>
      </c>
      <c r="G1315" s="4" t="s">
        <v>35</v>
      </c>
      <c r="H1315" s="54" t="s">
        <v>48</v>
      </c>
      <c r="I1315" s="52"/>
      <c r="J1315" s="57">
        <v>24.08</v>
      </c>
      <c r="K1315" s="52"/>
      <c r="L1315" s="6">
        <v>18.059999999999999</v>
      </c>
      <c r="M1315" s="6">
        <v>0.75</v>
      </c>
      <c r="N1315" s="6">
        <v>20.88</v>
      </c>
      <c r="O1315" s="57">
        <v>15.66</v>
      </c>
      <c r="P1315" s="52"/>
      <c r="Q1315" s="6">
        <v>0.75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3.2</v>
      </c>
      <c r="AB1315" s="6">
        <v>2.4</v>
      </c>
      <c r="AC1315" s="6">
        <v>0.74999999999999989</v>
      </c>
      <c r="AD1315" s="6">
        <v>-3.1999999999999993</v>
      </c>
      <c r="AE1315" s="6">
        <v>3.1999999999999993</v>
      </c>
    </row>
    <row r="1316" spans="2:31" ht="20" x14ac:dyDescent="0.25">
      <c r="B1316" s="55"/>
      <c r="C1316" s="55"/>
      <c r="D1316" s="4" t="s">
        <v>2042</v>
      </c>
      <c r="E1316" s="4" t="s">
        <v>2043</v>
      </c>
      <c r="F1316" s="4" t="s">
        <v>51</v>
      </c>
      <c r="G1316" s="4" t="s">
        <v>35</v>
      </c>
      <c r="H1316" s="54" t="s">
        <v>36</v>
      </c>
      <c r="I1316" s="52"/>
      <c r="J1316" s="57">
        <v>128.54</v>
      </c>
      <c r="K1316" s="52"/>
      <c r="L1316" s="6">
        <v>117.87118</v>
      </c>
      <c r="M1316" s="6">
        <v>0.91700000000000004</v>
      </c>
      <c r="N1316" s="6">
        <v>122</v>
      </c>
      <c r="O1316" s="57">
        <v>111.874</v>
      </c>
      <c r="P1316" s="52"/>
      <c r="Q1316" s="6">
        <v>0.91699999999999993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6.54</v>
      </c>
      <c r="AB1316" s="6">
        <v>5.9971800000000002</v>
      </c>
      <c r="AC1316" s="6">
        <v>0.91700000000000004</v>
      </c>
      <c r="AD1316" s="6">
        <v>-6.539999999999992</v>
      </c>
      <c r="AE1316" s="6">
        <v>6.539999999999992</v>
      </c>
    </row>
    <row r="1317" spans="2:31" ht="20" x14ac:dyDescent="0.25">
      <c r="B1317" s="55"/>
      <c r="C1317" s="55"/>
      <c r="D1317" s="4" t="s">
        <v>2044</v>
      </c>
      <c r="E1317" s="4" t="s">
        <v>2045</v>
      </c>
      <c r="F1317" s="4" t="s">
        <v>51</v>
      </c>
      <c r="G1317" s="4" t="s">
        <v>35</v>
      </c>
      <c r="H1317" s="54" t="s">
        <v>36</v>
      </c>
      <c r="I1317" s="52"/>
      <c r="J1317" s="57">
        <v>48.19</v>
      </c>
      <c r="K1317" s="52"/>
      <c r="L1317" s="6">
        <v>44.19023</v>
      </c>
      <c r="M1317" s="6">
        <v>0.91700000000000004</v>
      </c>
      <c r="N1317" s="6">
        <v>45.1</v>
      </c>
      <c r="O1317" s="57">
        <v>41.356699999999996</v>
      </c>
      <c r="P1317" s="52"/>
      <c r="Q1317" s="6">
        <v>0.91699999999999993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3.09</v>
      </c>
      <c r="AB1317" s="6">
        <v>2.8335300000000001</v>
      </c>
      <c r="AC1317" s="6">
        <v>0.91700000000000004</v>
      </c>
      <c r="AD1317" s="6">
        <v>-3.0899999999999963</v>
      </c>
      <c r="AE1317" s="6">
        <v>3.0899999999999963</v>
      </c>
    </row>
    <row r="1318" spans="2:31" x14ac:dyDescent="0.25">
      <c r="B1318" s="55"/>
      <c r="C1318" s="55"/>
      <c r="D1318" s="54" t="s">
        <v>2046</v>
      </c>
      <c r="E1318" s="4" t="s">
        <v>2047</v>
      </c>
      <c r="F1318" s="4" t="s">
        <v>51</v>
      </c>
      <c r="G1318" s="4" t="s">
        <v>35</v>
      </c>
      <c r="H1318" s="54" t="s">
        <v>36</v>
      </c>
      <c r="I1318" s="52"/>
      <c r="J1318" s="57">
        <v>45.484999999999999</v>
      </c>
      <c r="K1318" s="52"/>
      <c r="L1318" s="6">
        <v>41.709744999999998</v>
      </c>
      <c r="M1318" s="6">
        <v>0.91699999999999993</v>
      </c>
      <c r="N1318" s="6">
        <v>43.234999999999999</v>
      </c>
      <c r="O1318" s="57">
        <v>39.646495000000002</v>
      </c>
      <c r="P1318" s="52"/>
      <c r="Q1318" s="6">
        <v>0.91700000000000004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2.25</v>
      </c>
      <c r="AB1318" s="6">
        <v>2.06325</v>
      </c>
      <c r="AC1318" s="6">
        <v>0.91700000000000004</v>
      </c>
      <c r="AD1318" s="6">
        <v>-2.25</v>
      </c>
      <c r="AE1318" s="6">
        <v>2.25</v>
      </c>
    </row>
    <row r="1319" spans="2:31" x14ac:dyDescent="0.25">
      <c r="B1319" s="55"/>
      <c r="C1319" s="55"/>
      <c r="D1319" s="56"/>
      <c r="E1319" s="4" t="s">
        <v>2048</v>
      </c>
      <c r="F1319" s="4" t="s">
        <v>51</v>
      </c>
      <c r="G1319" s="4" t="s">
        <v>35</v>
      </c>
      <c r="H1319" s="54" t="s">
        <v>36</v>
      </c>
      <c r="I1319" s="52"/>
      <c r="J1319" s="57">
        <v>31.09</v>
      </c>
      <c r="K1319" s="52"/>
      <c r="L1319" s="6">
        <v>28.509530000000002</v>
      </c>
      <c r="M1319" s="6">
        <v>0.91700000000000004</v>
      </c>
      <c r="N1319" s="6">
        <v>27.7</v>
      </c>
      <c r="O1319" s="57">
        <v>25.4009</v>
      </c>
      <c r="P1319" s="52"/>
      <c r="Q1319" s="6">
        <v>0.91700000000000004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3.39</v>
      </c>
      <c r="AB1319" s="6">
        <v>3.1086299999999998</v>
      </c>
      <c r="AC1319" s="6">
        <v>0.91699999999999993</v>
      </c>
      <c r="AD1319" s="6">
        <v>-3.3900000000000006</v>
      </c>
      <c r="AE1319" s="6">
        <v>3.3900000000000006</v>
      </c>
    </row>
    <row r="1320" spans="2:31" x14ac:dyDescent="0.25">
      <c r="B1320" s="55"/>
      <c r="C1320" s="55"/>
      <c r="D1320" s="54" t="s">
        <v>2049</v>
      </c>
      <c r="E1320" s="4" t="s">
        <v>2050</v>
      </c>
      <c r="F1320" s="4" t="s">
        <v>51</v>
      </c>
      <c r="G1320" s="4" t="s">
        <v>35</v>
      </c>
      <c r="H1320" s="54" t="s">
        <v>36</v>
      </c>
      <c r="I1320" s="52"/>
      <c r="J1320" s="57">
        <v>118.06</v>
      </c>
      <c r="K1320" s="52"/>
      <c r="L1320" s="6">
        <v>108.26102</v>
      </c>
      <c r="M1320" s="6">
        <v>0.91700000000000004</v>
      </c>
      <c r="N1320" s="6">
        <v>110.98</v>
      </c>
      <c r="O1320" s="57">
        <v>101.76866</v>
      </c>
      <c r="P1320" s="52"/>
      <c r="Q1320" s="6">
        <v>0.91699999999999993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7.08</v>
      </c>
      <c r="AB1320" s="6">
        <v>6.4923599999999997</v>
      </c>
      <c r="AC1320" s="6">
        <v>0.91699999999999993</v>
      </c>
      <c r="AD1320" s="6">
        <v>-7.0799999999999983</v>
      </c>
      <c r="AE1320" s="6">
        <v>7.0799999999999983</v>
      </c>
    </row>
    <row r="1321" spans="2:31" x14ac:dyDescent="0.25">
      <c r="B1321" s="55"/>
      <c r="C1321" s="55"/>
      <c r="D1321" s="56"/>
      <c r="E1321" s="4" t="s">
        <v>2051</v>
      </c>
      <c r="F1321" s="4" t="s">
        <v>51</v>
      </c>
      <c r="G1321" s="4" t="s">
        <v>35</v>
      </c>
      <c r="H1321" s="54" t="s">
        <v>41</v>
      </c>
      <c r="I1321" s="52"/>
      <c r="J1321" s="57">
        <v>28.98</v>
      </c>
      <c r="K1321" s="52"/>
      <c r="L1321" s="6">
        <v>21.734999999999999</v>
      </c>
      <c r="M1321" s="6">
        <v>0.75</v>
      </c>
      <c r="N1321" s="6">
        <v>27.43</v>
      </c>
      <c r="O1321" s="57">
        <v>20.572500000000002</v>
      </c>
      <c r="P1321" s="52"/>
      <c r="Q1321" s="6">
        <v>0.75000000000000011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1.55</v>
      </c>
      <c r="AB1321" s="6">
        <v>1.1625000000000001</v>
      </c>
      <c r="AC1321" s="6">
        <v>0.75</v>
      </c>
      <c r="AD1321" s="6">
        <v>-1.5500000000000007</v>
      </c>
      <c r="AE1321" s="6">
        <v>1.5500000000000007</v>
      </c>
    </row>
    <row r="1322" spans="2:31" x14ac:dyDescent="0.25">
      <c r="B1322" s="55"/>
      <c r="C1322" s="55"/>
      <c r="D1322" s="54" t="s">
        <v>2052</v>
      </c>
      <c r="E1322" s="4" t="s">
        <v>2053</v>
      </c>
      <c r="F1322" s="4" t="s">
        <v>51</v>
      </c>
      <c r="G1322" s="4" t="s">
        <v>35</v>
      </c>
      <c r="H1322" s="54" t="s">
        <v>36</v>
      </c>
      <c r="I1322" s="52"/>
      <c r="J1322" s="57">
        <v>10.09</v>
      </c>
      <c r="K1322" s="52"/>
      <c r="L1322" s="6">
        <v>9.2525300000000001</v>
      </c>
      <c r="M1322" s="6">
        <v>0.91700000000000004</v>
      </c>
      <c r="N1322" s="6">
        <v>9.67</v>
      </c>
      <c r="O1322" s="57">
        <v>8.8673900000000003</v>
      </c>
      <c r="P1322" s="52"/>
      <c r="Q1322" s="6">
        <v>0.91700000000000004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0.42</v>
      </c>
      <c r="AB1322" s="6">
        <v>0.38513999999999998</v>
      </c>
      <c r="AC1322" s="6">
        <v>0.91700000000000004</v>
      </c>
      <c r="AD1322" s="6">
        <v>-0.41999999999999993</v>
      </c>
      <c r="AE1322" s="6">
        <v>0.41999999999999993</v>
      </c>
    </row>
    <row r="1323" spans="2:31" x14ac:dyDescent="0.25">
      <c r="B1323" s="55"/>
      <c r="C1323" s="55"/>
      <c r="D1323" s="55"/>
      <c r="E1323" s="4" t="s">
        <v>2054</v>
      </c>
      <c r="F1323" s="4" t="s">
        <v>51</v>
      </c>
      <c r="G1323" s="4" t="s">
        <v>35</v>
      </c>
      <c r="H1323" s="54" t="s">
        <v>36</v>
      </c>
      <c r="I1323" s="52"/>
      <c r="J1323" s="57">
        <v>21.66</v>
      </c>
      <c r="K1323" s="52"/>
      <c r="L1323" s="6">
        <v>19.862220000000001</v>
      </c>
      <c r="M1323" s="6">
        <v>0.91700000000000004</v>
      </c>
      <c r="N1323" s="6">
        <v>21.66</v>
      </c>
      <c r="O1323" s="57">
        <v>19.862220000000001</v>
      </c>
      <c r="P1323" s="52"/>
      <c r="Q1323" s="6">
        <v>0.91700000000000004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</row>
    <row r="1324" spans="2:31" x14ac:dyDescent="0.25">
      <c r="B1324" s="55"/>
      <c r="C1324" s="55"/>
      <c r="D1324" s="55"/>
      <c r="E1324" s="4" t="s">
        <v>2055</v>
      </c>
      <c r="F1324" s="4" t="s">
        <v>51</v>
      </c>
      <c r="G1324" s="4" t="s">
        <v>35</v>
      </c>
      <c r="H1324" s="54" t="s">
        <v>41</v>
      </c>
      <c r="I1324" s="52"/>
      <c r="J1324" s="57">
        <v>2.48</v>
      </c>
      <c r="K1324" s="52"/>
      <c r="L1324" s="6">
        <v>1.86</v>
      </c>
      <c r="M1324" s="6">
        <v>0.75</v>
      </c>
      <c r="N1324" s="6">
        <v>2.11</v>
      </c>
      <c r="O1324" s="57">
        <v>1.5825</v>
      </c>
      <c r="P1324" s="52"/>
      <c r="Q1324" s="6">
        <v>0.75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0.37</v>
      </c>
      <c r="AB1324" s="6">
        <v>0.27750000000000002</v>
      </c>
      <c r="AC1324" s="6">
        <v>0.75000000000000011</v>
      </c>
      <c r="AD1324" s="6">
        <v>-0.37000000000000011</v>
      </c>
      <c r="AE1324" s="6">
        <v>0.37000000000000011</v>
      </c>
    </row>
    <row r="1325" spans="2:31" x14ac:dyDescent="0.25">
      <c r="B1325" s="55"/>
      <c r="C1325" s="55"/>
      <c r="D1325" s="55"/>
      <c r="E1325" s="4" t="s">
        <v>2056</v>
      </c>
      <c r="F1325" s="4" t="s">
        <v>51</v>
      </c>
      <c r="G1325" s="4" t="s">
        <v>35</v>
      </c>
      <c r="H1325" s="54" t="s">
        <v>41</v>
      </c>
      <c r="I1325" s="52"/>
      <c r="J1325" s="57">
        <v>2.2200000000000002</v>
      </c>
      <c r="K1325" s="52"/>
      <c r="L1325" s="6">
        <v>1.665</v>
      </c>
      <c r="M1325" s="6">
        <v>0.75</v>
      </c>
      <c r="N1325" s="6">
        <v>1.85</v>
      </c>
      <c r="O1325" s="57">
        <v>1.3875</v>
      </c>
      <c r="P1325" s="52"/>
      <c r="Q1325" s="6">
        <v>0.74999999999999989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0.37</v>
      </c>
      <c r="AB1325" s="6">
        <v>0.27750000000000002</v>
      </c>
      <c r="AC1325" s="6">
        <v>0.75000000000000011</v>
      </c>
      <c r="AD1325" s="6">
        <v>-0.37000000000000011</v>
      </c>
      <c r="AE1325" s="6">
        <v>0.37000000000000011</v>
      </c>
    </row>
    <row r="1326" spans="2:31" x14ac:dyDescent="0.25">
      <c r="B1326" s="55"/>
      <c r="C1326" s="55"/>
      <c r="D1326" s="56"/>
      <c r="E1326" s="4" t="s">
        <v>2057</v>
      </c>
      <c r="F1326" s="4" t="s">
        <v>51</v>
      </c>
      <c r="G1326" s="4" t="s">
        <v>35</v>
      </c>
      <c r="H1326" s="54" t="s">
        <v>41</v>
      </c>
      <c r="I1326" s="52"/>
      <c r="J1326" s="57">
        <v>6.02</v>
      </c>
      <c r="K1326" s="52"/>
      <c r="L1326" s="6">
        <v>4.5149999999999997</v>
      </c>
      <c r="M1326" s="6">
        <v>0.75</v>
      </c>
      <c r="N1326" s="6">
        <v>5.57</v>
      </c>
      <c r="O1326" s="57">
        <v>4.1775000000000002</v>
      </c>
      <c r="P1326" s="52"/>
      <c r="Q1326" s="6">
        <v>0.75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0.45</v>
      </c>
      <c r="AB1326" s="6">
        <v>0.33750000000000002</v>
      </c>
      <c r="AC1326" s="6">
        <v>0.75</v>
      </c>
      <c r="AD1326" s="6">
        <v>-0.44999999999999929</v>
      </c>
      <c r="AE1326" s="6">
        <v>0.44999999999999929</v>
      </c>
    </row>
    <row r="1327" spans="2:31" ht="20" x14ac:dyDescent="0.25">
      <c r="B1327" s="55"/>
      <c r="C1327" s="55"/>
      <c r="D1327" s="4" t="s">
        <v>2058</v>
      </c>
      <c r="E1327" s="4" t="s">
        <v>2059</v>
      </c>
      <c r="F1327" s="4" t="s">
        <v>51</v>
      </c>
      <c r="G1327" s="4" t="s">
        <v>35</v>
      </c>
      <c r="H1327" s="54" t="s">
        <v>36</v>
      </c>
      <c r="I1327" s="52"/>
      <c r="J1327" s="57">
        <v>19.97</v>
      </c>
      <c r="K1327" s="52"/>
      <c r="L1327" s="6">
        <v>18.31249</v>
      </c>
      <c r="M1327" s="6">
        <v>0.91700000000000004</v>
      </c>
      <c r="N1327" s="6">
        <v>18.11</v>
      </c>
      <c r="O1327" s="57">
        <v>16.606870000000001</v>
      </c>
      <c r="P1327" s="52"/>
      <c r="Q1327" s="6">
        <v>0.91700000000000004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1.86</v>
      </c>
      <c r="AB1327" s="6">
        <v>1.7056199999999999</v>
      </c>
      <c r="AC1327" s="6">
        <v>0.91699999999999993</v>
      </c>
      <c r="AD1327" s="6">
        <v>-1.8599999999999994</v>
      </c>
      <c r="AE1327" s="6">
        <v>1.8599999999999994</v>
      </c>
    </row>
    <row r="1328" spans="2:31" x14ac:dyDescent="0.25">
      <c r="B1328" s="55"/>
      <c r="C1328" s="55"/>
      <c r="D1328" s="54" t="s">
        <v>2060</v>
      </c>
      <c r="E1328" s="4" t="s">
        <v>2061</v>
      </c>
      <c r="F1328" s="4" t="s">
        <v>51</v>
      </c>
      <c r="G1328" s="4" t="s">
        <v>35</v>
      </c>
      <c r="H1328" s="54" t="s">
        <v>36</v>
      </c>
      <c r="I1328" s="52"/>
      <c r="J1328" s="57">
        <v>95.94</v>
      </c>
      <c r="K1328" s="52"/>
      <c r="L1328" s="6">
        <v>87.976979999999998</v>
      </c>
      <c r="M1328" s="6">
        <v>0.91700000000000004</v>
      </c>
      <c r="N1328" s="6">
        <v>95.94</v>
      </c>
      <c r="O1328" s="57">
        <v>87.976979999999998</v>
      </c>
      <c r="P1328" s="52"/>
      <c r="Q1328" s="6">
        <v>0.91700000000000004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</row>
    <row r="1329" spans="2:31" x14ac:dyDescent="0.25">
      <c r="B1329" s="55"/>
      <c r="C1329" s="55"/>
      <c r="D1329" s="56"/>
      <c r="E1329" s="4" t="s">
        <v>2062</v>
      </c>
      <c r="F1329" s="4" t="s">
        <v>51</v>
      </c>
      <c r="G1329" s="4" t="s">
        <v>35</v>
      </c>
      <c r="H1329" s="54" t="s">
        <v>36</v>
      </c>
      <c r="I1329" s="52"/>
      <c r="J1329" s="57">
        <v>21.26</v>
      </c>
      <c r="K1329" s="52"/>
      <c r="L1329" s="6">
        <v>19.495419999999999</v>
      </c>
      <c r="M1329" s="6">
        <v>0.91699999999999993</v>
      </c>
      <c r="N1329" s="6">
        <v>21.26</v>
      </c>
      <c r="O1329" s="57">
        <v>19.495419999999999</v>
      </c>
      <c r="P1329" s="52"/>
      <c r="Q1329" s="6">
        <v>0.91699999999999993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</row>
    <row r="1330" spans="2:31" x14ac:dyDescent="0.25">
      <c r="B1330" s="55"/>
      <c r="C1330" s="55"/>
      <c r="D1330" s="54" t="s">
        <v>2063</v>
      </c>
      <c r="E1330" s="4" t="s">
        <v>1958</v>
      </c>
      <c r="F1330" s="4" t="s">
        <v>51</v>
      </c>
      <c r="G1330" s="4" t="s">
        <v>35</v>
      </c>
      <c r="H1330" s="54" t="s">
        <v>48</v>
      </c>
      <c r="I1330" s="52"/>
      <c r="J1330" s="57">
        <v>30.33</v>
      </c>
      <c r="K1330" s="52"/>
      <c r="L1330" s="6">
        <v>22.747499999999999</v>
      </c>
      <c r="M1330" s="6">
        <v>0.75</v>
      </c>
      <c r="N1330" s="6">
        <v>28.37</v>
      </c>
      <c r="O1330" s="57">
        <v>21.2775</v>
      </c>
      <c r="P1330" s="52"/>
      <c r="Q1330" s="6">
        <v>0.75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1.96</v>
      </c>
      <c r="AB1330" s="6">
        <v>1.47</v>
      </c>
      <c r="AC1330" s="6">
        <v>0.75</v>
      </c>
      <c r="AD1330" s="6">
        <v>-1.9599999999999973</v>
      </c>
      <c r="AE1330" s="6">
        <v>1.9599999999999973</v>
      </c>
    </row>
    <row r="1331" spans="2:31" x14ac:dyDescent="0.25">
      <c r="B1331" s="55"/>
      <c r="C1331" s="55"/>
      <c r="D1331" s="55"/>
      <c r="E1331" s="4" t="s">
        <v>2064</v>
      </c>
      <c r="F1331" s="4" t="s">
        <v>51</v>
      </c>
      <c r="G1331" s="4" t="s">
        <v>35</v>
      </c>
      <c r="H1331" s="54" t="s">
        <v>36</v>
      </c>
      <c r="I1331" s="52"/>
      <c r="J1331" s="57">
        <v>57.73</v>
      </c>
      <c r="K1331" s="52"/>
      <c r="L1331" s="6">
        <v>52.938409999999998</v>
      </c>
      <c r="M1331" s="6">
        <v>0.91700000000000004</v>
      </c>
      <c r="N1331" s="6">
        <v>57.73</v>
      </c>
      <c r="O1331" s="57">
        <v>52.938409999999998</v>
      </c>
      <c r="P1331" s="52"/>
      <c r="Q1331" s="6">
        <v>0.91700000000000004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</row>
    <row r="1332" spans="2:31" x14ac:dyDescent="0.25">
      <c r="B1332" s="55"/>
      <c r="C1332" s="55"/>
      <c r="D1332" s="56"/>
      <c r="E1332" s="4" t="s">
        <v>2065</v>
      </c>
      <c r="F1332" s="4" t="s">
        <v>51</v>
      </c>
      <c r="G1332" s="4" t="s">
        <v>35</v>
      </c>
      <c r="H1332" s="54" t="s">
        <v>36</v>
      </c>
      <c r="I1332" s="52"/>
      <c r="J1332" s="57">
        <v>15.05</v>
      </c>
      <c r="K1332" s="52"/>
      <c r="L1332" s="6">
        <v>13.800850000000001</v>
      </c>
      <c r="M1332" s="6">
        <v>0.91700000000000004</v>
      </c>
      <c r="N1332" s="6">
        <v>15.05</v>
      </c>
      <c r="O1332" s="57">
        <v>13.800850000000001</v>
      </c>
      <c r="P1332" s="52"/>
      <c r="Q1332" s="6">
        <v>0.91700000000000004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</row>
    <row r="1333" spans="2:31" ht="20" x14ac:dyDescent="0.25">
      <c r="B1333" s="55"/>
      <c r="C1333" s="55"/>
      <c r="D1333" s="4" t="s">
        <v>2066</v>
      </c>
      <c r="E1333" s="4" t="s">
        <v>1972</v>
      </c>
      <c r="F1333" s="4" t="s">
        <v>51</v>
      </c>
      <c r="G1333" s="4" t="s">
        <v>133</v>
      </c>
      <c r="H1333" s="54" t="s">
        <v>36</v>
      </c>
      <c r="I1333" s="52"/>
      <c r="J1333" s="57">
        <v>31.86</v>
      </c>
      <c r="K1333" s="52"/>
      <c r="L1333" s="6">
        <v>29.215620000000001</v>
      </c>
      <c r="M1333" s="6">
        <v>0.91700000000000004</v>
      </c>
      <c r="N1333" s="6">
        <v>30.12</v>
      </c>
      <c r="O1333" s="57">
        <v>27.620039999999999</v>
      </c>
      <c r="P1333" s="52"/>
      <c r="Q1333" s="6">
        <v>0.91699999999999993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1.74</v>
      </c>
      <c r="AB1333" s="6">
        <v>1.59558</v>
      </c>
      <c r="AC1333" s="6">
        <v>0.91700000000000004</v>
      </c>
      <c r="AD1333" s="6">
        <v>-1.7399999999999984</v>
      </c>
      <c r="AE1333" s="6">
        <v>1.7399999999999984</v>
      </c>
    </row>
    <row r="1334" spans="2:31" x14ac:dyDescent="0.25">
      <c r="B1334" s="55"/>
      <c r="C1334" s="55"/>
      <c r="D1334" s="54" t="s">
        <v>2067</v>
      </c>
      <c r="E1334" s="4" t="s">
        <v>2068</v>
      </c>
      <c r="F1334" s="4" t="s">
        <v>51</v>
      </c>
      <c r="G1334" s="4" t="s">
        <v>35</v>
      </c>
      <c r="H1334" s="54" t="s">
        <v>36</v>
      </c>
      <c r="I1334" s="52"/>
      <c r="J1334" s="57">
        <v>6.94</v>
      </c>
      <c r="K1334" s="52"/>
      <c r="L1334" s="6">
        <v>6.3639799999999997</v>
      </c>
      <c r="M1334" s="6">
        <v>0.91699999999999993</v>
      </c>
      <c r="N1334" s="6">
        <v>6.26</v>
      </c>
      <c r="O1334" s="57">
        <v>5.7404200000000003</v>
      </c>
      <c r="P1334" s="52"/>
      <c r="Q1334" s="6">
        <v>0.91700000000000004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0.68</v>
      </c>
      <c r="AB1334" s="6">
        <v>0.62356</v>
      </c>
      <c r="AC1334" s="6">
        <v>0.91699999999999993</v>
      </c>
      <c r="AD1334" s="6">
        <v>-0.6800000000000006</v>
      </c>
      <c r="AE1334" s="6">
        <v>0.6800000000000006</v>
      </c>
    </row>
    <row r="1335" spans="2:31" x14ac:dyDescent="0.25">
      <c r="B1335" s="55"/>
      <c r="C1335" s="55"/>
      <c r="D1335" s="56"/>
      <c r="E1335" s="4" t="s">
        <v>2069</v>
      </c>
      <c r="F1335" s="4" t="s">
        <v>51</v>
      </c>
      <c r="G1335" s="4" t="s">
        <v>35</v>
      </c>
      <c r="H1335" s="54" t="s">
        <v>36</v>
      </c>
      <c r="I1335" s="52"/>
      <c r="J1335" s="57">
        <v>8.4700000000000006</v>
      </c>
      <c r="K1335" s="52"/>
      <c r="L1335" s="6">
        <v>7.7669899999999998</v>
      </c>
      <c r="M1335" s="6">
        <v>0.91699999999999993</v>
      </c>
      <c r="N1335" s="6">
        <v>7.72</v>
      </c>
      <c r="O1335" s="57">
        <v>7.0792400000000004</v>
      </c>
      <c r="P1335" s="52"/>
      <c r="Q1335" s="6">
        <v>0.91700000000000004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0.75</v>
      </c>
      <c r="AB1335" s="6">
        <v>0.68774999999999997</v>
      </c>
      <c r="AC1335" s="6">
        <v>0.91699999999999993</v>
      </c>
      <c r="AD1335" s="6">
        <v>-0.75000000000000089</v>
      </c>
      <c r="AE1335" s="6">
        <v>0.75000000000000089</v>
      </c>
    </row>
    <row r="1336" spans="2:31" ht="20" x14ac:dyDescent="0.25">
      <c r="B1336" s="55"/>
      <c r="C1336" s="55"/>
      <c r="D1336" s="4" t="s">
        <v>2070</v>
      </c>
      <c r="E1336" s="4" t="s">
        <v>2071</v>
      </c>
      <c r="F1336" s="4" t="s">
        <v>51</v>
      </c>
      <c r="G1336" s="4" t="s">
        <v>35</v>
      </c>
      <c r="H1336" s="54" t="s">
        <v>36</v>
      </c>
      <c r="I1336" s="52"/>
      <c r="J1336" s="57">
        <v>18.170000000000002</v>
      </c>
      <c r="K1336" s="52"/>
      <c r="L1336" s="6">
        <v>16.66189</v>
      </c>
      <c r="M1336" s="6">
        <v>0.91699999999999993</v>
      </c>
      <c r="N1336" s="6">
        <v>17.649999999999999</v>
      </c>
      <c r="O1336" s="57">
        <v>16.18505</v>
      </c>
      <c r="P1336" s="52"/>
      <c r="Q1336" s="6">
        <v>0.91700000000000015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0.52</v>
      </c>
      <c r="AB1336" s="6">
        <v>0.47683999999999999</v>
      </c>
      <c r="AC1336" s="6">
        <v>0.91699999999999993</v>
      </c>
      <c r="AD1336" s="6">
        <v>-0.52000000000000313</v>
      </c>
      <c r="AE1336" s="6">
        <v>0.52000000000000313</v>
      </c>
    </row>
    <row r="1337" spans="2:31" ht="20" x14ac:dyDescent="0.25">
      <c r="B1337" s="55"/>
      <c r="C1337" s="55"/>
      <c r="D1337" s="4" t="s">
        <v>2072</v>
      </c>
      <c r="E1337" s="4" t="s">
        <v>2073</v>
      </c>
      <c r="F1337" s="4" t="s">
        <v>51</v>
      </c>
      <c r="G1337" s="4" t="s">
        <v>35</v>
      </c>
      <c r="H1337" s="54" t="s">
        <v>41</v>
      </c>
      <c r="I1337" s="52"/>
      <c r="J1337" s="57">
        <v>5.21</v>
      </c>
      <c r="K1337" s="52"/>
      <c r="L1337" s="6">
        <v>3.9075000000000002</v>
      </c>
      <c r="M1337" s="6">
        <v>0.75</v>
      </c>
      <c r="N1337" s="6">
        <v>4.78</v>
      </c>
      <c r="O1337" s="57">
        <v>3.585</v>
      </c>
      <c r="P1337" s="52"/>
      <c r="Q1337" s="6">
        <v>0.75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0.43</v>
      </c>
      <c r="AB1337" s="6">
        <v>0.32250000000000001</v>
      </c>
      <c r="AC1337" s="6">
        <v>0.75</v>
      </c>
      <c r="AD1337" s="6">
        <v>-0.42999999999999972</v>
      </c>
      <c r="AE1337" s="6">
        <v>0.42999999999999972</v>
      </c>
    </row>
    <row r="1338" spans="2:31" ht="20" x14ac:dyDescent="0.25">
      <c r="B1338" s="55"/>
      <c r="C1338" s="55"/>
      <c r="D1338" s="4" t="s">
        <v>2074</v>
      </c>
      <c r="E1338" s="4" t="s">
        <v>2075</v>
      </c>
      <c r="F1338" s="4" t="s">
        <v>51</v>
      </c>
      <c r="G1338" s="4" t="s">
        <v>35</v>
      </c>
      <c r="H1338" s="54" t="s">
        <v>41</v>
      </c>
      <c r="I1338" s="52"/>
      <c r="J1338" s="57">
        <v>5.57</v>
      </c>
      <c r="K1338" s="52"/>
      <c r="L1338" s="6">
        <v>4.1775000000000002</v>
      </c>
      <c r="M1338" s="6">
        <v>0.75</v>
      </c>
      <c r="N1338" s="6">
        <v>5.12</v>
      </c>
      <c r="O1338" s="57">
        <v>3.84</v>
      </c>
      <c r="P1338" s="52"/>
      <c r="Q1338" s="6">
        <v>0.75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0.45</v>
      </c>
      <c r="AB1338" s="6">
        <v>0.33750000000000002</v>
      </c>
      <c r="AC1338" s="6">
        <v>0.75</v>
      </c>
      <c r="AD1338" s="6">
        <v>-0.45000000000000018</v>
      </c>
      <c r="AE1338" s="6">
        <v>0.45000000000000018</v>
      </c>
    </row>
    <row r="1339" spans="2:31" x14ac:dyDescent="0.25">
      <c r="B1339" s="55"/>
      <c r="C1339" s="55"/>
      <c r="D1339" s="54" t="s">
        <v>2076</v>
      </c>
      <c r="E1339" s="4" t="s">
        <v>2077</v>
      </c>
      <c r="F1339" s="4" t="s">
        <v>51</v>
      </c>
      <c r="G1339" s="4" t="s">
        <v>35</v>
      </c>
      <c r="H1339" s="54" t="s">
        <v>36</v>
      </c>
      <c r="I1339" s="52"/>
      <c r="J1339" s="57">
        <v>15.09</v>
      </c>
      <c r="K1339" s="52"/>
      <c r="L1339" s="6">
        <v>13.837529999999999</v>
      </c>
      <c r="M1339" s="6">
        <v>0.91699999999999993</v>
      </c>
      <c r="N1339" s="6">
        <v>14.19</v>
      </c>
      <c r="O1339" s="57">
        <v>13.012230000000001</v>
      </c>
      <c r="P1339" s="52"/>
      <c r="Q1339" s="6">
        <v>0.91700000000000004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0.9</v>
      </c>
      <c r="AB1339" s="6">
        <v>0.82530000000000003</v>
      </c>
      <c r="AC1339" s="6">
        <v>0.91700000000000004</v>
      </c>
      <c r="AD1339" s="6">
        <v>-0.90000000000000036</v>
      </c>
      <c r="AE1339" s="6">
        <v>0.90000000000000036</v>
      </c>
    </row>
    <row r="1340" spans="2:31" x14ac:dyDescent="0.25">
      <c r="B1340" s="55"/>
      <c r="C1340" s="55"/>
      <c r="D1340" s="56"/>
      <c r="E1340" s="4" t="s">
        <v>1978</v>
      </c>
      <c r="F1340" s="4" t="s">
        <v>51</v>
      </c>
      <c r="G1340" s="4" t="s">
        <v>35</v>
      </c>
      <c r="H1340" s="54" t="s">
        <v>48</v>
      </c>
      <c r="I1340" s="52"/>
      <c r="J1340" s="57">
        <v>7.84</v>
      </c>
      <c r="K1340" s="52"/>
      <c r="L1340" s="6">
        <v>5.88</v>
      </c>
      <c r="M1340" s="6">
        <v>0.75</v>
      </c>
      <c r="N1340" s="6">
        <v>7.8</v>
      </c>
      <c r="O1340" s="57">
        <v>5.85</v>
      </c>
      <c r="P1340" s="52"/>
      <c r="Q1340" s="6">
        <v>0.75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0.04</v>
      </c>
      <c r="AB1340" s="6">
        <v>0.03</v>
      </c>
      <c r="AC1340" s="6">
        <v>0.75</v>
      </c>
      <c r="AD1340" s="6">
        <v>-4.0000000000000036E-2</v>
      </c>
      <c r="AE1340" s="6">
        <v>4.0000000000000036E-2</v>
      </c>
    </row>
    <row r="1341" spans="2:31" x14ac:dyDescent="0.25">
      <c r="B1341" s="55"/>
      <c r="C1341" s="55"/>
      <c r="D1341" s="54" t="s">
        <v>2078</v>
      </c>
      <c r="E1341" s="4" t="s">
        <v>2079</v>
      </c>
      <c r="F1341" s="4" t="s">
        <v>51</v>
      </c>
      <c r="G1341" s="4" t="s">
        <v>35</v>
      </c>
      <c r="H1341" s="54" t="s">
        <v>36</v>
      </c>
      <c r="I1341" s="52"/>
      <c r="J1341" s="57">
        <v>75.45</v>
      </c>
      <c r="K1341" s="52"/>
      <c r="L1341" s="6">
        <v>69.187650000000005</v>
      </c>
      <c r="M1341" s="6">
        <v>0.91700000000000004</v>
      </c>
      <c r="N1341" s="6">
        <v>71.22</v>
      </c>
      <c r="O1341" s="57">
        <v>65.30874</v>
      </c>
      <c r="P1341" s="52"/>
      <c r="Q1341" s="6">
        <v>0.91700000000000004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4.2300000000000004</v>
      </c>
      <c r="AB1341" s="6">
        <v>3.8789099999999999</v>
      </c>
      <c r="AC1341" s="6">
        <v>0.91699999999999993</v>
      </c>
      <c r="AD1341" s="6">
        <v>-4.230000000000004</v>
      </c>
      <c r="AE1341" s="6">
        <v>4.230000000000004</v>
      </c>
    </row>
    <row r="1342" spans="2:31" x14ac:dyDescent="0.25">
      <c r="B1342" s="55"/>
      <c r="C1342" s="55"/>
      <c r="D1342" s="56"/>
      <c r="E1342" s="4" t="s">
        <v>2080</v>
      </c>
      <c r="F1342" s="4" t="s">
        <v>51</v>
      </c>
      <c r="G1342" s="4" t="s">
        <v>35</v>
      </c>
      <c r="H1342" s="54" t="s">
        <v>36</v>
      </c>
      <c r="I1342" s="52"/>
      <c r="J1342" s="57">
        <v>120.53</v>
      </c>
      <c r="K1342" s="52"/>
      <c r="L1342" s="6">
        <v>110.52601</v>
      </c>
      <c r="M1342" s="6">
        <v>0.91700000000000004</v>
      </c>
      <c r="N1342" s="6">
        <v>115.22</v>
      </c>
      <c r="O1342" s="57">
        <v>105.65674</v>
      </c>
      <c r="P1342" s="52"/>
      <c r="Q1342" s="6">
        <v>0.91700000000000004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5.31</v>
      </c>
      <c r="AB1342" s="6">
        <v>4.8692700000000002</v>
      </c>
      <c r="AC1342" s="6">
        <v>0.91700000000000015</v>
      </c>
      <c r="AD1342" s="6">
        <v>-5.3100000000000023</v>
      </c>
      <c r="AE1342" s="6">
        <v>5.3100000000000023</v>
      </c>
    </row>
    <row r="1343" spans="2:31" ht="20" x14ac:dyDescent="0.25">
      <c r="B1343" s="55"/>
      <c r="C1343" s="55"/>
      <c r="D1343" s="4" t="s">
        <v>2081</v>
      </c>
      <c r="E1343" s="4" t="s">
        <v>2082</v>
      </c>
      <c r="F1343" s="4" t="s">
        <v>51</v>
      </c>
      <c r="G1343" s="4" t="s">
        <v>35</v>
      </c>
      <c r="H1343" s="54" t="s">
        <v>36</v>
      </c>
      <c r="I1343" s="52"/>
      <c r="J1343" s="57">
        <v>87.25</v>
      </c>
      <c r="K1343" s="52"/>
      <c r="L1343" s="6">
        <v>80.008250000000004</v>
      </c>
      <c r="M1343" s="6">
        <v>0.91700000000000004</v>
      </c>
      <c r="N1343" s="6">
        <v>80.680000000000007</v>
      </c>
      <c r="O1343" s="57">
        <v>73.983559999999997</v>
      </c>
      <c r="P1343" s="52"/>
      <c r="Q1343" s="6">
        <v>0.91699999999999993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6.57</v>
      </c>
      <c r="AB1343" s="6">
        <v>6.0246899999999997</v>
      </c>
      <c r="AC1343" s="6">
        <v>0.91699999999999993</v>
      </c>
      <c r="AD1343" s="6">
        <v>-6.5699999999999932</v>
      </c>
      <c r="AE1343" s="6">
        <v>6.5699999999999932</v>
      </c>
    </row>
    <row r="1344" spans="2:31" ht="20" x14ac:dyDescent="0.25">
      <c r="B1344" s="55"/>
      <c r="C1344" s="55"/>
      <c r="D1344" s="4" t="s">
        <v>2083</v>
      </c>
      <c r="E1344" s="4" t="s">
        <v>2084</v>
      </c>
      <c r="F1344" s="4" t="s">
        <v>51</v>
      </c>
      <c r="G1344" s="4" t="s">
        <v>35</v>
      </c>
      <c r="H1344" s="54" t="s">
        <v>41</v>
      </c>
      <c r="I1344" s="52"/>
      <c r="J1344" s="57">
        <v>33.07</v>
      </c>
      <c r="K1344" s="52"/>
      <c r="L1344" s="6">
        <v>24.802499999999998</v>
      </c>
      <c r="M1344" s="6">
        <v>0.75</v>
      </c>
      <c r="N1344" s="6">
        <v>31.48</v>
      </c>
      <c r="O1344" s="57">
        <v>23.61</v>
      </c>
      <c r="P1344" s="52"/>
      <c r="Q1344" s="6">
        <v>0.75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1.59</v>
      </c>
      <c r="AB1344" s="6">
        <v>1.1924999999999999</v>
      </c>
      <c r="AC1344" s="6">
        <v>0.74999999999999989</v>
      </c>
      <c r="AD1344" s="6">
        <v>-1.59</v>
      </c>
      <c r="AE1344" s="6">
        <v>1.59</v>
      </c>
    </row>
    <row r="1345" spans="2:31" ht="20" x14ac:dyDescent="0.25">
      <c r="B1345" s="55"/>
      <c r="C1345" s="55"/>
      <c r="D1345" s="4" t="s">
        <v>2085</v>
      </c>
      <c r="E1345" s="4" t="s">
        <v>2086</v>
      </c>
      <c r="F1345" s="4" t="s">
        <v>51</v>
      </c>
      <c r="G1345" s="4" t="s">
        <v>35</v>
      </c>
      <c r="H1345" s="54" t="s">
        <v>41</v>
      </c>
      <c r="I1345" s="52"/>
      <c r="J1345" s="57">
        <v>32.68</v>
      </c>
      <c r="K1345" s="52"/>
      <c r="L1345" s="6">
        <v>24.51</v>
      </c>
      <c r="M1345" s="6">
        <v>0.75</v>
      </c>
      <c r="N1345" s="6">
        <v>30.38</v>
      </c>
      <c r="O1345" s="57">
        <v>22.785</v>
      </c>
      <c r="P1345" s="52"/>
      <c r="Q1345" s="6">
        <v>0.75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2.2999999999999998</v>
      </c>
      <c r="AB1345" s="6">
        <v>1.7250000000000001</v>
      </c>
      <c r="AC1345" s="6">
        <v>0.75000000000000011</v>
      </c>
      <c r="AD1345" s="6">
        <v>-2.3000000000000007</v>
      </c>
      <c r="AE1345" s="6">
        <v>2.3000000000000007</v>
      </c>
    </row>
    <row r="1346" spans="2:31" ht="20" x14ac:dyDescent="0.25">
      <c r="B1346" s="55"/>
      <c r="C1346" s="55"/>
      <c r="D1346" s="4" t="s">
        <v>2087</v>
      </c>
      <c r="E1346" s="4" t="s">
        <v>2088</v>
      </c>
      <c r="F1346" s="4" t="s">
        <v>51</v>
      </c>
      <c r="G1346" s="4" t="s">
        <v>35</v>
      </c>
      <c r="H1346" s="54" t="s">
        <v>36</v>
      </c>
      <c r="I1346" s="52"/>
      <c r="J1346" s="57">
        <v>62.11</v>
      </c>
      <c r="K1346" s="52"/>
      <c r="L1346" s="6">
        <v>56.95487</v>
      </c>
      <c r="M1346" s="6">
        <v>0.91700000000000004</v>
      </c>
      <c r="N1346" s="6">
        <v>59.05</v>
      </c>
      <c r="O1346" s="57">
        <v>54.148850000000003</v>
      </c>
      <c r="P1346" s="52"/>
      <c r="Q1346" s="6">
        <v>0.91700000000000015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3.06</v>
      </c>
      <c r="AB1346" s="6">
        <v>2.8060200000000002</v>
      </c>
      <c r="AC1346" s="6">
        <v>0.91700000000000004</v>
      </c>
      <c r="AD1346" s="6">
        <v>-3.0600000000000023</v>
      </c>
      <c r="AE1346" s="6">
        <v>3.0600000000000023</v>
      </c>
    </row>
    <row r="1347" spans="2:31" ht="20" x14ac:dyDescent="0.25">
      <c r="B1347" s="55"/>
      <c r="C1347" s="55"/>
      <c r="D1347" s="4" t="s">
        <v>2089</v>
      </c>
      <c r="E1347" s="4" t="s">
        <v>1972</v>
      </c>
      <c r="F1347" s="4" t="s">
        <v>51</v>
      </c>
      <c r="G1347" s="4" t="s">
        <v>35</v>
      </c>
      <c r="H1347" s="54" t="s">
        <v>36</v>
      </c>
      <c r="I1347" s="52"/>
      <c r="J1347" s="57">
        <v>29.58</v>
      </c>
      <c r="K1347" s="52"/>
      <c r="L1347" s="6">
        <v>27.124860000000002</v>
      </c>
      <c r="M1347" s="6">
        <v>0.91700000000000015</v>
      </c>
      <c r="N1347" s="6">
        <v>29.56</v>
      </c>
      <c r="O1347" s="57">
        <v>27.10652</v>
      </c>
      <c r="P1347" s="52"/>
      <c r="Q1347" s="6">
        <v>0.91700000000000004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0.02</v>
      </c>
      <c r="AB1347" s="6">
        <v>1.8339999999999999E-2</v>
      </c>
      <c r="AC1347" s="6">
        <v>0.91699999999999993</v>
      </c>
      <c r="AD1347" s="6">
        <v>-1.9999999999999574E-2</v>
      </c>
      <c r="AE1347" s="6">
        <v>1.9999999999999574E-2</v>
      </c>
    </row>
    <row r="1348" spans="2:31" x14ac:dyDescent="0.25">
      <c r="B1348" s="55"/>
      <c r="C1348" s="55"/>
      <c r="D1348" s="54" t="s">
        <v>2090</v>
      </c>
      <c r="E1348" s="54" t="s">
        <v>338</v>
      </c>
      <c r="F1348" s="54" t="s">
        <v>51</v>
      </c>
      <c r="G1348" s="54" t="s">
        <v>35</v>
      </c>
      <c r="H1348" s="54" t="s">
        <v>48</v>
      </c>
      <c r="I1348" s="52"/>
      <c r="J1348" s="57">
        <v>10.8</v>
      </c>
      <c r="K1348" s="52"/>
      <c r="L1348" s="6">
        <v>8.1</v>
      </c>
      <c r="M1348" s="6">
        <v>0.74999999999999989</v>
      </c>
      <c r="N1348" s="6">
        <v>9.83</v>
      </c>
      <c r="O1348" s="57">
        <v>7.3724999999999996</v>
      </c>
      <c r="P1348" s="52"/>
      <c r="Q1348" s="6">
        <v>0.75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0.97</v>
      </c>
      <c r="AB1348" s="6">
        <v>0.72750000000000004</v>
      </c>
      <c r="AC1348" s="6">
        <v>0.75000000000000011</v>
      </c>
      <c r="AD1348" s="6">
        <v>-0.97000000000000064</v>
      </c>
      <c r="AE1348" s="6">
        <v>0.97000000000000064</v>
      </c>
    </row>
    <row r="1349" spans="2:31" x14ac:dyDescent="0.25">
      <c r="B1349" s="55"/>
      <c r="C1349" s="55"/>
      <c r="D1349" s="55"/>
      <c r="E1349" s="55"/>
      <c r="F1349" s="55"/>
      <c r="G1349" s="55"/>
      <c r="H1349" s="54" t="s">
        <v>41</v>
      </c>
      <c r="I1349" s="52"/>
      <c r="J1349" s="57">
        <v>4.82</v>
      </c>
      <c r="K1349" s="52"/>
      <c r="L1349" s="6">
        <v>3.6150000000000002</v>
      </c>
      <c r="M1349" s="6">
        <v>0.75</v>
      </c>
      <c r="N1349" s="6">
        <v>4.4800000000000004</v>
      </c>
      <c r="O1349" s="57">
        <v>3.36</v>
      </c>
      <c r="P1349" s="52"/>
      <c r="Q1349" s="6">
        <v>0.74999999999999989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0.34</v>
      </c>
      <c r="AB1349" s="6">
        <v>0.255</v>
      </c>
      <c r="AC1349" s="6">
        <v>0.75</v>
      </c>
      <c r="AD1349" s="6">
        <v>-0.33999999999999986</v>
      </c>
      <c r="AE1349" s="6">
        <v>0.33999999999999986</v>
      </c>
    </row>
    <row r="1350" spans="2:31" x14ac:dyDescent="0.25">
      <c r="B1350" s="55"/>
      <c r="C1350" s="55"/>
      <c r="D1350" s="56"/>
      <c r="E1350" s="56"/>
      <c r="F1350" s="56"/>
      <c r="G1350" s="56"/>
      <c r="H1350" s="54" t="s">
        <v>36</v>
      </c>
      <c r="I1350" s="52"/>
      <c r="J1350" s="57">
        <v>19.190000000000001</v>
      </c>
      <c r="K1350" s="52"/>
      <c r="L1350" s="6">
        <v>17.59723</v>
      </c>
      <c r="M1350" s="6">
        <v>0.91699999999999993</v>
      </c>
      <c r="N1350" s="6">
        <v>18.41</v>
      </c>
      <c r="O1350" s="57">
        <v>16.881969999999999</v>
      </c>
      <c r="P1350" s="52"/>
      <c r="Q1350" s="6">
        <v>0.91699999999999993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0.78</v>
      </c>
      <c r="AB1350" s="6">
        <v>0.71526000000000001</v>
      </c>
      <c r="AC1350" s="6">
        <v>0.91699999999999993</v>
      </c>
      <c r="AD1350" s="6">
        <v>-0.78000000000000114</v>
      </c>
      <c r="AE1350" s="6">
        <v>0.78000000000000114</v>
      </c>
    </row>
    <row r="1351" spans="2:31" ht="20" x14ac:dyDescent="0.25">
      <c r="B1351" s="55"/>
      <c r="C1351" s="56"/>
      <c r="D1351" s="4" t="s">
        <v>2091</v>
      </c>
      <c r="E1351" s="4" t="s">
        <v>338</v>
      </c>
      <c r="F1351" s="4" t="s">
        <v>51</v>
      </c>
      <c r="G1351" s="4" t="s">
        <v>35</v>
      </c>
      <c r="H1351" s="54" t="s">
        <v>36</v>
      </c>
      <c r="I1351" s="52"/>
      <c r="J1351" s="57">
        <v>2.5099999999999998</v>
      </c>
      <c r="K1351" s="52"/>
      <c r="L1351" s="6">
        <v>2.3016700000000001</v>
      </c>
      <c r="M1351" s="6">
        <v>0.91700000000000015</v>
      </c>
      <c r="N1351" s="6">
        <v>2.2999999999999998</v>
      </c>
      <c r="O1351" s="57">
        <v>2.1091000000000002</v>
      </c>
      <c r="P1351" s="52"/>
      <c r="Q1351" s="6">
        <v>0.91700000000000015</v>
      </c>
      <c r="R1351" s="6">
        <v>0.21</v>
      </c>
      <c r="S1351" s="6">
        <v>0.19256999999999999</v>
      </c>
      <c r="T1351" s="6">
        <v>0.91700000000000004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-0.41999999999999993</v>
      </c>
      <c r="AE1351" s="6">
        <v>-2.7755575615628914E-17</v>
      </c>
    </row>
    <row r="1352" spans="2:31" x14ac:dyDescent="0.25">
      <c r="B1352" s="55"/>
      <c r="C1352" s="58">
        <v>46195</v>
      </c>
      <c r="D1352" s="4" t="s">
        <v>2092</v>
      </c>
      <c r="E1352" s="4" t="s">
        <v>2093</v>
      </c>
      <c r="F1352" s="4" t="s">
        <v>34</v>
      </c>
      <c r="G1352" s="4" t="s">
        <v>35</v>
      </c>
      <c r="H1352" s="54" t="s">
        <v>36</v>
      </c>
      <c r="I1352" s="52"/>
      <c r="J1352" s="57">
        <v>123.04</v>
      </c>
      <c r="K1352" s="52"/>
      <c r="L1352" s="6">
        <v>112.82768</v>
      </c>
      <c r="M1352" s="6">
        <v>0.91699999999999993</v>
      </c>
      <c r="N1352" s="6">
        <v>116.16</v>
      </c>
      <c r="O1352" s="57">
        <v>106.51872</v>
      </c>
      <c r="P1352" s="52"/>
      <c r="Q1352" s="6">
        <v>0.91700000000000004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6.88</v>
      </c>
      <c r="AB1352" s="6">
        <v>6.3089599999999999</v>
      </c>
      <c r="AC1352" s="6">
        <v>0.91700000000000004</v>
      </c>
      <c r="AD1352" s="6">
        <v>-6.8800000000000097</v>
      </c>
      <c r="AE1352" s="6">
        <v>6.8800000000000097</v>
      </c>
    </row>
    <row r="1353" spans="2:31" x14ac:dyDescent="0.25">
      <c r="B1353" s="55"/>
      <c r="C1353" s="55"/>
      <c r="D1353" s="4" t="s">
        <v>2094</v>
      </c>
      <c r="E1353" s="4" t="s">
        <v>2095</v>
      </c>
      <c r="F1353" s="4" t="s">
        <v>34</v>
      </c>
      <c r="G1353" s="4" t="s">
        <v>35</v>
      </c>
      <c r="H1353" s="54" t="s">
        <v>36</v>
      </c>
      <c r="I1353" s="52"/>
      <c r="J1353" s="57">
        <v>171.43</v>
      </c>
      <c r="K1353" s="52"/>
      <c r="L1353" s="6">
        <v>157.20131000000001</v>
      </c>
      <c r="M1353" s="6">
        <v>0.91700000000000004</v>
      </c>
      <c r="N1353" s="6">
        <v>162.4</v>
      </c>
      <c r="O1353" s="57">
        <v>148.92080000000001</v>
      </c>
      <c r="P1353" s="52"/>
      <c r="Q1353" s="6">
        <v>0.91700000000000004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9.0299999999999994</v>
      </c>
      <c r="AB1353" s="6">
        <v>8.2805099999999996</v>
      </c>
      <c r="AC1353" s="6">
        <v>0.91700000000000004</v>
      </c>
      <c r="AD1353" s="6">
        <v>-9.0300000000000011</v>
      </c>
      <c r="AE1353" s="6">
        <v>9.0300000000000011</v>
      </c>
    </row>
    <row r="1354" spans="2:31" x14ac:dyDescent="0.25">
      <c r="B1354" s="55"/>
      <c r="C1354" s="55"/>
      <c r="D1354" s="4" t="s">
        <v>2096</v>
      </c>
      <c r="E1354" s="4" t="s">
        <v>2093</v>
      </c>
      <c r="F1354" s="4" t="s">
        <v>34</v>
      </c>
      <c r="G1354" s="4" t="s">
        <v>133</v>
      </c>
      <c r="H1354" s="54" t="s">
        <v>36</v>
      </c>
      <c r="I1354" s="52"/>
      <c r="J1354" s="57">
        <v>115.9</v>
      </c>
      <c r="K1354" s="52"/>
      <c r="L1354" s="6">
        <v>106.2803</v>
      </c>
      <c r="M1354" s="6">
        <v>0.91699999999999993</v>
      </c>
      <c r="N1354" s="6">
        <v>115.9</v>
      </c>
      <c r="O1354" s="57">
        <v>106.2803</v>
      </c>
      <c r="P1354" s="52"/>
      <c r="Q1354" s="6">
        <v>0.91699999999999993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</row>
    <row r="1355" spans="2:31" x14ac:dyDescent="0.25">
      <c r="B1355" s="55"/>
      <c r="C1355" s="55"/>
      <c r="D1355" s="4" t="s">
        <v>2097</v>
      </c>
      <c r="E1355" s="4" t="s">
        <v>2093</v>
      </c>
      <c r="F1355" s="4" t="s">
        <v>34</v>
      </c>
      <c r="G1355" s="4" t="s">
        <v>35</v>
      </c>
      <c r="H1355" s="54" t="s">
        <v>36</v>
      </c>
      <c r="I1355" s="52"/>
      <c r="J1355" s="57">
        <v>115.92</v>
      </c>
      <c r="K1355" s="52"/>
      <c r="L1355" s="6">
        <v>106.29864000000001</v>
      </c>
      <c r="M1355" s="6">
        <v>0.91700000000000004</v>
      </c>
      <c r="N1355" s="6">
        <v>115.92</v>
      </c>
      <c r="O1355" s="57">
        <v>106.29864000000001</v>
      </c>
      <c r="P1355" s="52"/>
      <c r="Q1355" s="6">
        <v>0.91700000000000004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</row>
    <row r="1356" spans="2:31" x14ac:dyDescent="0.25">
      <c r="B1356" s="55"/>
      <c r="C1356" s="55"/>
      <c r="D1356" s="4" t="s">
        <v>2098</v>
      </c>
      <c r="E1356" s="4" t="s">
        <v>2099</v>
      </c>
      <c r="F1356" s="4" t="s">
        <v>34</v>
      </c>
      <c r="G1356" s="4" t="s">
        <v>35</v>
      </c>
      <c r="H1356" s="54" t="s">
        <v>36</v>
      </c>
      <c r="I1356" s="52"/>
      <c r="J1356" s="57">
        <v>141.35</v>
      </c>
      <c r="K1356" s="52"/>
      <c r="L1356" s="6">
        <v>129.61795000000001</v>
      </c>
      <c r="M1356" s="6">
        <v>0.91700000000000004</v>
      </c>
      <c r="N1356" s="6">
        <v>128.93</v>
      </c>
      <c r="O1356" s="57">
        <v>118.22881</v>
      </c>
      <c r="P1356" s="52"/>
      <c r="Q1356" s="6">
        <v>0.91699999999999993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12.42</v>
      </c>
      <c r="AB1356" s="6">
        <v>11.389139999999999</v>
      </c>
      <c r="AC1356" s="6">
        <v>0.91699999999999993</v>
      </c>
      <c r="AD1356" s="6">
        <v>-12.419999999999987</v>
      </c>
      <c r="AE1356" s="6">
        <v>12.419999999999987</v>
      </c>
    </row>
    <row r="1357" spans="2:31" x14ac:dyDescent="0.25">
      <c r="B1357" s="55"/>
      <c r="C1357" s="55"/>
      <c r="D1357" s="4" t="s">
        <v>2100</v>
      </c>
      <c r="E1357" s="4" t="s">
        <v>2101</v>
      </c>
      <c r="F1357" s="4" t="s">
        <v>34</v>
      </c>
      <c r="G1357" s="4" t="s">
        <v>35</v>
      </c>
      <c r="H1357" s="54" t="s">
        <v>36</v>
      </c>
      <c r="I1357" s="52"/>
      <c r="J1357" s="57">
        <v>236.96</v>
      </c>
      <c r="K1357" s="52"/>
      <c r="L1357" s="6">
        <v>217.29231999999999</v>
      </c>
      <c r="M1357" s="6">
        <v>0.91699999999999993</v>
      </c>
      <c r="N1357" s="6">
        <v>226.71</v>
      </c>
      <c r="O1357" s="57">
        <v>207.89306999999999</v>
      </c>
      <c r="P1357" s="52"/>
      <c r="Q1357" s="6">
        <v>0.91699999999999993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10.25</v>
      </c>
      <c r="AB1357" s="6">
        <v>9.3992500000000003</v>
      </c>
      <c r="AC1357" s="6">
        <v>0.91700000000000004</v>
      </c>
      <c r="AD1357" s="6">
        <v>-10.25</v>
      </c>
      <c r="AE1357" s="6">
        <v>10.25</v>
      </c>
    </row>
    <row r="1358" spans="2:31" x14ac:dyDescent="0.25">
      <c r="B1358" s="55"/>
      <c r="C1358" s="55"/>
      <c r="D1358" s="4" t="s">
        <v>2102</v>
      </c>
      <c r="E1358" s="4" t="s">
        <v>2103</v>
      </c>
      <c r="F1358" s="4" t="s">
        <v>34</v>
      </c>
      <c r="G1358" s="4" t="s">
        <v>35</v>
      </c>
      <c r="H1358" s="54" t="s">
        <v>48</v>
      </c>
      <c r="I1358" s="52"/>
      <c r="J1358" s="57">
        <v>52.95</v>
      </c>
      <c r="K1358" s="52"/>
      <c r="L1358" s="6">
        <v>39.712499999999999</v>
      </c>
      <c r="M1358" s="6">
        <v>0.74999999999999989</v>
      </c>
      <c r="N1358" s="6">
        <v>47.45</v>
      </c>
      <c r="O1358" s="57">
        <v>35.587499999999999</v>
      </c>
      <c r="P1358" s="52"/>
      <c r="Q1358" s="6">
        <v>0.74999999999999989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5.5</v>
      </c>
      <c r="AB1358" s="6">
        <v>4.125</v>
      </c>
      <c r="AC1358" s="6">
        <v>0.75</v>
      </c>
      <c r="AD1358" s="6">
        <v>-5.5</v>
      </c>
      <c r="AE1358" s="6">
        <v>5.5</v>
      </c>
    </row>
    <row r="1359" spans="2:31" x14ac:dyDescent="0.25">
      <c r="B1359" s="55"/>
      <c r="C1359" s="55"/>
      <c r="D1359" s="4" t="s">
        <v>2104</v>
      </c>
      <c r="E1359" s="4" t="s">
        <v>2105</v>
      </c>
      <c r="F1359" s="4" t="s">
        <v>34</v>
      </c>
      <c r="G1359" s="4" t="s">
        <v>35</v>
      </c>
      <c r="H1359" s="54" t="s">
        <v>36</v>
      </c>
      <c r="I1359" s="52"/>
      <c r="J1359" s="57">
        <v>44.18</v>
      </c>
      <c r="K1359" s="52"/>
      <c r="L1359" s="6">
        <v>40.513060000000003</v>
      </c>
      <c r="M1359" s="6">
        <v>0.91700000000000004</v>
      </c>
      <c r="N1359" s="6">
        <v>40.22</v>
      </c>
      <c r="O1359" s="57">
        <v>36.881740000000001</v>
      </c>
      <c r="P1359" s="52"/>
      <c r="Q1359" s="6">
        <v>0.91700000000000004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3.96</v>
      </c>
      <c r="AB1359" s="6">
        <v>3.6313200000000001</v>
      </c>
      <c r="AC1359" s="6">
        <v>0.91700000000000004</v>
      </c>
      <c r="AD1359" s="6">
        <v>-3.9600000000000009</v>
      </c>
      <c r="AE1359" s="6">
        <v>3.9600000000000009</v>
      </c>
    </row>
    <row r="1360" spans="2:31" x14ac:dyDescent="0.25">
      <c r="B1360" s="55"/>
      <c r="C1360" s="55"/>
      <c r="D1360" s="4" t="s">
        <v>2106</v>
      </c>
      <c r="E1360" s="4" t="s">
        <v>2107</v>
      </c>
      <c r="F1360" s="4" t="s">
        <v>34</v>
      </c>
      <c r="G1360" s="4" t="s">
        <v>35</v>
      </c>
      <c r="H1360" s="54" t="s">
        <v>36</v>
      </c>
      <c r="I1360" s="52"/>
      <c r="J1360" s="57">
        <v>51.4</v>
      </c>
      <c r="K1360" s="52"/>
      <c r="L1360" s="6">
        <v>47.133800000000001</v>
      </c>
      <c r="M1360" s="6">
        <v>0.91700000000000004</v>
      </c>
      <c r="N1360" s="6">
        <v>46.75</v>
      </c>
      <c r="O1360" s="57">
        <v>42.869750000000003</v>
      </c>
      <c r="P1360" s="52"/>
      <c r="Q1360" s="6">
        <v>0.91700000000000004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4.6500000000000004</v>
      </c>
      <c r="AB1360" s="6">
        <v>4.2640500000000001</v>
      </c>
      <c r="AC1360" s="6">
        <v>0.91699999999999993</v>
      </c>
      <c r="AD1360" s="6">
        <v>-4.6499999999999986</v>
      </c>
      <c r="AE1360" s="6">
        <v>4.6499999999999986</v>
      </c>
    </row>
    <row r="1361" spans="2:31" x14ac:dyDescent="0.25">
      <c r="B1361" s="55"/>
      <c r="C1361" s="55"/>
      <c r="D1361" s="4" t="s">
        <v>2108</v>
      </c>
      <c r="E1361" s="4" t="s">
        <v>2109</v>
      </c>
      <c r="F1361" s="4" t="s">
        <v>51</v>
      </c>
      <c r="G1361" s="4" t="s">
        <v>35</v>
      </c>
      <c r="H1361" s="54" t="s">
        <v>36</v>
      </c>
      <c r="I1361" s="52"/>
      <c r="J1361" s="57">
        <v>89.76</v>
      </c>
      <c r="K1361" s="52"/>
      <c r="L1361" s="6">
        <v>82.309920000000005</v>
      </c>
      <c r="M1361" s="6">
        <v>0.91700000000000004</v>
      </c>
      <c r="N1361" s="6">
        <v>82.77</v>
      </c>
      <c r="O1361" s="57">
        <v>75.900090000000006</v>
      </c>
      <c r="P1361" s="52"/>
      <c r="Q1361" s="6">
        <v>0.91700000000000015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6.99</v>
      </c>
      <c r="AB1361" s="6">
        <v>6.4098300000000004</v>
      </c>
      <c r="AC1361" s="6">
        <v>0.91700000000000004</v>
      </c>
      <c r="AD1361" s="6">
        <v>-6.9900000000000091</v>
      </c>
      <c r="AE1361" s="6">
        <v>6.9900000000000091</v>
      </c>
    </row>
    <row r="1362" spans="2:31" x14ac:dyDescent="0.25">
      <c r="B1362" s="55"/>
      <c r="C1362" s="55"/>
      <c r="D1362" s="4" t="s">
        <v>2110</v>
      </c>
      <c r="E1362" s="4" t="s">
        <v>2111</v>
      </c>
      <c r="F1362" s="4" t="s">
        <v>34</v>
      </c>
      <c r="G1362" s="4" t="s">
        <v>35</v>
      </c>
      <c r="H1362" s="54" t="s">
        <v>48</v>
      </c>
      <c r="I1362" s="52"/>
      <c r="J1362" s="57">
        <v>72.069999999999993</v>
      </c>
      <c r="K1362" s="52"/>
      <c r="L1362" s="6">
        <v>54.052500000000002</v>
      </c>
      <c r="M1362" s="6">
        <v>0.75000000000000011</v>
      </c>
      <c r="N1362" s="6">
        <v>67.900000000000006</v>
      </c>
      <c r="O1362" s="57">
        <v>50.924999999999997</v>
      </c>
      <c r="P1362" s="52"/>
      <c r="Q1362" s="6">
        <v>0.74999999999999989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4.17</v>
      </c>
      <c r="AB1362" s="6">
        <v>3.1274999999999999</v>
      </c>
      <c r="AC1362" s="6">
        <v>0.75</v>
      </c>
      <c r="AD1362" s="6">
        <v>-4.1699999999999875</v>
      </c>
      <c r="AE1362" s="6">
        <v>4.1699999999999875</v>
      </c>
    </row>
    <row r="1363" spans="2:31" x14ac:dyDescent="0.25">
      <c r="B1363" s="55"/>
      <c r="C1363" s="55"/>
      <c r="D1363" s="4" t="s">
        <v>2112</v>
      </c>
      <c r="E1363" s="4" t="s">
        <v>2113</v>
      </c>
      <c r="F1363" s="4" t="s">
        <v>34</v>
      </c>
      <c r="G1363" s="4" t="s">
        <v>35</v>
      </c>
      <c r="H1363" s="54" t="s">
        <v>36</v>
      </c>
      <c r="I1363" s="52"/>
      <c r="J1363" s="57">
        <v>241.99</v>
      </c>
      <c r="K1363" s="52"/>
      <c r="L1363" s="6">
        <v>221.90483</v>
      </c>
      <c r="M1363" s="6">
        <v>0.91700000000000004</v>
      </c>
      <c r="N1363" s="6">
        <v>228.75</v>
      </c>
      <c r="O1363" s="57">
        <v>209.76374999999999</v>
      </c>
      <c r="P1363" s="52"/>
      <c r="Q1363" s="6">
        <v>0.91699999999999993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13.24</v>
      </c>
      <c r="AB1363" s="6">
        <v>12.141080000000001</v>
      </c>
      <c r="AC1363" s="6">
        <v>0.91700000000000004</v>
      </c>
      <c r="AD1363" s="6">
        <v>-13.240000000000009</v>
      </c>
      <c r="AE1363" s="6">
        <v>13.240000000000009</v>
      </c>
    </row>
    <row r="1364" spans="2:31" ht="20" x14ac:dyDescent="0.25">
      <c r="B1364" s="55"/>
      <c r="C1364" s="55"/>
      <c r="D1364" s="4" t="s">
        <v>2114</v>
      </c>
      <c r="E1364" s="4" t="s">
        <v>2115</v>
      </c>
      <c r="F1364" s="4" t="s">
        <v>51</v>
      </c>
      <c r="G1364" s="4" t="s">
        <v>35</v>
      </c>
      <c r="H1364" s="54" t="s">
        <v>48</v>
      </c>
      <c r="I1364" s="52"/>
      <c r="J1364" s="57">
        <v>27.39</v>
      </c>
      <c r="K1364" s="52"/>
      <c r="L1364" s="6">
        <v>20.5425</v>
      </c>
      <c r="M1364" s="6">
        <v>0.75</v>
      </c>
      <c r="N1364" s="6">
        <v>25.41</v>
      </c>
      <c r="O1364" s="57">
        <v>19.057500000000001</v>
      </c>
      <c r="P1364" s="52"/>
      <c r="Q1364" s="6">
        <v>0.75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1.98</v>
      </c>
      <c r="AB1364" s="6">
        <v>1.4850000000000001</v>
      </c>
      <c r="AC1364" s="6">
        <v>0.75000000000000011</v>
      </c>
      <c r="AD1364" s="6">
        <v>-1.9800000000000004</v>
      </c>
      <c r="AE1364" s="6">
        <v>1.9800000000000004</v>
      </c>
    </row>
    <row r="1365" spans="2:31" ht="20" x14ac:dyDescent="0.25">
      <c r="B1365" s="55"/>
      <c r="C1365" s="55"/>
      <c r="D1365" s="4" t="s">
        <v>2116</v>
      </c>
      <c r="E1365" s="4" t="s">
        <v>2117</v>
      </c>
      <c r="F1365" s="4" t="s">
        <v>51</v>
      </c>
      <c r="G1365" s="4" t="s">
        <v>35</v>
      </c>
      <c r="H1365" s="54" t="s">
        <v>36</v>
      </c>
      <c r="I1365" s="52"/>
      <c r="J1365" s="57">
        <v>56.68</v>
      </c>
      <c r="K1365" s="52"/>
      <c r="L1365" s="6">
        <v>51.975560000000002</v>
      </c>
      <c r="M1365" s="6">
        <v>0.91700000000000004</v>
      </c>
      <c r="N1365" s="6">
        <v>53.09</v>
      </c>
      <c r="O1365" s="57">
        <v>48.683529999999998</v>
      </c>
      <c r="P1365" s="52"/>
      <c r="Q1365" s="6">
        <v>0.91699999999999993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3.59</v>
      </c>
      <c r="AB1365" s="6">
        <v>3.29203</v>
      </c>
      <c r="AC1365" s="6">
        <v>0.91700000000000004</v>
      </c>
      <c r="AD1365" s="6">
        <v>-3.5899999999999963</v>
      </c>
      <c r="AE1365" s="6">
        <v>3.5899999999999963</v>
      </c>
    </row>
    <row r="1366" spans="2:31" ht="20" x14ac:dyDescent="0.25">
      <c r="B1366" s="55"/>
      <c r="C1366" s="55"/>
      <c r="D1366" s="4" t="s">
        <v>2118</v>
      </c>
      <c r="E1366" s="4" t="s">
        <v>2119</v>
      </c>
      <c r="F1366" s="4" t="s">
        <v>51</v>
      </c>
      <c r="G1366" s="4" t="s">
        <v>35</v>
      </c>
      <c r="H1366" s="54" t="s">
        <v>41</v>
      </c>
      <c r="I1366" s="52"/>
      <c r="J1366" s="57">
        <v>21.99</v>
      </c>
      <c r="K1366" s="52"/>
      <c r="L1366" s="6">
        <v>16.4925</v>
      </c>
      <c r="M1366" s="6">
        <v>0.75</v>
      </c>
      <c r="N1366" s="6">
        <v>20.76</v>
      </c>
      <c r="O1366" s="57">
        <v>15.57</v>
      </c>
      <c r="P1366" s="52"/>
      <c r="Q1366" s="6">
        <v>0.75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1.23</v>
      </c>
      <c r="AB1366" s="6">
        <v>0.92249999999999999</v>
      </c>
      <c r="AC1366" s="6">
        <v>0.75</v>
      </c>
      <c r="AD1366" s="6">
        <v>-1.2299999999999969</v>
      </c>
      <c r="AE1366" s="6">
        <v>1.2299999999999969</v>
      </c>
    </row>
    <row r="1367" spans="2:31" ht="20" x14ac:dyDescent="0.25">
      <c r="B1367" s="55"/>
      <c r="C1367" s="55"/>
      <c r="D1367" s="4" t="s">
        <v>2120</v>
      </c>
      <c r="E1367" s="4" t="s">
        <v>2022</v>
      </c>
      <c r="F1367" s="4" t="s">
        <v>51</v>
      </c>
      <c r="G1367" s="4" t="s">
        <v>35</v>
      </c>
      <c r="H1367" s="54" t="s">
        <v>41</v>
      </c>
      <c r="I1367" s="52"/>
      <c r="J1367" s="57">
        <v>31.38</v>
      </c>
      <c r="K1367" s="52"/>
      <c r="L1367" s="6">
        <v>23.535</v>
      </c>
      <c r="M1367" s="6">
        <v>0.75</v>
      </c>
      <c r="N1367" s="6">
        <v>29.9</v>
      </c>
      <c r="O1367" s="57">
        <v>22.425000000000001</v>
      </c>
      <c r="P1367" s="52"/>
      <c r="Q1367" s="6">
        <v>0.75000000000000011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1.48</v>
      </c>
      <c r="AB1367" s="6">
        <v>1.1100000000000001</v>
      </c>
      <c r="AC1367" s="6">
        <v>0.75000000000000011</v>
      </c>
      <c r="AD1367" s="6">
        <v>-1.4800000000000004</v>
      </c>
      <c r="AE1367" s="6">
        <v>1.4800000000000004</v>
      </c>
    </row>
    <row r="1368" spans="2:31" ht="20" x14ac:dyDescent="0.25">
      <c r="B1368" s="55"/>
      <c r="C1368" s="55"/>
      <c r="D1368" s="4" t="s">
        <v>2121</v>
      </c>
      <c r="E1368" s="4" t="s">
        <v>2122</v>
      </c>
      <c r="F1368" s="4" t="s">
        <v>51</v>
      </c>
      <c r="G1368" s="4" t="s">
        <v>35</v>
      </c>
      <c r="H1368" s="54" t="s">
        <v>48</v>
      </c>
      <c r="I1368" s="52"/>
      <c r="J1368" s="57">
        <v>201.99</v>
      </c>
      <c r="K1368" s="52"/>
      <c r="L1368" s="6">
        <v>151.49250000000001</v>
      </c>
      <c r="M1368" s="6">
        <v>0.75</v>
      </c>
      <c r="N1368" s="6">
        <v>187.36</v>
      </c>
      <c r="O1368" s="57">
        <v>140.52000000000001</v>
      </c>
      <c r="P1368" s="52"/>
      <c r="Q1368" s="6">
        <v>0.75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14.63</v>
      </c>
      <c r="AB1368" s="6">
        <v>10.9725</v>
      </c>
      <c r="AC1368" s="6">
        <v>0.75</v>
      </c>
      <c r="AD1368" s="6">
        <v>-14.629999999999995</v>
      </c>
      <c r="AE1368" s="6">
        <v>14.629999999999995</v>
      </c>
    </row>
    <row r="1369" spans="2:31" ht="20" x14ac:dyDescent="0.25">
      <c r="B1369" s="55"/>
      <c r="C1369" s="55"/>
      <c r="D1369" s="4" t="s">
        <v>2123</v>
      </c>
      <c r="E1369" s="4" t="s">
        <v>2124</v>
      </c>
      <c r="F1369" s="4" t="s">
        <v>51</v>
      </c>
      <c r="G1369" s="4" t="s">
        <v>35</v>
      </c>
      <c r="H1369" s="54" t="s">
        <v>36</v>
      </c>
      <c r="I1369" s="52"/>
      <c r="J1369" s="57">
        <v>135.79</v>
      </c>
      <c r="K1369" s="52"/>
      <c r="L1369" s="6">
        <v>124.51943</v>
      </c>
      <c r="M1369" s="6">
        <v>0.91700000000000004</v>
      </c>
      <c r="N1369" s="6">
        <v>128.62</v>
      </c>
      <c r="O1369" s="57">
        <v>117.94454</v>
      </c>
      <c r="P1369" s="52"/>
      <c r="Q1369" s="6">
        <v>0.91700000000000004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7.17</v>
      </c>
      <c r="AB1369" s="6">
        <v>6.5748899999999999</v>
      </c>
      <c r="AC1369" s="6">
        <v>0.91700000000000004</v>
      </c>
      <c r="AD1369" s="6">
        <v>-7.1699999999999875</v>
      </c>
      <c r="AE1369" s="6">
        <v>7.1699999999999875</v>
      </c>
    </row>
    <row r="1370" spans="2:31" ht="20" x14ac:dyDescent="0.25">
      <c r="B1370" s="55"/>
      <c r="C1370" s="55"/>
      <c r="D1370" s="4" t="s">
        <v>2125</v>
      </c>
      <c r="E1370" s="4" t="s">
        <v>2062</v>
      </c>
      <c r="F1370" s="4" t="s">
        <v>51</v>
      </c>
      <c r="G1370" s="4" t="s">
        <v>35</v>
      </c>
      <c r="H1370" s="54" t="s">
        <v>36</v>
      </c>
      <c r="I1370" s="52"/>
      <c r="J1370" s="57">
        <v>21.26</v>
      </c>
      <c r="K1370" s="52"/>
      <c r="L1370" s="6">
        <v>19.495419999999999</v>
      </c>
      <c r="M1370" s="6">
        <v>0.91699999999999993</v>
      </c>
      <c r="N1370" s="6">
        <v>20.41</v>
      </c>
      <c r="O1370" s="57">
        <v>18.715969999999999</v>
      </c>
      <c r="P1370" s="52"/>
      <c r="Q1370" s="6">
        <v>0.91699999999999993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0.85</v>
      </c>
      <c r="AB1370" s="6">
        <v>0.77944999999999998</v>
      </c>
      <c r="AC1370" s="6">
        <v>0.91700000000000004</v>
      </c>
      <c r="AD1370" s="6">
        <v>-0.85000000000000142</v>
      </c>
      <c r="AE1370" s="6">
        <v>0.85000000000000142</v>
      </c>
    </row>
    <row r="1371" spans="2:31" ht="20" x14ac:dyDescent="0.25">
      <c r="B1371" s="55"/>
      <c r="C1371" s="55"/>
      <c r="D1371" s="4" t="s">
        <v>2126</v>
      </c>
      <c r="E1371" s="4" t="s">
        <v>2054</v>
      </c>
      <c r="F1371" s="4" t="s">
        <v>51</v>
      </c>
      <c r="G1371" s="4" t="s">
        <v>35</v>
      </c>
      <c r="H1371" s="54" t="s">
        <v>36</v>
      </c>
      <c r="I1371" s="52"/>
      <c r="J1371" s="57">
        <v>21.65</v>
      </c>
      <c r="K1371" s="52"/>
      <c r="L1371" s="6">
        <v>19.85305</v>
      </c>
      <c r="M1371" s="6">
        <v>0.91700000000000004</v>
      </c>
      <c r="N1371" s="6">
        <v>20.74</v>
      </c>
      <c r="O1371" s="57">
        <v>19.01858</v>
      </c>
      <c r="P1371" s="52"/>
      <c r="Q1371" s="6">
        <v>0.91700000000000004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0.91</v>
      </c>
      <c r="AB1371" s="6">
        <v>0.83447000000000005</v>
      </c>
      <c r="AC1371" s="6">
        <v>0.91700000000000004</v>
      </c>
      <c r="AD1371" s="6">
        <v>-0.91000000000000014</v>
      </c>
      <c r="AE1371" s="6">
        <v>0.91000000000000014</v>
      </c>
    </row>
    <row r="1372" spans="2:31" ht="20" x14ac:dyDescent="0.25">
      <c r="B1372" s="55"/>
      <c r="C1372" s="55"/>
      <c r="D1372" s="4" t="s">
        <v>2127</v>
      </c>
      <c r="E1372" s="4" t="s">
        <v>2128</v>
      </c>
      <c r="F1372" s="4" t="s">
        <v>51</v>
      </c>
      <c r="G1372" s="4" t="s">
        <v>35</v>
      </c>
      <c r="H1372" s="54" t="s">
        <v>36</v>
      </c>
      <c r="I1372" s="52"/>
      <c r="J1372" s="57">
        <v>18.52</v>
      </c>
      <c r="K1372" s="52"/>
      <c r="L1372" s="6">
        <v>16.982839999999999</v>
      </c>
      <c r="M1372" s="6">
        <v>0.91700000000000004</v>
      </c>
      <c r="N1372" s="6">
        <v>17.54</v>
      </c>
      <c r="O1372" s="57">
        <v>16.08418</v>
      </c>
      <c r="P1372" s="52"/>
      <c r="Q1372" s="6">
        <v>0.91700000000000004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0.98</v>
      </c>
      <c r="AB1372" s="6">
        <v>0.89866000000000001</v>
      </c>
      <c r="AC1372" s="6">
        <v>0.91700000000000004</v>
      </c>
      <c r="AD1372" s="6">
        <v>-0.98000000000000043</v>
      </c>
      <c r="AE1372" s="6">
        <v>0.98000000000000043</v>
      </c>
    </row>
    <row r="1373" spans="2:31" ht="20" x14ac:dyDescent="0.25">
      <c r="B1373" s="55"/>
      <c r="C1373" s="55"/>
      <c r="D1373" s="4" t="s">
        <v>2129</v>
      </c>
      <c r="E1373" s="4" t="s">
        <v>2061</v>
      </c>
      <c r="F1373" s="4" t="s">
        <v>51</v>
      </c>
      <c r="G1373" s="4" t="s">
        <v>35</v>
      </c>
      <c r="H1373" s="54" t="s">
        <v>36</v>
      </c>
      <c r="I1373" s="52"/>
      <c r="J1373" s="57">
        <v>95.91</v>
      </c>
      <c r="K1373" s="52"/>
      <c r="L1373" s="6">
        <v>87.949470000000005</v>
      </c>
      <c r="M1373" s="6">
        <v>0.91700000000000004</v>
      </c>
      <c r="N1373" s="6">
        <v>87.35</v>
      </c>
      <c r="O1373" s="57">
        <v>80.099950000000007</v>
      </c>
      <c r="P1373" s="52"/>
      <c r="Q1373" s="6">
        <v>0.91700000000000015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8.56</v>
      </c>
      <c r="AB1373" s="6">
        <v>7.8495200000000001</v>
      </c>
      <c r="AC1373" s="6">
        <v>0.91699999999999993</v>
      </c>
      <c r="AD1373" s="6">
        <v>-8.5600000000000023</v>
      </c>
      <c r="AE1373" s="6">
        <v>8.5600000000000023</v>
      </c>
    </row>
    <row r="1374" spans="2:31" x14ac:dyDescent="0.25">
      <c r="B1374" s="55"/>
      <c r="C1374" s="55"/>
      <c r="D1374" s="54" t="s">
        <v>2130</v>
      </c>
      <c r="E1374" s="4" t="s">
        <v>2131</v>
      </c>
      <c r="F1374" s="4" t="s">
        <v>51</v>
      </c>
      <c r="G1374" s="4" t="s">
        <v>35</v>
      </c>
      <c r="H1374" s="54" t="s">
        <v>41</v>
      </c>
      <c r="I1374" s="52"/>
      <c r="J1374" s="57">
        <v>7.26</v>
      </c>
      <c r="K1374" s="52"/>
      <c r="L1374" s="6">
        <v>5.4450000000000003</v>
      </c>
      <c r="M1374" s="6">
        <v>0.75000000000000011</v>
      </c>
      <c r="N1374" s="6">
        <v>6.81</v>
      </c>
      <c r="O1374" s="57">
        <v>5.1074999999999999</v>
      </c>
      <c r="P1374" s="52"/>
      <c r="Q1374" s="6">
        <v>0.75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0.45</v>
      </c>
      <c r="AB1374" s="6">
        <v>0.33750000000000002</v>
      </c>
      <c r="AC1374" s="6">
        <v>0.75</v>
      </c>
      <c r="AD1374" s="6">
        <v>-0.45000000000000018</v>
      </c>
      <c r="AE1374" s="6">
        <v>0.45000000000000018</v>
      </c>
    </row>
    <row r="1375" spans="2:31" x14ac:dyDescent="0.25">
      <c r="B1375" s="55"/>
      <c r="C1375" s="55"/>
      <c r="D1375" s="56"/>
      <c r="E1375" s="4" t="s">
        <v>2132</v>
      </c>
      <c r="F1375" s="4" t="s">
        <v>51</v>
      </c>
      <c r="G1375" s="4" t="s">
        <v>35</v>
      </c>
      <c r="H1375" s="54" t="s">
        <v>36</v>
      </c>
      <c r="I1375" s="52"/>
      <c r="J1375" s="57">
        <v>23.19</v>
      </c>
      <c r="K1375" s="52"/>
      <c r="L1375" s="6">
        <v>21.265229999999999</v>
      </c>
      <c r="M1375" s="6">
        <v>0.91699999999999993</v>
      </c>
      <c r="N1375" s="6">
        <v>22.04</v>
      </c>
      <c r="O1375" s="57">
        <v>20.21068</v>
      </c>
      <c r="P1375" s="52"/>
      <c r="Q1375" s="6">
        <v>0.91700000000000004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1.1499999999999999</v>
      </c>
      <c r="AB1375" s="6">
        <v>1.0545500000000001</v>
      </c>
      <c r="AC1375" s="6">
        <v>0.91700000000000015</v>
      </c>
      <c r="AD1375" s="6">
        <v>-1.1500000000000021</v>
      </c>
      <c r="AE1375" s="6">
        <v>1.1500000000000021</v>
      </c>
    </row>
    <row r="1376" spans="2:31" x14ac:dyDescent="0.25">
      <c r="B1376" s="55"/>
      <c r="C1376" s="55"/>
      <c r="D1376" s="54" t="s">
        <v>2133</v>
      </c>
      <c r="E1376" s="4" t="s">
        <v>2134</v>
      </c>
      <c r="F1376" s="4" t="s">
        <v>51</v>
      </c>
      <c r="G1376" s="4" t="s">
        <v>35</v>
      </c>
      <c r="H1376" s="54" t="s">
        <v>36</v>
      </c>
      <c r="I1376" s="52"/>
      <c r="J1376" s="57">
        <v>108.12</v>
      </c>
      <c r="K1376" s="52"/>
      <c r="L1376" s="6">
        <v>99.146039999999999</v>
      </c>
      <c r="M1376" s="6">
        <v>0.91699999999999993</v>
      </c>
      <c r="N1376" s="6">
        <v>102.08</v>
      </c>
      <c r="O1376" s="57">
        <v>93.60736</v>
      </c>
      <c r="P1376" s="52"/>
      <c r="Q1376" s="6">
        <v>0.91700000000000004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6.04</v>
      </c>
      <c r="AB1376" s="6">
        <v>5.5386800000000003</v>
      </c>
      <c r="AC1376" s="6">
        <v>0.91700000000000004</v>
      </c>
      <c r="AD1376" s="6">
        <v>-6.0400000000000063</v>
      </c>
      <c r="AE1376" s="6">
        <v>6.0400000000000063</v>
      </c>
    </row>
    <row r="1377" spans="2:31" x14ac:dyDescent="0.25">
      <c r="B1377" s="55"/>
      <c r="C1377" s="55"/>
      <c r="D1377" s="56"/>
      <c r="E1377" s="4" t="s">
        <v>2135</v>
      </c>
      <c r="F1377" s="4" t="s">
        <v>51</v>
      </c>
      <c r="G1377" s="4" t="s">
        <v>35</v>
      </c>
      <c r="H1377" s="54" t="s">
        <v>36</v>
      </c>
      <c r="I1377" s="52"/>
      <c r="J1377" s="57">
        <v>383.18</v>
      </c>
      <c r="K1377" s="52"/>
      <c r="L1377" s="6">
        <v>351.37606</v>
      </c>
      <c r="M1377" s="6">
        <v>0.91699999999999993</v>
      </c>
      <c r="N1377" s="6">
        <v>372.16</v>
      </c>
      <c r="O1377" s="57">
        <v>341.27071999999998</v>
      </c>
      <c r="P1377" s="52"/>
      <c r="Q1377" s="6">
        <v>0.91699999999999993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11.02</v>
      </c>
      <c r="AB1377" s="6">
        <v>10.10534</v>
      </c>
      <c r="AC1377" s="6">
        <v>0.91700000000000004</v>
      </c>
      <c r="AD1377" s="6">
        <v>-11.019999999999982</v>
      </c>
      <c r="AE1377" s="6">
        <v>11.019999999999982</v>
      </c>
    </row>
    <row r="1378" spans="2:31" ht="20" x14ac:dyDescent="0.25">
      <c r="B1378" s="55"/>
      <c r="C1378" s="55"/>
      <c r="D1378" s="4" t="s">
        <v>2136</v>
      </c>
      <c r="E1378" s="4" t="s">
        <v>2137</v>
      </c>
      <c r="F1378" s="4" t="s">
        <v>51</v>
      </c>
      <c r="G1378" s="4" t="s">
        <v>35</v>
      </c>
      <c r="H1378" s="54" t="s">
        <v>36</v>
      </c>
      <c r="I1378" s="52"/>
      <c r="J1378" s="57">
        <v>24.01</v>
      </c>
      <c r="K1378" s="52"/>
      <c r="L1378" s="6">
        <v>22.01717</v>
      </c>
      <c r="M1378" s="6">
        <v>0.91699999999999993</v>
      </c>
      <c r="N1378" s="6">
        <v>21.2</v>
      </c>
      <c r="O1378" s="57">
        <v>19.4404</v>
      </c>
      <c r="P1378" s="52"/>
      <c r="Q1378" s="6">
        <v>0.91700000000000004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2.81</v>
      </c>
      <c r="AB1378" s="6">
        <v>2.5767699999999998</v>
      </c>
      <c r="AC1378" s="6">
        <v>0.91699999999999993</v>
      </c>
      <c r="AD1378" s="6">
        <v>-2.8100000000000023</v>
      </c>
      <c r="AE1378" s="6">
        <v>2.8100000000000023</v>
      </c>
    </row>
    <row r="1379" spans="2:31" ht="20" x14ac:dyDescent="0.25">
      <c r="B1379" s="55"/>
      <c r="C1379" s="55"/>
      <c r="D1379" s="4" t="s">
        <v>2138</v>
      </c>
      <c r="E1379" s="4" t="s">
        <v>1961</v>
      </c>
      <c r="F1379" s="4" t="s">
        <v>51</v>
      </c>
      <c r="G1379" s="4" t="s">
        <v>35</v>
      </c>
      <c r="H1379" s="54" t="s">
        <v>36</v>
      </c>
      <c r="I1379" s="52"/>
      <c r="J1379" s="57">
        <v>64.037999999999997</v>
      </c>
      <c r="K1379" s="52"/>
      <c r="L1379" s="6">
        <v>58.722845999999997</v>
      </c>
      <c r="M1379" s="6">
        <v>0.91700000000000004</v>
      </c>
      <c r="N1379" s="6">
        <v>63.798000000000002</v>
      </c>
      <c r="O1379" s="57">
        <v>58.502766000000001</v>
      </c>
      <c r="P1379" s="52"/>
      <c r="Q1379" s="6">
        <v>0.91700000000000004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0.24</v>
      </c>
      <c r="AB1379" s="6">
        <v>0.22008</v>
      </c>
      <c r="AC1379" s="6">
        <v>0.91700000000000004</v>
      </c>
      <c r="AD1379" s="6">
        <v>-0.23999999999999488</v>
      </c>
      <c r="AE1379" s="6">
        <v>0.23999999999999488</v>
      </c>
    </row>
    <row r="1380" spans="2:31" x14ac:dyDescent="0.25">
      <c r="B1380" s="55"/>
      <c r="C1380" s="55"/>
      <c r="D1380" s="54" t="s">
        <v>2139</v>
      </c>
      <c r="E1380" s="4" t="s">
        <v>2140</v>
      </c>
      <c r="F1380" s="4" t="s">
        <v>51</v>
      </c>
      <c r="G1380" s="4" t="s">
        <v>35</v>
      </c>
      <c r="H1380" s="54" t="s">
        <v>41</v>
      </c>
      <c r="I1380" s="52"/>
      <c r="J1380" s="57">
        <v>18.27</v>
      </c>
      <c r="K1380" s="52"/>
      <c r="L1380" s="6">
        <v>13.702500000000001</v>
      </c>
      <c r="M1380" s="6">
        <v>0.75</v>
      </c>
      <c r="N1380" s="6">
        <v>17.34</v>
      </c>
      <c r="O1380" s="57">
        <v>13.005000000000001</v>
      </c>
      <c r="P1380" s="52"/>
      <c r="Q1380" s="6">
        <v>0.75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0.93</v>
      </c>
      <c r="AB1380" s="6">
        <v>0.69750000000000001</v>
      </c>
      <c r="AC1380" s="6">
        <v>0.75</v>
      </c>
      <c r="AD1380" s="6">
        <v>-0.92999999999999972</v>
      </c>
      <c r="AE1380" s="6">
        <v>0.92999999999999972</v>
      </c>
    </row>
    <row r="1381" spans="2:31" x14ac:dyDescent="0.25">
      <c r="B1381" s="55"/>
      <c r="C1381" s="55"/>
      <c r="D1381" s="56"/>
      <c r="E1381" s="4" t="s">
        <v>2141</v>
      </c>
      <c r="F1381" s="4" t="s">
        <v>51</v>
      </c>
      <c r="G1381" s="4" t="s">
        <v>35</v>
      </c>
      <c r="H1381" s="54" t="s">
        <v>41</v>
      </c>
      <c r="I1381" s="52"/>
      <c r="J1381" s="57">
        <v>180.51</v>
      </c>
      <c r="K1381" s="52"/>
      <c r="L1381" s="6">
        <v>135.38249999999999</v>
      </c>
      <c r="M1381" s="6">
        <v>0.75</v>
      </c>
      <c r="N1381" s="6">
        <v>159.97</v>
      </c>
      <c r="O1381" s="57">
        <v>119.97750000000001</v>
      </c>
      <c r="P1381" s="52"/>
      <c r="Q1381" s="6">
        <v>0.75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20.54</v>
      </c>
      <c r="AB1381" s="6">
        <v>15.404999999999999</v>
      </c>
      <c r="AC1381" s="6">
        <v>0.75</v>
      </c>
      <c r="AD1381" s="6">
        <v>-20.539999999999992</v>
      </c>
      <c r="AE1381" s="6">
        <v>20.539999999999992</v>
      </c>
    </row>
    <row r="1382" spans="2:31" ht="20" x14ac:dyDescent="0.25">
      <c r="B1382" s="55"/>
      <c r="C1382" s="55"/>
      <c r="D1382" s="4" t="s">
        <v>2142</v>
      </c>
      <c r="E1382" s="4" t="s">
        <v>2143</v>
      </c>
      <c r="F1382" s="4" t="s">
        <v>51</v>
      </c>
      <c r="G1382" s="4" t="s">
        <v>35</v>
      </c>
      <c r="H1382" s="54" t="s">
        <v>36</v>
      </c>
      <c r="I1382" s="52"/>
      <c r="J1382" s="57">
        <v>57.23</v>
      </c>
      <c r="K1382" s="52"/>
      <c r="L1382" s="6">
        <v>52.479909999999997</v>
      </c>
      <c r="M1382" s="6">
        <v>0.91700000000000004</v>
      </c>
      <c r="N1382" s="6">
        <v>53.23</v>
      </c>
      <c r="O1382" s="57">
        <v>48.811909999999997</v>
      </c>
      <c r="P1382" s="52"/>
      <c r="Q1382" s="6">
        <v>0.91700000000000004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4</v>
      </c>
      <c r="AB1382" s="6">
        <v>3.6680000000000001</v>
      </c>
      <c r="AC1382" s="6">
        <v>0.91700000000000004</v>
      </c>
      <c r="AD1382" s="6">
        <v>-4</v>
      </c>
      <c r="AE1382" s="6">
        <v>4</v>
      </c>
    </row>
    <row r="1383" spans="2:31" ht="20" x14ac:dyDescent="0.25">
      <c r="B1383" s="55"/>
      <c r="C1383" s="55"/>
      <c r="D1383" s="4" t="s">
        <v>2144</v>
      </c>
      <c r="E1383" s="4" t="s">
        <v>2145</v>
      </c>
      <c r="F1383" s="4" t="s">
        <v>51</v>
      </c>
      <c r="G1383" s="4" t="s">
        <v>35</v>
      </c>
      <c r="H1383" s="54" t="s">
        <v>36</v>
      </c>
      <c r="I1383" s="52"/>
      <c r="J1383" s="57">
        <v>315.77999999999997</v>
      </c>
      <c r="K1383" s="52"/>
      <c r="L1383" s="6">
        <v>289.57026000000002</v>
      </c>
      <c r="M1383" s="6">
        <v>0.91700000000000015</v>
      </c>
      <c r="N1383" s="6">
        <v>313.2</v>
      </c>
      <c r="O1383" s="57">
        <v>287.20440000000002</v>
      </c>
      <c r="P1383" s="52"/>
      <c r="Q1383" s="6">
        <v>0.91700000000000015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2.58</v>
      </c>
      <c r="AB1383" s="6">
        <v>2.3658600000000001</v>
      </c>
      <c r="AC1383" s="6">
        <v>0.91700000000000004</v>
      </c>
      <c r="AD1383" s="6">
        <v>-2.5799999999999841</v>
      </c>
      <c r="AE1383" s="6">
        <v>2.5799999999999841</v>
      </c>
    </row>
    <row r="1384" spans="2:31" ht="20" x14ac:dyDescent="0.25">
      <c r="B1384" s="55"/>
      <c r="C1384" s="55"/>
      <c r="D1384" s="4" t="s">
        <v>2146</v>
      </c>
      <c r="E1384" s="4" t="s">
        <v>2147</v>
      </c>
      <c r="F1384" s="4" t="s">
        <v>51</v>
      </c>
      <c r="G1384" s="4" t="s">
        <v>35</v>
      </c>
      <c r="H1384" s="54" t="s">
        <v>36</v>
      </c>
      <c r="I1384" s="52"/>
      <c r="J1384" s="57">
        <v>212.17</v>
      </c>
      <c r="K1384" s="52"/>
      <c r="L1384" s="6">
        <v>194.55989</v>
      </c>
      <c r="M1384" s="6">
        <v>0.91700000000000004</v>
      </c>
      <c r="N1384" s="6">
        <v>207.58</v>
      </c>
      <c r="O1384" s="57">
        <v>190.35086000000001</v>
      </c>
      <c r="P1384" s="52"/>
      <c r="Q1384" s="6">
        <v>0.91700000000000004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4.59</v>
      </c>
      <c r="AB1384" s="6">
        <v>4.2090300000000003</v>
      </c>
      <c r="AC1384" s="6">
        <v>0.91700000000000004</v>
      </c>
      <c r="AD1384" s="6">
        <v>-4.589999999999975</v>
      </c>
      <c r="AE1384" s="6">
        <v>4.589999999999975</v>
      </c>
    </row>
    <row r="1385" spans="2:31" x14ac:dyDescent="0.25">
      <c r="B1385" s="55"/>
      <c r="C1385" s="55"/>
      <c r="D1385" s="54" t="s">
        <v>2148</v>
      </c>
      <c r="E1385" s="4" t="s">
        <v>2149</v>
      </c>
      <c r="F1385" s="4" t="s">
        <v>51</v>
      </c>
      <c r="G1385" s="4" t="s">
        <v>35</v>
      </c>
      <c r="H1385" s="54" t="s">
        <v>36</v>
      </c>
      <c r="I1385" s="52"/>
      <c r="J1385" s="57">
        <v>39.04</v>
      </c>
      <c r="K1385" s="52"/>
      <c r="L1385" s="6">
        <v>35.799680000000002</v>
      </c>
      <c r="M1385" s="6">
        <v>0.91700000000000004</v>
      </c>
      <c r="N1385" s="6">
        <v>35.31</v>
      </c>
      <c r="O1385" s="57">
        <v>32.379269999999998</v>
      </c>
      <c r="P1385" s="52"/>
      <c r="Q1385" s="6">
        <v>0.91699999999999993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3.73</v>
      </c>
      <c r="AB1385" s="6">
        <v>3.42041</v>
      </c>
      <c r="AC1385" s="6">
        <v>0.91700000000000004</v>
      </c>
      <c r="AD1385" s="6">
        <v>-3.7299999999999969</v>
      </c>
      <c r="AE1385" s="6">
        <v>3.7299999999999969</v>
      </c>
    </row>
    <row r="1386" spans="2:31" x14ac:dyDescent="0.25">
      <c r="B1386" s="55"/>
      <c r="C1386" s="55"/>
      <c r="D1386" s="55"/>
      <c r="E1386" s="4" t="s">
        <v>2150</v>
      </c>
      <c r="F1386" s="4" t="s">
        <v>51</v>
      </c>
      <c r="G1386" s="4" t="s">
        <v>35</v>
      </c>
      <c r="H1386" s="54" t="s">
        <v>36</v>
      </c>
      <c r="I1386" s="52"/>
      <c r="J1386" s="57">
        <v>59.7</v>
      </c>
      <c r="K1386" s="52"/>
      <c r="L1386" s="6">
        <v>54.744900000000001</v>
      </c>
      <c r="M1386" s="6">
        <v>0.91699999999999993</v>
      </c>
      <c r="N1386" s="6">
        <v>55.76</v>
      </c>
      <c r="O1386" s="57">
        <v>51.131920000000001</v>
      </c>
      <c r="P1386" s="52"/>
      <c r="Q1386" s="6">
        <v>0.91700000000000004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3.94</v>
      </c>
      <c r="AB1386" s="6">
        <v>3.6129799999999999</v>
      </c>
      <c r="AC1386" s="6">
        <v>0.91699999999999993</v>
      </c>
      <c r="AD1386" s="6">
        <v>-3.9400000000000048</v>
      </c>
      <c r="AE1386" s="6">
        <v>3.9400000000000048</v>
      </c>
    </row>
    <row r="1387" spans="2:31" x14ac:dyDescent="0.25">
      <c r="B1387" s="55"/>
      <c r="C1387" s="55"/>
      <c r="D1387" s="55"/>
      <c r="E1387" s="4" t="s">
        <v>2151</v>
      </c>
      <c r="F1387" s="4" t="s">
        <v>51</v>
      </c>
      <c r="G1387" s="4" t="s">
        <v>35</v>
      </c>
      <c r="H1387" s="54" t="s">
        <v>41</v>
      </c>
      <c r="I1387" s="52"/>
      <c r="J1387" s="57">
        <v>11.15</v>
      </c>
      <c r="K1387" s="52"/>
      <c r="L1387" s="6">
        <v>8.3625000000000007</v>
      </c>
      <c r="M1387" s="6">
        <v>0.75</v>
      </c>
      <c r="N1387" s="6">
        <v>10.51</v>
      </c>
      <c r="O1387" s="57">
        <v>7.8825000000000003</v>
      </c>
      <c r="P1387" s="52"/>
      <c r="Q1387" s="6">
        <v>0.75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0.64</v>
      </c>
      <c r="AB1387" s="6">
        <v>0.48</v>
      </c>
      <c r="AC1387" s="6">
        <v>0.75</v>
      </c>
      <c r="AD1387" s="6">
        <v>-0.64000000000000057</v>
      </c>
      <c r="AE1387" s="6">
        <v>0.64000000000000057</v>
      </c>
    </row>
    <row r="1388" spans="2:31" x14ac:dyDescent="0.25">
      <c r="B1388" s="55"/>
      <c r="C1388" s="55"/>
      <c r="D1388" s="55"/>
      <c r="E1388" s="4" t="s">
        <v>2152</v>
      </c>
      <c r="F1388" s="4" t="s">
        <v>51</v>
      </c>
      <c r="G1388" s="4" t="s">
        <v>35</v>
      </c>
      <c r="H1388" s="54" t="s">
        <v>36</v>
      </c>
      <c r="I1388" s="52"/>
      <c r="J1388" s="57">
        <v>14.38</v>
      </c>
      <c r="K1388" s="52"/>
      <c r="L1388" s="6">
        <v>13.18646</v>
      </c>
      <c r="M1388" s="6">
        <v>0.91699999999999993</v>
      </c>
      <c r="N1388" s="6">
        <v>13.77</v>
      </c>
      <c r="O1388" s="57">
        <v>12.627090000000001</v>
      </c>
      <c r="P1388" s="52"/>
      <c r="Q1388" s="6">
        <v>0.91700000000000004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0.61</v>
      </c>
      <c r="AB1388" s="6">
        <v>0.55937000000000003</v>
      </c>
      <c r="AC1388" s="6">
        <v>0.91700000000000004</v>
      </c>
      <c r="AD1388" s="6">
        <v>-0.61000000000000121</v>
      </c>
      <c r="AE1388" s="6">
        <v>0.61000000000000121</v>
      </c>
    </row>
    <row r="1389" spans="2:31" x14ac:dyDescent="0.25">
      <c r="B1389" s="55"/>
      <c r="C1389" s="55"/>
      <c r="D1389" s="56"/>
      <c r="E1389" s="4" t="s">
        <v>2153</v>
      </c>
      <c r="F1389" s="4" t="s">
        <v>51</v>
      </c>
      <c r="G1389" s="4" t="s">
        <v>35</v>
      </c>
      <c r="H1389" s="54" t="s">
        <v>36</v>
      </c>
      <c r="I1389" s="52"/>
      <c r="J1389" s="57">
        <v>3.02</v>
      </c>
      <c r="K1389" s="52"/>
      <c r="L1389" s="6">
        <v>2.7693400000000001</v>
      </c>
      <c r="M1389" s="6">
        <v>0.91700000000000004</v>
      </c>
      <c r="N1389" s="6">
        <v>2.94</v>
      </c>
      <c r="O1389" s="57">
        <v>2.69598</v>
      </c>
      <c r="P1389" s="52"/>
      <c r="Q1389" s="6">
        <v>0.91700000000000004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0.08</v>
      </c>
      <c r="AB1389" s="6">
        <v>7.3359999999999995E-2</v>
      </c>
      <c r="AC1389" s="6">
        <v>0.91699999999999993</v>
      </c>
      <c r="AD1389" s="6">
        <v>-8.0000000000000071E-2</v>
      </c>
      <c r="AE1389" s="6">
        <v>8.0000000000000071E-2</v>
      </c>
    </row>
    <row r="1390" spans="2:31" ht="20" x14ac:dyDescent="0.25">
      <c r="B1390" s="55"/>
      <c r="C1390" s="55"/>
      <c r="D1390" s="4" t="s">
        <v>2154</v>
      </c>
      <c r="E1390" s="4" t="s">
        <v>2155</v>
      </c>
      <c r="F1390" s="4" t="s">
        <v>51</v>
      </c>
      <c r="G1390" s="4" t="s">
        <v>35</v>
      </c>
      <c r="H1390" s="54" t="s">
        <v>36</v>
      </c>
      <c r="I1390" s="52"/>
      <c r="J1390" s="57">
        <v>21</v>
      </c>
      <c r="K1390" s="52"/>
      <c r="L1390" s="6">
        <v>19.257000000000001</v>
      </c>
      <c r="M1390" s="6">
        <v>0.91700000000000004</v>
      </c>
      <c r="N1390" s="6">
        <v>18.23</v>
      </c>
      <c r="O1390" s="57">
        <v>16.716909999999999</v>
      </c>
      <c r="P1390" s="52"/>
      <c r="Q1390" s="6">
        <v>0.91699999999999993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2.77</v>
      </c>
      <c r="AB1390" s="6">
        <v>2.5400900000000002</v>
      </c>
      <c r="AC1390" s="6">
        <v>0.91700000000000004</v>
      </c>
      <c r="AD1390" s="6">
        <v>-2.7699999999999996</v>
      </c>
      <c r="AE1390" s="6">
        <v>2.7699999999999996</v>
      </c>
    </row>
    <row r="1391" spans="2:31" ht="20" x14ac:dyDescent="0.25">
      <c r="B1391" s="55"/>
      <c r="C1391" s="55"/>
      <c r="D1391" s="4" t="s">
        <v>2156</v>
      </c>
      <c r="E1391" s="4" t="s">
        <v>2157</v>
      </c>
      <c r="F1391" s="4" t="s">
        <v>51</v>
      </c>
      <c r="G1391" s="4" t="s">
        <v>35</v>
      </c>
      <c r="H1391" s="54" t="s">
        <v>41</v>
      </c>
      <c r="I1391" s="52"/>
      <c r="J1391" s="57">
        <v>21.07</v>
      </c>
      <c r="K1391" s="52"/>
      <c r="L1391" s="6">
        <v>15.8025</v>
      </c>
      <c r="M1391" s="6">
        <v>0.75</v>
      </c>
      <c r="N1391" s="6">
        <v>18.52</v>
      </c>
      <c r="O1391" s="57">
        <v>13.89</v>
      </c>
      <c r="P1391" s="52"/>
      <c r="Q1391" s="6">
        <v>0.75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2.5499999999999998</v>
      </c>
      <c r="AB1391" s="6">
        <v>1.9125000000000001</v>
      </c>
      <c r="AC1391" s="6">
        <v>0.75000000000000011</v>
      </c>
      <c r="AD1391" s="6">
        <v>-2.5500000000000007</v>
      </c>
      <c r="AE1391" s="6">
        <v>2.5500000000000007</v>
      </c>
    </row>
    <row r="1392" spans="2:31" ht="20" x14ac:dyDescent="0.25">
      <c r="B1392" s="55"/>
      <c r="C1392" s="55"/>
      <c r="D1392" s="4" t="s">
        <v>2158</v>
      </c>
      <c r="E1392" s="4" t="s">
        <v>2159</v>
      </c>
      <c r="F1392" s="4" t="s">
        <v>51</v>
      </c>
      <c r="G1392" s="4" t="s">
        <v>35</v>
      </c>
      <c r="H1392" s="54" t="s">
        <v>36</v>
      </c>
      <c r="I1392" s="52"/>
      <c r="J1392" s="57">
        <v>18.61</v>
      </c>
      <c r="K1392" s="52"/>
      <c r="L1392" s="6">
        <v>17.065370000000001</v>
      </c>
      <c r="M1392" s="6">
        <v>0.91700000000000015</v>
      </c>
      <c r="N1392" s="6">
        <v>18.04</v>
      </c>
      <c r="O1392" s="57">
        <v>16.542680000000001</v>
      </c>
      <c r="P1392" s="52"/>
      <c r="Q1392" s="6">
        <v>0.91700000000000004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0.56999999999999995</v>
      </c>
      <c r="AB1392" s="6">
        <v>0.52268999999999999</v>
      </c>
      <c r="AC1392" s="6">
        <v>0.91700000000000004</v>
      </c>
      <c r="AD1392" s="6">
        <v>-0.57000000000000028</v>
      </c>
      <c r="AE1392" s="6">
        <v>0.57000000000000028</v>
      </c>
    </row>
    <row r="1393" spans="2:31" ht="20" x14ac:dyDescent="0.25">
      <c r="B1393" s="55"/>
      <c r="C1393" s="55"/>
      <c r="D1393" s="4" t="s">
        <v>2160</v>
      </c>
      <c r="E1393" s="4" t="s">
        <v>2161</v>
      </c>
      <c r="F1393" s="4" t="s">
        <v>51</v>
      </c>
      <c r="G1393" s="4" t="s">
        <v>35</v>
      </c>
      <c r="H1393" s="54" t="s">
        <v>36</v>
      </c>
      <c r="I1393" s="52"/>
      <c r="J1393" s="57">
        <v>23.17</v>
      </c>
      <c r="K1393" s="52"/>
      <c r="L1393" s="6">
        <v>21.24689</v>
      </c>
      <c r="M1393" s="6">
        <v>0.91699999999999993</v>
      </c>
      <c r="N1393" s="6">
        <v>22.21</v>
      </c>
      <c r="O1393" s="57">
        <v>20.366569999999999</v>
      </c>
      <c r="P1393" s="52"/>
      <c r="Q1393" s="6">
        <v>0.91699999999999993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0.96</v>
      </c>
      <c r="AB1393" s="6">
        <v>0.88031999999999999</v>
      </c>
      <c r="AC1393" s="6">
        <v>0.91700000000000004</v>
      </c>
      <c r="AD1393" s="6">
        <v>-0.96000000000000085</v>
      </c>
      <c r="AE1393" s="6">
        <v>0.96000000000000085</v>
      </c>
    </row>
    <row r="1394" spans="2:31" x14ac:dyDescent="0.25">
      <c r="B1394" s="55"/>
      <c r="C1394" s="55"/>
      <c r="D1394" s="54" t="s">
        <v>2162</v>
      </c>
      <c r="E1394" s="4" t="s">
        <v>2163</v>
      </c>
      <c r="F1394" s="4" t="s">
        <v>51</v>
      </c>
      <c r="G1394" s="4" t="s">
        <v>35</v>
      </c>
      <c r="H1394" s="54" t="s">
        <v>36</v>
      </c>
      <c r="I1394" s="52"/>
      <c r="J1394" s="57">
        <v>75.38</v>
      </c>
      <c r="K1394" s="52"/>
      <c r="L1394" s="6">
        <v>69.123459999999994</v>
      </c>
      <c r="M1394" s="6">
        <v>0.91699999999999993</v>
      </c>
      <c r="N1394" s="6">
        <v>75.28</v>
      </c>
      <c r="O1394" s="57">
        <v>69.031760000000006</v>
      </c>
      <c r="P1394" s="52"/>
      <c r="Q1394" s="6">
        <v>0.91700000000000004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0.1</v>
      </c>
      <c r="AB1394" s="6">
        <v>9.1700000000000004E-2</v>
      </c>
      <c r="AC1394" s="6">
        <v>0.91700000000000004</v>
      </c>
      <c r="AD1394" s="6">
        <v>-9.9999999999994316E-2</v>
      </c>
      <c r="AE1394" s="6">
        <v>9.9999999999994316E-2</v>
      </c>
    </row>
    <row r="1395" spans="2:31" x14ac:dyDescent="0.25">
      <c r="B1395" s="55"/>
      <c r="C1395" s="55"/>
      <c r="D1395" s="56"/>
      <c r="E1395" s="4" t="s">
        <v>2164</v>
      </c>
      <c r="F1395" s="4" t="s">
        <v>51</v>
      </c>
      <c r="G1395" s="4" t="s">
        <v>35</v>
      </c>
      <c r="H1395" s="54" t="s">
        <v>36</v>
      </c>
      <c r="I1395" s="52"/>
      <c r="J1395" s="57">
        <v>14.07</v>
      </c>
      <c r="K1395" s="52"/>
      <c r="L1395" s="6">
        <v>12.902189999999999</v>
      </c>
      <c r="M1395" s="6">
        <v>0.91699999999999993</v>
      </c>
      <c r="N1395" s="6">
        <v>13.22</v>
      </c>
      <c r="O1395" s="57">
        <v>12.12274</v>
      </c>
      <c r="P1395" s="52"/>
      <c r="Q1395" s="6">
        <v>0.91699999999999993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0.85</v>
      </c>
      <c r="AB1395" s="6">
        <v>0.77944999999999998</v>
      </c>
      <c r="AC1395" s="6">
        <v>0.91700000000000004</v>
      </c>
      <c r="AD1395" s="6">
        <v>-0.84999999999999964</v>
      </c>
      <c r="AE1395" s="6">
        <v>0.84999999999999964</v>
      </c>
    </row>
    <row r="1396" spans="2:31" x14ac:dyDescent="0.25">
      <c r="B1396" s="55"/>
      <c r="C1396" s="55"/>
      <c r="D1396" s="54" t="s">
        <v>2165</v>
      </c>
      <c r="E1396" s="4" t="s">
        <v>2166</v>
      </c>
      <c r="F1396" s="4" t="s">
        <v>51</v>
      </c>
      <c r="G1396" s="4" t="s">
        <v>35</v>
      </c>
      <c r="H1396" s="54" t="s">
        <v>36</v>
      </c>
      <c r="I1396" s="52"/>
      <c r="J1396" s="57">
        <v>13.48</v>
      </c>
      <c r="K1396" s="52"/>
      <c r="L1396" s="6">
        <v>12.36116</v>
      </c>
      <c r="M1396" s="6">
        <v>0.91699999999999993</v>
      </c>
      <c r="N1396" s="6">
        <v>12.91</v>
      </c>
      <c r="O1396" s="57">
        <v>11.838469999999999</v>
      </c>
      <c r="P1396" s="52"/>
      <c r="Q1396" s="6">
        <v>0.91699999999999993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0.56999999999999995</v>
      </c>
      <c r="AB1396" s="6">
        <v>0.52268999999999999</v>
      </c>
      <c r="AC1396" s="6">
        <v>0.91700000000000004</v>
      </c>
      <c r="AD1396" s="6">
        <v>-0.57000000000000028</v>
      </c>
      <c r="AE1396" s="6">
        <v>0.57000000000000028</v>
      </c>
    </row>
    <row r="1397" spans="2:31" x14ac:dyDescent="0.25">
      <c r="B1397" s="55"/>
      <c r="C1397" s="55"/>
      <c r="D1397" s="56"/>
      <c r="E1397" s="4" t="s">
        <v>2167</v>
      </c>
      <c r="F1397" s="4" t="s">
        <v>51</v>
      </c>
      <c r="G1397" s="4" t="s">
        <v>35</v>
      </c>
      <c r="H1397" s="54" t="s">
        <v>48</v>
      </c>
      <c r="I1397" s="52"/>
      <c r="J1397" s="57">
        <v>28.32</v>
      </c>
      <c r="K1397" s="52"/>
      <c r="L1397" s="6">
        <v>21.24</v>
      </c>
      <c r="M1397" s="6">
        <v>0.74999999999999989</v>
      </c>
      <c r="N1397" s="6">
        <v>26.86</v>
      </c>
      <c r="O1397" s="57">
        <v>20.145</v>
      </c>
      <c r="P1397" s="52"/>
      <c r="Q1397" s="6">
        <v>0.75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1.46</v>
      </c>
      <c r="AB1397" s="6">
        <v>1.095</v>
      </c>
      <c r="AC1397" s="6">
        <v>0.75</v>
      </c>
      <c r="AD1397" s="6">
        <v>-1.4600000000000009</v>
      </c>
      <c r="AE1397" s="6">
        <v>1.4600000000000009</v>
      </c>
    </row>
    <row r="1398" spans="2:31" x14ac:dyDescent="0.25">
      <c r="B1398" s="55"/>
      <c r="C1398" s="55"/>
      <c r="D1398" s="54" t="s">
        <v>2168</v>
      </c>
      <c r="E1398" s="4" t="s">
        <v>2147</v>
      </c>
      <c r="F1398" s="4" t="s">
        <v>51</v>
      </c>
      <c r="G1398" s="4" t="s">
        <v>35</v>
      </c>
      <c r="H1398" s="54" t="s">
        <v>36</v>
      </c>
      <c r="I1398" s="52"/>
      <c r="J1398" s="57">
        <v>207.61</v>
      </c>
      <c r="K1398" s="52"/>
      <c r="L1398" s="6">
        <v>190.37836999999999</v>
      </c>
      <c r="M1398" s="6">
        <v>0.91699999999999993</v>
      </c>
      <c r="N1398" s="6">
        <v>207.28</v>
      </c>
      <c r="O1398" s="57">
        <v>190.07576</v>
      </c>
      <c r="P1398" s="52"/>
      <c r="Q1398" s="6">
        <v>0.91700000000000004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0.33</v>
      </c>
      <c r="AB1398" s="6">
        <v>0.30260999999999999</v>
      </c>
      <c r="AC1398" s="6">
        <v>0.91699999999999993</v>
      </c>
      <c r="AD1398" s="6">
        <v>-0.33000000000001251</v>
      </c>
      <c r="AE1398" s="6">
        <v>0.33000000000001251</v>
      </c>
    </row>
    <row r="1399" spans="2:31" x14ac:dyDescent="0.25">
      <c r="B1399" s="55"/>
      <c r="C1399" s="55"/>
      <c r="D1399" s="55"/>
      <c r="E1399" s="4" t="s">
        <v>2169</v>
      </c>
      <c r="F1399" s="4" t="s">
        <v>51</v>
      </c>
      <c r="G1399" s="4" t="s">
        <v>35</v>
      </c>
      <c r="H1399" s="54" t="s">
        <v>48</v>
      </c>
      <c r="I1399" s="52"/>
      <c r="J1399" s="57">
        <v>17.510000000000002</v>
      </c>
      <c r="K1399" s="52"/>
      <c r="L1399" s="6">
        <v>13.1325</v>
      </c>
      <c r="M1399" s="6">
        <v>0.75</v>
      </c>
      <c r="N1399" s="6">
        <v>15.43</v>
      </c>
      <c r="O1399" s="57">
        <v>11.5725</v>
      </c>
      <c r="P1399" s="52"/>
      <c r="Q1399" s="6">
        <v>0.75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2.08</v>
      </c>
      <c r="AB1399" s="6">
        <v>1.56</v>
      </c>
      <c r="AC1399" s="6">
        <v>0.75</v>
      </c>
      <c r="AD1399" s="6">
        <v>-2.0800000000000018</v>
      </c>
      <c r="AE1399" s="6">
        <v>2.0800000000000018</v>
      </c>
    </row>
    <row r="1400" spans="2:31" x14ac:dyDescent="0.25">
      <c r="B1400" s="55"/>
      <c r="C1400" s="55"/>
      <c r="D1400" s="55"/>
      <c r="E1400" s="4" t="s">
        <v>2170</v>
      </c>
      <c r="F1400" s="4" t="s">
        <v>51</v>
      </c>
      <c r="G1400" s="4" t="s">
        <v>35</v>
      </c>
      <c r="H1400" s="54" t="s">
        <v>36</v>
      </c>
      <c r="I1400" s="52"/>
      <c r="J1400" s="57">
        <v>4.6100000000000003</v>
      </c>
      <c r="K1400" s="52"/>
      <c r="L1400" s="6">
        <v>4.2273699999999996</v>
      </c>
      <c r="M1400" s="6">
        <v>0.91699999999999982</v>
      </c>
      <c r="N1400" s="6">
        <v>4.2699999999999996</v>
      </c>
      <c r="O1400" s="57">
        <v>3.9155899999999999</v>
      </c>
      <c r="P1400" s="52"/>
      <c r="Q1400" s="6">
        <v>0.91700000000000004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0.34</v>
      </c>
      <c r="AB1400" s="6">
        <v>0.31178</v>
      </c>
      <c r="AC1400" s="6">
        <v>0.91699999999999993</v>
      </c>
      <c r="AD1400" s="6">
        <v>-0.34000000000000075</v>
      </c>
      <c r="AE1400" s="6">
        <v>0.34000000000000075</v>
      </c>
    </row>
    <row r="1401" spans="2:31" x14ac:dyDescent="0.25">
      <c r="B1401" s="55"/>
      <c r="C1401" s="55"/>
      <c r="D1401" s="56"/>
      <c r="E1401" s="4" t="s">
        <v>2171</v>
      </c>
      <c r="F1401" s="4" t="s">
        <v>51</v>
      </c>
      <c r="G1401" s="4" t="s">
        <v>35</v>
      </c>
      <c r="H1401" s="54" t="s">
        <v>36</v>
      </c>
      <c r="I1401" s="52"/>
      <c r="J1401" s="57">
        <v>4.42</v>
      </c>
      <c r="K1401" s="52"/>
      <c r="L1401" s="6">
        <v>4.05314</v>
      </c>
      <c r="M1401" s="6">
        <v>0.91700000000000004</v>
      </c>
      <c r="N1401" s="6">
        <v>4.22</v>
      </c>
      <c r="O1401" s="57">
        <v>3.8697400000000002</v>
      </c>
      <c r="P1401" s="52"/>
      <c r="Q1401" s="6">
        <v>0.91700000000000015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0.2</v>
      </c>
      <c r="AB1401" s="6">
        <v>0.18340000000000001</v>
      </c>
      <c r="AC1401" s="6">
        <v>0.91700000000000004</v>
      </c>
      <c r="AD1401" s="6">
        <v>-0.20000000000000018</v>
      </c>
      <c r="AE1401" s="6">
        <v>0.20000000000000018</v>
      </c>
    </row>
    <row r="1402" spans="2:31" ht="20" x14ac:dyDescent="0.25">
      <c r="B1402" s="55"/>
      <c r="C1402" s="55"/>
      <c r="D1402" s="4" t="s">
        <v>2172</v>
      </c>
      <c r="E1402" s="4" t="s">
        <v>2173</v>
      </c>
      <c r="F1402" s="4" t="s">
        <v>51</v>
      </c>
      <c r="G1402" s="4" t="s">
        <v>35</v>
      </c>
      <c r="H1402" s="54" t="s">
        <v>36</v>
      </c>
      <c r="I1402" s="52"/>
      <c r="J1402" s="57">
        <v>4.18</v>
      </c>
      <c r="K1402" s="52"/>
      <c r="L1402" s="6">
        <v>3.8330600000000001</v>
      </c>
      <c r="M1402" s="6">
        <v>0.91700000000000015</v>
      </c>
      <c r="N1402" s="6">
        <v>3.95</v>
      </c>
      <c r="O1402" s="57">
        <v>3.62215</v>
      </c>
      <c r="P1402" s="52"/>
      <c r="Q1402" s="6">
        <v>0.91699999999999993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0.23</v>
      </c>
      <c r="AB1402" s="6">
        <v>0.21090999999999999</v>
      </c>
      <c r="AC1402" s="6">
        <v>0.91699999999999993</v>
      </c>
      <c r="AD1402" s="6">
        <v>-0.22999999999999954</v>
      </c>
      <c r="AE1402" s="6">
        <v>0.22999999999999954</v>
      </c>
    </row>
    <row r="1403" spans="2:31" x14ac:dyDescent="0.25">
      <c r="B1403" s="55"/>
      <c r="C1403" s="55"/>
      <c r="D1403" s="54" t="s">
        <v>2174</v>
      </c>
      <c r="E1403" s="4" t="s">
        <v>2175</v>
      </c>
      <c r="F1403" s="4" t="s">
        <v>51</v>
      </c>
      <c r="G1403" s="4" t="s">
        <v>35</v>
      </c>
      <c r="H1403" s="54" t="s">
        <v>36</v>
      </c>
      <c r="I1403" s="52"/>
      <c r="J1403" s="57">
        <v>44.1</v>
      </c>
      <c r="K1403" s="52"/>
      <c r="L1403" s="6">
        <v>40.439700000000002</v>
      </c>
      <c r="M1403" s="6">
        <v>0.91700000000000004</v>
      </c>
      <c r="N1403" s="6">
        <v>40.58</v>
      </c>
      <c r="O1403" s="57">
        <v>37.211860000000001</v>
      </c>
      <c r="P1403" s="52"/>
      <c r="Q1403" s="6">
        <v>0.91700000000000004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3.52</v>
      </c>
      <c r="AB1403" s="6">
        <v>3.22784</v>
      </c>
      <c r="AC1403" s="6">
        <v>0.91700000000000004</v>
      </c>
      <c r="AD1403" s="6">
        <v>-3.5200000000000031</v>
      </c>
      <c r="AE1403" s="6">
        <v>3.5200000000000031</v>
      </c>
    </row>
    <row r="1404" spans="2:31" x14ac:dyDescent="0.25">
      <c r="B1404" s="55"/>
      <c r="C1404" s="55"/>
      <c r="D1404" s="56"/>
      <c r="E1404" s="4" t="s">
        <v>2176</v>
      </c>
      <c r="F1404" s="4" t="s">
        <v>51</v>
      </c>
      <c r="G1404" s="4" t="s">
        <v>35</v>
      </c>
      <c r="H1404" s="54" t="s">
        <v>36</v>
      </c>
      <c r="I1404" s="52"/>
      <c r="J1404" s="57">
        <v>24.77</v>
      </c>
      <c r="K1404" s="52"/>
      <c r="L1404" s="6">
        <v>22.714089999999999</v>
      </c>
      <c r="M1404" s="6">
        <v>0.91699999999999993</v>
      </c>
      <c r="N1404" s="6">
        <v>23.7</v>
      </c>
      <c r="O1404" s="57">
        <v>21.732900000000001</v>
      </c>
      <c r="P1404" s="52"/>
      <c r="Q1404" s="6">
        <v>0.91700000000000004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1.07</v>
      </c>
      <c r="AB1404" s="6">
        <v>0.98119000000000001</v>
      </c>
      <c r="AC1404" s="6">
        <v>0.91699999999999993</v>
      </c>
      <c r="AD1404" s="6">
        <v>-1.0700000000000003</v>
      </c>
      <c r="AE1404" s="6">
        <v>1.0700000000000003</v>
      </c>
    </row>
    <row r="1405" spans="2:31" ht="20" x14ac:dyDescent="0.25">
      <c r="B1405" s="55"/>
      <c r="C1405" s="55"/>
      <c r="D1405" s="4" t="s">
        <v>2177</v>
      </c>
      <c r="E1405" s="4" t="s">
        <v>2178</v>
      </c>
      <c r="F1405" s="4" t="s">
        <v>51</v>
      </c>
      <c r="G1405" s="4" t="s">
        <v>35</v>
      </c>
      <c r="H1405" s="54" t="s">
        <v>36</v>
      </c>
      <c r="I1405" s="52"/>
      <c r="J1405" s="57">
        <v>142.51</v>
      </c>
      <c r="K1405" s="52"/>
      <c r="L1405" s="6">
        <v>130.68167</v>
      </c>
      <c r="M1405" s="6">
        <v>0.91700000000000004</v>
      </c>
      <c r="N1405" s="6">
        <v>135.01</v>
      </c>
      <c r="O1405" s="57">
        <v>123.80417</v>
      </c>
      <c r="P1405" s="52"/>
      <c r="Q1405" s="6">
        <v>0.91700000000000004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7.5</v>
      </c>
      <c r="AB1405" s="6">
        <v>6.8775000000000004</v>
      </c>
      <c r="AC1405" s="6">
        <v>0.91700000000000004</v>
      </c>
      <c r="AD1405" s="6">
        <v>-7.5</v>
      </c>
      <c r="AE1405" s="6">
        <v>7.5</v>
      </c>
    </row>
    <row r="1406" spans="2:31" ht="20" x14ac:dyDescent="0.25">
      <c r="B1406" s="55"/>
      <c r="C1406" s="55"/>
      <c r="D1406" s="4" t="s">
        <v>2179</v>
      </c>
      <c r="E1406" s="4" t="s">
        <v>2180</v>
      </c>
      <c r="F1406" s="4" t="s">
        <v>51</v>
      </c>
      <c r="G1406" s="4" t="s">
        <v>35</v>
      </c>
      <c r="H1406" s="54" t="s">
        <v>36</v>
      </c>
      <c r="I1406" s="52"/>
      <c r="J1406" s="57">
        <v>363.69</v>
      </c>
      <c r="K1406" s="52"/>
      <c r="L1406" s="6">
        <v>333.50373000000002</v>
      </c>
      <c r="M1406" s="6">
        <v>0.91700000000000004</v>
      </c>
      <c r="N1406" s="6">
        <v>363.69</v>
      </c>
      <c r="O1406" s="57">
        <v>333.50373000000002</v>
      </c>
      <c r="P1406" s="52"/>
      <c r="Q1406" s="6">
        <v>0.91700000000000004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</row>
    <row r="1407" spans="2:31" x14ac:dyDescent="0.25">
      <c r="B1407" s="55"/>
      <c r="C1407" s="55"/>
      <c r="D1407" s="54" t="s">
        <v>2181</v>
      </c>
      <c r="E1407" s="4" t="s">
        <v>2182</v>
      </c>
      <c r="F1407" s="4" t="s">
        <v>51</v>
      </c>
      <c r="G1407" s="4" t="s">
        <v>35</v>
      </c>
      <c r="H1407" s="54" t="s">
        <v>36</v>
      </c>
      <c r="I1407" s="52"/>
      <c r="J1407" s="57">
        <v>58.22</v>
      </c>
      <c r="K1407" s="52"/>
      <c r="L1407" s="6">
        <v>53.387740000000001</v>
      </c>
      <c r="M1407" s="6">
        <v>0.91700000000000004</v>
      </c>
      <c r="N1407" s="6">
        <v>51.55</v>
      </c>
      <c r="O1407" s="57">
        <v>47.271349999999998</v>
      </c>
      <c r="P1407" s="52"/>
      <c r="Q1407" s="6">
        <v>0.91700000000000004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6.67</v>
      </c>
      <c r="AB1407" s="6">
        <v>6.11639</v>
      </c>
      <c r="AC1407" s="6">
        <v>0.91700000000000004</v>
      </c>
      <c r="AD1407" s="6">
        <v>-6.6700000000000017</v>
      </c>
      <c r="AE1407" s="6">
        <v>6.6700000000000017</v>
      </c>
    </row>
    <row r="1408" spans="2:31" x14ac:dyDescent="0.25">
      <c r="B1408" s="55"/>
      <c r="C1408" s="55"/>
      <c r="D1408" s="55"/>
      <c r="E1408" s="4" t="s">
        <v>2183</v>
      </c>
      <c r="F1408" s="4" t="s">
        <v>51</v>
      </c>
      <c r="G1408" s="4" t="s">
        <v>35</v>
      </c>
      <c r="H1408" s="54" t="s">
        <v>36</v>
      </c>
      <c r="I1408" s="52"/>
      <c r="J1408" s="57">
        <v>33.979999999999997</v>
      </c>
      <c r="K1408" s="52"/>
      <c r="L1408" s="6">
        <v>31.159659999999999</v>
      </c>
      <c r="M1408" s="6">
        <v>0.91700000000000004</v>
      </c>
      <c r="N1408" s="6">
        <v>33.25</v>
      </c>
      <c r="O1408" s="57">
        <v>30.49025</v>
      </c>
      <c r="P1408" s="52"/>
      <c r="Q1408" s="6">
        <v>0.91700000000000004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0.73</v>
      </c>
      <c r="AB1408" s="6">
        <v>0.66940999999999995</v>
      </c>
      <c r="AC1408" s="6">
        <v>0.91699999999999993</v>
      </c>
      <c r="AD1408" s="6">
        <v>-0.72999999999999687</v>
      </c>
      <c r="AE1408" s="6">
        <v>0.72999999999999687</v>
      </c>
    </row>
    <row r="1409" spans="2:31" x14ac:dyDescent="0.25">
      <c r="B1409" s="55"/>
      <c r="C1409" s="55"/>
      <c r="D1409" s="55"/>
      <c r="E1409" s="4" t="s">
        <v>2184</v>
      </c>
      <c r="F1409" s="4" t="s">
        <v>51</v>
      </c>
      <c r="G1409" s="4" t="s">
        <v>35</v>
      </c>
      <c r="H1409" s="54" t="s">
        <v>36</v>
      </c>
      <c r="I1409" s="52"/>
      <c r="J1409" s="57">
        <v>7.53</v>
      </c>
      <c r="K1409" s="52"/>
      <c r="L1409" s="6">
        <v>6.9050099999999999</v>
      </c>
      <c r="M1409" s="6">
        <v>0.91699999999999993</v>
      </c>
      <c r="N1409" s="6">
        <v>6.85</v>
      </c>
      <c r="O1409" s="57">
        <v>6.2814500000000004</v>
      </c>
      <c r="P1409" s="52"/>
      <c r="Q1409" s="6">
        <v>0.91700000000000015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0.68</v>
      </c>
      <c r="AB1409" s="6">
        <v>0.62356</v>
      </c>
      <c r="AC1409" s="6">
        <v>0.91699999999999993</v>
      </c>
      <c r="AD1409" s="6">
        <v>-0.6800000000000006</v>
      </c>
      <c r="AE1409" s="6">
        <v>0.6800000000000006</v>
      </c>
    </row>
    <row r="1410" spans="2:31" x14ac:dyDescent="0.25">
      <c r="B1410" s="55"/>
      <c r="C1410" s="55"/>
      <c r="D1410" s="55"/>
      <c r="E1410" s="4" t="s">
        <v>2185</v>
      </c>
      <c r="F1410" s="4" t="s">
        <v>51</v>
      </c>
      <c r="G1410" s="4" t="s">
        <v>35</v>
      </c>
      <c r="H1410" s="54" t="s">
        <v>41</v>
      </c>
      <c r="I1410" s="52"/>
      <c r="J1410" s="57">
        <v>25.42</v>
      </c>
      <c r="K1410" s="52"/>
      <c r="L1410" s="6">
        <v>19.065000000000001</v>
      </c>
      <c r="M1410" s="6">
        <v>0.75</v>
      </c>
      <c r="N1410" s="6">
        <v>23.16</v>
      </c>
      <c r="O1410" s="57">
        <v>17.37</v>
      </c>
      <c r="P1410" s="52"/>
      <c r="Q1410" s="6">
        <v>0.75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2.2599999999999998</v>
      </c>
      <c r="AB1410" s="6">
        <v>1.6950000000000001</v>
      </c>
      <c r="AC1410" s="6">
        <v>0.75000000000000011</v>
      </c>
      <c r="AD1410" s="6">
        <v>-2.2600000000000016</v>
      </c>
      <c r="AE1410" s="6">
        <v>2.2600000000000016</v>
      </c>
    </row>
    <row r="1411" spans="2:31" x14ac:dyDescent="0.25">
      <c r="B1411" s="55"/>
      <c r="C1411" s="55"/>
      <c r="D1411" s="56"/>
      <c r="E1411" s="4" t="s">
        <v>2186</v>
      </c>
      <c r="F1411" s="4" t="s">
        <v>51</v>
      </c>
      <c r="G1411" s="4" t="s">
        <v>35</v>
      </c>
      <c r="H1411" s="54" t="s">
        <v>36</v>
      </c>
      <c r="I1411" s="52"/>
      <c r="J1411" s="57">
        <v>20.23</v>
      </c>
      <c r="K1411" s="52"/>
      <c r="L1411" s="6">
        <v>18.550909999999998</v>
      </c>
      <c r="M1411" s="6">
        <v>0.91699999999999993</v>
      </c>
      <c r="N1411" s="6">
        <v>19.350000000000001</v>
      </c>
      <c r="O1411" s="57">
        <v>17.743950000000002</v>
      </c>
      <c r="P1411" s="52"/>
      <c r="Q1411" s="6">
        <v>0.91700000000000004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0.88</v>
      </c>
      <c r="AB1411" s="6">
        <v>0.80696000000000001</v>
      </c>
      <c r="AC1411" s="6">
        <v>0.91700000000000004</v>
      </c>
      <c r="AD1411" s="6">
        <v>-0.87999999999999901</v>
      </c>
      <c r="AE1411" s="6">
        <v>0.87999999999999901</v>
      </c>
    </row>
    <row r="1412" spans="2:31" x14ac:dyDescent="0.25">
      <c r="B1412" s="55"/>
      <c r="C1412" s="55"/>
      <c r="D1412" s="54" t="s">
        <v>2187</v>
      </c>
      <c r="E1412" s="4" t="s">
        <v>2188</v>
      </c>
      <c r="F1412" s="4" t="s">
        <v>51</v>
      </c>
      <c r="G1412" s="4" t="s">
        <v>35</v>
      </c>
      <c r="H1412" s="54" t="s">
        <v>48</v>
      </c>
      <c r="I1412" s="52"/>
      <c r="J1412" s="57">
        <v>4.0999999999999996</v>
      </c>
      <c r="K1412" s="52"/>
      <c r="L1412" s="6">
        <v>3.0750000000000002</v>
      </c>
      <c r="M1412" s="6">
        <v>0.75000000000000011</v>
      </c>
      <c r="N1412" s="6">
        <v>3.62</v>
      </c>
      <c r="O1412" s="57">
        <v>2.7149999999999999</v>
      </c>
      <c r="P1412" s="52"/>
      <c r="Q1412" s="6">
        <v>0.74999999999999989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0.48</v>
      </c>
      <c r="AB1412" s="6">
        <v>0.36</v>
      </c>
      <c r="AC1412" s="6">
        <v>0.75</v>
      </c>
      <c r="AD1412" s="6">
        <v>-0.47999999999999954</v>
      </c>
      <c r="AE1412" s="6">
        <v>0.47999999999999954</v>
      </c>
    </row>
    <row r="1413" spans="2:31" x14ac:dyDescent="0.25">
      <c r="B1413" s="55"/>
      <c r="C1413" s="55"/>
      <c r="D1413" s="55"/>
      <c r="E1413" s="4" t="s">
        <v>2189</v>
      </c>
      <c r="F1413" s="4" t="s">
        <v>51</v>
      </c>
      <c r="G1413" s="4" t="s">
        <v>35</v>
      </c>
      <c r="H1413" s="54" t="s">
        <v>48</v>
      </c>
      <c r="I1413" s="52"/>
      <c r="J1413" s="57">
        <v>4.07</v>
      </c>
      <c r="K1413" s="52"/>
      <c r="L1413" s="6">
        <v>3.0525000000000002</v>
      </c>
      <c r="M1413" s="6">
        <v>0.75</v>
      </c>
      <c r="N1413" s="6">
        <v>3.68</v>
      </c>
      <c r="O1413" s="57">
        <v>2.76</v>
      </c>
      <c r="P1413" s="52"/>
      <c r="Q1413" s="6">
        <v>0.74999999999999989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0.39</v>
      </c>
      <c r="AB1413" s="6">
        <v>0.29249999999999998</v>
      </c>
      <c r="AC1413" s="6">
        <v>0.74999999999999989</v>
      </c>
      <c r="AD1413" s="6">
        <v>-0.39000000000000012</v>
      </c>
      <c r="AE1413" s="6">
        <v>0.39000000000000012</v>
      </c>
    </row>
    <row r="1414" spans="2:31" x14ac:dyDescent="0.25">
      <c r="B1414" s="55"/>
      <c r="C1414" s="55"/>
      <c r="D1414" s="56"/>
      <c r="E1414" s="4" t="s">
        <v>2190</v>
      </c>
      <c r="F1414" s="4" t="s">
        <v>51</v>
      </c>
      <c r="G1414" s="4" t="s">
        <v>35</v>
      </c>
      <c r="H1414" s="54" t="s">
        <v>36</v>
      </c>
      <c r="I1414" s="52"/>
      <c r="J1414" s="57">
        <v>41.89</v>
      </c>
      <c r="K1414" s="52"/>
      <c r="L1414" s="6">
        <v>38.413130000000002</v>
      </c>
      <c r="M1414" s="6">
        <v>0.91700000000000004</v>
      </c>
      <c r="N1414" s="6">
        <v>39.21</v>
      </c>
      <c r="O1414" s="57">
        <v>35.955570000000002</v>
      </c>
      <c r="P1414" s="52"/>
      <c r="Q1414" s="6">
        <v>0.91700000000000004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2.68</v>
      </c>
      <c r="AB1414" s="6">
        <v>2.45756</v>
      </c>
      <c r="AC1414" s="6">
        <v>0.91699999999999993</v>
      </c>
      <c r="AD1414" s="6">
        <v>-2.68</v>
      </c>
      <c r="AE1414" s="6">
        <v>2.68</v>
      </c>
    </row>
    <row r="1415" spans="2:31" ht="20" x14ac:dyDescent="0.25">
      <c r="B1415" s="55"/>
      <c r="C1415" s="55"/>
      <c r="D1415" s="4" t="s">
        <v>2191</v>
      </c>
      <c r="E1415" s="4" t="s">
        <v>2059</v>
      </c>
      <c r="F1415" s="4" t="s">
        <v>51</v>
      </c>
      <c r="G1415" s="4" t="s">
        <v>35</v>
      </c>
      <c r="H1415" s="54" t="s">
        <v>36</v>
      </c>
      <c r="I1415" s="52"/>
      <c r="J1415" s="57">
        <v>16.07</v>
      </c>
      <c r="K1415" s="52"/>
      <c r="L1415" s="6">
        <v>14.736190000000001</v>
      </c>
      <c r="M1415" s="6">
        <v>0.91700000000000004</v>
      </c>
      <c r="N1415" s="6">
        <v>16.07</v>
      </c>
      <c r="O1415" s="57">
        <v>14.736190000000001</v>
      </c>
      <c r="P1415" s="52"/>
      <c r="Q1415" s="6">
        <v>0.91700000000000004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</row>
    <row r="1416" spans="2:31" x14ac:dyDescent="0.25">
      <c r="B1416" s="55"/>
      <c r="C1416" s="55"/>
      <c r="D1416" s="54" t="s">
        <v>2192</v>
      </c>
      <c r="E1416" s="4" t="s">
        <v>2193</v>
      </c>
      <c r="F1416" s="4" t="s">
        <v>51</v>
      </c>
      <c r="G1416" s="4" t="s">
        <v>35</v>
      </c>
      <c r="H1416" s="54" t="s">
        <v>36</v>
      </c>
      <c r="I1416" s="52"/>
      <c r="J1416" s="57">
        <v>54.03</v>
      </c>
      <c r="K1416" s="52"/>
      <c r="L1416" s="6">
        <v>49.54551</v>
      </c>
      <c r="M1416" s="6">
        <v>0.91700000000000004</v>
      </c>
      <c r="N1416" s="6">
        <v>51.03</v>
      </c>
      <c r="O1416" s="57">
        <v>46.794510000000002</v>
      </c>
      <c r="P1416" s="52"/>
      <c r="Q1416" s="6">
        <v>0.91700000000000004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3</v>
      </c>
      <c r="AB1416" s="6">
        <v>2.7509999999999999</v>
      </c>
      <c r="AC1416" s="6">
        <v>0.91699999999999993</v>
      </c>
      <c r="AD1416" s="6">
        <v>-3</v>
      </c>
      <c r="AE1416" s="6">
        <v>3</v>
      </c>
    </row>
    <row r="1417" spans="2:31" x14ac:dyDescent="0.25">
      <c r="B1417" s="55"/>
      <c r="C1417" s="55"/>
      <c r="D1417" s="56"/>
      <c r="E1417" s="4" t="s">
        <v>2194</v>
      </c>
      <c r="F1417" s="4" t="s">
        <v>51</v>
      </c>
      <c r="G1417" s="4" t="s">
        <v>35</v>
      </c>
      <c r="H1417" s="54" t="s">
        <v>36</v>
      </c>
      <c r="I1417" s="52"/>
      <c r="J1417" s="57">
        <v>64.41</v>
      </c>
      <c r="K1417" s="52"/>
      <c r="L1417" s="6">
        <v>59.063969999999998</v>
      </c>
      <c r="M1417" s="6">
        <v>0.91700000000000004</v>
      </c>
      <c r="N1417" s="6">
        <v>57.52</v>
      </c>
      <c r="O1417" s="57">
        <v>52.745840000000001</v>
      </c>
      <c r="P1417" s="52"/>
      <c r="Q1417" s="6">
        <v>0.91699999999999993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6.89</v>
      </c>
      <c r="AB1417" s="6">
        <v>6.31813</v>
      </c>
      <c r="AC1417" s="6">
        <v>0.91700000000000004</v>
      </c>
      <c r="AD1417" s="6">
        <v>-6.8899999999999935</v>
      </c>
      <c r="AE1417" s="6">
        <v>6.8899999999999935</v>
      </c>
    </row>
    <row r="1418" spans="2:31" ht="20" x14ac:dyDescent="0.25">
      <c r="B1418" s="55"/>
      <c r="C1418" s="55"/>
      <c r="D1418" s="4" t="s">
        <v>2195</v>
      </c>
      <c r="E1418" s="4" t="s">
        <v>2196</v>
      </c>
      <c r="F1418" s="4" t="s">
        <v>51</v>
      </c>
      <c r="G1418" s="4" t="s">
        <v>35</v>
      </c>
      <c r="H1418" s="54" t="s">
        <v>36</v>
      </c>
      <c r="I1418" s="52"/>
      <c r="J1418" s="57">
        <v>31.5</v>
      </c>
      <c r="K1418" s="52"/>
      <c r="L1418" s="6">
        <v>28.8855</v>
      </c>
      <c r="M1418" s="6">
        <v>0.91700000000000004</v>
      </c>
      <c r="N1418" s="6">
        <v>31.5</v>
      </c>
      <c r="O1418" s="57">
        <v>28.8855</v>
      </c>
      <c r="P1418" s="52"/>
      <c r="Q1418" s="6">
        <v>0.91700000000000004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</row>
    <row r="1419" spans="2:31" x14ac:dyDescent="0.25">
      <c r="B1419" s="55"/>
      <c r="C1419" s="55"/>
      <c r="D1419" s="54" t="s">
        <v>2197</v>
      </c>
      <c r="E1419" s="54" t="s">
        <v>338</v>
      </c>
      <c r="F1419" s="54" t="s">
        <v>51</v>
      </c>
      <c r="G1419" s="54" t="s">
        <v>35</v>
      </c>
      <c r="H1419" s="54" t="s">
        <v>48</v>
      </c>
      <c r="I1419" s="52"/>
      <c r="J1419" s="57">
        <v>9.83</v>
      </c>
      <c r="K1419" s="52"/>
      <c r="L1419" s="6">
        <v>7.3724999999999996</v>
      </c>
      <c r="M1419" s="6">
        <v>0.75</v>
      </c>
      <c r="N1419" s="6">
        <v>9.39</v>
      </c>
      <c r="O1419" s="57">
        <v>7.0425000000000004</v>
      </c>
      <c r="P1419" s="52"/>
      <c r="Q1419" s="6">
        <v>0.75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0.44</v>
      </c>
      <c r="AB1419" s="6">
        <v>0.33</v>
      </c>
      <c r="AC1419" s="6">
        <v>0.75</v>
      </c>
      <c r="AD1419" s="6">
        <v>-0.4399999999999995</v>
      </c>
      <c r="AE1419" s="6">
        <v>0.4399999999999995</v>
      </c>
    </row>
    <row r="1420" spans="2:31" x14ac:dyDescent="0.25">
      <c r="B1420" s="55"/>
      <c r="C1420" s="55"/>
      <c r="D1420" s="55"/>
      <c r="E1420" s="55"/>
      <c r="F1420" s="55"/>
      <c r="G1420" s="55"/>
      <c r="H1420" s="54" t="s">
        <v>41</v>
      </c>
      <c r="I1420" s="52"/>
      <c r="J1420" s="57">
        <v>4.4800000000000004</v>
      </c>
      <c r="K1420" s="52"/>
      <c r="L1420" s="6">
        <v>3.36</v>
      </c>
      <c r="M1420" s="6">
        <v>0.74999999999999989</v>
      </c>
      <c r="N1420" s="6">
        <v>4.1900000000000004</v>
      </c>
      <c r="O1420" s="57">
        <v>3.1425000000000001</v>
      </c>
      <c r="P1420" s="52"/>
      <c r="Q1420" s="6">
        <v>0.75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0.28999999999999998</v>
      </c>
      <c r="AB1420" s="6">
        <v>0.2175</v>
      </c>
      <c r="AC1420" s="6">
        <v>0.75</v>
      </c>
      <c r="AD1420" s="6">
        <v>-0.29000000000000004</v>
      </c>
      <c r="AE1420" s="6">
        <v>0.29000000000000004</v>
      </c>
    </row>
    <row r="1421" spans="2:31" x14ac:dyDescent="0.25">
      <c r="B1421" s="55"/>
      <c r="C1421" s="55"/>
      <c r="D1421" s="56"/>
      <c r="E1421" s="56"/>
      <c r="F1421" s="56"/>
      <c r="G1421" s="56"/>
      <c r="H1421" s="54" t="s">
        <v>36</v>
      </c>
      <c r="I1421" s="52"/>
      <c r="J1421" s="57">
        <v>18.41</v>
      </c>
      <c r="K1421" s="52"/>
      <c r="L1421" s="6">
        <v>16.881969999999999</v>
      </c>
      <c r="M1421" s="6">
        <v>0.91699999999999993</v>
      </c>
      <c r="N1421" s="6">
        <v>14.8</v>
      </c>
      <c r="O1421" s="57">
        <v>13.5716</v>
      </c>
      <c r="P1421" s="52"/>
      <c r="Q1421" s="6">
        <v>0.91699999999999993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3.61</v>
      </c>
      <c r="AB1421" s="6">
        <v>3.3103699999999998</v>
      </c>
      <c r="AC1421" s="6">
        <v>0.91699999999999993</v>
      </c>
      <c r="AD1421" s="6">
        <v>-3.6099999999999994</v>
      </c>
      <c r="AE1421" s="6">
        <v>3.6099999999999994</v>
      </c>
    </row>
    <row r="1422" spans="2:31" ht="20" x14ac:dyDescent="0.25">
      <c r="B1422" s="55"/>
      <c r="C1422" s="56"/>
      <c r="D1422" s="4" t="s">
        <v>2198</v>
      </c>
      <c r="E1422" s="4" t="s">
        <v>338</v>
      </c>
      <c r="F1422" s="4" t="s">
        <v>51</v>
      </c>
      <c r="G1422" s="4" t="s">
        <v>35</v>
      </c>
      <c r="H1422" s="54" t="s">
        <v>36</v>
      </c>
      <c r="I1422" s="52"/>
      <c r="J1422" s="57">
        <v>2.2999999999999998</v>
      </c>
      <c r="K1422" s="52"/>
      <c r="L1422" s="6">
        <v>2.1091000000000002</v>
      </c>
      <c r="M1422" s="6">
        <v>0.91700000000000015</v>
      </c>
      <c r="N1422" s="6">
        <v>2.2799999999999998</v>
      </c>
      <c r="O1422" s="57">
        <v>2.09076</v>
      </c>
      <c r="P1422" s="52"/>
      <c r="Q1422" s="6">
        <v>0.91700000000000004</v>
      </c>
      <c r="R1422" s="6">
        <v>0.02</v>
      </c>
      <c r="S1422" s="6">
        <v>1.8339999999999999E-2</v>
      </c>
      <c r="T1422" s="6">
        <v>0.91699999999999993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-4.0000000000000022E-2</v>
      </c>
      <c r="AE1422" s="6">
        <v>1.7347234759768071E-17</v>
      </c>
    </row>
    <row r="1423" spans="2:31" x14ac:dyDescent="0.25">
      <c r="B1423" s="55"/>
      <c r="C1423" s="58">
        <v>46196</v>
      </c>
      <c r="D1423" s="4" t="s">
        <v>2199</v>
      </c>
      <c r="E1423" s="4" t="s">
        <v>2200</v>
      </c>
      <c r="F1423" s="4" t="s">
        <v>34</v>
      </c>
      <c r="G1423" s="4" t="s">
        <v>35</v>
      </c>
      <c r="H1423" s="54" t="s">
        <v>36</v>
      </c>
      <c r="I1423" s="52"/>
      <c r="J1423" s="57">
        <v>29.91</v>
      </c>
      <c r="K1423" s="52"/>
      <c r="L1423" s="6">
        <v>27.42747</v>
      </c>
      <c r="M1423" s="6">
        <v>0.91699999999999993</v>
      </c>
      <c r="N1423" s="6">
        <v>27.85</v>
      </c>
      <c r="O1423" s="57">
        <v>25.538450000000001</v>
      </c>
      <c r="P1423" s="52"/>
      <c r="Q1423" s="6">
        <v>0.91700000000000004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2.06</v>
      </c>
      <c r="AB1423" s="6">
        <v>1.8890199999999999</v>
      </c>
      <c r="AC1423" s="6">
        <v>0.91699999999999993</v>
      </c>
      <c r="AD1423" s="6">
        <v>-2.0599999999999987</v>
      </c>
      <c r="AE1423" s="6">
        <v>2.0599999999999987</v>
      </c>
    </row>
    <row r="1424" spans="2:31" x14ac:dyDescent="0.25">
      <c r="B1424" s="55"/>
      <c r="C1424" s="55"/>
      <c r="D1424" s="4" t="s">
        <v>2201</v>
      </c>
      <c r="E1424" s="4" t="s">
        <v>2202</v>
      </c>
      <c r="F1424" s="4" t="s">
        <v>34</v>
      </c>
      <c r="G1424" s="4" t="s">
        <v>35</v>
      </c>
      <c r="H1424" s="54" t="s">
        <v>48</v>
      </c>
      <c r="I1424" s="52"/>
      <c r="J1424" s="57">
        <v>91.41</v>
      </c>
      <c r="K1424" s="52"/>
      <c r="L1424" s="6">
        <v>68.557500000000005</v>
      </c>
      <c r="M1424" s="6">
        <v>0.75000000000000011</v>
      </c>
      <c r="N1424" s="6">
        <v>84.16</v>
      </c>
      <c r="O1424" s="57">
        <v>63.12</v>
      </c>
      <c r="P1424" s="52"/>
      <c r="Q1424" s="6">
        <v>0.75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7.25</v>
      </c>
      <c r="AB1424" s="6">
        <v>5.4375</v>
      </c>
      <c r="AC1424" s="6">
        <v>0.75</v>
      </c>
      <c r="AD1424" s="6">
        <v>-7.25</v>
      </c>
      <c r="AE1424" s="6">
        <v>7.25</v>
      </c>
    </row>
    <row r="1425" spans="2:31" x14ac:dyDescent="0.25">
      <c r="B1425" s="55"/>
      <c r="C1425" s="55"/>
      <c r="D1425" s="4" t="s">
        <v>2203</v>
      </c>
      <c r="E1425" s="4" t="s">
        <v>2204</v>
      </c>
      <c r="F1425" s="4" t="s">
        <v>34</v>
      </c>
      <c r="G1425" s="4" t="s">
        <v>35</v>
      </c>
      <c r="H1425" s="54" t="s">
        <v>36</v>
      </c>
      <c r="I1425" s="52"/>
      <c r="J1425" s="57">
        <v>98.33</v>
      </c>
      <c r="K1425" s="52"/>
      <c r="L1425" s="6">
        <v>90.168610000000001</v>
      </c>
      <c r="M1425" s="6">
        <v>0.91700000000000004</v>
      </c>
      <c r="N1425" s="6">
        <v>93.59</v>
      </c>
      <c r="O1425" s="57">
        <v>85.822029999999998</v>
      </c>
      <c r="P1425" s="52"/>
      <c r="Q1425" s="6">
        <v>0.91699999999999993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4.74</v>
      </c>
      <c r="AB1425" s="6">
        <v>4.3465800000000003</v>
      </c>
      <c r="AC1425" s="6">
        <v>0.91700000000000004</v>
      </c>
      <c r="AD1425" s="6">
        <v>-4.7399999999999949</v>
      </c>
      <c r="AE1425" s="6">
        <v>4.7399999999999949</v>
      </c>
    </row>
    <row r="1426" spans="2:31" x14ac:dyDescent="0.25">
      <c r="B1426" s="55"/>
      <c r="C1426" s="55"/>
      <c r="D1426" s="4" t="s">
        <v>2205</v>
      </c>
      <c r="E1426" s="4" t="s">
        <v>2206</v>
      </c>
      <c r="F1426" s="4" t="s">
        <v>34</v>
      </c>
      <c r="G1426" s="4" t="s">
        <v>35</v>
      </c>
      <c r="H1426" s="54" t="s">
        <v>36</v>
      </c>
      <c r="I1426" s="52"/>
      <c r="J1426" s="57">
        <v>94.68</v>
      </c>
      <c r="K1426" s="52"/>
      <c r="L1426" s="6">
        <v>86.821560000000005</v>
      </c>
      <c r="M1426" s="6">
        <v>0.91700000000000004</v>
      </c>
      <c r="N1426" s="6">
        <v>90.21</v>
      </c>
      <c r="O1426" s="57">
        <v>82.722570000000005</v>
      </c>
      <c r="P1426" s="52"/>
      <c r="Q1426" s="6">
        <v>0.91700000000000015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4.47</v>
      </c>
      <c r="AB1426" s="6">
        <v>4.0989899999999997</v>
      </c>
      <c r="AC1426" s="6">
        <v>0.91699999999999993</v>
      </c>
      <c r="AD1426" s="6">
        <v>-4.4700000000000131</v>
      </c>
      <c r="AE1426" s="6">
        <v>4.4700000000000131</v>
      </c>
    </row>
    <row r="1427" spans="2:31" x14ac:dyDescent="0.25">
      <c r="B1427" s="55"/>
      <c r="C1427" s="55"/>
      <c r="D1427" s="4" t="s">
        <v>2207</v>
      </c>
      <c r="E1427" s="4" t="s">
        <v>2208</v>
      </c>
      <c r="F1427" s="4" t="s">
        <v>34</v>
      </c>
      <c r="G1427" s="4" t="s">
        <v>35</v>
      </c>
      <c r="H1427" s="54" t="s">
        <v>36</v>
      </c>
      <c r="I1427" s="52"/>
      <c r="J1427" s="57">
        <v>52.15</v>
      </c>
      <c r="K1427" s="52"/>
      <c r="L1427" s="6">
        <v>47.821550000000002</v>
      </c>
      <c r="M1427" s="6">
        <v>0.91700000000000004</v>
      </c>
      <c r="N1427" s="6">
        <v>48.9</v>
      </c>
      <c r="O1427" s="57">
        <v>44.841299999999997</v>
      </c>
      <c r="P1427" s="52"/>
      <c r="Q1427" s="6">
        <v>0.91699999999999993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3.25</v>
      </c>
      <c r="AB1427" s="6">
        <v>2.9802499999999998</v>
      </c>
      <c r="AC1427" s="6">
        <v>0.91699999999999993</v>
      </c>
      <c r="AD1427" s="6">
        <v>-3.25</v>
      </c>
      <c r="AE1427" s="6">
        <v>3.25</v>
      </c>
    </row>
    <row r="1428" spans="2:31" x14ac:dyDescent="0.25">
      <c r="B1428" s="55"/>
      <c r="C1428" s="55"/>
      <c r="D1428" s="4" t="s">
        <v>2209</v>
      </c>
      <c r="E1428" s="4" t="s">
        <v>2210</v>
      </c>
      <c r="F1428" s="4" t="s">
        <v>34</v>
      </c>
      <c r="G1428" s="4" t="s">
        <v>35</v>
      </c>
      <c r="H1428" s="54" t="s">
        <v>36</v>
      </c>
      <c r="I1428" s="52"/>
      <c r="J1428" s="57">
        <v>205.19</v>
      </c>
      <c r="K1428" s="52"/>
      <c r="L1428" s="6">
        <v>188.15923000000001</v>
      </c>
      <c r="M1428" s="6">
        <v>0.91700000000000004</v>
      </c>
      <c r="N1428" s="6">
        <v>191.42</v>
      </c>
      <c r="O1428" s="57">
        <v>175.53214</v>
      </c>
      <c r="P1428" s="52"/>
      <c r="Q1428" s="6">
        <v>0.91700000000000004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13.77</v>
      </c>
      <c r="AB1428" s="6">
        <v>12.627090000000001</v>
      </c>
      <c r="AC1428" s="6">
        <v>0.91700000000000004</v>
      </c>
      <c r="AD1428" s="6">
        <v>-13.77000000000001</v>
      </c>
      <c r="AE1428" s="6">
        <v>13.77000000000001</v>
      </c>
    </row>
    <row r="1429" spans="2:31" x14ac:dyDescent="0.25">
      <c r="B1429" s="55"/>
      <c r="C1429" s="55"/>
      <c r="D1429" s="4" t="s">
        <v>2211</v>
      </c>
      <c r="E1429" s="4" t="s">
        <v>2212</v>
      </c>
      <c r="F1429" s="4" t="s">
        <v>34</v>
      </c>
      <c r="G1429" s="4" t="s">
        <v>35</v>
      </c>
      <c r="H1429" s="54" t="s">
        <v>36</v>
      </c>
      <c r="I1429" s="52"/>
      <c r="J1429" s="57">
        <v>225.96</v>
      </c>
      <c r="K1429" s="52"/>
      <c r="L1429" s="6">
        <v>207.20532</v>
      </c>
      <c r="M1429" s="6">
        <v>0.91699999999999993</v>
      </c>
      <c r="N1429" s="6">
        <v>204.64</v>
      </c>
      <c r="O1429" s="57">
        <v>187.65487999999999</v>
      </c>
      <c r="P1429" s="52"/>
      <c r="Q1429" s="6">
        <v>0.91700000000000004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21.32</v>
      </c>
      <c r="AB1429" s="6">
        <v>19.550439999999998</v>
      </c>
      <c r="AC1429" s="6">
        <v>0.91699999999999993</v>
      </c>
      <c r="AD1429" s="6">
        <v>-21.320000000000022</v>
      </c>
      <c r="AE1429" s="6">
        <v>21.320000000000022</v>
      </c>
    </row>
    <row r="1430" spans="2:31" x14ac:dyDescent="0.25">
      <c r="B1430" s="55"/>
      <c r="C1430" s="55"/>
      <c r="D1430" s="4" t="s">
        <v>2213</v>
      </c>
      <c r="E1430" s="4" t="s">
        <v>2214</v>
      </c>
      <c r="F1430" s="4" t="s">
        <v>34</v>
      </c>
      <c r="G1430" s="4" t="s">
        <v>35</v>
      </c>
      <c r="H1430" s="54" t="s">
        <v>48</v>
      </c>
      <c r="I1430" s="52"/>
      <c r="J1430" s="57">
        <v>123.12</v>
      </c>
      <c r="K1430" s="52"/>
      <c r="L1430" s="6">
        <v>92.34</v>
      </c>
      <c r="M1430" s="6">
        <v>0.75</v>
      </c>
      <c r="N1430" s="6">
        <v>114.36</v>
      </c>
      <c r="O1430" s="57">
        <v>85.77</v>
      </c>
      <c r="P1430" s="52"/>
      <c r="Q1430" s="6">
        <v>0.75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8.76</v>
      </c>
      <c r="AB1430" s="6">
        <v>6.57</v>
      </c>
      <c r="AC1430" s="6">
        <v>0.75</v>
      </c>
      <c r="AD1430" s="6">
        <v>-8.7600000000000051</v>
      </c>
      <c r="AE1430" s="6">
        <v>8.7600000000000051</v>
      </c>
    </row>
    <row r="1431" spans="2:31" x14ac:dyDescent="0.25">
      <c r="B1431" s="55"/>
      <c r="C1431" s="55"/>
      <c r="D1431" s="4" t="s">
        <v>2215</v>
      </c>
      <c r="E1431" s="4" t="s">
        <v>2216</v>
      </c>
      <c r="F1431" s="4" t="s">
        <v>34</v>
      </c>
      <c r="G1431" s="4" t="s">
        <v>35</v>
      </c>
      <c r="H1431" s="54" t="s">
        <v>48</v>
      </c>
      <c r="I1431" s="52"/>
      <c r="J1431" s="57">
        <v>125.7</v>
      </c>
      <c r="K1431" s="52"/>
      <c r="L1431" s="6">
        <v>94.275000000000006</v>
      </c>
      <c r="M1431" s="6">
        <v>0.75</v>
      </c>
      <c r="N1431" s="6">
        <v>105.94</v>
      </c>
      <c r="O1431" s="57">
        <v>79.454999999999998</v>
      </c>
      <c r="P1431" s="52"/>
      <c r="Q1431" s="6">
        <v>0.75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19.760000000000002</v>
      </c>
      <c r="AB1431" s="6">
        <v>14.82</v>
      </c>
      <c r="AC1431" s="6">
        <v>0.75</v>
      </c>
      <c r="AD1431" s="6">
        <v>-19.760000000000005</v>
      </c>
      <c r="AE1431" s="6">
        <v>19.760000000000005</v>
      </c>
    </row>
    <row r="1432" spans="2:31" x14ac:dyDescent="0.25">
      <c r="B1432" s="55"/>
      <c r="C1432" s="55"/>
      <c r="D1432" s="4" t="s">
        <v>2217</v>
      </c>
      <c r="E1432" s="4" t="s">
        <v>2218</v>
      </c>
      <c r="F1432" s="4" t="s">
        <v>34</v>
      </c>
      <c r="G1432" s="4" t="s">
        <v>35</v>
      </c>
      <c r="H1432" s="54" t="s">
        <v>36</v>
      </c>
      <c r="I1432" s="52"/>
      <c r="J1432" s="57">
        <v>232.97</v>
      </c>
      <c r="K1432" s="52"/>
      <c r="L1432" s="6">
        <v>213.63348999999999</v>
      </c>
      <c r="M1432" s="6">
        <v>0.91700000000000004</v>
      </c>
      <c r="N1432" s="6">
        <v>232.97</v>
      </c>
      <c r="O1432" s="57">
        <v>213.63348999999999</v>
      </c>
      <c r="P1432" s="52"/>
      <c r="Q1432" s="6">
        <v>0.91700000000000004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</row>
    <row r="1433" spans="2:31" ht="20" x14ac:dyDescent="0.25">
      <c r="B1433" s="55"/>
      <c r="C1433" s="55"/>
      <c r="D1433" s="4" t="s">
        <v>2219</v>
      </c>
      <c r="E1433" s="4" t="s">
        <v>2220</v>
      </c>
      <c r="F1433" s="4" t="s">
        <v>51</v>
      </c>
      <c r="G1433" s="4" t="s">
        <v>35</v>
      </c>
      <c r="H1433" s="54" t="s">
        <v>36</v>
      </c>
      <c r="I1433" s="52"/>
      <c r="J1433" s="57">
        <v>24.22</v>
      </c>
      <c r="K1433" s="52"/>
      <c r="L1433" s="6">
        <v>22.20974</v>
      </c>
      <c r="M1433" s="6">
        <v>0.91700000000000004</v>
      </c>
      <c r="N1433" s="6">
        <v>22.82</v>
      </c>
      <c r="O1433" s="57">
        <v>20.925940000000001</v>
      </c>
      <c r="P1433" s="52"/>
      <c r="Q1433" s="6">
        <v>0.91700000000000004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1.4</v>
      </c>
      <c r="AB1433" s="6">
        <v>1.2838000000000001</v>
      </c>
      <c r="AC1433" s="6">
        <v>0.91700000000000015</v>
      </c>
      <c r="AD1433" s="6">
        <v>-1.3999999999999986</v>
      </c>
      <c r="AE1433" s="6">
        <v>1.3999999999999986</v>
      </c>
    </row>
    <row r="1434" spans="2:31" ht="20" x14ac:dyDescent="0.25">
      <c r="B1434" s="55"/>
      <c r="C1434" s="55"/>
      <c r="D1434" s="4" t="s">
        <v>2221</v>
      </c>
      <c r="E1434" s="4" t="s">
        <v>2222</v>
      </c>
      <c r="F1434" s="4" t="s">
        <v>51</v>
      </c>
      <c r="G1434" s="4" t="s">
        <v>35</v>
      </c>
      <c r="H1434" s="54" t="s">
        <v>36</v>
      </c>
      <c r="I1434" s="52"/>
      <c r="J1434" s="57">
        <v>20.09</v>
      </c>
      <c r="K1434" s="52"/>
      <c r="L1434" s="6">
        <v>18.422529999999998</v>
      </c>
      <c r="M1434" s="6">
        <v>0.91699999999999993</v>
      </c>
      <c r="N1434" s="6">
        <v>18.79</v>
      </c>
      <c r="O1434" s="57">
        <v>17.230429999999998</v>
      </c>
      <c r="P1434" s="52"/>
      <c r="Q1434" s="6">
        <v>0.91699999999999993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1.3</v>
      </c>
      <c r="AB1434" s="6">
        <v>1.1920999999999999</v>
      </c>
      <c r="AC1434" s="6">
        <v>0.91699999999999993</v>
      </c>
      <c r="AD1434" s="6">
        <v>-1.3000000000000007</v>
      </c>
      <c r="AE1434" s="6">
        <v>1.3000000000000007</v>
      </c>
    </row>
    <row r="1435" spans="2:31" ht="20" x14ac:dyDescent="0.25">
      <c r="B1435" s="55"/>
      <c r="C1435" s="55"/>
      <c r="D1435" s="4" t="s">
        <v>2223</v>
      </c>
      <c r="E1435" s="4" t="s">
        <v>2224</v>
      </c>
      <c r="F1435" s="4" t="s">
        <v>51</v>
      </c>
      <c r="G1435" s="4" t="s">
        <v>35</v>
      </c>
      <c r="H1435" s="54" t="s">
        <v>36</v>
      </c>
      <c r="I1435" s="52"/>
      <c r="J1435" s="57">
        <v>14.2</v>
      </c>
      <c r="K1435" s="52"/>
      <c r="L1435" s="6">
        <v>13.0214</v>
      </c>
      <c r="M1435" s="6">
        <v>0.91700000000000004</v>
      </c>
      <c r="N1435" s="6">
        <v>13.29</v>
      </c>
      <c r="O1435" s="57">
        <v>12.18693</v>
      </c>
      <c r="P1435" s="52"/>
      <c r="Q1435" s="6">
        <v>0.91700000000000004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0.91</v>
      </c>
      <c r="AB1435" s="6">
        <v>0.83447000000000005</v>
      </c>
      <c r="AC1435" s="6">
        <v>0.91700000000000004</v>
      </c>
      <c r="AD1435" s="6">
        <v>-0.91000000000000014</v>
      </c>
      <c r="AE1435" s="6">
        <v>0.91000000000000014</v>
      </c>
    </row>
    <row r="1436" spans="2:31" ht="20" x14ac:dyDescent="0.25">
      <c r="B1436" s="55"/>
      <c r="C1436" s="55"/>
      <c r="D1436" s="4" t="s">
        <v>2225</v>
      </c>
      <c r="E1436" s="4" t="s">
        <v>2226</v>
      </c>
      <c r="F1436" s="4" t="s">
        <v>51</v>
      </c>
      <c r="G1436" s="4" t="s">
        <v>35</v>
      </c>
      <c r="H1436" s="54" t="s">
        <v>36</v>
      </c>
      <c r="I1436" s="52"/>
      <c r="J1436" s="57">
        <v>48.15</v>
      </c>
      <c r="K1436" s="52"/>
      <c r="L1436" s="6">
        <v>44.153550000000003</v>
      </c>
      <c r="M1436" s="6">
        <v>0.91700000000000004</v>
      </c>
      <c r="N1436" s="6">
        <v>44.22</v>
      </c>
      <c r="O1436" s="57">
        <v>40.54974</v>
      </c>
      <c r="P1436" s="52"/>
      <c r="Q1436" s="6">
        <v>0.91700000000000004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3.93</v>
      </c>
      <c r="AB1436" s="6">
        <v>3.6038100000000002</v>
      </c>
      <c r="AC1436" s="6">
        <v>0.91700000000000004</v>
      </c>
      <c r="AD1436" s="6">
        <v>-3.93</v>
      </c>
      <c r="AE1436" s="6">
        <v>3.93</v>
      </c>
    </row>
    <row r="1437" spans="2:31" ht="20" x14ac:dyDescent="0.25">
      <c r="B1437" s="55"/>
      <c r="C1437" s="55"/>
      <c r="D1437" s="4" t="s">
        <v>2227</v>
      </c>
      <c r="E1437" s="4" t="s">
        <v>2173</v>
      </c>
      <c r="F1437" s="4" t="s">
        <v>51</v>
      </c>
      <c r="G1437" s="4" t="s">
        <v>35</v>
      </c>
      <c r="H1437" s="54" t="s">
        <v>36</v>
      </c>
      <c r="I1437" s="52"/>
      <c r="J1437" s="57">
        <v>3.99</v>
      </c>
      <c r="K1437" s="52"/>
      <c r="L1437" s="6">
        <v>3.65883</v>
      </c>
      <c r="M1437" s="6">
        <v>0.91699999999999993</v>
      </c>
      <c r="N1437" s="6">
        <v>3.97</v>
      </c>
      <c r="O1437" s="57">
        <v>3.6404899999999998</v>
      </c>
      <c r="P1437" s="52"/>
      <c r="Q1437" s="6">
        <v>0.91699999999999993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0.02</v>
      </c>
      <c r="AB1437" s="6">
        <v>1.8339999999999999E-2</v>
      </c>
      <c r="AC1437" s="6">
        <v>0.91699999999999993</v>
      </c>
      <c r="AD1437" s="6">
        <v>-2.0000000000000018E-2</v>
      </c>
      <c r="AE1437" s="6">
        <v>2.0000000000000018E-2</v>
      </c>
    </row>
    <row r="1438" spans="2:31" ht="20" x14ac:dyDescent="0.25">
      <c r="B1438" s="55"/>
      <c r="C1438" s="55"/>
      <c r="D1438" s="4" t="s">
        <v>2228</v>
      </c>
      <c r="E1438" s="4" t="s">
        <v>2229</v>
      </c>
      <c r="F1438" s="4" t="s">
        <v>51</v>
      </c>
      <c r="G1438" s="4" t="s">
        <v>35</v>
      </c>
      <c r="H1438" s="54" t="s">
        <v>36</v>
      </c>
      <c r="I1438" s="52"/>
      <c r="J1438" s="57">
        <v>53.63</v>
      </c>
      <c r="K1438" s="52"/>
      <c r="L1438" s="6">
        <v>49.178710000000002</v>
      </c>
      <c r="M1438" s="6">
        <v>0.91700000000000004</v>
      </c>
      <c r="N1438" s="6">
        <v>50.36</v>
      </c>
      <c r="O1438" s="57">
        <v>46.180120000000002</v>
      </c>
      <c r="P1438" s="52"/>
      <c r="Q1438" s="6">
        <v>0.91700000000000004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3.27</v>
      </c>
      <c r="AB1438" s="6">
        <v>2.9985900000000001</v>
      </c>
      <c r="AC1438" s="6">
        <v>0.91700000000000004</v>
      </c>
      <c r="AD1438" s="6">
        <v>-3.2700000000000031</v>
      </c>
      <c r="AE1438" s="6">
        <v>3.2700000000000031</v>
      </c>
    </row>
    <row r="1439" spans="2:31" ht="20" x14ac:dyDescent="0.25">
      <c r="B1439" s="55"/>
      <c r="C1439" s="55"/>
      <c r="D1439" s="4" t="s">
        <v>2230</v>
      </c>
      <c r="E1439" s="4" t="s">
        <v>2231</v>
      </c>
      <c r="F1439" s="4" t="s">
        <v>51</v>
      </c>
      <c r="G1439" s="4" t="s">
        <v>35</v>
      </c>
      <c r="H1439" s="54" t="s">
        <v>36</v>
      </c>
      <c r="I1439" s="52"/>
      <c r="J1439" s="57">
        <v>22.39</v>
      </c>
      <c r="K1439" s="52"/>
      <c r="L1439" s="6">
        <v>20.53163</v>
      </c>
      <c r="M1439" s="6">
        <v>0.91699999999999993</v>
      </c>
      <c r="N1439" s="6">
        <v>18.89</v>
      </c>
      <c r="O1439" s="57">
        <v>17.322130000000001</v>
      </c>
      <c r="P1439" s="52"/>
      <c r="Q1439" s="6">
        <v>0.91700000000000004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3.5</v>
      </c>
      <c r="AB1439" s="6">
        <v>3.2094999999999998</v>
      </c>
      <c r="AC1439" s="6">
        <v>0.91699999999999993</v>
      </c>
      <c r="AD1439" s="6">
        <v>-3.5</v>
      </c>
      <c r="AE1439" s="6">
        <v>3.5</v>
      </c>
    </row>
    <row r="1440" spans="2:31" x14ac:dyDescent="0.25">
      <c r="B1440" s="55"/>
      <c r="C1440" s="55"/>
      <c r="D1440" s="54" t="s">
        <v>2232</v>
      </c>
      <c r="E1440" s="4" t="s">
        <v>2233</v>
      </c>
      <c r="F1440" s="4" t="s">
        <v>51</v>
      </c>
      <c r="G1440" s="4" t="s">
        <v>35</v>
      </c>
      <c r="H1440" s="54" t="s">
        <v>36</v>
      </c>
      <c r="I1440" s="52"/>
      <c r="J1440" s="57">
        <v>3.58</v>
      </c>
      <c r="K1440" s="52"/>
      <c r="L1440" s="6">
        <v>3.2828599999999999</v>
      </c>
      <c r="M1440" s="6">
        <v>0.91699999999999993</v>
      </c>
      <c r="N1440" s="6">
        <v>3.34</v>
      </c>
      <c r="O1440" s="57">
        <v>3.0627800000000001</v>
      </c>
      <c r="P1440" s="52"/>
      <c r="Q1440" s="6">
        <v>0.91700000000000004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0.24</v>
      </c>
      <c r="AB1440" s="6">
        <v>0.22008</v>
      </c>
      <c r="AC1440" s="6">
        <v>0.91700000000000004</v>
      </c>
      <c r="AD1440" s="6">
        <v>-0.24000000000000021</v>
      </c>
      <c r="AE1440" s="6">
        <v>0.24000000000000021</v>
      </c>
    </row>
    <row r="1441" spans="2:31" x14ac:dyDescent="0.25">
      <c r="B1441" s="55"/>
      <c r="C1441" s="55"/>
      <c r="D1441" s="55"/>
      <c r="E1441" s="4" t="s">
        <v>2234</v>
      </c>
      <c r="F1441" s="4" t="s">
        <v>51</v>
      </c>
      <c r="G1441" s="4" t="s">
        <v>35</v>
      </c>
      <c r="H1441" s="54" t="s">
        <v>36</v>
      </c>
      <c r="I1441" s="52"/>
      <c r="J1441" s="57">
        <v>8.5399999999999991</v>
      </c>
      <c r="K1441" s="52"/>
      <c r="L1441" s="6">
        <v>7.8311799999999998</v>
      </c>
      <c r="M1441" s="6">
        <v>0.91700000000000004</v>
      </c>
      <c r="N1441" s="6">
        <v>7.34</v>
      </c>
      <c r="O1441" s="57">
        <v>6.7307800000000002</v>
      </c>
      <c r="P1441" s="52"/>
      <c r="Q1441" s="6">
        <v>0.91700000000000004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1.2</v>
      </c>
      <c r="AB1441" s="6">
        <v>1.1004</v>
      </c>
      <c r="AC1441" s="6">
        <v>0.91700000000000004</v>
      </c>
      <c r="AD1441" s="6">
        <v>-1.1999999999999993</v>
      </c>
      <c r="AE1441" s="6">
        <v>1.1999999999999993</v>
      </c>
    </row>
    <row r="1442" spans="2:31" x14ac:dyDescent="0.25">
      <c r="B1442" s="55"/>
      <c r="C1442" s="55"/>
      <c r="D1442" s="55"/>
      <c r="E1442" s="4" t="s">
        <v>2235</v>
      </c>
      <c r="F1442" s="4" t="s">
        <v>51</v>
      </c>
      <c r="G1442" s="4" t="s">
        <v>35</v>
      </c>
      <c r="H1442" s="54" t="s">
        <v>36</v>
      </c>
      <c r="I1442" s="52"/>
      <c r="J1442" s="57">
        <v>44.1</v>
      </c>
      <c r="K1442" s="52"/>
      <c r="L1442" s="6">
        <v>40.439700000000002</v>
      </c>
      <c r="M1442" s="6">
        <v>0.91700000000000004</v>
      </c>
      <c r="N1442" s="6">
        <v>43.05</v>
      </c>
      <c r="O1442" s="57">
        <v>39.476849999999999</v>
      </c>
      <c r="P1442" s="52"/>
      <c r="Q1442" s="6">
        <v>0.91700000000000004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1.05</v>
      </c>
      <c r="AB1442" s="6">
        <v>0.96284999999999998</v>
      </c>
      <c r="AC1442" s="6">
        <v>0.91699999999999993</v>
      </c>
      <c r="AD1442" s="6">
        <v>-1.0500000000000043</v>
      </c>
      <c r="AE1442" s="6">
        <v>1.0500000000000043</v>
      </c>
    </row>
    <row r="1443" spans="2:31" x14ac:dyDescent="0.25">
      <c r="B1443" s="55"/>
      <c r="C1443" s="55"/>
      <c r="D1443" s="55"/>
      <c r="E1443" s="4" t="s">
        <v>2236</v>
      </c>
      <c r="F1443" s="4" t="s">
        <v>51</v>
      </c>
      <c r="G1443" s="4" t="s">
        <v>35</v>
      </c>
      <c r="H1443" s="54" t="s">
        <v>36</v>
      </c>
      <c r="I1443" s="52"/>
      <c r="J1443" s="57">
        <v>24.06</v>
      </c>
      <c r="K1443" s="52"/>
      <c r="L1443" s="6">
        <v>22.063020000000002</v>
      </c>
      <c r="M1443" s="6">
        <v>0.91700000000000015</v>
      </c>
      <c r="N1443" s="6">
        <v>22.56</v>
      </c>
      <c r="O1443" s="57">
        <v>20.687519999999999</v>
      </c>
      <c r="P1443" s="52"/>
      <c r="Q1443" s="6">
        <v>0.91700000000000004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1.5</v>
      </c>
      <c r="AB1443" s="6">
        <v>1.3754999999999999</v>
      </c>
      <c r="AC1443" s="6">
        <v>0.91699999999999993</v>
      </c>
      <c r="AD1443" s="6">
        <v>-1.5</v>
      </c>
      <c r="AE1443" s="6">
        <v>1.5</v>
      </c>
    </row>
    <row r="1444" spans="2:31" x14ac:dyDescent="0.25">
      <c r="B1444" s="55"/>
      <c r="C1444" s="55"/>
      <c r="D1444" s="56"/>
      <c r="E1444" s="4" t="s">
        <v>2237</v>
      </c>
      <c r="F1444" s="4" t="s">
        <v>51</v>
      </c>
      <c r="G1444" s="4" t="s">
        <v>35</v>
      </c>
      <c r="H1444" s="54" t="s">
        <v>36</v>
      </c>
      <c r="I1444" s="52"/>
      <c r="J1444" s="57">
        <v>22.06</v>
      </c>
      <c r="K1444" s="52"/>
      <c r="L1444" s="6">
        <v>20.229019999999998</v>
      </c>
      <c r="M1444" s="6">
        <v>0.91700000000000004</v>
      </c>
      <c r="N1444" s="6">
        <v>21.22</v>
      </c>
      <c r="O1444" s="57">
        <v>19.458739999999999</v>
      </c>
      <c r="P1444" s="52"/>
      <c r="Q1444" s="6">
        <v>0.91700000000000004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0.84</v>
      </c>
      <c r="AB1444" s="6">
        <v>0.77027999999999996</v>
      </c>
      <c r="AC1444" s="6">
        <v>0.91700000000000004</v>
      </c>
      <c r="AD1444" s="6">
        <v>-0.83999999999999986</v>
      </c>
      <c r="AE1444" s="6">
        <v>0.83999999999999986</v>
      </c>
    </row>
    <row r="1445" spans="2:31" ht="20" x14ac:dyDescent="0.25">
      <c r="B1445" s="55"/>
      <c r="C1445" s="55"/>
      <c r="D1445" s="4" t="s">
        <v>2238</v>
      </c>
      <c r="E1445" s="4" t="s">
        <v>2239</v>
      </c>
      <c r="F1445" s="4" t="s">
        <v>51</v>
      </c>
      <c r="G1445" s="4" t="s">
        <v>35</v>
      </c>
      <c r="H1445" s="54" t="s">
        <v>36</v>
      </c>
      <c r="I1445" s="52"/>
      <c r="J1445" s="57">
        <v>96.78</v>
      </c>
      <c r="K1445" s="52"/>
      <c r="L1445" s="6">
        <v>88.747259999999997</v>
      </c>
      <c r="M1445" s="6">
        <v>0.91699999999999993</v>
      </c>
      <c r="N1445" s="6">
        <v>92.55</v>
      </c>
      <c r="O1445" s="57">
        <v>84.868350000000007</v>
      </c>
      <c r="P1445" s="52"/>
      <c r="Q1445" s="6">
        <v>0.91700000000000015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4.2300000000000004</v>
      </c>
      <c r="AB1445" s="6">
        <v>3.8789099999999999</v>
      </c>
      <c r="AC1445" s="6">
        <v>0.91699999999999993</v>
      </c>
      <c r="AD1445" s="6">
        <v>-4.230000000000004</v>
      </c>
      <c r="AE1445" s="6">
        <v>4.230000000000004</v>
      </c>
    </row>
    <row r="1446" spans="2:31" ht="20" x14ac:dyDescent="0.25">
      <c r="B1446" s="55"/>
      <c r="C1446" s="55"/>
      <c r="D1446" s="4" t="s">
        <v>2240</v>
      </c>
      <c r="E1446" s="4" t="s">
        <v>2241</v>
      </c>
      <c r="F1446" s="4" t="s">
        <v>51</v>
      </c>
      <c r="G1446" s="4" t="s">
        <v>35</v>
      </c>
      <c r="H1446" s="54" t="s">
        <v>36</v>
      </c>
      <c r="I1446" s="52"/>
      <c r="J1446" s="57">
        <v>50.15</v>
      </c>
      <c r="K1446" s="52"/>
      <c r="L1446" s="6">
        <v>45.987549999999999</v>
      </c>
      <c r="M1446" s="6">
        <v>0.91700000000000004</v>
      </c>
      <c r="N1446" s="6">
        <v>48.49</v>
      </c>
      <c r="O1446" s="57">
        <v>44.465330000000002</v>
      </c>
      <c r="P1446" s="52"/>
      <c r="Q1446" s="6">
        <v>0.91700000000000004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1.66</v>
      </c>
      <c r="AB1446" s="6">
        <v>1.5222199999999999</v>
      </c>
      <c r="AC1446" s="6">
        <v>0.91700000000000004</v>
      </c>
      <c r="AD1446" s="6">
        <v>-1.6599999999999966</v>
      </c>
      <c r="AE1446" s="6">
        <v>1.6599999999999966</v>
      </c>
    </row>
    <row r="1447" spans="2:31" x14ac:dyDescent="0.25">
      <c r="B1447" s="55"/>
      <c r="C1447" s="55"/>
      <c r="D1447" s="54" t="s">
        <v>2242</v>
      </c>
      <c r="E1447" s="4" t="s">
        <v>2243</v>
      </c>
      <c r="F1447" s="4" t="s">
        <v>51</v>
      </c>
      <c r="G1447" s="4" t="s">
        <v>35</v>
      </c>
      <c r="H1447" s="54" t="s">
        <v>36</v>
      </c>
      <c r="I1447" s="52"/>
      <c r="J1447" s="57">
        <v>3.04</v>
      </c>
      <c r="K1447" s="52"/>
      <c r="L1447" s="6">
        <v>2.7876799999999999</v>
      </c>
      <c r="M1447" s="6">
        <v>0.91699999999999993</v>
      </c>
      <c r="N1447" s="6">
        <v>2.6</v>
      </c>
      <c r="O1447" s="57">
        <v>2.3841999999999999</v>
      </c>
      <c r="P1447" s="52"/>
      <c r="Q1447" s="6">
        <v>0.91699999999999993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0.44</v>
      </c>
      <c r="AB1447" s="6">
        <v>0.40348000000000001</v>
      </c>
      <c r="AC1447" s="6">
        <v>0.91700000000000004</v>
      </c>
      <c r="AD1447" s="6">
        <v>-0.43999999999999995</v>
      </c>
      <c r="AE1447" s="6">
        <v>0.43999999999999995</v>
      </c>
    </row>
    <row r="1448" spans="2:31" x14ac:dyDescent="0.25">
      <c r="B1448" s="55"/>
      <c r="C1448" s="55"/>
      <c r="D1448" s="55"/>
      <c r="E1448" s="4" t="s">
        <v>2244</v>
      </c>
      <c r="F1448" s="4" t="s">
        <v>51</v>
      </c>
      <c r="G1448" s="4" t="s">
        <v>35</v>
      </c>
      <c r="H1448" s="54" t="s">
        <v>36</v>
      </c>
      <c r="I1448" s="52"/>
      <c r="J1448" s="57">
        <v>5.17</v>
      </c>
      <c r="K1448" s="52"/>
      <c r="L1448" s="6">
        <v>4.7408900000000003</v>
      </c>
      <c r="M1448" s="6">
        <v>0.91700000000000004</v>
      </c>
      <c r="N1448" s="6">
        <v>4.46</v>
      </c>
      <c r="O1448" s="57">
        <v>4.0898199999999996</v>
      </c>
      <c r="P1448" s="52"/>
      <c r="Q1448" s="6">
        <v>0.91699999999999993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0.71</v>
      </c>
      <c r="AB1448" s="6">
        <v>0.65107000000000004</v>
      </c>
      <c r="AC1448" s="6">
        <v>0.91700000000000015</v>
      </c>
      <c r="AD1448" s="6">
        <v>-0.71</v>
      </c>
      <c r="AE1448" s="6">
        <v>0.71</v>
      </c>
    </row>
    <row r="1449" spans="2:31" x14ac:dyDescent="0.25">
      <c r="B1449" s="55"/>
      <c r="C1449" s="55"/>
      <c r="D1449" s="55"/>
      <c r="E1449" s="4" t="s">
        <v>2245</v>
      </c>
      <c r="F1449" s="4" t="s">
        <v>51</v>
      </c>
      <c r="G1449" s="4" t="s">
        <v>35</v>
      </c>
      <c r="H1449" s="54" t="s">
        <v>36</v>
      </c>
      <c r="I1449" s="52"/>
      <c r="J1449" s="57">
        <v>63.01</v>
      </c>
      <c r="K1449" s="52"/>
      <c r="L1449" s="6">
        <v>57.780169999999998</v>
      </c>
      <c r="M1449" s="6">
        <v>0.91700000000000004</v>
      </c>
      <c r="N1449" s="6">
        <v>58.89</v>
      </c>
      <c r="O1449" s="57">
        <v>54.002130000000001</v>
      </c>
      <c r="P1449" s="52"/>
      <c r="Q1449" s="6">
        <v>0.91700000000000004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4.12</v>
      </c>
      <c r="AB1449" s="6">
        <v>3.7780399999999998</v>
      </c>
      <c r="AC1449" s="6">
        <v>0.91699999999999993</v>
      </c>
      <c r="AD1449" s="6">
        <v>-4.1199999999999974</v>
      </c>
      <c r="AE1449" s="6">
        <v>4.1199999999999974</v>
      </c>
    </row>
    <row r="1450" spans="2:31" x14ac:dyDescent="0.25">
      <c r="B1450" s="55"/>
      <c r="C1450" s="55"/>
      <c r="D1450" s="56"/>
      <c r="E1450" s="4" t="s">
        <v>2246</v>
      </c>
      <c r="F1450" s="4" t="s">
        <v>51</v>
      </c>
      <c r="G1450" s="4" t="s">
        <v>35</v>
      </c>
      <c r="H1450" s="54" t="s">
        <v>36</v>
      </c>
      <c r="I1450" s="52"/>
      <c r="J1450" s="57">
        <v>108.86</v>
      </c>
      <c r="K1450" s="52"/>
      <c r="L1450" s="6">
        <v>99.824619999999996</v>
      </c>
      <c r="M1450" s="6">
        <v>0.91699999999999993</v>
      </c>
      <c r="N1450" s="6">
        <v>98.66</v>
      </c>
      <c r="O1450" s="57">
        <v>90.471220000000002</v>
      </c>
      <c r="P1450" s="52"/>
      <c r="Q1450" s="6">
        <v>0.91700000000000004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10.199999999999999</v>
      </c>
      <c r="AB1450" s="6">
        <v>9.3534000000000006</v>
      </c>
      <c r="AC1450" s="6">
        <v>0.91700000000000015</v>
      </c>
      <c r="AD1450" s="6">
        <v>-10.200000000000003</v>
      </c>
      <c r="AE1450" s="6">
        <v>10.200000000000003</v>
      </c>
    </row>
    <row r="1451" spans="2:31" x14ac:dyDescent="0.25">
      <c r="B1451" s="55"/>
      <c r="C1451" s="55"/>
      <c r="D1451" s="54" t="s">
        <v>2247</v>
      </c>
      <c r="E1451" s="4" t="s">
        <v>2248</v>
      </c>
      <c r="F1451" s="4" t="s">
        <v>51</v>
      </c>
      <c r="G1451" s="4" t="s">
        <v>35</v>
      </c>
      <c r="H1451" s="54" t="s">
        <v>36</v>
      </c>
      <c r="I1451" s="52"/>
      <c r="J1451" s="57">
        <v>3.52</v>
      </c>
      <c r="K1451" s="52"/>
      <c r="L1451" s="6">
        <v>3.22784</v>
      </c>
      <c r="M1451" s="6">
        <v>0.91700000000000004</v>
      </c>
      <c r="N1451" s="6">
        <v>2.83</v>
      </c>
      <c r="O1451" s="57">
        <v>2.59511</v>
      </c>
      <c r="P1451" s="52"/>
      <c r="Q1451" s="6">
        <v>0.91700000000000004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0.69</v>
      </c>
      <c r="AB1451" s="6">
        <v>0.63273000000000001</v>
      </c>
      <c r="AC1451" s="6">
        <v>0.91700000000000004</v>
      </c>
      <c r="AD1451" s="6">
        <v>-0.69</v>
      </c>
      <c r="AE1451" s="6">
        <v>0.69</v>
      </c>
    </row>
    <row r="1452" spans="2:31" x14ac:dyDescent="0.25">
      <c r="B1452" s="55"/>
      <c r="C1452" s="55"/>
      <c r="D1452" s="56"/>
      <c r="E1452" s="4" t="s">
        <v>2249</v>
      </c>
      <c r="F1452" s="4" t="s">
        <v>51</v>
      </c>
      <c r="G1452" s="4" t="s">
        <v>35</v>
      </c>
      <c r="H1452" s="54" t="s">
        <v>48</v>
      </c>
      <c r="I1452" s="52"/>
      <c r="J1452" s="57">
        <v>50.08</v>
      </c>
      <c r="K1452" s="52"/>
      <c r="L1452" s="6">
        <v>37.56</v>
      </c>
      <c r="M1452" s="6">
        <v>0.75000000000000011</v>
      </c>
      <c r="N1452" s="6">
        <v>46.8</v>
      </c>
      <c r="O1452" s="57">
        <v>35.1</v>
      </c>
      <c r="P1452" s="52"/>
      <c r="Q1452" s="6">
        <v>0.75000000000000011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3.28</v>
      </c>
      <c r="AB1452" s="6">
        <v>2.46</v>
      </c>
      <c r="AC1452" s="6">
        <v>0.75</v>
      </c>
      <c r="AD1452" s="6">
        <v>-3.2800000000000011</v>
      </c>
      <c r="AE1452" s="6">
        <v>3.2800000000000011</v>
      </c>
    </row>
    <row r="1453" spans="2:31" x14ac:dyDescent="0.25">
      <c r="B1453" s="55"/>
      <c r="C1453" s="55"/>
      <c r="D1453" s="54" t="s">
        <v>2250</v>
      </c>
      <c r="E1453" s="4" t="s">
        <v>2251</v>
      </c>
      <c r="F1453" s="4" t="s">
        <v>51</v>
      </c>
      <c r="G1453" s="4" t="s">
        <v>35</v>
      </c>
      <c r="H1453" s="54" t="s">
        <v>41</v>
      </c>
      <c r="I1453" s="52"/>
      <c r="J1453" s="57">
        <v>1.1399999999999999</v>
      </c>
      <c r="K1453" s="52"/>
      <c r="L1453" s="6">
        <v>0.85499999999999998</v>
      </c>
      <c r="M1453" s="6">
        <v>0.75</v>
      </c>
      <c r="N1453" s="6">
        <v>1.02</v>
      </c>
      <c r="O1453" s="57">
        <v>0.76500000000000001</v>
      </c>
      <c r="P1453" s="52"/>
      <c r="Q1453" s="6">
        <v>0.75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0.12</v>
      </c>
      <c r="AB1453" s="6">
        <v>0.09</v>
      </c>
      <c r="AC1453" s="6">
        <v>0.75</v>
      </c>
      <c r="AD1453" s="6">
        <v>-0.11999999999999988</v>
      </c>
      <c r="AE1453" s="6">
        <v>0.11999999999999988</v>
      </c>
    </row>
    <row r="1454" spans="2:31" x14ac:dyDescent="0.25">
      <c r="B1454" s="55"/>
      <c r="C1454" s="55"/>
      <c r="D1454" s="56"/>
      <c r="E1454" s="4" t="s">
        <v>2252</v>
      </c>
      <c r="F1454" s="4" t="s">
        <v>51</v>
      </c>
      <c r="G1454" s="4" t="s">
        <v>35</v>
      </c>
      <c r="H1454" s="54" t="s">
        <v>36</v>
      </c>
      <c r="I1454" s="52"/>
      <c r="J1454" s="57">
        <v>9.4730000000000008</v>
      </c>
      <c r="K1454" s="52"/>
      <c r="L1454" s="6">
        <v>8.6867409999999996</v>
      </c>
      <c r="M1454" s="6">
        <v>0.91699999999999993</v>
      </c>
      <c r="N1454" s="6">
        <v>8.7430000000000003</v>
      </c>
      <c r="O1454" s="57">
        <v>8.0173310000000004</v>
      </c>
      <c r="P1454" s="52"/>
      <c r="Q1454" s="6">
        <v>0.91700000000000004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0.73</v>
      </c>
      <c r="AB1454" s="6">
        <v>0.66940999999999995</v>
      </c>
      <c r="AC1454" s="6">
        <v>0.91699999999999993</v>
      </c>
      <c r="AD1454" s="6">
        <v>-0.73000000000000043</v>
      </c>
      <c r="AE1454" s="6">
        <v>0.73000000000000043</v>
      </c>
    </row>
    <row r="1455" spans="2:31" x14ac:dyDescent="0.25">
      <c r="B1455" s="55"/>
      <c r="C1455" s="55"/>
      <c r="D1455" s="54" t="s">
        <v>2253</v>
      </c>
      <c r="E1455" s="4" t="s">
        <v>2254</v>
      </c>
      <c r="F1455" s="4" t="s">
        <v>51</v>
      </c>
      <c r="G1455" s="4" t="s">
        <v>35</v>
      </c>
      <c r="H1455" s="54" t="s">
        <v>36</v>
      </c>
      <c r="I1455" s="52"/>
      <c r="J1455" s="57">
        <v>24.46</v>
      </c>
      <c r="K1455" s="52"/>
      <c r="L1455" s="6">
        <v>22.429819999999999</v>
      </c>
      <c r="M1455" s="6">
        <v>0.91699999999999993</v>
      </c>
      <c r="N1455" s="6">
        <v>21.85</v>
      </c>
      <c r="O1455" s="57">
        <v>20.036449999999999</v>
      </c>
      <c r="P1455" s="52"/>
      <c r="Q1455" s="6">
        <v>0.91699999999999993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2.61</v>
      </c>
      <c r="AB1455" s="6">
        <v>2.39337</v>
      </c>
      <c r="AC1455" s="6">
        <v>0.91700000000000004</v>
      </c>
      <c r="AD1455" s="6">
        <v>-2.6099999999999994</v>
      </c>
      <c r="AE1455" s="6">
        <v>2.6099999999999994</v>
      </c>
    </row>
    <row r="1456" spans="2:31" x14ac:dyDescent="0.25">
      <c r="B1456" s="55"/>
      <c r="C1456" s="55"/>
      <c r="D1456" s="56"/>
      <c r="E1456" s="4" t="s">
        <v>2255</v>
      </c>
      <c r="F1456" s="4" t="s">
        <v>51</v>
      </c>
      <c r="G1456" s="4" t="s">
        <v>35</v>
      </c>
      <c r="H1456" s="54" t="s">
        <v>48</v>
      </c>
      <c r="I1456" s="52"/>
      <c r="J1456" s="57">
        <v>51.98</v>
      </c>
      <c r="K1456" s="52"/>
      <c r="L1456" s="6">
        <v>38.984999999999999</v>
      </c>
      <c r="M1456" s="6">
        <v>0.75</v>
      </c>
      <c r="N1456" s="6">
        <v>48.06</v>
      </c>
      <c r="O1456" s="57">
        <v>36.045000000000002</v>
      </c>
      <c r="P1456" s="52"/>
      <c r="Q1456" s="6">
        <v>0.75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3.92</v>
      </c>
      <c r="AB1456" s="6">
        <v>2.94</v>
      </c>
      <c r="AC1456" s="6">
        <v>0.75</v>
      </c>
      <c r="AD1456" s="6">
        <v>-3.9199999999999946</v>
      </c>
      <c r="AE1456" s="6">
        <v>3.9199999999999946</v>
      </c>
    </row>
    <row r="1457" spans="2:31" x14ac:dyDescent="0.25">
      <c r="B1457" s="55"/>
      <c r="C1457" s="55"/>
      <c r="D1457" s="54" t="s">
        <v>2256</v>
      </c>
      <c r="E1457" s="4" t="s">
        <v>2257</v>
      </c>
      <c r="F1457" s="4" t="s">
        <v>51</v>
      </c>
      <c r="G1457" s="4" t="s">
        <v>35</v>
      </c>
      <c r="H1457" s="54" t="s">
        <v>36</v>
      </c>
      <c r="I1457" s="52"/>
      <c r="J1457" s="57">
        <v>59.72</v>
      </c>
      <c r="K1457" s="52"/>
      <c r="L1457" s="6">
        <v>54.763240000000003</v>
      </c>
      <c r="M1457" s="6">
        <v>0.91700000000000004</v>
      </c>
      <c r="N1457" s="6">
        <v>55.85</v>
      </c>
      <c r="O1457" s="57">
        <v>51.214449999999999</v>
      </c>
      <c r="P1457" s="52"/>
      <c r="Q1457" s="6">
        <v>0.91699999999999993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3.87</v>
      </c>
      <c r="AB1457" s="6">
        <v>3.5487899999999999</v>
      </c>
      <c r="AC1457" s="6">
        <v>0.91699999999999993</v>
      </c>
      <c r="AD1457" s="6">
        <v>-3.8699999999999974</v>
      </c>
      <c r="AE1457" s="6">
        <v>3.8699999999999974</v>
      </c>
    </row>
    <row r="1458" spans="2:31" x14ac:dyDescent="0.25">
      <c r="B1458" s="55"/>
      <c r="C1458" s="55"/>
      <c r="D1458" s="56"/>
      <c r="E1458" s="4" t="s">
        <v>2258</v>
      </c>
      <c r="F1458" s="4" t="s">
        <v>51</v>
      </c>
      <c r="G1458" s="4" t="s">
        <v>35</v>
      </c>
      <c r="H1458" s="54" t="s">
        <v>41</v>
      </c>
      <c r="I1458" s="52"/>
      <c r="J1458" s="57">
        <v>27.03</v>
      </c>
      <c r="K1458" s="52"/>
      <c r="L1458" s="6">
        <v>20.272500000000001</v>
      </c>
      <c r="M1458" s="6">
        <v>0.75</v>
      </c>
      <c r="N1458" s="6">
        <v>25.02</v>
      </c>
      <c r="O1458" s="57">
        <v>18.765000000000001</v>
      </c>
      <c r="P1458" s="52"/>
      <c r="Q1458" s="6">
        <v>0.75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2.0099999999999998</v>
      </c>
      <c r="AB1458" s="6">
        <v>1.5075000000000001</v>
      </c>
      <c r="AC1458" s="6">
        <v>0.75000000000000011</v>
      </c>
      <c r="AD1458" s="6">
        <v>-2.0100000000000016</v>
      </c>
      <c r="AE1458" s="6">
        <v>2.0100000000000016</v>
      </c>
    </row>
    <row r="1459" spans="2:31" ht="20" x14ac:dyDescent="0.25">
      <c r="B1459" s="55"/>
      <c r="C1459" s="55"/>
      <c r="D1459" s="4" t="s">
        <v>2259</v>
      </c>
      <c r="E1459" s="4" t="s">
        <v>2260</v>
      </c>
      <c r="F1459" s="4" t="s">
        <v>51</v>
      </c>
      <c r="G1459" s="4" t="s">
        <v>35</v>
      </c>
      <c r="H1459" s="54" t="s">
        <v>48</v>
      </c>
      <c r="I1459" s="52"/>
      <c r="J1459" s="57">
        <v>48.27</v>
      </c>
      <c r="K1459" s="52"/>
      <c r="L1459" s="6">
        <v>36.202500000000001</v>
      </c>
      <c r="M1459" s="6">
        <v>0.75</v>
      </c>
      <c r="N1459" s="6">
        <v>46.31</v>
      </c>
      <c r="O1459" s="57">
        <v>34.732500000000002</v>
      </c>
      <c r="P1459" s="52"/>
      <c r="Q1459" s="6">
        <v>0.75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1.96</v>
      </c>
      <c r="AB1459" s="6">
        <v>1.47</v>
      </c>
      <c r="AC1459" s="6">
        <v>0.75</v>
      </c>
      <c r="AD1459" s="6">
        <v>-1.9600000000000009</v>
      </c>
      <c r="AE1459" s="6">
        <v>1.9600000000000009</v>
      </c>
    </row>
    <row r="1460" spans="2:31" ht="20" x14ac:dyDescent="0.25">
      <c r="B1460" s="55"/>
      <c r="C1460" s="55"/>
      <c r="D1460" s="4" t="s">
        <v>2261</v>
      </c>
      <c r="E1460" s="4" t="s">
        <v>2262</v>
      </c>
      <c r="F1460" s="4" t="s">
        <v>51</v>
      </c>
      <c r="G1460" s="4" t="s">
        <v>35</v>
      </c>
      <c r="H1460" s="54" t="s">
        <v>41</v>
      </c>
      <c r="I1460" s="52"/>
      <c r="J1460" s="57">
        <v>10.4</v>
      </c>
      <c r="K1460" s="52"/>
      <c r="L1460" s="6">
        <v>7.8</v>
      </c>
      <c r="M1460" s="6">
        <v>0.75</v>
      </c>
      <c r="N1460" s="6">
        <v>9.6199999999999992</v>
      </c>
      <c r="O1460" s="57">
        <v>7.2149999999999999</v>
      </c>
      <c r="P1460" s="52"/>
      <c r="Q1460" s="6">
        <v>0.75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0.78</v>
      </c>
      <c r="AB1460" s="6">
        <v>0.58499999999999996</v>
      </c>
      <c r="AC1460" s="6">
        <v>0.74999999999999989</v>
      </c>
      <c r="AD1460" s="6">
        <v>-0.78000000000000114</v>
      </c>
      <c r="AE1460" s="6">
        <v>0.78000000000000114</v>
      </c>
    </row>
    <row r="1461" spans="2:31" ht="20" x14ac:dyDescent="0.25">
      <c r="B1461" s="55"/>
      <c r="C1461" s="55"/>
      <c r="D1461" s="4" t="s">
        <v>2263</v>
      </c>
      <c r="E1461" s="4" t="s">
        <v>2264</v>
      </c>
      <c r="F1461" s="4" t="s">
        <v>51</v>
      </c>
      <c r="G1461" s="4" t="s">
        <v>35</v>
      </c>
      <c r="H1461" s="54" t="s">
        <v>36</v>
      </c>
      <c r="I1461" s="52"/>
      <c r="J1461" s="57">
        <v>84.16</v>
      </c>
      <c r="K1461" s="52"/>
      <c r="L1461" s="6">
        <v>77.174719999999994</v>
      </c>
      <c r="M1461" s="6">
        <v>0.91699999999999993</v>
      </c>
      <c r="N1461" s="6">
        <v>77.41</v>
      </c>
      <c r="O1461" s="57">
        <v>70.984970000000004</v>
      </c>
      <c r="P1461" s="52"/>
      <c r="Q1461" s="6">
        <v>0.91700000000000015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6.75</v>
      </c>
      <c r="AB1461" s="6">
        <v>6.1897500000000001</v>
      </c>
      <c r="AC1461" s="6">
        <v>0.91700000000000004</v>
      </c>
      <c r="AD1461" s="6">
        <v>-6.75</v>
      </c>
      <c r="AE1461" s="6">
        <v>6.75</v>
      </c>
    </row>
    <row r="1462" spans="2:31" ht="20" x14ac:dyDescent="0.25">
      <c r="B1462" s="55"/>
      <c r="C1462" s="55"/>
      <c r="D1462" s="4" t="s">
        <v>2265</v>
      </c>
      <c r="E1462" s="4" t="s">
        <v>2266</v>
      </c>
      <c r="F1462" s="4" t="s">
        <v>51</v>
      </c>
      <c r="G1462" s="4" t="s">
        <v>35</v>
      </c>
      <c r="H1462" s="54" t="s">
        <v>36</v>
      </c>
      <c r="I1462" s="52"/>
      <c r="J1462" s="57">
        <v>74.67</v>
      </c>
      <c r="K1462" s="52"/>
      <c r="L1462" s="6">
        <v>68.472390000000004</v>
      </c>
      <c r="M1462" s="6">
        <v>0.91700000000000004</v>
      </c>
      <c r="N1462" s="6">
        <v>71.45</v>
      </c>
      <c r="O1462" s="57">
        <v>65.519649999999999</v>
      </c>
      <c r="P1462" s="52"/>
      <c r="Q1462" s="6">
        <v>0.91699999999999993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3.22</v>
      </c>
      <c r="AB1462" s="6">
        <v>2.9527399999999999</v>
      </c>
      <c r="AC1462" s="6">
        <v>0.91699999999999993</v>
      </c>
      <c r="AD1462" s="6">
        <v>-3.2199999999999989</v>
      </c>
      <c r="AE1462" s="6">
        <v>3.2199999999999989</v>
      </c>
    </row>
    <row r="1463" spans="2:31" ht="20" x14ac:dyDescent="0.25">
      <c r="B1463" s="55"/>
      <c r="C1463" s="55"/>
      <c r="D1463" s="4" t="s">
        <v>2267</v>
      </c>
      <c r="E1463" s="4" t="s">
        <v>2268</v>
      </c>
      <c r="F1463" s="4" t="s">
        <v>51</v>
      </c>
      <c r="G1463" s="4" t="s">
        <v>35</v>
      </c>
      <c r="H1463" s="54" t="s">
        <v>36</v>
      </c>
      <c r="I1463" s="52"/>
      <c r="J1463" s="57">
        <v>26.57</v>
      </c>
      <c r="K1463" s="52"/>
      <c r="L1463" s="6">
        <v>24.36469</v>
      </c>
      <c r="M1463" s="6">
        <v>0.91699999999999993</v>
      </c>
      <c r="N1463" s="6">
        <v>25.3</v>
      </c>
      <c r="O1463" s="57">
        <v>23.200099999999999</v>
      </c>
      <c r="P1463" s="52"/>
      <c r="Q1463" s="6">
        <v>0.91699999999999993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1.27</v>
      </c>
      <c r="AB1463" s="6">
        <v>1.16459</v>
      </c>
      <c r="AC1463" s="6">
        <v>0.91700000000000004</v>
      </c>
      <c r="AD1463" s="6">
        <v>-1.2699999999999996</v>
      </c>
      <c r="AE1463" s="6">
        <v>1.2699999999999996</v>
      </c>
    </row>
    <row r="1464" spans="2:31" ht="20" x14ac:dyDescent="0.25">
      <c r="B1464" s="55"/>
      <c r="C1464" s="55"/>
      <c r="D1464" s="4" t="s">
        <v>2269</v>
      </c>
      <c r="E1464" s="4" t="s">
        <v>2270</v>
      </c>
      <c r="F1464" s="4" t="s">
        <v>51</v>
      </c>
      <c r="G1464" s="4" t="s">
        <v>35</v>
      </c>
      <c r="H1464" s="54" t="s">
        <v>41</v>
      </c>
      <c r="I1464" s="52"/>
      <c r="J1464" s="57">
        <v>21.61</v>
      </c>
      <c r="K1464" s="52"/>
      <c r="L1464" s="6">
        <v>16.2075</v>
      </c>
      <c r="M1464" s="6">
        <v>0.75</v>
      </c>
      <c r="N1464" s="6">
        <v>20.22</v>
      </c>
      <c r="O1464" s="57">
        <v>15.164999999999999</v>
      </c>
      <c r="P1464" s="52"/>
      <c r="Q1464" s="6">
        <v>0.75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1.39</v>
      </c>
      <c r="AB1464" s="6">
        <v>1.0425</v>
      </c>
      <c r="AC1464" s="6">
        <v>0.75</v>
      </c>
      <c r="AD1464" s="6">
        <v>-1.3900000000000006</v>
      </c>
      <c r="AE1464" s="6">
        <v>1.3900000000000006</v>
      </c>
    </row>
    <row r="1465" spans="2:31" ht="20" x14ac:dyDescent="0.25">
      <c r="B1465" s="55"/>
      <c r="C1465" s="55"/>
      <c r="D1465" s="4" t="s">
        <v>2271</v>
      </c>
      <c r="E1465" s="4" t="s">
        <v>2272</v>
      </c>
      <c r="F1465" s="4" t="s">
        <v>51</v>
      </c>
      <c r="G1465" s="4" t="s">
        <v>35</v>
      </c>
      <c r="H1465" s="54" t="s">
        <v>36</v>
      </c>
      <c r="I1465" s="52"/>
      <c r="J1465" s="57">
        <v>30.04</v>
      </c>
      <c r="K1465" s="52"/>
      <c r="L1465" s="6">
        <v>27.546679999999999</v>
      </c>
      <c r="M1465" s="6">
        <v>0.91699999999999993</v>
      </c>
      <c r="N1465" s="6">
        <v>27.95</v>
      </c>
      <c r="O1465" s="57">
        <v>25.63015</v>
      </c>
      <c r="P1465" s="52"/>
      <c r="Q1465" s="6">
        <v>0.91700000000000004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2.09</v>
      </c>
      <c r="AB1465" s="6">
        <v>1.9165300000000001</v>
      </c>
      <c r="AC1465" s="6">
        <v>0.91700000000000015</v>
      </c>
      <c r="AD1465" s="6">
        <v>-2.09</v>
      </c>
      <c r="AE1465" s="6">
        <v>2.09</v>
      </c>
    </row>
    <row r="1466" spans="2:31" ht="20" x14ac:dyDescent="0.25">
      <c r="B1466" s="55"/>
      <c r="C1466" s="55"/>
      <c r="D1466" s="4" t="s">
        <v>2273</v>
      </c>
      <c r="E1466" s="4" t="s">
        <v>2274</v>
      </c>
      <c r="F1466" s="4" t="s">
        <v>51</v>
      </c>
      <c r="G1466" s="4" t="s">
        <v>35</v>
      </c>
      <c r="H1466" s="54" t="s">
        <v>36</v>
      </c>
      <c r="I1466" s="52"/>
      <c r="J1466" s="57">
        <v>8.74</v>
      </c>
      <c r="K1466" s="52"/>
      <c r="L1466" s="6">
        <v>8.0145800000000005</v>
      </c>
      <c r="M1466" s="6">
        <v>0.91700000000000004</v>
      </c>
      <c r="N1466" s="6">
        <v>8.43</v>
      </c>
      <c r="O1466" s="57">
        <v>7.7303100000000002</v>
      </c>
      <c r="P1466" s="52"/>
      <c r="Q1466" s="6">
        <v>0.91700000000000004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0.31</v>
      </c>
      <c r="AB1466" s="6">
        <v>0.28427000000000002</v>
      </c>
      <c r="AC1466" s="6">
        <v>0.91700000000000004</v>
      </c>
      <c r="AD1466" s="6">
        <v>-0.3100000000000005</v>
      </c>
      <c r="AE1466" s="6">
        <v>0.3100000000000005</v>
      </c>
    </row>
    <row r="1467" spans="2:31" ht="20" x14ac:dyDescent="0.25">
      <c r="B1467" s="55"/>
      <c r="C1467" s="55"/>
      <c r="D1467" s="4" t="s">
        <v>2275</v>
      </c>
      <c r="E1467" s="4" t="s">
        <v>2276</v>
      </c>
      <c r="F1467" s="4" t="s">
        <v>51</v>
      </c>
      <c r="G1467" s="4" t="s">
        <v>35</v>
      </c>
      <c r="H1467" s="54" t="s">
        <v>41</v>
      </c>
      <c r="I1467" s="52"/>
      <c r="J1467" s="57">
        <v>11.07</v>
      </c>
      <c r="K1467" s="52"/>
      <c r="L1467" s="6">
        <v>8.3025000000000002</v>
      </c>
      <c r="M1467" s="6">
        <v>0.75</v>
      </c>
      <c r="N1467" s="6">
        <v>10.31</v>
      </c>
      <c r="O1467" s="57">
        <v>7.7324999999999999</v>
      </c>
      <c r="P1467" s="52"/>
      <c r="Q1467" s="6">
        <v>0.75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0.76</v>
      </c>
      <c r="AB1467" s="6">
        <v>0.56999999999999995</v>
      </c>
      <c r="AC1467" s="6">
        <v>0.74999999999999989</v>
      </c>
      <c r="AD1467" s="6">
        <v>-0.75999999999999979</v>
      </c>
      <c r="AE1467" s="6">
        <v>0.75999999999999979</v>
      </c>
    </row>
    <row r="1468" spans="2:31" ht="20" x14ac:dyDescent="0.25">
      <c r="B1468" s="55"/>
      <c r="C1468" s="55"/>
      <c r="D1468" s="4" t="s">
        <v>2277</v>
      </c>
      <c r="E1468" s="4" t="s">
        <v>2278</v>
      </c>
      <c r="F1468" s="4" t="s">
        <v>51</v>
      </c>
      <c r="G1468" s="4" t="s">
        <v>35</v>
      </c>
      <c r="H1468" s="54" t="s">
        <v>48</v>
      </c>
      <c r="I1468" s="52"/>
      <c r="J1468" s="57">
        <v>19.38</v>
      </c>
      <c r="K1468" s="52"/>
      <c r="L1468" s="6">
        <v>14.535</v>
      </c>
      <c r="M1468" s="6">
        <v>0.75</v>
      </c>
      <c r="N1468" s="6">
        <v>16.21</v>
      </c>
      <c r="O1468" s="57">
        <v>12.157500000000001</v>
      </c>
      <c r="P1468" s="52"/>
      <c r="Q1468" s="6">
        <v>0.75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3.17</v>
      </c>
      <c r="AB1468" s="6">
        <v>2.3774999999999999</v>
      </c>
      <c r="AC1468" s="6">
        <v>0.75</v>
      </c>
      <c r="AD1468" s="6">
        <v>-3.1699999999999982</v>
      </c>
      <c r="AE1468" s="6">
        <v>3.1699999999999982</v>
      </c>
    </row>
    <row r="1469" spans="2:31" ht="20" x14ac:dyDescent="0.25">
      <c r="B1469" s="55"/>
      <c r="C1469" s="55"/>
      <c r="D1469" s="4" t="s">
        <v>2279</v>
      </c>
      <c r="E1469" s="4" t="s">
        <v>2280</v>
      </c>
      <c r="F1469" s="4" t="s">
        <v>51</v>
      </c>
      <c r="G1469" s="4" t="s">
        <v>35</v>
      </c>
      <c r="H1469" s="54" t="s">
        <v>36</v>
      </c>
      <c r="I1469" s="52"/>
      <c r="J1469" s="57">
        <v>23.87</v>
      </c>
      <c r="K1469" s="52"/>
      <c r="L1469" s="6">
        <v>21.88879</v>
      </c>
      <c r="M1469" s="6">
        <v>0.91699999999999993</v>
      </c>
      <c r="N1469" s="6">
        <v>22.07</v>
      </c>
      <c r="O1469" s="57">
        <v>20.238189999999999</v>
      </c>
      <c r="P1469" s="52"/>
      <c r="Q1469" s="6">
        <v>0.91699999999999993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1.8</v>
      </c>
      <c r="AB1469" s="6">
        <v>1.6506000000000001</v>
      </c>
      <c r="AC1469" s="6">
        <v>0.91700000000000004</v>
      </c>
      <c r="AD1469" s="6">
        <v>-1.8000000000000007</v>
      </c>
      <c r="AE1469" s="6">
        <v>1.8000000000000007</v>
      </c>
    </row>
    <row r="1470" spans="2:31" ht="20" x14ac:dyDescent="0.25">
      <c r="B1470" s="55"/>
      <c r="C1470" s="55"/>
      <c r="D1470" s="4" t="s">
        <v>2281</v>
      </c>
      <c r="E1470" s="4" t="s">
        <v>2282</v>
      </c>
      <c r="F1470" s="4" t="s">
        <v>51</v>
      </c>
      <c r="G1470" s="4" t="s">
        <v>35</v>
      </c>
      <c r="H1470" s="54" t="s">
        <v>41</v>
      </c>
      <c r="I1470" s="52"/>
      <c r="J1470" s="57">
        <v>15.07</v>
      </c>
      <c r="K1470" s="52"/>
      <c r="L1470" s="6">
        <v>11.3025</v>
      </c>
      <c r="M1470" s="6">
        <v>0.75</v>
      </c>
      <c r="N1470" s="6">
        <v>13.44</v>
      </c>
      <c r="O1470" s="57">
        <v>10.08</v>
      </c>
      <c r="P1470" s="52"/>
      <c r="Q1470" s="6">
        <v>0.75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1.63</v>
      </c>
      <c r="AB1470" s="6">
        <v>1.2224999999999999</v>
      </c>
      <c r="AC1470" s="6">
        <v>0.75</v>
      </c>
      <c r="AD1470" s="6">
        <v>-1.6300000000000008</v>
      </c>
      <c r="AE1470" s="6">
        <v>1.6300000000000008</v>
      </c>
    </row>
    <row r="1471" spans="2:31" ht="20" x14ac:dyDescent="0.25">
      <c r="B1471" s="55"/>
      <c r="C1471" s="55"/>
      <c r="D1471" s="4" t="s">
        <v>2283</v>
      </c>
      <c r="E1471" s="4" t="s">
        <v>2284</v>
      </c>
      <c r="F1471" s="4" t="s">
        <v>51</v>
      </c>
      <c r="G1471" s="4" t="s">
        <v>35</v>
      </c>
      <c r="H1471" s="54" t="s">
        <v>36</v>
      </c>
      <c r="I1471" s="52"/>
      <c r="J1471" s="57">
        <v>3.37</v>
      </c>
      <c r="K1471" s="52"/>
      <c r="L1471" s="6">
        <v>3.09029</v>
      </c>
      <c r="M1471" s="6">
        <v>0.91699999999999993</v>
      </c>
      <c r="N1471" s="6">
        <v>3.34</v>
      </c>
      <c r="O1471" s="57">
        <v>3.0627800000000001</v>
      </c>
      <c r="P1471" s="52"/>
      <c r="Q1471" s="6">
        <v>0.91700000000000004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0.03</v>
      </c>
      <c r="AB1471" s="6">
        <v>2.751E-2</v>
      </c>
      <c r="AC1471" s="6">
        <v>0.91700000000000004</v>
      </c>
      <c r="AD1471" s="6">
        <v>-3.0000000000000249E-2</v>
      </c>
      <c r="AE1471" s="6">
        <v>3.0000000000000249E-2</v>
      </c>
    </row>
    <row r="1472" spans="2:31" ht="20" x14ac:dyDescent="0.25">
      <c r="B1472" s="55"/>
      <c r="C1472" s="55"/>
      <c r="D1472" s="4" t="s">
        <v>2285</v>
      </c>
      <c r="E1472" s="4" t="s">
        <v>2286</v>
      </c>
      <c r="F1472" s="4" t="s">
        <v>51</v>
      </c>
      <c r="G1472" s="4" t="s">
        <v>35</v>
      </c>
      <c r="H1472" s="54" t="s">
        <v>36</v>
      </c>
      <c r="I1472" s="52"/>
      <c r="J1472" s="57">
        <v>2.63</v>
      </c>
      <c r="K1472" s="52"/>
      <c r="L1472" s="6">
        <v>2.4117099999999998</v>
      </c>
      <c r="M1472" s="6">
        <v>0.91699999999999993</v>
      </c>
      <c r="N1472" s="6">
        <v>2.59</v>
      </c>
      <c r="O1472" s="57">
        <v>2.3750300000000002</v>
      </c>
      <c r="P1472" s="52"/>
      <c r="Q1472" s="6">
        <v>0.91700000000000015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0.04</v>
      </c>
      <c r="AB1472" s="6">
        <v>3.6679999999999997E-2</v>
      </c>
      <c r="AC1472" s="6">
        <v>0.91699999999999993</v>
      </c>
      <c r="AD1472" s="6">
        <v>-4.0000000000000036E-2</v>
      </c>
      <c r="AE1472" s="6">
        <v>4.0000000000000036E-2</v>
      </c>
    </row>
    <row r="1473" spans="2:31" ht="20" x14ac:dyDescent="0.25">
      <c r="B1473" s="55"/>
      <c r="C1473" s="55"/>
      <c r="D1473" s="4" t="s">
        <v>2287</v>
      </c>
      <c r="E1473" s="4" t="s">
        <v>2288</v>
      </c>
      <c r="F1473" s="4" t="s">
        <v>51</v>
      </c>
      <c r="G1473" s="4" t="s">
        <v>35</v>
      </c>
      <c r="H1473" s="54" t="s">
        <v>36</v>
      </c>
      <c r="I1473" s="52"/>
      <c r="J1473" s="57">
        <v>9</v>
      </c>
      <c r="K1473" s="52"/>
      <c r="L1473" s="6">
        <v>8.2530000000000001</v>
      </c>
      <c r="M1473" s="6">
        <v>0.91700000000000004</v>
      </c>
      <c r="N1473" s="6">
        <v>8.68</v>
      </c>
      <c r="O1473" s="57">
        <v>7.9595599999999997</v>
      </c>
      <c r="P1473" s="52"/>
      <c r="Q1473" s="6">
        <v>0.91700000000000004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0.32</v>
      </c>
      <c r="AB1473" s="6">
        <v>0.29343999999999998</v>
      </c>
      <c r="AC1473" s="6">
        <v>0.91699999999999993</v>
      </c>
      <c r="AD1473" s="6">
        <v>-0.32000000000000028</v>
      </c>
      <c r="AE1473" s="6">
        <v>0.32000000000000028</v>
      </c>
    </row>
    <row r="1474" spans="2:31" ht="20" x14ac:dyDescent="0.25">
      <c r="B1474" s="55"/>
      <c r="C1474" s="55"/>
      <c r="D1474" s="4" t="s">
        <v>2289</v>
      </c>
      <c r="E1474" s="4" t="s">
        <v>2290</v>
      </c>
      <c r="F1474" s="4" t="s">
        <v>51</v>
      </c>
      <c r="G1474" s="4" t="s">
        <v>35</v>
      </c>
      <c r="H1474" s="54" t="s">
        <v>36</v>
      </c>
      <c r="I1474" s="52"/>
      <c r="J1474" s="57">
        <v>11.62</v>
      </c>
      <c r="K1474" s="52"/>
      <c r="L1474" s="6">
        <v>10.65554</v>
      </c>
      <c r="M1474" s="6">
        <v>0.91700000000000004</v>
      </c>
      <c r="N1474" s="6">
        <v>11.18</v>
      </c>
      <c r="O1474" s="57">
        <v>10.25206</v>
      </c>
      <c r="P1474" s="52"/>
      <c r="Q1474" s="6">
        <v>0.91700000000000004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0.44</v>
      </c>
      <c r="AB1474" s="6">
        <v>0.40348000000000001</v>
      </c>
      <c r="AC1474" s="6">
        <v>0.91700000000000004</v>
      </c>
      <c r="AD1474" s="6">
        <v>-0.4399999999999995</v>
      </c>
      <c r="AE1474" s="6">
        <v>0.4399999999999995</v>
      </c>
    </row>
    <row r="1475" spans="2:31" ht="20" x14ac:dyDescent="0.25">
      <c r="B1475" s="55"/>
      <c r="C1475" s="55"/>
      <c r="D1475" s="4" t="s">
        <v>2291</v>
      </c>
      <c r="E1475" s="4" t="s">
        <v>2292</v>
      </c>
      <c r="F1475" s="4" t="s">
        <v>51</v>
      </c>
      <c r="G1475" s="4" t="s">
        <v>35</v>
      </c>
      <c r="H1475" s="54" t="s">
        <v>36</v>
      </c>
      <c r="I1475" s="52"/>
      <c r="J1475" s="57">
        <v>30.02</v>
      </c>
      <c r="K1475" s="52"/>
      <c r="L1475" s="6">
        <v>27.52834</v>
      </c>
      <c r="M1475" s="6">
        <v>0.91700000000000004</v>
      </c>
      <c r="N1475" s="6">
        <v>30.02</v>
      </c>
      <c r="O1475" s="57">
        <v>27.52834</v>
      </c>
      <c r="P1475" s="52"/>
      <c r="Q1475" s="6">
        <v>0.91700000000000004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</row>
    <row r="1476" spans="2:31" ht="20" x14ac:dyDescent="0.25">
      <c r="B1476" s="55"/>
      <c r="C1476" s="55"/>
      <c r="D1476" s="4" t="s">
        <v>2293</v>
      </c>
      <c r="E1476" s="4" t="s">
        <v>2294</v>
      </c>
      <c r="F1476" s="4" t="s">
        <v>51</v>
      </c>
      <c r="G1476" s="4" t="s">
        <v>35</v>
      </c>
      <c r="H1476" s="54" t="s">
        <v>36</v>
      </c>
      <c r="I1476" s="52"/>
      <c r="J1476" s="57">
        <v>22.21</v>
      </c>
      <c r="K1476" s="52"/>
      <c r="L1476" s="6">
        <v>20.366569999999999</v>
      </c>
      <c r="M1476" s="6">
        <v>0.91699999999999993</v>
      </c>
      <c r="N1476" s="6">
        <v>22.21</v>
      </c>
      <c r="O1476" s="57">
        <v>20.366569999999999</v>
      </c>
      <c r="P1476" s="52"/>
      <c r="Q1476" s="6">
        <v>0.91699999999999993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</row>
    <row r="1477" spans="2:31" ht="20" x14ac:dyDescent="0.25">
      <c r="B1477" s="55"/>
      <c r="C1477" s="55"/>
      <c r="D1477" s="4" t="s">
        <v>2295</v>
      </c>
      <c r="E1477" s="4" t="s">
        <v>2296</v>
      </c>
      <c r="F1477" s="4" t="s">
        <v>51</v>
      </c>
      <c r="G1477" s="4" t="s">
        <v>35</v>
      </c>
      <c r="H1477" s="54" t="s">
        <v>36</v>
      </c>
      <c r="I1477" s="52"/>
      <c r="J1477" s="57">
        <v>22.71</v>
      </c>
      <c r="K1477" s="52"/>
      <c r="L1477" s="6">
        <v>20.82507</v>
      </c>
      <c r="M1477" s="6">
        <v>0.91699999999999993</v>
      </c>
      <c r="N1477" s="6">
        <v>22.71</v>
      </c>
      <c r="O1477" s="57">
        <v>20.82507</v>
      </c>
      <c r="P1477" s="52"/>
      <c r="Q1477" s="6">
        <v>0.91699999999999993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</row>
    <row r="1478" spans="2:31" ht="20" x14ac:dyDescent="0.25">
      <c r="B1478" s="55"/>
      <c r="C1478" s="55"/>
      <c r="D1478" s="4" t="s">
        <v>2297</v>
      </c>
      <c r="E1478" s="4" t="s">
        <v>2298</v>
      </c>
      <c r="F1478" s="4" t="s">
        <v>51</v>
      </c>
      <c r="G1478" s="4" t="s">
        <v>35</v>
      </c>
      <c r="H1478" s="54" t="s">
        <v>41</v>
      </c>
      <c r="I1478" s="52"/>
      <c r="J1478" s="57">
        <v>33.26</v>
      </c>
      <c r="K1478" s="52"/>
      <c r="L1478" s="6">
        <v>24.945</v>
      </c>
      <c r="M1478" s="6">
        <v>0.75</v>
      </c>
      <c r="N1478" s="6">
        <v>30.43</v>
      </c>
      <c r="O1478" s="57">
        <v>22.822500000000002</v>
      </c>
      <c r="P1478" s="52"/>
      <c r="Q1478" s="6">
        <v>0.75000000000000011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2.83</v>
      </c>
      <c r="AB1478" s="6">
        <v>2.1225000000000001</v>
      </c>
      <c r="AC1478" s="6">
        <v>0.75</v>
      </c>
      <c r="AD1478" s="6">
        <v>-2.8299999999999983</v>
      </c>
      <c r="AE1478" s="6">
        <v>2.8299999999999983</v>
      </c>
    </row>
    <row r="1479" spans="2:31" ht="20" x14ac:dyDescent="0.25">
      <c r="B1479" s="55"/>
      <c r="C1479" s="55"/>
      <c r="D1479" s="4" t="s">
        <v>2299</v>
      </c>
      <c r="E1479" s="4" t="s">
        <v>2300</v>
      </c>
      <c r="F1479" s="4" t="s">
        <v>51</v>
      </c>
      <c r="G1479" s="4" t="s">
        <v>35</v>
      </c>
      <c r="H1479" s="54" t="s">
        <v>36</v>
      </c>
      <c r="I1479" s="52"/>
      <c r="J1479" s="57">
        <v>42.9</v>
      </c>
      <c r="K1479" s="52"/>
      <c r="L1479" s="6">
        <v>39.339300000000001</v>
      </c>
      <c r="M1479" s="6">
        <v>0.91700000000000004</v>
      </c>
      <c r="N1479" s="6">
        <v>38.119999999999997</v>
      </c>
      <c r="O1479" s="57">
        <v>34.956040000000002</v>
      </c>
      <c r="P1479" s="52"/>
      <c r="Q1479" s="6">
        <v>0.91700000000000015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4.78</v>
      </c>
      <c r="AB1479" s="6">
        <v>4.3832599999999999</v>
      </c>
      <c r="AC1479" s="6">
        <v>0.91699999999999993</v>
      </c>
      <c r="AD1479" s="6">
        <v>-4.7800000000000011</v>
      </c>
      <c r="AE1479" s="6">
        <v>4.7800000000000011</v>
      </c>
    </row>
    <row r="1480" spans="2:31" ht="20" x14ac:dyDescent="0.25">
      <c r="B1480" s="55"/>
      <c r="C1480" s="55"/>
      <c r="D1480" s="4" t="s">
        <v>2301</v>
      </c>
      <c r="E1480" s="4" t="s">
        <v>2302</v>
      </c>
      <c r="F1480" s="4" t="s">
        <v>51</v>
      </c>
      <c r="G1480" s="4" t="s">
        <v>35</v>
      </c>
      <c r="H1480" s="54" t="s">
        <v>36</v>
      </c>
      <c r="I1480" s="52"/>
      <c r="J1480" s="57">
        <v>5.8</v>
      </c>
      <c r="K1480" s="52"/>
      <c r="L1480" s="6">
        <v>5.3186</v>
      </c>
      <c r="M1480" s="6">
        <v>0.91700000000000004</v>
      </c>
      <c r="N1480" s="6">
        <v>5.8</v>
      </c>
      <c r="O1480" s="57">
        <v>5.3186</v>
      </c>
      <c r="P1480" s="52"/>
      <c r="Q1480" s="6">
        <v>0.91700000000000004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</row>
    <row r="1481" spans="2:31" ht="20" x14ac:dyDescent="0.25">
      <c r="B1481" s="55"/>
      <c r="C1481" s="55"/>
      <c r="D1481" s="4" t="s">
        <v>2303</v>
      </c>
      <c r="E1481" s="4" t="s">
        <v>2196</v>
      </c>
      <c r="F1481" s="4" t="s">
        <v>51</v>
      </c>
      <c r="G1481" s="4" t="s">
        <v>35</v>
      </c>
      <c r="H1481" s="54" t="s">
        <v>36</v>
      </c>
      <c r="I1481" s="52"/>
      <c r="J1481" s="57">
        <v>31.48</v>
      </c>
      <c r="K1481" s="52"/>
      <c r="L1481" s="6">
        <v>28.867159999999998</v>
      </c>
      <c r="M1481" s="6">
        <v>0.91699999999999993</v>
      </c>
      <c r="N1481" s="6">
        <v>29.47</v>
      </c>
      <c r="O1481" s="57">
        <v>27.023990000000001</v>
      </c>
      <c r="P1481" s="52"/>
      <c r="Q1481" s="6">
        <v>0.91700000000000004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2.0099999999999998</v>
      </c>
      <c r="AB1481" s="6">
        <v>1.84317</v>
      </c>
      <c r="AC1481" s="6">
        <v>0.91700000000000004</v>
      </c>
      <c r="AD1481" s="6">
        <v>-2.0100000000000016</v>
      </c>
      <c r="AE1481" s="6">
        <v>2.0100000000000016</v>
      </c>
    </row>
    <row r="1482" spans="2:31" ht="20" x14ac:dyDescent="0.25">
      <c r="B1482" s="55"/>
      <c r="C1482" s="55"/>
      <c r="D1482" s="4" t="s">
        <v>2304</v>
      </c>
      <c r="E1482" s="4" t="s">
        <v>2305</v>
      </c>
      <c r="F1482" s="4" t="s">
        <v>51</v>
      </c>
      <c r="G1482" s="4" t="s">
        <v>35</v>
      </c>
      <c r="H1482" s="54" t="s">
        <v>36</v>
      </c>
      <c r="I1482" s="52"/>
      <c r="J1482" s="57">
        <v>15.02</v>
      </c>
      <c r="K1482" s="52"/>
      <c r="L1482" s="6">
        <v>13.773339999999999</v>
      </c>
      <c r="M1482" s="6">
        <v>0.91699999999999993</v>
      </c>
      <c r="N1482" s="6">
        <v>12.96</v>
      </c>
      <c r="O1482" s="57">
        <v>11.884320000000001</v>
      </c>
      <c r="P1482" s="52"/>
      <c r="Q1482" s="6">
        <v>0.91700000000000004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2.06</v>
      </c>
      <c r="AB1482" s="6">
        <v>1.8890199999999999</v>
      </c>
      <c r="AC1482" s="6">
        <v>0.91699999999999993</v>
      </c>
      <c r="AD1482" s="6">
        <v>-2.0599999999999987</v>
      </c>
      <c r="AE1482" s="6">
        <v>2.0599999999999987</v>
      </c>
    </row>
    <row r="1483" spans="2:31" ht="20" x14ac:dyDescent="0.25">
      <c r="B1483" s="55"/>
      <c r="C1483" s="55"/>
      <c r="D1483" s="4" t="s">
        <v>2306</v>
      </c>
      <c r="E1483" s="4" t="s">
        <v>2307</v>
      </c>
      <c r="F1483" s="4" t="s">
        <v>51</v>
      </c>
      <c r="G1483" s="4" t="s">
        <v>35</v>
      </c>
      <c r="H1483" s="54" t="s">
        <v>48</v>
      </c>
      <c r="I1483" s="52"/>
      <c r="J1483" s="57">
        <v>12.19</v>
      </c>
      <c r="K1483" s="52"/>
      <c r="L1483" s="6">
        <v>9.1425000000000001</v>
      </c>
      <c r="M1483" s="6">
        <v>0.75</v>
      </c>
      <c r="N1483" s="6">
        <v>11.5</v>
      </c>
      <c r="O1483" s="57">
        <v>8.625</v>
      </c>
      <c r="P1483" s="52"/>
      <c r="Q1483" s="6">
        <v>0.75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0.69</v>
      </c>
      <c r="AB1483" s="6">
        <v>0.51749999999999996</v>
      </c>
      <c r="AC1483" s="6">
        <v>0.75</v>
      </c>
      <c r="AD1483" s="6">
        <v>-0.6899999999999995</v>
      </c>
      <c r="AE1483" s="6">
        <v>0.6899999999999995</v>
      </c>
    </row>
    <row r="1484" spans="2:31" x14ac:dyDescent="0.25">
      <c r="B1484" s="55"/>
      <c r="C1484" s="55"/>
      <c r="D1484" s="54" t="s">
        <v>2308</v>
      </c>
      <c r="E1484" s="4" t="s">
        <v>2309</v>
      </c>
      <c r="F1484" s="4" t="s">
        <v>51</v>
      </c>
      <c r="G1484" s="4" t="s">
        <v>35</v>
      </c>
      <c r="H1484" s="54" t="s">
        <v>36</v>
      </c>
      <c r="I1484" s="52"/>
      <c r="J1484" s="57">
        <v>48.75</v>
      </c>
      <c r="K1484" s="52"/>
      <c r="L1484" s="6">
        <v>44.703749999999999</v>
      </c>
      <c r="M1484" s="6">
        <v>0.91700000000000004</v>
      </c>
      <c r="N1484" s="6">
        <v>46.64</v>
      </c>
      <c r="O1484" s="57">
        <v>42.768880000000003</v>
      </c>
      <c r="P1484" s="52"/>
      <c r="Q1484" s="6">
        <v>0.91700000000000004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2.11</v>
      </c>
      <c r="AB1484" s="6">
        <v>1.9348700000000001</v>
      </c>
      <c r="AC1484" s="6">
        <v>0.91700000000000015</v>
      </c>
      <c r="AD1484" s="6">
        <v>-2.1099999999999994</v>
      </c>
      <c r="AE1484" s="6">
        <v>2.1099999999999994</v>
      </c>
    </row>
    <row r="1485" spans="2:31" x14ac:dyDescent="0.25">
      <c r="B1485" s="55"/>
      <c r="C1485" s="55"/>
      <c r="D1485" s="55"/>
      <c r="E1485" s="4" t="s">
        <v>2310</v>
      </c>
      <c r="F1485" s="4" t="s">
        <v>51</v>
      </c>
      <c r="G1485" s="4" t="s">
        <v>35</v>
      </c>
      <c r="H1485" s="54" t="s">
        <v>48</v>
      </c>
      <c r="I1485" s="52"/>
      <c r="J1485" s="57">
        <v>24.08</v>
      </c>
      <c r="K1485" s="52"/>
      <c r="L1485" s="6">
        <v>18.059999999999999</v>
      </c>
      <c r="M1485" s="6">
        <v>0.75</v>
      </c>
      <c r="N1485" s="6">
        <v>21.95</v>
      </c>
      <c r="O1485" s="57">
        <v>16.462499999999999</v>
      </c>
      <c r="P1485" s="52"/>
      <c r="Q1485" s="6">
        <v>0.75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2.13</v>
      </c>
      <c r="AB1485" s="6">
        <v>1.5974999999999999</v>
      </c>
      <c r="AC1485" s="6">
        <v>0.75</v>
      </c>
      <c r="AD1485" s="6">
        <v>-2.129999999999999</v>
      </c>
      <c r="AE1485" s="6">
        <v>2.129999999999999</v>
      </c>
    </row>
    <row r="1486" spans="2:31" x14ac:dyDescent="0.25">
      <c r="B1486" s="55"/>
      <c r="C1486" s="55"/>
      <c r="D1486" s="56"/>
      <c r="E1486" s="4" t="s">
        <v>2311</v>
      </c>
      <c r="F1486" s="4" t="s">
        <v>51</v>
      </c>
      <c r="G1486" s="4" t="s">
        <v>35</v>
      </c>
      <c r="H1486" s="54" t="s">
        <v>48</v>
      </c>
      <c r="I1486" s="52"/>
      <c r="J1486" s="57">
        <v>7.68</v>
      </c>
      <c r="K1486" s="52"/>
      <c r="L1486" s="6">
        <v>5.76</v>
      </c>
      <c r="M1486" s="6">
        <v>0.75</v>
      </c>
      <c r="N1486" s="6">
        <v>7.27</v>
      </c>
      <c r="O1486" s="57">
        <v>5.4524999999999997</v>
      </c>
      <c r="P1486" s="52"/>
      <c r="Q1486" s="6">
        <v>0.75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0.41</v>
      </c>
      <c r="AB1486" s="6">
        <v>0.3075</v>
      </c>
      <c r="AC1486" s="6">
        <v>0.75</v>
      </c>
      <c r="AD1486" s="6">
        <v>-0.41000000000000014</v>
      </c>
      <c r="AE1486" s="6">
        <v>0.41000000000000014</v>
      </c>
    </row>
    <row r="1487" spans="2:31" ht="20" x14ac:dyDescent="0.25">
      <c r="B1487" s="55"/>
      <c r="C1487" s="55"/>
      <c r="D1487" s="4" t="s">
        <v>2312</v>
      </c>
      <c r="E1487" s="4" t="s">
        <v>2302</v>
      </c>
      <c r="F1487" s="4" t="s">
        <v>51</v>
      </c>
      <c r="G1487" s="4" t="s">
        <v>35</v>
      </c>
      <c r="H1487" s="54" t="s">
        <v>36</v>
      </c>
      <c r="I1487" s="52"/>
      <c r="J1487" s="57">
        <v>5.8</v>
      </c>
      <c r="K1487" s="52"/>
      <c r="L1487" s="6">
        <v>5.3186</v>
      </c>
      <c r="M1487" s="6">
        <v>0.91700000000000004</v>
      </c>
      <c r="N1487" s="6">
        <v>5.22</v>
      </c>
      <c r="O1487" s="57">
        <v>4.78674</v>
      </c>
      <c r="P1487" s="52"/>
      <c r="Q1487" s="6">
        <v>0.91700000000000004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0.57999999999999996</v>
      </c>
      <c r="AB1487" s="6">
        <v>0.53186</v>
      </c>
      <c r="AC1487" s="6">
        <v>0.91700000000000004</v>
      </c>
      <c r="AD1487" s="6">
        <v>-0.58000000000000007</v>
      </c>
      <c r="AE1487" s="6">
        <v>0.58000000000000007</v>
      </c>
    </row>
    <row r="1488" spans="2:31" ht="20" x14ac:dyDescent="0.25">
      <c r="B1488" s="55"/>
      <c r="C1488" s="55"/>
      <c r="D1488" s="4" t="s">
        <v>2313</v>
      </c>
      <c r="E1488" s="4" t="s">
        <v>2302</v>
      </c>
      <c r="F1488" s="4" t="s">
        <v>51</v>
      </c>
      <c r="G1488" s="4" t="s">
        <v>133</v>
      </c>
      <c r="H1488" s="54" t="s">
        <v>36</v>
      </c>
      <c r="I1488" s="52"/>
      <c r="J1488" s="57">
        <v>2.5499999999999998</v>
      </c>
      <c r="K1488" s="52"/>
      <c r="L1488" s="6">
        <v>2.3383500000000002</v>
      </c>
      <c r="M1488" s="6">
        <v>0.91700000000000015</v>
      </c>
      <c r="N1488" s="6">
        <v>2.5299999999999998</v>
      </c>
      <c r="O1488" s="57">
        <v>2.3200099999999999</v>
      </c>
      <c r="P1488" s="52"/>
      <c r="Q1488" s="6">
        <v>0.91700000000000004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0.02</v>
      </c>
      <c r="AB1488" s="6">
        <v>1.8339999999999999E-2</v>
      </c>
      <c r="AC1488" s="6">
        <v>0.91699999999999993</v>
      </c>
      <c r="AD1488" s="6">
        <v>-2.0000000000000018E-2</v>
      </c>
      <c r="AE1488" s="6">
        <v>2.0000000000000018E-2</v>
      </c>
    </row>
    <row r="1489" spans="2:31" ht="20" x14ac:dyDescent="0.25">
      <c r="B1489" s="55"/>
      <c r="C1489" s="55"/>
      <c r="D1489" s="4" t="s">
        <v>2314</v>
      </c>
      <c r="E1489" s="4" t="s">
        <v>2315</v>
      </c>
      <c r="F1489" s="4" t="s">
        <v>51</v>
      </c>
      <c r="G1489" s="4" t="s">
        <v>35</v>
      </c>
      <c r="H1489" s="54" t="s">
        <v>36</v>
      </c>
      <c r="I1489" s="52"/>
      <c r="J1489" s="57">
        <v>22.41</v>
      </c>
      <c r="K1489" s="52"/>
      <c r="L1489" s="6">
        <v>20.549969999999998</v>
      </c>
      <c r="M1489" s="6">
        <v>0.91699999999999993</v>
      </c>
      <c r="N1489" s="6">
        <v>20.21</v>
      </c>
      <c r="O1489" s="57">
        <v>18.53257</v>
      </c>
      <c r="P1489" s="52"/>
      <c r="Q1489" s="6">
        <v>0.91699999999999993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2.2000000000000002</v>
      </c>
      <c r="AB1489" s="6">
        <v>2.0173999999999999</v>
      </c>
      <c r="AC1489" s="6">
        <v>0.91699999999999982</v>
      </c>
      <c r="AD1489" s="6">
        <v>-2.1999999999999993</v>
      </c>
      <c r="AE1489" s="6">
        <v>2.1999999999999993</v>
      </c>
    </row>
    <row r="1490" spans="2:31" ht="20" x14ac:dyDescent="0.25">
      <c r="B1490" s="55"/>
      <c r="C1490" s="55"/>
      <c r="D1490" s="4" t="s">
        <v>2316</v>
      </c>
      <c r="E1490" s="4" t="s">
        <v>2317</v>
      </c>
      <c r="F1490" s="4" t="s">
        <v>51</v>
      </c>
      <c r="G1490" s="4" t="s">
        <v>35</v>
      </c>
      <c r="H1490" s="54" t="s">
        <v>48</v>
      </c>
      <c r="I1490" s="52"/>
      <c r="J1490" s="57">
        <v>65.78</v>
      </c>
      <c r="K1490" s="52"/>
      <c r="L1490" s="6">
        <v>49.335000000000001</v>
      </c>
      <c r="M1490" s="6">
        <v>0.75</v>
      </c>
      <c r="N1490" s="6">
        <v>62.11</v>
      </c>
      <c r="O1490" s="57">
        <v>46.582500000000003</v>
      </c>
      <c r="P1490" s="52"/>
      <c r="Q1490" s="6">
        <v>0.75000000000000011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3.67</v>
      </c>
      <c r="AB1490" s="6">
        <v>2.7524999999999999</v>
      </c>
      <c r="AC1490" s="6">
        <v>0.75</v>
      </c>
      <c r="AD1490" s="6">
        <v>-3.6700000000000017</v>
      </c>
      <c r="AE1490" s="6">
        <v>3.6700000000000017</v>
      </c>
    </row>
    <row r="1491" spans="2:31" ht="20" x14ac:dyDescent="0.25">
      <c r="B1491" s="55"/>
      <c r="C1491" s="55"/>
      <c r="D1491" s="4" t="s">
        <v>2318</v>
      </c>
      <c r="E1491" s="4" t="s">
        <v>2319</v>
      </c>
      <c r="F1491" s="4" t="s">
        <v>51</v>
      </c>
      <c r="G1491" s="4" t="s">
        <v>35</v>
      </c>
      <c r="H1491" s="54" t="s">
        <v>41</v>
      </c>
      <c r="I1491" s="52"/>
      <c r="J1491" s="57">
        <v>12.25</v>
      </c>
      <c r="K1491" s="52"/>
      <c r="L1491" s="6">
        <v>9.1875</v>
      </c>
      <c r="M1491" s="6">
        <v>0.75</v>
      </c>
      <c r="N1491" s="6">
        <v>11.08</v>
      </c>
      <c r="O1491" s="57">
        <v>8.31</v>
      </c>
      <c r="P1491" s="52"/>
      <c r="Q1491" s="6">
        <v>0.75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1.17</v>
      </c>
      <c r="AB1491" s="6">
        <v>0.87749999999999995</v>
      </c>
      <c r="AC1491" s="6">
        <v>0.75</v>
      </c>
      <c r="AD1491" s="6">
        <v>-1.17</v>
      </c>
      <c r="AE1491" s="6">
        <v>1.17</v>
      </c>
    </row>
    <row r="1492" spans="2:31" ht="20" x14ac:dyDescent="0.25">
      <c r="B1492" s="55"/>
      <c r="C1492" s="55"/>
      <c r="D1492" s="4" t="s">
        <v>2320</v>
      </c>
      <c r="E1492" s="4" t="s">
        <v>2321</v>
      </c>
      <c r="F1492" s="4" t="s">
        <v>51</v>
      </c>
      <c r="G1492" s="4" t="s">
        <v>35</v>
      </c>
      <c r="H1492" s="54" t="s">
        <v>48</v>
      </c>
      <c r="I1492" s="52"/>
      <c r="J1492" s="57">
        <v>34.520000000000003</v>
      </c>
      <c r="K1492" s="52"/>
      <c r="L1492" s="6">
        <v>25.89</v>
      </c>
      <c r="M1492" s="6">
        <v>0.75</v>
      </c>
      <c r="N1492" s="6">
        <v>29.95</v>
      </c>
      <c r="O1492" s="57">
        <v>22.462499999999999</v>
      </c>
      <c r="P1492" s="52"/>
      <c r="Q1492" s="6">
        <v>0.75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4.57</v>
      </c>
      <c r="AB1492" s="6">
        <v>3.4275000000000002</v>
      </c>
      <c r="AC1492" s="6">
        <v>0.75</v>
      </c>
      <c r="AD1492" s="6">
        <v>-4.5700000000000038</v>
      </c>
      <c r="AE1492" s="6">
        <v>4.5700000000000038</v>
      </c>
    </row>
    <row r="1493" spans="2:31" ht="20" x14ac:dyDescent="0.25">
      <c r="B1493" s="55"/>
      <c r="C1493" s="55"/>
      <c r="D1493" s="4" t="s">
        <v>2322</v>
      </c>
      <c r="E1493" s="4" t="s">
        <v>2323</v>
      </c>
      <c r="F1493" s="4" t="s">
        <v>51</v>
      </c>
      <c r="G1493" s="4" t="s">
        <v>35</v>
      </c>
      <c r="H1493" s="54" t="s">
        <v>48</v>
      </c>
      <c r="I1493" s="52"/>
      <c r="J1493" s="57">
        <v>28.53</v>
      </c>
      <c r="K1493" s="52"/>
      <c r="L1493" s="6">
        <v>21.397500000000001</v>
      </c>
      <c r="M1493" s="6">
        <v>0.75</v>
      </c>
      <c r="N1493" s="6">
        <v>24.97</v>
      </c>
      <c r="O1493" s="57">
        <v>18.727499999999999</v>
      </c>
      <c r="P1493" s="52"/>
      <c r="Q1493" s="6">
        <v>0.75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3.56</v>
      </c>
      <c r="AB1493" s="6">
        <v>2.67</v>
      </c>
      <c r="AC1493" s="6">
        <v>0.75</v>
      </c>
      <c r="AD1493" s="6">
        <v>-3.5600000000000023</v>
      </c>
      <c r="AE1493" s="6">
        <v>3.5600000000000023</v>
      </c>
    </row>
    <row r="1494" spans="2:31" ht="20" x14ac:dyDescent="0.25">
      <c r="B1494" s="55"/>
      <c r="C1494" s="55"/>
      <c r="D1494" s="4" t="s">
        <v>2324</v>
      </c>
      <c r="E1494" s="4" t="s">
        <v>2325</v>
      </c>
      <c r="F1494" s="4" t="s">
        <v>51</v>
      </c>
      <c r="G1494" s="4" t="s">
        <v>35</v>
      </c>
      <c r="H1494" s="54" t="s">
        <v>48</v>
      </c>
      <c r="I1494" s="52"/>
      <c r="J1494" s="57">
        <v>41.82</v>
      </c>
      <c r="K1494" s="52"/>
      <c r="L1494" s="6">
        <v>31.364999999999998</v>
      </c>
      <c r="M1494" s="6">
        <v>0.75</v>
      </c>
      <c r="N1494" s="6">
        <v>36.14</v>
      </c>
      <c r="O1494" s="57">
        <v>27.105</v>
      </c>
      <c r="P1494" s="52"/>
      <c r="Q1494" s="6">
        <v>0.75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5.68</v>
      </c>
      <c r="AB1494" s="6">
        <v>4.26</v>
      </c>
      <c r="AC1494" s="6">
        <v>0.75</v>
      </c>
      <c r="AD1494" s="6">
        <v>-5.68</v>
      </c>
      <c r="AE1494" s="6">
        <v>5.68</v>
      </c>
    </row>
    <row r="1495" spans="2:31" ht="20" x14ac:dyDescent="0.25">
      <c r="B1495" s="55"/>
      <c r="C1495" s="55"/>
      <c r="D1495" s="4" t="s">
        <v>2326</v>
      </c>
      <c r="E1495" s="4" t="s">
        <v>2327</v>
      </c>
      <c r="F1495" s="4" t="s">
        <v>51</v>
      </c>
      <c r="G1495" s="4" t="s">
        <v>35</v>
      </c>
      <c r="H1495" s="54" t="s">
        <v>48</v>
      </c>
      <c r="I1495" s="52"/>
      <c r="J1495" s="57">
        <v>45.02</v>
      </c>
      <c r="K1495" s="52"/>
      <c r="L1495" s="6">
        <v>33.765000000000001</v>
      </c>
      <c r="M1495" s="6">
        <v>0.75</v>
      </c>
      <c r="N1495" s="6">
        <v>38.85</v>
      </c>
      <c r="O1495" s="57">
        <v>29.137499999999999</v>
      </c>
      <c r="P1495" s="52"/>
      <c r="Q1495" s="6">
        <v>0.75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6.17</v>
      </c>
      <c r="AB1495" s="6">
        <v>4.6275000000000004</v>
      </c>
      <c r="AC1495" s="6">
        <v>0.75000000000000011</v>
      </c>
      <c r="AD1495" s="6">
        <v>-6.1700000000000017</v>
      </c>
      <c r="AE1495" s="6">
        <v>6.1700000000000017</v>
      </c>
    </row>
    <row r="1496" spans="2:31" ht="20" x14ac:dyDescent="0.25">
      <c r="B1496" s="55"/>
      <c r="C1496" s="55"/>
      <c r="D1496" s="4" t="s">
        <v>2328</v>
      </c>
      <c r="E1496" s="4" t="s">
        <v>2329</v>
      </c>
      <c r="F1496" s="4" t="s">
        <v>51</v>
      </c>
      <c r="G1496" s="4" t="s">
        <v>35</v>
      </c>
      <c r="H1496" s="54" t="s">
        <v>36</v>
      </c>
      <c r="I1496" s="52"/>
      <c r="J1496" s="57">
        <v>14.609</v>
      </c>
      <c r="K1496" s="52"/>
      <c r="L1496" s="6">
        <v>13.396452999999999</v>
      </c>
      <c r="M1496" s="6">
        <v>0.91699999999999993</v>
      </c>
      <c r="N1496" s="6">
        <v>13.109</v>
      </c>
      <c r="O1496" s="57">
        <v>12.020953</v>
      </c>
      <c r="P1496" s="52"/>
      <c r="Q1496" s="6">
        <v>0.91700000000000004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1.5</v>
      </c>
      <c r="AB1496" s="6">
        <v>1.3754999999999999</v>
      </c>
      <c r="AC1496" s="6">
        <v>0.91699999999999993</v>
      </c>
      <c r="AD1496" s="6">
        <v>-1.5</v>
      </c>
      <c r="AE1496" s="6">
        <v>1.5</v>
      </c>
    </row>
    <row r="1497" spans="2:31" ht="20" x14ac:dyDescent="0.25">
      <c r="B1497" s="55"/>
      <c r="C1497" s="55"/>
      <c r="D1497" s="4" t="s">
        <v>2330</v>
      </c>
      <c r="E1497" s="4" t="s">
        <v>2331</v>
      </c>
      <c r="F1497" s="4" t="s">
        <v>51</v>
      </c>
      <c r="G1497" s="4" t="s">
        <v>35</v>
      </c>
      <c r="H1497" s="54" t="s">
        <v>41</v>
      </c>
      <c r="I1497" s="52"/>
      <c r="J1497" s="57">
        <v>16.98</v>
      </c>
      <c r="K1497" s="52"/>
      <c r="L1497" s="6">
        <v>12.734999999999999</v>
      </c>
      <c r="M1497" s="6">
        <v>0.75</v>
      </c>
      <c r="N1497" s="6">
        <v>16</v>
      </c>
      <c r="O1497" s="57">
        <v>12</v>
      </c>
      <c r="P1497" s="52"/>
      <c r="Q1497" s="6">
        <v>0.75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0.98</v>
      </c>
      <c r="AB1497" s="6">
        <v>0.73499999999999999</v>
      </c>
      <c r="AC1497" s="6">
        <v>0.75</v>
      </c>
      <c r="AD1497" s="6">
        <v>-0.98000000000000043</v>
      </c>
      <c r="AE1497" s="6">
        <v>0.98000000000000043</v>
      </c>
    </row>
    <row r="1498" spans="2:31" ht="20" x14ac:dyDescent="0.25">
      <c r="B1498" s="55"/>
      <c r="C1498" s="55"/>
      <c r="D1498" s="4" t="s">
        <v>2332</v>
      </c>
      <c r="E1498" s="4" t="s">
        <v>2333</v>
      </c>
      <c r="F1498" s="4" t="s">
        <v>51</v>
      </c>
      <c r="G1498" s="4" t="s">
        <v>35</v>
      </c>
      <c r="H1498" s="54" t="s">
        <v>48</v>
      </c>
      <c r="I1498" s="52"/>
      <c r="J1498" s="57">
        <v>17.899999999999999</v>
      </c>
      <c r="K1498" s="52"/>
      <c r="L1498" s="6">
        <v>13.425000000000001</v>
      </c>
      <c r="M1498" s="6">
        <v>0.75000000000000011</v>
      </c>
      <c r="N1498" s="6">
        <v>16.739999999999998</v>
      </c>
      <c r="O1498" s="57">
        <v>12.555</v>
      </c>
      <c r="P1498" s="52"/>
      <c r="Q1498" s="6">
        <v>0.75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1.1599999999999999</v>
      </c>
      <c r="AB1498" s="6">
        <v>0.87</v>
      </c>
      <c r="AC1498" s="6">
        <v>0.75</v>
      </c>
      <c r="AD1498" s="6">
        <v>-1.1600000000000001</v>
      </c>
      <c r="AE1498" s="6">
        <v>1.1600000000000001</v>
      </c>
    </row>
    <row r="1499" spans="2:31" ht="20" x14ac:dyDescent="0.25">
      <c r="B1499" s="55"/>
      <c r="C1499" s="55"/>
      <c r="D1499" s="4" t="s">
        <v>2334</v>
      </c>
      <c r="E1499" s="4" t="s">
        <v>2335</v>
      </c>
      <c r="F1499" s="4" t="s">
        <v>51</v>
      </c>
      <c r="G1499" s="4" t="s">
        <v>35</v>
      </c>
      <c r="H1499" s="54" t="s">
        <v>48</v>
      </c>
      <c r="I1499" s="52"/>
      <c r="J1499" s="57">
        <v>87.62</v>
      </c>
      <c r="K1499" s="52"/>
      <c r="L1499" s="6">
        <v>65.715000000000003</v>
      </c>
      <c r="M1499" s="6">
        <v>0.75</v>
      </c>
      <c r="N1499" s="6">
        <v>82.81</v>
      </c>
      <c r="O1499" s="57">
        <v>62.107500000000002</v>
      </c>
      <c r="P1499" s="52"/>
      <c r="Q1499" s="6">
        <v>0.75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4.8099999999999996</v>
      </c>
      <c r="AB1499" s="6">
        <v>3.6074999999999999</v>
      </c>
      <c r="AC1499" s="6">
        <v>0.75</v>
      </c>
      <c r="AD1499" s="6">
        <v>-4.8100000000000023</v>
      </c>
      <c r="AE1499" s="6">
        <v>4.8100000000000023</v>
      </c>
    </row>
    <row r="1500" spans="2:31" ht="20" x14ac:dyDescent="0.25">
      <c r="B1500" s="55"/>
      <c r="C1500" s="55"/>
      <c r="D1500" s="4" t="s">
        <v>2336</v>
      </c>
      <c r="E1500" s="4" t="s">
        <v>2337</v>
      </c>
      <c r="F1500" s="4" t="s">
        <v>51</v>
      </c>
      <c r="G1500" s="4" t="s">
        <v>35</v>
      </c>
      <c r="H1500" s="54" t="s">
        <v>36</v>
      </c>
      <c r="I1500" s="52"/>
      <c r="J1500" s="57">
        <v>21.96</v>
      </c>
      <c r="K1500" s="52"/>
      <c r="L1500" s="6">
        <v>20.137319999999999</v>
      </c>
      <c r="M1500" s="6">
        <v>0.91699999999999993</v>
      </c>
      <c r="N1500" s="6">
        <v>20.87</v>
      </c>
      <c r="O1500" s="57">
        <v>19.137789999999999</v>
      </c>
      <c r="P1500" s="52"/>
      <c r="Q1500" s="6">
        <v>0.91699999999999993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1.0900000000000001</v>
      </c>
      <c r="AB1500" s="6">
        <v>0.99953000000000003</v>
      </c>
      <c r="AC1500" s="6">
        <v>0.91699999999999993</v>
      </c>
      <c r="AD1500" s="6">
        <v>-1.0899999999999999</v>
      </c>
      <c r="AE1500" s="6">
        <v>1.0899999999999999</v>
      </c>
    </row>
    <row r="1501" spans="2:31" ht="20" x14ac:dyDescent="0.25">
      <c r="B1501" s="55"/>
      <c r="C1501" s="55"/>
      <c r="D1501" s="4" t="s">
        <v>2338</v>
      </c>
      <c r="E1501" s="4" t="s">
        <v>2339</v>
      </c>
      <c r="F1501" s="4" t="s">
        <v>51</v>
      </c>
      <c r="G1501" s="4" t="s">
        <v>35</v>
      </c>
      <c r="H1501" s="54" t="s">
        <v>48</v>
      </c>
      <c r="I1501" s="52"/>
      <c r="J1501" s="57">
        <v>26.84</v>
      </c>
      <c r="K1501" s="52"/>
      <c r="L1501" s="6">
        <v>20.13</v>
      </c>
      <c r="M1501" s="6">
        <v>0.75</v>
      </c>
      <c r="N1501" s="6">
        <v>24.98</v>
      </c>
      <c r="O1501" s="57">
        <v>18.734999999999999</v>
      </c>
      <c r="P1501" s="52"/>
      <c r="Q1501" s="6">
        <v>0.75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1.86</v>
      </c>
      <c r="AB1501" s="6">
        <v>1.395</v>
      </c>
      <c r="AC1501" s="6">
        <v>0.75</v>
      </c>
      <c r="AD1501" s="6">
        <v>-1.8599999999999994</v>
      </c>
      <c r="AE1501" s="6">
        <v>1.8599999999999994</v>
      </c>
    </row>
    <row r="1502" spans="2:31" ht="20" x14ac:dyDescent="0.25">
      <c r="B1502" s="55"/>
      <c r="C1502" s="55"/>
      <c r="D1502" s="4" t="s">
        <v>2340</v>
      </c>
      <c r="E1502" s="4" t="s">
        <v>2341</v>
      </c>
      <c r="F1502" s="4" t="s">
        <v>51</v>
      </c>
      <c r="G1502" s="4" t="s">
        <v>35</v>
      </c>
      <c r="H1502" s="54" t="s">
        <v>48</v>
      </c>
      <c r="I1502" s="52"/>
      <c r="J1502" s="57">
        <v>7.97</v>
      </c>
      <c r="K1502" s="52"/>
      <c r="L1502" s="6">
        <v>5.9775</v>
      </c>
      <c r="M1502" s="6">
        <v>0.75</v>
      </c>
      <c r="N1502" s="6">
        <v>7.6</v>
      </c>
      <c r="O1502" s="57">
        <v>5.7</v>
      </c>
      <c r="P1502" s="52"/>
      <c r="Q1502" s="6">
        <v>0.75000000000000011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0.37</v>
      </c>
      <c r="AB1502" s="6">
        <v>0.27750000000000002</v>
      </c>
      <c r="AC1502" s="6">
        <v>0.75000000000000011</v>
      </c>
      <c r="AD1502" s="6">
        <v>-0.37000000000000011</v>
      </c>
      <c r="AE1502" s="6">
        <v>0.37000000000000011</v>
      </c>
    </row>
    <row r="1503" spans="2:31" ht="20" x14ac:dyDescent="0.25">
      <c r="B1503" s="55"/>
      <c r="C1503" s="55"/>
      <c r="D1503" s="4" t="s">
        <v>2342</v>
      </c>
      <c r="E1503" s="4" t="s">
        <v>2343</v>
      </c>
      <c r="F1503" s="4" t="s">
        <v>51</v>
      </c>
      <c r="G1503" s="4" t="s">
        <v>35</v>
      </c>
      <c r="H1503" s="54" t="s">
        <v>48</v>
      </c>
      <c r="I1503" s="52"/>
      <c r="J1503" s="57">
        <v>8.5399999999999991</v>
      </c>
      <c r="K1503" s="52"/>
      <c r="L1503" s="6">
        <v>6.4050000000000002</v>
      </c>
      <c r="M1503" s="6">
        <v>0.75000000000000011</v>
      </c>
      <c r="N1503" s="6">
        <v>8.1199999999999992</v>
      </c>
      <c r="O1503" s="57">
        <v>6.09</v>
      </c>
      <c r="P1503" s="52"/>
      <c r="Q1503" s="6">
        <v>0.75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0.42</v>
      </c>
      <c r="AB1503" s="6">
        <v>0.315</v>
      </c>
      <c r="AC1503" s="6">
        <v>0.75</v>
      </c>
      <c r="AD1503" s="6">
        <v>-0.41999999999999993</v>
      </c>
      <c r="AE1503" s="6">
        <v>0.41999999999999993</v>
      </c>
    </row>
    <row r="1504" spans="2:31" ht="20" x14ac:dyDescent="0.25">
      <c r="B1504" s="55"/>
      <c r="C1504" s="55"/>
      <c r="D1504" s="4" t="s">
        <v>2344</v>
      </c>
      <c r="E1504" s="4" t="s">
        <v>2345</v>
      </c>
      <c r="F1504" s="4" t="s">
        <v>51</v>
      </c>
      <c r="G1504" s="4" t="s">
        <v>35</v>
      </c>
      <c r="H1504" s="54" t="s">
        <v>48</v>
      </c>
      <c r="I1504" s="52"/>
      <c r="J1504" s="57">
        <v>38.57</v>
      </c>
      <c r="K1504" s="52"/>
      <c r="L1504" s="6">
        <v>28.927499999999998</v>
      </c>
      <c r="M1504" s="6">
        <v>0.75</v>
      </c>
      <c r="N1504" s="6">
        <v>37.119999999999997</v>
      </c>
      <c r="O1504" s="57">
        <v>27.84</v>
      </c>
      <c r="P1504" s="52"/>
      <c r="Q1504" s="6">
        <v>0.75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1.45</v>
      </c>
      <c r="AB1504" s="6">
        <v>1.0874999999999999</v>
      </c>
      <c r="AC1504" s="6">
        <v>0.75</v>
      </c>
      <c r="AD1504" s="6">
        <v>-1.4500000000000028</v>
      </c>
      <c r="AE1504" s="6">
        <v>1.4500000000000028</v>
      </c>
    </row>
    <row r="1505" spans="2:31" ht="20" x14ac:dyDescent="0.25">
      <c r="B1505" s="55"/>
      <c r="C1505" s="55"/>
      <c r="D1505" s="4" t="s">
        <v>2346</v>
      </c>
      <c r="E1505" s="4" t="s">
        <v>2347</v>
      </c>
      <c r="F1505" s="4" t="s">
        <v>51</v>
      </c>
      <c r="G1505" s="4" t="s">
        <v>35</v>
      </c>
      <c r="H1505" s="54" t="s">
        <v>48</v>
      </c>
      <c r="I1505" s="52"/>
      <c r="J1505" s="57">
        <v>19.5</v>
      </c>
      <c r="K1505" s="52"/>
      <c r="L1505" s="6">
        <v>14.625</v>
      </c>
      <c r="M1505" s="6">
        <v>0.75</v>
      </c>
      <c r="N1505" s="6">
        <v>18.649999999999999</v>
      </c>
      <c r="O1505" s="57">
        <v>13.987500000000001</v>
      </c>
      <c r="P1505" s="52"/>
      <c r="Q1505" s="6">
        <v>0.75000000000000011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0.85</v>
      </c>
      <c r="AB1505" s="6">
        <v>0.63749999999999996</v>
      </c>
      <c r="AC1505" s="6">
        <v>0.75</v>
      </c>
      <c r="AD1505" s="6">
        <v>-0.85000000000000142</v>
      </c>
      <c r="AE1505" s="6">
        <v>0.85000000000000142</v>
      </c>
    </row>
    <row r="1506" spans="2:31" ht="20" x14ac:dyDescent="0.25">
      <c r="B1506" s="55"/>
      <c r="C1506" s="55"/>
      <c r="D1506" s="4" t="s">
        <v>2348</v>
      </c>
      <c r="E1506" s="4" t="s">
        <v>2180</v>
      </c>
      <c r="F1506" s="4" t="s">
        <v>51</v>
      </c>
      <c r="G1506" s="4" t="s">
        <v>35</v>
      </c>
      <c r="H1506" s="54" t="s">
        <v>36</v>
      </c>
      <c r="I1506" s="52"/>
      <c r="J1506" s="57">
        <v>373.24</v>
      </c>
      <c r="K1506" s="52"/>
      <c r="L1506" s="6">
        <v>342.26107999999999</v>
      </c>
      <c r="M1506" s="6">
        <v>0.91699999999999993</v>
      </c>
      <c r="N1506" s="6">
        <v>365.04</v>
      </c>
      <c r="O1506" s="57">
        <v>334.74167999999997</v>
      </c>
      <c r="P1506" s="52"/>
      <c r="Q1506" s="6">
        <v>0.91699999999999993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8.1999999999999993</v>
      </c>
      <c r="AB1506" s="6">
        <v>7.5194000000000001</v>
      </c>
      <c r="AC1506" s="6">
        <v>0.91700000000000004</v>
      </c>
      <c r="AD1506" s="6">
        <v>-8.1999999999999886</v>
      </c>
      <c r="AE1506" s="6">
        <v>8.1999999999999886</v>
      </c>
    </row>
    <row r="1507" spans="2:31" ht="20" x14ac:dyDescent="0.25">
      <c r="B1507" s="55"/>
      <c r="C1507" s="55"/>
      <c r="D1507" s="4" t="s">
        <v>2349</v>
      </c>
      <c r="E1507" s="4" t="s">
        <v>2145</v>
      </c>
      <c r="F1507" s="4" t="s">
        <v>51</v>
      </c>
      <c r="G1507" s="4" t="s">
        <v>35</v>
      </c>
      <c r="H1507" s="54" t="s">
        <v>36</v>
      </c>
      <c r="I1507" s="52"/>
      <c r="J1507" s="57">
        <v>333.51</v>
      </c>
      <c r="K1507" s="52"/>
      <c r="L1507" s="6">
        <v>305.82866999999999</v>
      </c>
      <c r="M1507" s="6">
        <v>0.91700000000000004</v>
      </c>
      <c r="N1507" s="6">
        <v>316.05</v>
      </c>
      <c r="O1507" s="57">
        <v>289.81785000000002</v>
      </c>
      <c r="P1507" s="52"/>
      <c r="Q1507" s="6">
        <v>0.91700000000000004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17.46</v>
      </c>
      <c r="AB1507" s="6">
        <v>16.010819999999999</v>
      </c>
      <c r="AC1507" s="6">
        <v>0.91699999999999993</v>
      </c>
      <c r="AD1507" s="6">
        <v>-17.45999999999998</v>
      </c>
      <c r="AE1507" s="6">
        <v>17.45999999999998</v>
      </c>
    </row>
    <row r="1508" spans="2:31" x14ac:dyDescent="0.25">
      <c r="B1508" s="55"/>
      <c r="C1508" s="55"/>
      <c r="D1508" s="54" t="s">
        <v>2350</v>
      </c>
      <c r="E1508" s="54" t="s">
        <v>338</v>
      </c>
      <c r="F1508" s="54" t="s">
        <v>51</v>
      </c>
      <c r="G1508" s="54" t="s">
        <v>35</v>
      </c>
      <c r="H1508" s="54" t="s">
        <v>48</v>
      </c>
      <c r="I1508" s="52"/>
      <c r="J1508" s="57">
        <v>9.39</v>
      </c>
      <c r="K1508" s="52"/>
      <c r="L1508" s="6">
        <v>7.0425000000000004</v>
      </c>
      <c r="M1508" s="6">
        <v>0.75</v>
      </c>
      <c r="N1508" s="6">
        <v>8.7100000000000009</v>
      </c>
      <c r="O1508" s="57">
        <v>6.5324999999999998</v>
      </c>
      <c r="P1508" s="52"/>
      <c r="Q1508" s="6">
        <v>0.74999999999999989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0.68</v>
      </c>
      <c r="AB1508" s="6">
        <v>0.51</v>
      </c>
      <c r="AC1508" s="6">
        <v>0.75</v>
      </c>
      <c r="AD1508" s="6">
        <v>-0.67999999999999972</v>
      </c>
      <c r="AE1508" s="6">
        <v>0.67999999999999972</v>
      </c>
    </row>
    <row r="1509" spans="2:31" x14ac:dyDescent="0.25">
      <c r="B1509" s="55"/>
      <c r="C1509" s="55"/>
      <c r="D1509" s="55"/>
      <c r="E1509" s="55"/>
      <c r="F1509" s="55"/>
      <c r="G1509" s="55"/>
      <c r="H1509" s="54" t="s">
        <v>41</v>
      </c>
      <c r="I1509" s="52"/>
      <c r="J1509" s="57">
        <v>4.1900000000000004</v>
      </c>
      <c r="K1509" s="52"/>
      <c r="L1509" s="6">
        <v>3.1425000000000001</v>
      </c>
      <c r="M1509" s="6">
        <v>0.75</v>
      </c>
      <c r="N1509" s="6">
        <v>3.82</v>
      </c>
      <c r="O1509" s="57">
        <v>2.8650000000000002</v>
      </c>
      <c r="P1509" s="52"/>
      <c r="Q1509" s="6">
        <v>0.75000000000000011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0.37</v>
      </c>
      <c r="AB1509" s="6">
        <v>0.27750000000000002</v>
      </c>
      <c r="AC1509" s="6">
        <v>0.75000000000000011</v>
      </c>
      <c r="AD1509" s="6">
        <v>-0.37000000000000055</v>
      </c>
      <c r="AE1509" s="6">
        <v>0.37000000000000055</v>
      </c>
    </row>
    <row r="1510" spans="2:31" x14ac:dyDescent="0.25">
      <c r="B1510" s="55"/>
      <c r="C1510" s="56"/>
      <c r="D1510" s="56"/>
      <c r="E1510" s="56"/>
      <c r="F1510" s="56"/>
      <c r="G1510" s="56"/>
      <c r="H1510" s="54" t="s">
        <v>36</v>
      </c>
      <c r="I1510" s="52"/>
      <c r="J1510" s="57">
        <v>14.8</v>
      </c>
      <c r="K1510" s="52"/>
      <c r="L1510" s="6">
        <v>13.5716</v>
      </c>
      <c r="M1510" s="6">
        <v>0.91699999999999993</v>
      </c>
      <c r="N1510" s="6">
        <v>10.61</v>
      </c>
      <c r="O1510" s="57">
        <v>9.7293699999999994</v>
      </c>
      <c r="P1510" s="52"/>
      <c r="Q1510" s="6">
        <v>0.91700000000000004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4.1900000000000004</v>
      </c>
      <c r="AB1510" s="6">
        <v>3.8422299999999998</v>
      </c>
      <c r="AC1510" s="6">
        <v>0.91699999999999982</v>
      </c>
      <c r="AD1510" s="6">
        <v>-4.1900000000000013</v>
      </c>
      <c r="AE1510" s="6">
        <v>4.1900000000000013</v>
      </c>
    </row>
    <row r="1511" spans="2:31" x14ac:dyDescent="0.25">
      <c r="B1511" s="55"/>
      <c r="C1511" s="58">
        <v>46197</v>
      </c>
      <c r="D1511" s="4" t="s">
        <v>2351</v>
      </c>
      <c r="E1511" s="4" t="s">
        <v>2212</v>
      </c>
      <c r="F1511" s="4" t="s">
        <v>34</v>
      </c>
      <c r="G1511" s="4" t="s">
        <v>35</v>
      </c>
      <c r="H1511" s="54" t="s">
        <v>36</v>
      </c>
      <c r="I1511" s="52"/>
      <c r="J1511" s="57">
        <v>204.41</v>
      </c>
      <c r="K1511" s="52"/>
      <c r="L1511" s="6">
        <v>187.44397000000001</v>
      </c>
      <c r="M1511" s="6">
        <v>0.91700000000000004</v>
      </c>
      <c r="N1511" s="6">
        <v>204.38</v>
      </c>
      <c r="O1511" s="57">
        <v>187.41646</v>
      </c>
      <c r="P1511" s="52"/>
      <c r="Q1511" s="6">
        <v>0.91700000000000004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0.03</v>
      </c>
      <c r="AB1511" s="6">
        <v>2.751E-2</v>
      </c>
      <c r="AC1511" s="6">
        <v>0.91700000000000004</v>
      </c>
      <c r="AD1511" s="6">
        <v>-3.0000000000001137E-2</v>
      </c>
      <c r="AE1511" s="6">
        <v>3.0000000000001137E-2</v>
      </c>
    </row>
    <row r="1512" spans="2:31" x14ac:dyDescent="0.25">
      <c r="B1512" s="55"/>
      <c r="C1512" s="55"/>
      <c r="D1512" s="4" t="s">
        <v>2352</v>
      </c>
      <c r="E1512" s="4" t="s">
        <v>2353</v>
      </c>
      <c r="F1512" s="4" t="s">
        <v>34</v>
      </c>
      <c r="G1512" s="4" t="s">
        <v>35</v>
      </c>
      <c r="H1512" s="54" t="s">
        <v>48</v>
      </c>
      <c r="I1512" s="52"/>
      <c r="J1512" s="57">
        <v>79.63</v>
      </c>
      <c r="K1512" s="52"/>
      <c r="L1512" s="6">
        <v>59.722499999999997</v>
      </c>
      <c r="M1512" s="6">
        <v>0.75</v>
      </c>
      <c r="N1512" s="6">
        <v>67.23</v>
      </c>
      <c r="O1512" s="57">
        <v>50.422499999999999</v>
      </c>
      <c r="P1512" s="52"/>
      <c r="Q1512" s="6">
        <v>0.75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12.4</v>
      </c>
      <c r="AB1512" s="6">
        <v>9.3000000000000007</v>
      </c>
      <c r="AC1512" s="6">
        <v>0.75</v>
      </c>
      <c r="AD1512" s="6">
        <v>-12.399999999999991</v>
      </c>
      <c r="AE1512" s="6">
        <v>12.399999999999991</v>
      </c>
    </row>
    <row r="1513" spans="2:31" x14ac:dyDescent="0.25">
      <c r="B1513" s="55"/>
      <c r="C1513" s="55"/>
      <c r="D1513" s="4" t="s">
        <v>2354</v>
      </c>
      <c r="E1513" s="4" t="s">
        <v>2355</v>
      </c>
      <c r="F1513" s="4" t="s">
        <v>34</v>
      </c>
      <c r="G1513" s="4" t="s">
        <v>35</v>
      </c>
      <c r="H1513" s="54" t="s">
        <v>48</v>
      </c>
      <c r="I1513" s="52"/>
      <c r="J1513" s="57">
        <v>79.78</v>
      </c>
      <c r="K1513" s="52"/>
      <c r="L1513" s="6">
        <v>59.835000000000001</v>
      </c>
      <c r="M1513" s="6">
        <v>0.75</v>
      </c>
      <c r="N1513" s="6">
        <v>74.62</v>
      </c>
      <c r="O1513" s="57">
        <v>55.965000000000003</v>
      </c>
      <c r="P1513" s="52"/>
      <c r="Q1513" s="6">
        <v>0.75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5.16</v>
      </c>
      <c r="AB1513" s="6">
        <v>3.87</v>
      </c>
      <c r="AC1513" s="6">
        <v>0.75</v>
      </c>
      <c r="AD1513" s="6">
        <v>-5.1599999999999966</v>
      </c>
      <c r="AE1513" s="6">
        <v>5.1599999999999966</v>
      </c>
    </row>
    <row r="1514" spans="2:31" ht="20" x14ac:dyDescent="0.25">
      <c r="B1514" s="55"/>
      <c r="C1514" s="55"/>
      <c r="D1514" s="4" t="s">
        <v>2356</v>
      </c>
      <c r="E1514" s="4" t="s">
        <v>2180</v>
      </c>
      <c r="F1514" s="4" t="s">
        <v>51</v>
      </c>
      <c r="G1514" s="4" t="s">
        <v>35</v>
      </c>
      <c r="H1514" s="54" t="s">
        <v>36</v>
      </c>
      <c r="I1514" s="52"/>
      <c r="J1514" s="57">
        <v>365.04</v>
      </c>
      <c r="K1514" s="52"/>
      <c r="L1514" s="6">
        <v>334.74167999999997</v>
      </c>
      <c r="M1514" s="6">
        <v>0.91699999999999993</v>
      </c>
      <c r="N1514" s="6">
        <v>364.86</v>
      </c>
      <c r="O1514" s="57">
        <v>334.57661999999999</v>
      </c>
      <c r="P1514" s="52"/>
      <c r="Q1514" s="6">
        <v>0.91699999999999993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0.18</v>
      </c>
      <c r="AB1514" s="6">
        <v>0.16506000000000001</v>
      </c>
      <c r="AC1514" s="6">
        <v>0.91700000000000015</v>
      </c>
      <c r="AD1514" s="6">
        <v>-0.18000000000000682</v>
      </c>
      <c r="AE1514" s="6">
        <v>0.18000000000000682</v>
      </c>
    </row>
    <row r="1515" spans="2:31" ht="20" x14ac:dyDescent="0.25">
      <c r="B1515" s="55"/>
      <c r="C1515" s="55"/>
      <c r="D1515" s="4" t="s">
        <v>2357</v>
      </c>
      <c r="E1515" s="4" t="s">
        <v>2358</v>
      </c>
      <c r="F1515" s="4" t="s">
        <v>51</v>
      </c>
      <c r="G1515" s="4" t="s">
        <v>35</v>
      </c>
      <c r="H1515" s="54" t="s">
        <v>36</v>
      </c>
      <c r="I1515" s="52"/>
      <c r="J1515" s="57">
        <v>51.02</v>
      </c>
      <c r="K1515" s="52"/>
      <c r="L1515" s="6">
        <v>46.785339999999998</v>
      </c>
      <c r="M1515" s="6">
        <v>0.91699999999999993</v>
      </c>
      <c r="N1515" s="6">
        <v>46.47</v>
      </c>
      <c r="O1515" s="57">
        <v>42.612990000000003</v>
      </c>
      <c r="P1515" s="52"/>
      <c r="Q1515" s="6">
        <v>0.91700000000000015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4.55</v>
      </c>
      <c r="AB1515" s="6">
        <v>4.1723499999999998</v>
      </c>
      <c r="AC1515" s="6">
        <v>0.91700000000000004</v>
      </c>
      <c r="AD1515" s="6">
        <v>-4.5500000000000043</v>
      </c>
      <c r="AE1515" s="6">
        <v>4.5500000000000043</v>
      </c>
    </row>
    <row r="1516" spans="2:31" ht="20" x14ac:dyDescent="0.25">
      <c r="B1516" s="55"/>
      <c r="C1516" s="55"/>
      <c r="D1516" s="4" t="s">
        <v>2359</v>
      </c>
      <c r="E1516" s="4" t="s">
        <v>2360</v>
      </c>
      <c r="F1516" s="4" t="s">
        <v>51</v>
      </c>
      <c r="G1516" s="4" t="s">
        <v>35</v>
      </c>
      <c r="H1516" s="54" t="s">
        <v>48</v>
      </c>
      <c r="I1516" s="52"/>
      <c r="J1516" s="57">
        <v>36.380000000000003</v>
      </c>
      <c r="K1516" s="52"/>
      <c r="L1516" s="6">
        <v>27.285</v>
      </c>
      <c r="M1516" s="6">
        <v>0.75</v>
      </c>
      <c r="N1516" s="6">
        <v>33.340000000000003</v>
      </c>
      <c r="O1516" s="57">
        <v>25.004999999999999</v>
      </c>
      <c r="P1516" s="52"/>
      <c r="Q1516" s="6">
        <v>0.74999999999999989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3.04</v>
      </c>
      <c r="AB1516" s="6">
        <v>2.2799999999999998</v>
      </c>
      <c r="AC1516" s="6">
        <v>0.74999999999999989</v>
      </c>
      <c r="AD1516" s="6">
        <v>-3.0399999999999991</v>
      </c>
      <c r="AE1516" s="6">
        <v>3.0399999999999991</v>
      </c>
    </row>
    <row r="1517" spans="2:31" ht="20" x14ac:dyDescent="0.25">
      <c r="B1517" s="55"/>
      <c r="C1517" s="55"/>
      <c r="D1517" s="4" t="s">
        <v>2361</v>
      </c>
      <c r="E1517" s="4" t="s">
        <v>2362</v>
      </c>
      <c r="F1517" s="4" t="s">
        <v>51</v>
      </c>
      <c r="G1517" s="4" t="s">
        <v>35</v>
      </c>
      <c r="H1517" s="54" t="s">
        <v>48</v>
      </c>
      <c r="I1517" s="52"/>
      <c r="J1517" s="57">
        <v>18.829999999999998</v>
      </c>
      <c r="K1517" s="52"/>
      <c r="L1517" s="6">
        <v>14.1225</v>
      </c>
      <c r="M1517" s="6">
        <v>0.75000000000000011</v>
      </c>
      <c r="N1517" s="6">
        <v>16.73</v>
      </c>
      <c r="O1517" s="57">
        <v>12.547499999999999</v>
      </c>
      <c r="P1517" s="52"/>
      <c r="Q1517" s="6">
        <v>0.75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2.1</v>
      </c>
      <c r="AB1517" s="6">
        <v>1.575</v>
      </c>
      <c r="AC1517" s="6">
        <v>0.75</v>
      </c>
      <c r="AD1517" s="6">
        <v>-2.0999999999999979</v>
      </c>
      <c r="AE1517" s="6">
        <v>2.0999999999999979</v>
      </c>
    </row>
    <row r="1518" spans="2:31" ht="20" x14ac:dyDescent="0.25">
      <c r="B1518" s="55"/>
      <c r="C1518" s="55"/>
      <c r="D1518" s="4" t="s">
        <v>2363</v>
      </c>
      <c r="E1518" s="4" t="s">
        <v>2364</v>
      </c>
      <c r="F1518" s="4" t="s">
        <v>51</v>
      </c>
      <c r="G1518" s="4" t="s">
        <v>35</v>
      </c>
      <c r="H1518" s="54" t="s">
        <v>36</v>
      </c>
      <c r="I1518" s="52"/>
      <c r="J1518" s="57">
        <v>113.14</v>
      </c>
      <c r="K1518" s="52"/>
      <c r="L1518" s="6">
        <v>103.74938</v>
      </c>
      <c r="M1518" s="6">
        <v>0.91700000000000004</v>
      </c>
      <c r="N1518" s="6">
        <v>105.81</v>
      </c>
      <c r="O1518" s="57">
        <v>97.027770000000004</v>
      </c>
      <c r="P1518" s="52"/>
      <c r="Q1518" s="6">
        <v>0.91700000000000004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7.33</v>
      </c>
      <c r="AB1518" s="6">
        <v>6.7216100000000001</v>
      </c>
      <c r="AC1518" s="6">
        <v>0.91700000000000004</v>
      </c>
      <c r="AD1518" s="6">
        <v>-7.3299999999999983</v>
      </c>
      <c r="AE1518" s="6">
        <v>7.3299999999999983</v>
      </c>
    </row>
    <row r="1519" spans="2:31" ht="20" x14ac:dyDescent="0.25">
      <c r="B1519" s="55"/>
      <c r="C1519" s="55"/>
      <c r="D1519" s="4" t="s">
        <v>2365</v>
      </c>
      <c r="E1519" s="4" t="s">
        <v>2366</v>
      </c>
      <c r="F1519" s="4" t="s">
        <v>51</v>
      </c>
      <c r="G1519" s="4" t="s">
        <v>35</v>
      </c>
      <c r="H1519" s="54" t="s">
        <v>36</v>
      </c>
      <c r="I1519" s="52"/>
      <c r="J1519" s="57">
        <v>1.93</v>
      </c>
      <c r="K1519" s="52"/>
      <c r="L1519" s="6">
        <v>1.7698100000000001</v>
      </c>
      <c r="M1519" s="6">
        <v>0.91700000000000004</v>
      </c>
      <c r="N1519" s="6">
        <v>1.88</v>
      </c>
      <c r="O1519" s="57">
        <v>1.7239599999999999</v>
      </c>
      <c r="P1519" s="52"/>
      <c r="Q1519" s="6">
        <v>0.91700000000000004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0.05</v>
      </c>
      <c r="AB1519" s="6">
        <v>4.5850000000000002E-2</v>
      </c>
      <c r="AC1519" s="6">
        <v>0.91700000000000004</v>
      </c>
      <c r="AD1519" s="6">
        <v>-5.0000000000000044E-2</v>
      </c>
      <c r="AE1519" s="6">
        <v>5.0000000000000044E-2</v>
      </c>
    </row>
    <row r="1520" spans="2:31" ht="20" x14ac:dyDescent="0.25">
      <c r="B1520" s="55"/>
      <c r="C1520" s="55"/>
      <c r="D1520" s="4" t="s">
        <v>2367</v>
      </c>
      <c r="E1520" s="4" t="s">
        <v>2368</v>
      </c>
      <c r="F1520" s="4" t="s">
        <v>51</v>
      </c>
      <c r="G1520" s="4" t="s">
        <v>35</v>
      </c>
      <c r="H1520" s="54" t="s">
        <v>36</v>
      </c>
      <c r="I1520" s="52"/>
      <c r="J1520" s="57">
        <v>2.37</v>
      </c>
      <c r="K1520" s="52"/>
      <c r="L1520" s="6">
        <v>2.1732900000000002</v>
      </c>
      <c r="M1520" s="6">
        <v>0.91700000000000004</v>
      </c>
      <c r="N1520" s="6">
        <v>2.29</v>
      </c>
      <c r="O1520" s="57">
        <v>2.0999300000000001</v>
      </c>
      <c r="P1520" s="52"/>
      <c r="Q1520" s="6">
        <v>0.91700000000000004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0.08</v>
      </c>
      <c r="AB1520" s="6">
        <v>7.3359999999999995E-2</v>
      </c>
      <c r="AC1520" s="6">
        <v>0.91699999999999993</v>
      </c>
      <c r="AD1520" s="6">
        <v>-8.0000000000000071E-2</v>
      </c>
      <c r="AE1520" s="6">
        <v>8.0000000000000071E-2</v>
      </c>
    </row>
    <row r="1521" spans="2:31" ht="20" x14ac:dyDescent="0.25">
      <c r="B1521" s="55"/>
      <c r="C1521" s="55"/>
      <c r="D1521" s="4" t="s">
        <v>2369</v>
      </c>
      <c r="E1521" s="4" t="s">
        <v>2370</v>
      </c>
      <c r="F1521" s="4" t="s">
        <v>51</v>
      </c>
      <c r="G1521" s="4" t="s">
        <v>35</v>
      </c>
      <c r="H1521" s="54" t="s">
        <v>41</v>
      </c>
      <c r="I1521" s="52"/>
      <c r="J1521" s="57">
        <v>24.72</v>
      </c>
      <c r="K1521" s="52"/>
      <c r="L1521" s="6">
        <v>18.54</v>
      </c>
      <c r="M1521" s="6">
        <v>0.75</v>
      </c>
      <c r="N1521" s="6">
        <v>22.52</v>
      </c>
      <c r="O1521" s="57">
        <v>16.89</v>
      </c>
      <c r="P1521" s="52"/>
      <c r="Q1521" s="6">
        <v>0.75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2.2000000000000002</v>
      </c>
      <c r="AB1521" s="6">
        <v>1.65</v>
      </c>
      <c r="AC1521" s="6">
        <v>0.74999999999999989</v>
      </c>
      <c r="AD1521" s="6">
        <v>-2.1999999999999993</v>
      </c>
      <c r="AE1521" s="6">
        <v>2.1999999999999993</v>
      </c>
    </row>
    <row r="1522" spans="2:31" ht="20" x14ac:dyDescent="0.25">
      <c r="B1522" s="55"/>
      <c r="C1522" s="55"/>
      <c r="D1522" s="4" t="s">
        <v>2371</v>
      </c>
      <c r="E1522" s="4" t="s">
        <v>2372</v>
      </c>
      <c r="F1522" s="4" t="s">
        <v>51</v>
      </c>
      <c r="G1522" s="4" t="s">
        <v>35</v>
      </c>
      <c r="H1522" s="54" t="s">
        <v>36</v>
      </c>
      <c r="I1522" s="52"/>
      <c r="J1522" s="57">
        <v>45.47</v>
      </c>
      <c r="K1522" s="52"/>
      <c r="L1522" s="6">
        <v>41.695990000000002</v>
      </c>
      <c r="M1522" s="6">
        <v>0.91700000000000004</v>
      </c>
      <c r="N1522" s="6">
        <v>43.11</v>
      </c>
      <c r="O1522" s="57">
        <v>39.531869999999998</v>
      </c>
      <c r="P1522" s="52"/>
      <c r="Q1522" s="6">
        <v>0.91699999999999993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2.36</v>
      </c>
      <c r="AB1522" s="6">
        <v>2.16412</v>
      </c>
      <c r="AC1522" s="6">
        <v>0.91700000000000004</v>
      </c>
      <c r="AD1522" s="6">
        <v>-2.3599999999999994</v>
      </c>
      <c r="AE1522" s="6">
        <v>2.3599999999999994</v>
      </c>
    </row>
    <row r="1523" spans="2:31" ht="20" x14ac:dyDescent="0.25">
      <c r="B1523" s="55"/>
      <c r="C1523" s="55"/>
      <c r="D1523" s="4" t="s">
        <v>2373</v>
      </c>
      <c r="E1523" s="4" t="s">
        <v>2374</v>
      </c>
      <c r="F1523" s="4" t="s">
        <v>51</v>
      </c>
      <c r="G1523" s="4" t="s">
        <v>35</v>
      </c>
      <c r="H1523" s="54" t="s">
        <v>36</v>
      </c>
      <c r="I1523" s="52"/>
      <c r="J1523" s="57">
        <v>57.5</v>
      </c>
      <c r="K1523" s="52"/>
      <c r="L1523" s="6">
        <v>52.727499999999999</v>
      </c>
      <c r="M1523" s="6">
        <v>0.91700000000000004</v>
      </c>
      <c r="N1523" s="6">
        <v>54.76</v>
      </c>
      <c r="O1523" s="57">
        <v>50.214919999999999</v>
      </c>
      <c r="P1523" s="52"/>
      <c r="Q1523" s="6">
        <v>0.91700000000000004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2.74</v>
      </c>
      <c r="AB1523" s="6">
        <v>2.5125799999999998</v>
      </c>
      <c r="AC1523" s="6">
        <v>0.91699999999999982</v>
      </c>
      <c r="AD1523" s="6">
        <v>-2.740000000000002</v>
      </c>
      <c r="AE1523" s="6">
        <v>2.740000000000002</v>
      </c>
    </row>
    <row r="1524" spans="2:31" ht="20" x14ac:dyDescent="0.25">
      <c r="B1524" s="55"/>
      <c r="C1524" s="55"/>
      <c r="D1524" s="4" t="s">
        <v>2375</v>
      </c>
      <c r="E1524" s="4" t="s">
        <v>2376</v>
      </c>
      <c r="F1524" s="4" t="s">
        <v>51</v>
      </c>
      <c r="G1524" s="4" t="s">
        <v>35</v>
      </c>
      <c r="H1524" s="54" t="s">
        <v>36</v>
      </c>
      <c r="I1524" s="52"/>
      <c r="J1524" s="57">
        <v>22.45</v>
      </c>
      <c r="K1524" s="52"/>
      <c r="L1524" s="6">
        <v>20.586649999999999</v>
      </c>
      <c r="M1524" s="6">
        <v>0.91699999999999993</v>
      </c>
      <c r="N1524" s="6">
        <v>21.55</v>
      </c>
      <c r="O1524" s="57">
        <v>19.76135</v>
      </c>
      <c r="P1524" s="52"/>
      <c r="Q1524" s="6">
        <v>0.91699999999999993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0.9</v>
      </c>
      <c r="AB1524" s="6">
        <v>0.82530000000000003</v>
      </c>
      <c r="AC1524" s="6">
        <v>0.91700000000000004</v>
      </c>
      <c r="AD1524" s="6">
        <v>-0.89999999999999858</v>
      </c>
      <c r="AE1524" s="6">
        <v>0.89999999999999858</v>
      </c>
    </row>
    <row r="1525" spans="2:31" ht="20" x14ac:dyDescent="0.25">
      <c r="B1525" s="55"/>
      <c r="C1525" s="55"/>
      <c r="D1525" s="4" t="s">
        <v>2377</v>
      </c>
      <c r="E1525" s="4" t="s">
        <v>2378</v>
      </c>
      <c r="F1525" s="4" t="s">
        <v>51</v>
      </c>
      <c r="G1525" s="4" t="s">
        <v>35</v>
      </c>
      <c r="H1525" s="54" t="s">
        <v>36</v>
      </c>
      <c r="I1525" s="52"/>
      <c r="J1525" s="57">
        <v>2.08</v>
      </c>
      <c r="K1525" s="52"/>
      <c r="L1525" s="6">
        <v>1.9073599999999999</v>
      </c>
      <c r="M1525" s="6">
        <v>0.91699999999999993</v>
      </c>
      <c r="N1525" s="6">
        <v>2.06</v>
      </c>
      <c r="O1525" s="57">
        <v>1.8890199999999999</v>
      </c>
      <c r="P1525" s="52"/>
      <c r="Q1525" s="6">
        <v>0.91699999999999993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0.02</v>
      </c>
      <c r="AB1525" s="6">
        <v>1.8339999999999999E-2</v>
      </c>
      <c r="AC1525" s="6">
        <v>0.91699999999999993</v>
      </c>
      <c r="AD1525" s="6">
        <v>-2.0000000000000018E-2</v>
      </c>
      <c r="AE1525" s="6">
        <v>2.0000000000000018E-2</v>
      </c>
    </row>
    <row r="1526" spans="2:31" ht="20" x14ac:dyDescent="0.25">
      <c r="B1526" s="55"/>
      <c r="C1526" s="55"/>
      <c r="D1526" s="4" t="s">
        <v>2379</v>
      </c>
      <c r="E1526" s="4" t="s">
        <v>2380</v>
      </c>
      <c r="F1526" s="4" t="s">
        <v>51</v>
      </c>
      <c r="G1526" s="4" t="s">
        <v>35</v>
      </c>
      <c r="H1526" s="54" t="s">
        <v>41</v>
      </c>
      <c r="I1526" s="52"/>
      <c r="J1526" s="57">
        <v>26.44</v>
      </c>
      <c r="K1526" s="52"/>
      <c r="L1526" s="6">
        <v>19.829999999999998</v>
      </c>
      <c r="M1526" s="6">
        <v>0.74999999999999989</v>
      </c>
      <c r="N1526" s="6">
        <v>24.94</v>
      </c>
      <c r="O1526" s="57">
        <v>18.704999999999998</v>
      </c>
      <c r="P1526" s="52"/>
      <c r="Q1526" s="6">
        <v>0.74999999999999989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1.5</v>
      </c>
      <c r="AB1526" s="6">
        <v>1.125</v>
      </c>
      <c r="AC1526" s="6">
        <v>0.75</v>
      </c>
      <c r="AD1526" s="6">
        <v>-1.5</v>
      </c>
      <c r="AE1526" s="6">
        <v>1.5</v>
      </c>
    </row>
    <row r="1527" spans="2:31" ht="20" x14ac:dyDescent="0.25">
      <c r="B1527" s="55"/>
      <c r="C1527" s="55"/>
      <c r="D1527" s="4" t="s">
        <v>2381</v>
      </c>
      <c r="E1527" s="4" t="s">
        <v>2382</v>
      </c>
      <c r="F1527" s="4" t="s">
        <v>51</v>
      </c>
      <c r="G1527" s="4" t="s">
        <v>35</v>
      </c>
      <c r="H1527" s="54" t="s">
        <v>36</v>
      </c>
      <c r="I1527" s="52"/>
      <c r="J1527" s="57">
        <v>37.840000000000003</v>
      </c>
      <c r="K1527" s="52"/>
      <c r="L1527" s="6">
        <v>34.699280000000002</v>
      </c>
      <c r="M1527" s="6">
        <v>0.91699999999999993</v>
      </c>
      <c r="N1527" s="6">
        <v>36.53</v>
      </c>
      <c r="O1527" s="57">
        <v>33.498010000000001</v>
      </c>
      <c r="P1527" s="52"/>
      <c r="Q1527" s="6">
        <v>0.91700000000000004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1.31</v>
      </c>
      <c r="AB1527" s="6">
        <v>1.2012700000000001</v>
      </c>
      <c r="AC1527" s="6">
        <v>0.91700000000000004</v>
      </c>
      <c r="AD1527" s="6">
        <v>-1.3100000000000023</v>
      </c>
      <c r="AE1527" s="6">
        <v>1.3100000000000023</v>
      </c>
    </row>
    <row r="1528" spans="2:31" ht="20" x14ac:dyDescent="0.25">
      <c r="B1528" s="55"/>
      <c r="C1528" s="55"/>
      <c r="D1528" s="4" t="s">
        <v>2383</v>
      </c>
      <c r="E1528" s="4" t="s">
        <v>2384</v>
      </c>
      <c r="F1528" s="4" t="s">
        <v>51</v>
      </c>
      <c r="G1528" s="4" t="s">
        <v>35</v>
      </c>
      <c r="H1528" s="54" t="s">
        <v>36</v>
      </c>
      <c r="I1528" s="52"/>
      <c r="J1528" s="57">
        <v>1.97</v>
      </c>
      <c r="K1528" s="52"/>
      <c r="L1528" s="6">
        <v>1.8064899999999999</v>
      </c>
      <c r="M1528" s="6">
        <v>0.91699999999999993</v>
      </c>
      <c r="N1528" s="6">
        <v>1.91</v>
      </c>
      <c r="O1528" s="57">
        <v>1.7514700000000001</v>
      </c>
      <c r="P1528" s="52"/>
      <c r="Q1528" s="6">
        <v>0.91700000000000004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0.06</v>
      </c>
      <c r="AB1528" s="6">
        <v>5.5019999999999999E-2</v>
      </c>
      <c r="AC1528" s="6">
        <v>0.91700000000000004</v>
      </c>
      <c r="AD1528" s="6">
        <v>-6.0000000000000053E-2</v>
      </c>
      <c r="AE1528" s="6">
        <v>6.0000000000000053E-2</v>
      </c>
    </row>
    <row r="1529" spans="2:31" ht="20" x14ac:dyDescent="0.25">
      <c r="B1529" s="55"/>
      <c r="C1529" s="55"/>
      <c r="D1529" s="4" t="s">
        <v>2385</v>
      </c>
      <c r="E1529" s="4" t="s">
        <v>2305</v>
      </c>
      <c r="F1529" s="4" t="s">
        <v>51</v>
      </c>
      <c r="G1529" s="4" t="s">
        <v>35</v>
      </c>
      <c r="H1529" s="54" t="s">
        <v>36</v>
      </c>
      <c r="I1529" s="52"/>
      <c r="J1529" s="57">
        <v>12.96</v>
      </c>
      <c r="K1529" s="52"/>
      <c r="L1529" s="6">
        <v>11.884320000000001</v>
      </c>
      <c r="M1529" s="6">
        <v>0.91700000000000004</v>
      </c>
      <c r="N1529" s="6">
        <v>12.83</v>
      </c>
      <c r="O1529" s="57">
        <v>11.76511</v>
      </c>
      <c r="P1529" s="52"/>
      <c r="Q1529" s="6">
        <v>0.91700000000000004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0.13</v>
      </c>
      <c r="AB1529" s="6">
        <v>0.11921</v>
      </c>
      <c r="AC1529" s="6">
        <v>0.91699999999999993</v>
      </c>
      <c r="AD1529" s="6">
        <v>-0.13000000000000078</v>
      </c>
      <c r="AE1529" s="6">
        <v>0.13000000000000078</v>
      </c>
    </row>
    <row r="1530" spans="2:31" ht="20" x14ac:dyDescent="0.25">
      <c r="B1530" s="55"/>
      <c r="C1530" s="55"/>
      <c r="D1530" s="4" t="s">
        <v>2386</v>
      </c>
      <c r="E1530" s="4" t="s">
        <v>2387</v>
      </c>
      <c r="F1530" s="4" t="s">
        <v>51</v>
      </c>
      <c r="G1530" s="4" t="s">
        <v>35</v>
      </c>
      <c r="H1530" s="54" t="s">
        <v>36</v>
      </c>
      <c r="I1530" s="52"/>
      <c r="J1530" s="57">
        <v>32.43</v>
      </c>
      <c r="K1530" s="52"/>
      <c r="L1530" s="6">
        <v>29.738309999999998</v>
      </c>
      <c r="M1530" s="6">
        <v>0.91699999999999993</v>
      </c>
      <c r="N1530" s="6">
        <v>29.91</v>
      </c>
      <c r="O1530" s="57">
        <v>27.42747</v>
      </c>
      <c r="P1530" s="52"/>
      <c r="Q1530" s="6">
        <v>0.91699999999999993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2.52</v>
      </c>
      <c r="AB1530" s="6">
        <v>2.3108399999999998</v>
      </c>
      <c r="AC1530" s="6">
        <v>0.91699999999999993</v>
      </c>
      <c r="AD1530" s="6">
        <v>-2.5199999999999996</v>
      </c>
      <c r="AE1530" s="6">
        <v>2.5199999999999996</v>
      </c>
    </row>
    <row r="1531" spans="2:31" ht="20" x14ac:dyDescent="0.25">
      <c r="B1531" s="55"/>
      <c r="C1531" s="55"/>
      <c r="D1531" s="4" t="s">
        <v>2388</v>
      </c>
      <c r="E1531" s="4" t="s">
        <v>2389</v>
      </c>
      <c r="F1531" s="4" t="s">
        <v>51</v>
      </c>
      <c r="G1531" s="4" t="s">
        <v>35</v>
      </c>
      <c r="H1531" s="54" t="s">
        <v>41</v>
      </c>
      <c r="I1531" s="52"/>
      <c r="J1531" s="57">
        <v>27.93</v>
      </c>
      <c r="K1531" s="52"/>
      <c r="L1531" s="6">
        <v>20.947500000000002</v>
      </c>
      <c r="M1531" s="6">
        <v>0.75000000000000011</v>
      </c>
      <c r="N1531" s="6">
        <v>26.41</v>
      </c>
      <c r="O1531" s="57">
        <v>19.807500000000001</v>
      </c>
      <c r="P1531" s="52"/>
      <c r="Q1531" s="6">
        <v>0.75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1.52</v>
      </c>
      <c r="AB1531" s="6">
        <v>1.1399999999999999</v>
      </c>
      <c r="AC1531" s="6">
        <v>0.74999999999999989</v>
      </c>
      <c r="AD1531" s="6">
        <v>-1.5199999999999996</v>
      </c>
      <c r="AE1531" s="6">
        <v>1.5199999999999996</v>
      </c>
    </row>
    <row r="1532" spans="2:31" ht="20" x14ac:dyDescent="0.25">
      <c r="B1532" s="55"/>
      <c r="C1532" s="55"/>
      <c r="D1532" s="4" t="s">
        <v>2390</v>
      </c>
      <c r="E1532" s="4" t="s">
        <v>2391</v>
      </c>
      <c r="F1532" s="4" t="s">
        <v>51</v>
      </c>
      <c r="G1532" s="4" t="s">
        <v>35</v>
      </c>
      <c r="H1532" s="54" t="s">
        <v>41</v>
      </c>
      <c r="I1532" s="52"/>
      <c r="J1532" s="57">
        <v>22.82</v>
      </c>
      <c r="K1532" s="52"/>
      <c r="L1532" s="6">
        <v>17.114999999999998</v>
      </c>
      <c r="M1532" s="6">
        <v>0.74999999999999989</v>
      </c>
      <c r="N1532" s="6">
        <v>21.42</v>
      </c>
      <c r="O1532" s="57">
        <v>16.065000000000001</v>
      </c>
      <c r="P1532" s="52"/>
      <c r="Q1532" s="6">
        <v>0.75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1.4</v>
      </c>
      <c r="AB1532" s="6">
        <v>1.05</v>
      </c>
      <c r="AC1532" s="6">
        <v>0.75000000000000011</v>
      </c>
      <c r="AD1532" s="6">
        <v>-1.3999999999999986</v>
      </c>
      <c r="AE1532" s="6">
        <v>1.3999999999999986</v>
      </c>
    </row>
    <row r="1533" spans="2:31" ht="20" x14ac:dyDescent="0.25">
      <c r="B1533" s="55"/>
      <c r="C1533" s="55"/>
      <c r="D1533" s="4" t="s">
        <v>2392</v>
      </c>
      <c r="E1533" s="4" t="s">
        <v>2393</v>
      </c>
      <c r="F1533" s="4" t="s">
        <v>51</v>
      </c>
      <c r="G1533" s="4" t="s">
        <v>35</v>
      </c>
      <c r="H1533" s="54" t="s">
        <v>36</v>
      </c>
      <c r="I1533" s="52"/>
      <c r="J1533" s="57">
        <v>55.37</v>
      </c>
      <c r="K1533" s="52"/>
      <c r="L1533" s="6">
        <v>50.774290000000001</v>
      </c>
      <c r="M1533" s="6">
        <v>0.91700000000000004</v>
      </c>
      <c r="N1533" s="6">
        <v>51.37</v>
      </c>
      <c r="O1533" s="57">
        <v>47.106290000000001</v>
      </c>
      <c r="P1533" s="52"/>
      <c r="Q1533" s="6">
        <v>0.91700000000000004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4</v>
      </c>
      <c r="AB1533" s="6">
        <v>3.6680000000000001</v>
      </c>
      <c r="AC1533" s="6">
        <v>0.91700000000000004</v>
      </c>
      <c r="AD1533" s="6">
        <v>-4</v>
      </c>
      <c r="AE1533" s="6">
        <v>4</v>
      </c>
    </row>
    <row r="1534" spans="2:31" ht="20" x14ac:dyDescent="0.25">
      <c r="B1534" s="55"/>
      <c r="C1534" s="55"/>
      <c r="D1534" s="4" t="s">
        <v>2394</v>
      </c>
      <c r="E1534" s="4" t="s">
        <v>2395</v>
      </c>
      <c r="F1534" s="4" t="s">
        <v>51</v>
      </c>
      <c r="G1534" s="4" t="s">
        <v>35</v>
      </c>
      <c r="H1534" s="54" t="s">
        <v>36</v>
      </c>
      <c r="I1534" s="52"/>
      <c r="J1534" s="57">
        <v>3.04</v>
      </c>
      <c r="K1534" s="52"/>
      <c r="L1534" s="6">
        <v>2.7876799999999999</v>
      </c>
      <c r="M1534" s="6">
        <v>0.91699999999999993</v>
      </c>
      <c r="N1534" s="6">
        <v>2.92</v>
      </c>
      <c r="O1534" s="57">
        <v>2.6776399999999998</v>
      </c>
      <c r="P1534" s="52"/>
      <c r="Q1534" s="6">
        <v>0.91699999999999993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0.12</v>
      </c>
      <c r="AB1534" s="6">
        <v>0.11004</v>
      </c>
      <c r="AC1534" s="6">
        <v>0.91700000000000004</v>
      </c>
      <c r="AD1534" s="6">
        <v>-0.12000000000000011</v>
      </c>
      <c r="AE1534" s="6">
        <v>0.12000000000000011</v>
      </c>
    </row>
    <row r="1535" spans="2:31" ht="20" x14ac:dyDescent="0.25">
      <c r="B1535" s="55"/>
      <c r="C1535" s="55"/>
      <c r="D1535" s="4" t="s">
        <v>2396</v>
      </c>
      <c r="E1535" s="4" t="s">
        <v>2397</v>
      </c>
      <c r="F1535" s="4" t="s">
        <v>51</v>
      </c>
      <c r="G1535" s="4" t="s">
        <v>35</v>
      </c>
      <c r="H1535" s="54" t="s">
        <v>36</v>
      </c>
      <c r="I1535" s="52"/>
      <c r="J1535" s="57">
        <v>2.1800000000000002</v>
      </c>
      <c r="K1535" s="52"/>
      <c r="L1535" s="6">
        <v>1.9990600000000001</v>
      </c>
      <c r="M1535" s="6">
        <v>0.91699999999999993</v>
      </c>
      <c r="N1535" s="6">
        <v>2.06</v>
      </c>
      <c r="O1535" s="57">
        <v>1.8890199999999999</v>
      </c>
      <c r="P1535" s="52"/>
      <c r="Q1535" s="6">
        <v>0.91699999999999993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0.12</v>
      </c>
      <c r="AB1535" s="6">
        <v>0.11004</v>
      </c>
      <c r="AC1535" s="6">
        <v>0.91700000000000004</v>
      </c>
      <c r="AD1535" s="6">
        <v>-0.12000000000000011</v>
      </c>
      <c r="AE1535" s="6">
        <v>0.12000000000000011</v>
      </c>
    </row>
    <row r="1536" spans="2:31" ht="20" x14ac:dyDescent="0.25">
      <c r="B1536" s="55"/>
      <c r="C1536" s="55"/>
      <c r="D1536" s="4" t="s">
        <v>2398</v>
      </c>
      <c r="E1536" s="4" t="s">
        <v>2145</v>
      </c>
      <c r="F1536" s="4" t="s">
        <v>51</v>
      </c>
      <c r="G1536" s="4" t="s">
        <v>35</v>
      </c>
      <c r="H1536" s="54" t="s">
        <v>36</v>
      </c>
      <c r="I1536" s="52"/>
      <c r="J1536" s="57">
        <v>314.85000000000002</v>
      </c>
      <c r="K1536" s="52"/>
      <c r="L1536" s="6">
        <v>288.71744999999999</v>
      </c>
      <c r="M1536" s="6">
        <v>0.91699999999999993</v>
      </c>
      <c r="N1536" s="6">
        <v>314.10000000000002</v>
      </c>
      <c r="O1536" s="57">
        <v>288.02969999999999</v>
      </c>
      <c r="P1536" s="52"/>
      <c r="Q1536" s="6">
        <v>0.91699999999999993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0.75</v>
      </c>
      <c r="AB1536" s="6">
        <v>0.68774999999999997</v>
      </c>
      <c r="AC1536" s="6">
        <v>0.91699999999999993</v>
      </c>
      <c r="AD1536" s="6">
        <v>-0.75</v>
      </c>
      <c r="AE1536" s="6">
        <v>0.75</v>
      </c>
    </row>
    <row r="1537" spans="2:31" x14ac:dyDescent="0.25">
      <c r="B1537" s="55"/>
      <c r="C1537" s="55"/>
      <c r="D1537" s="54" t="s">
        <v>2399</v>
      </c>
      <c r="E1537" s="4" t="s">
        <v>2400</v>
      </c>
      <c r="F1537" s="4" t="s">
        <v>51</v>
      </c>
      <c r="G1537" s="4" t="s">
        <v>35</v>
      </c>
      <c r="H1537" s="54" t="s">
        <v>36</v>
      </c>
      <c r="I1537" s="52"/>
      <c r="J1537" s="57">
        <v>2.27</v>
      </c>
      <c r="K1537" s="52"/>
      <c r="L1537" s="6">
        <v>2.0815899999999998</v>
      </c>
      <c r="M1537" s="6">
        <v>0.91699999999999993</v>
      </c>
      <c r="N1537" s="6">
        <v>2.17</v>
      </c>
      <c r="O1537" s="57">
        <v>1.9898899999999999</v>
      </c>
      <c r="P1537" s="52"/>
      <c r="Q1537" s="6">
        <v>0.91700000000000004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0.1</v>
      </c>
      <c r="AB1537" s="6">
        <v>9.1700000000000004E-2</v>
      </c>
      <c r="AC1537" s="6">
        <v>0.91700000000000004</v>
      </c>
      <c r="AD1537" s="6">
        <v>-0.10000000000000009</v>
      </c>
      <c r="AE1537" s="6">
        <v>0.10000000000000009</v>
      </c>
    </row>
    <row r="1538" spans="2:31" x14ac:dyDescent="0.25">
      <c r="B1538" s="55"/>
      <c r="C1538" s="55"/>
      <c r="D1538" s="56"/>
      <c r="E1538" s="4" t="s">
        <v>2401</v>
      </c>
      <c r="F1538" s="4" t="s">
        <v>51</v>
      </c>
      <c r="G1538" s="4" t="s">
        <v>35</v>
      </c>
      <c r="H1538" s="54" t="s">
        <v>36</v>
      </c>
      <c r="I1538" s="52"/>
      <c r="J1538" s="57">
        <v>132.33000000000001</v>
      </c>
      <c r="K1538" s="52"/>
      <c r="L1538" s="6">
        <v>121.34661</v>
      </c>
      <c r="M1538" s="6">
        <v>0.91699999999999993</v>
      </c>
      <c r="N1538" s="6">
        <v>120.87</v>
      </c>
      <c r="O1538" s="57">
        <v>110.83779</v>
      </c>
      <c r="P1538" s="52"/>
      <c r="Q1538" s="6">
        <v>0.91699999999999993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11.46</v>
      </c>
      <c r="AB1538" s="6">
        <v>10.50882</v>
      </c>
      <c r="AC1538" s="6">
        <v>0.91699999999999993</v>
      </c>
      <c r="AD1538" s="6">
        <v>-11.460000000000008</v>
      </c>
      <c r="AE1538" s="6">
        <v>11.460000000000008</v>
      </c>
    </row>
    <row r="1539" spans="2:31" ht="20" x14ac:dyDescent="0.25">
      <c r="B1539" s="55"/>
      <c r="C1539" s="55"/>
      <c r="D1539" s="4" t="s">
        <v>2402</v>
      </c>
      <c r="E1539" s="4" t="s">
        <v>2403</v>
      </c>
      <c r="F1539" s="4" t="s">
        <v>51</v>
      </c>
      <c r="G1539" s="4" t="s">
        <v>35</v>
      </c>
      <c r="H1539" s="54" t="s">
        <v>36</v>
      </c>
      <c r="I1539" s="52"/>
      <c r="J1539" s="57">
        <v>3.72</v>
      </c>
      <c r="K1539" s="52"/>
      <c r="L1539" s="6">
        <v>3.4112399999999998</v>
      </c>
      <c r="M1539" s="6">
        <v>0.91699999999999993</v>
      </c>
      <c r="N1539" s="6">
        <v>3.14</v>
      </c>
      <c r="O1539" s="57">
        <v>2.8793799999999998</v>
      </c>
      <c r="P1539" s="52"/>
      <c r="Q1539" s="6">
        <v>0.91699999999999993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0.57999999999999996</v>
      </c>
      <c r="AB1539" s="6">
        <v>0.53186</v>
      </c>
      <c r="AC1539" s="6">
        <v>0.91700000000000004</v>
      </c>
      <c r="AD1539" s="6">
        <v>-0.58000000000000007</v>
      </c>
      <c r="AE1539" s="6">
        <v>0.58000000000000007</v>
      </c>
    </row>
    <row r="1540" spans="2:31" ht="20" x14ac:dyDescent="0.25">
      <c r="B1540" s="55"/>
      <c r="C1540" s="55"/>
      <c r="D1540" s="4" t="s">
        <v>2404</v>
      </c>
      <c r="E1540" s="4" t="s">
        <v>2405</v>
      </c>
      <c r="F1540" s="4" t="s">
        <v>51</v>
      </c>
      <c r="G1540" s="4" t="s">
        <v>35</v>
      </c>
      <c r="H1540" s="54" t="s">
        <v>36</v>
      </c>
      <c r="I1540" s="52"/>
      <c r="J1540" s="57">
        <v>44.18</v>
      </c>
      <c r="K1540" s="52"/>
      <c r="L1540" s="6">
        <v>40.513060000000003</v>
      </c>
      <c r="M1540" s="6">
        <v>0.91700000000000004</v>
      </c>
      <c r="N1540" s="6">
        <v>41.98</v>
      </c>
      <c r="O1540" s="57">
        <v>38.495660000000001</v>
      </c>
      <c r="P1540" s="52"/>
      <c r="Q1540" s="6">
        <v>0.91700000000000004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2.2000000000000002</v>
      </c>
      <c r="AB1540" s="6">
        <v>2.0173999999999999</v>
      </c>
      <c r="AC1540" s="6">
        <v>0.91699999999999982</v>
      </c>
      <c r="AD1540" s="6">
        <v>-2.2000000000000028</v>
      </c>
      <c r="AE1540" s="6">
        <v>2.2000000000000028</v>
      </c>
    </row>
    <row r="1541" spans="2:31" ht="20" x14ac:dyDescent="0.25">
      <c r="B1541" s="55"/>
      <c r="C1541" s="55"/>
      <c r="D1541" s="4" t="s">
        <v>2406</v>
      </c>
      <c r="E1541" s="4" t="s">
        <v>2407</v>
      </c>
      <c r="F1541" s="4" t="s">
        <v>51</v>
      </c>
      <c r="G1541" s="4" t="s">
        <v>35</v>
      </c>
      <c r="H1541" s="54" t="s">
        <v>36</v>
      </c>
      <c r="I1541" s="52"/>
      <c r="J1541" s="57">
        <v>62.18</v>
      </c>
      <c r="K1541" s="52"/>
      <c r="L1541" s="6">
        <v>57.019060000000003</v>
      </c>
      <c r="M1541" s="6">
        <v>0.91700000000000004</v>
      </c>
      <c r="N1541" s="6">
        <v>58.6</v>
      </c>
      <c r="O1541" s="57">
        <v>53.736199999999997</v>
      </c>
      <c r="P1541" s="52"/>
      <c r="Q1541" s="6">
        <v>0.91699999999999993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3.58</v>
      </c>
      <c r="AB1541" s="6">
        <v>3.2828599999999999</v>
      </c>
      <c r="AC1541" s="6">
        <v>0.91699999999999993</v>
      </c>
      <c r="AD1541" s="6">
        <v>-3.5799999999999983</v>
      </c>
      <c r="AE1541" s="6">
        <v>3.5799999999999983</v>
      </c>
    </row>
    <row r="1542" spans="2:31" ht="20" x14ac:dyDescent="0.25">
      <c r="B1542" s="55"/>
      <c r="C1542" s="55"/>
      <c r="D1542" s="4" t="s">
        <v>2408</v>
      </c>
      <c r="E1542" s="4" t="s">
        <v>2409</v>
      </c>
      <c r="F1542" s="4" t="s">
        <v>51</v>
      </c>
      <c r="G1542" s="4" t="s">
        <v>35</v>
      </c>
      <c r="H1542" s="54" t="s">
        <v>36</v>
      </c>
      <c r="I1542" s="52"/>
      <c r="J1542" s="57">
        <v>12.34</v>
      </c>
      <c r="K1542" s="52"/>
      <c r="L1542" s="6">
        <v>11.31578</v>
      </c>
      <c r="M1542" s="6">
        <v>0.91700000000000004</v>
      </c>
      <c r="N1542" s="6">
        <v>11.83</v>
      </c>
      <c r="O1542" s="57">
        <v>10.84811</v>
      </c>
      <c r="P1542" s="52"/>
      <c r="Q1542" s="6">
        <v>0.91700000000000004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0.51</v>
      </c>
      <c r="AB1542" s="6">
        <v>0.46766999999999997</v>
      </c>
      <c r="AC1542" s="6">
        <v>0.91699999999999993</v>
      </c>
      <c r="AD1542" s="6">
        <v>-0.50999999999999979</v>
      </c>
      <c r="AE1542" s="6">
        <v>0.50999999999999979</v>
      </c>
    </row>
    <row r="1543" spans="2:31" ht="20" x14ac:dyDescent="0.25">
      <c r="B1543" s="55"/>
      <c r="C1543" s="55"/>
      <c r="D1543" s="4" t="s">
        <v>2410</v>
      </c>
      <c r="E1543" s="4" t="s">
        <v>2411</v>
      </c>
      <c r="F1543" s="4" t="s">
        <v>51</v>
      </c>
      <c r="G1543" s="4" t="s">
        <v>35</v>
      </c>
      <c r="H1543" s="54" t="s">
        <v>36</v>
      </c>
      <c r="I1543" s="52"/>
      <c r="J1543" s="57">
        <v>15.3</v>
      </c>
      <c r="K1543" s="52"/>
      <c r="L1543" s="6">
        <v>14.030099999999999</v>
      </c>
      <c r="M1543" s="6">
        <v>0.91699999999999993</v>
      </c>
      <c r="N1543" s="6">
        <v>14.75</v>
      </c>
      <c r="O1543" s="57">
        <v>13.52575</v>
      </c>
      <c r="P1543" s="52"/>
      <c r="Q1543" s="6">
        <v>0.91700000000000004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0.55000000000000004</v>
      </c>
      <c r="AB1543" s="6">
        <v>0.50434999999999997</v>
      </c>
      <c r="AC1543" s="6">
        <v>0.91699999999999982</v>
      </c>
      <c r="AD1543" s="6">
        <v>-0.55000000000000071</v>
      </c>
      <c r="AE1543" s="6">
        <v>0.55000000000000071</v>
      </c>
    </row>
    <row r="1544" spans="2:31" ht="20" x14ac:dyDescent="0.25">
      <c r="B1544" s="55"/>
      <c r="C1544" s="55"/>
      <c r="D1544" s="4" t="s">
        <v>2412</v>
      </c>
      <c r="E1544" s="4" t="s">
        <v>2413</v>
      </c>
      <c r="F1544" s="4" t="s">
        <v>51</v>
      </c>
      <c r="G1544" s="4" t="s">
        <v>35</v>
      </c>
      <c r="H1544" s="54" t="s">
        <v>36</v>
      </c>
      <c r="I1544" s="52"/>
      <c r="J1544" s="57">
        <v>35.74</v>
      </c>
      <c r="K1544" s="52"/>
      <c r="L1544" s="6">
        <v>32.773580000000003</v>
      </c>
      <c r="M1544" s="6">
        <v>0.91700000000000004</v>
      </c>
      <c r="N1544" s="6">
        <v>32.74</v>
      </c>
      <c r="O1544" s="57">
        <v>30.022580000000001</v>
      </c>
      <c r="P1544" s="52"/>
      <c r="Q1544" s="6">
        <v>0.91700000000000004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3</v>
      </c>
      <c r="AB1544" s="6">
        <v>2.7509999999999999</v>
      </c>
      <c r="AC1544" s="6">
        <v>0.91699999999999993</v>
      </c>
      <c r="AD1544" s="6">
        <v>-3</v>
      </c>
      <c r="AE1544" s="6">
        <v>3</v>
      </c>
    </row>
    <row r="1545" spans="2:31" ht="20" x14ac:dyDescent="0.25">
      <c r="B1545" s="55"/>
      <c r="C1545" s="55"/>
      <c r="D1545" s="4" t="s">
        <v>2414</v>
      </c>
      <c r="E1545" s="4" t="s">
        <v>2415</v>
      </c>
      <c r="F1545" s="4" t="s">
        <v>51</v>
      </c>
      <c r="G1545" s="4" t="s">
        <v>35</v>
      </c>
      <c r="H1545" s="54" t="s">
        <v>36</v>
      </c>
      <c r="I1545" s="52"/>
      <c r="J1545" s="57">
        <v>200.08</v>
      </c>
      <c r="K1545" s="52"/>
      <c r="L1545" s="6">
        <v>183.47336000000001</v>
      </c>
      <c r="M1545" s="6">
        <v>0.91700000000000004</v>
      </c>
      <c r="N1545" s="6">
        <v>191.19</v>
      </c>
      <c r="O1545" s="57">
        <v>175.32123000000001</v>
      </c>
      <c r="P1545" s="52"/>
      <c r="Q1545" s="6">
        <v>0.91700000000000004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8.89</v>
      </c>
      <c r="AB1545" s="6">
        <v>8.1521299999999997</v>
      </c>
      <c r="AC1545" s="6">
        <v>0.91699999999999993</v>
      </c>
      <c r="AD1545" s="6">
        <v>-8.8900000000000148</v>
      </c>
      <c r="AE1545" s="6">
        <v>8.8900000000000148</v>
      </c>
    </row>
    <row r="1546" spans="2:31" ht="20" x14ac:dyDescent="0.25">
      <c r="B1546" s="55"/>
      <c r="C1546" s="55"/>
      <c r="D1546" s="4" t="s">
        <v>2416</v>
      </c>
      <c r="E1546" s="4" t="s">
        <v>2417</v>
      </c>
      <c r="F1546" s="4" t="s">
        <v>51</v>
      </c>
      <c r="G1546" s="4" t="s">
        <v>35</v>
      </c>
      <c r="H1546" s="54" t="s">
        <v>48</v>
      </c>
      <c r="I1546" s="52"/>
      <c r="J1546" s="57">
        <v>43.2</v>
      </c>
      <c r="K1546" s="52"/>
      <c r="L1546" s="6">
        <v>32.4</v>
      </c>
      <c r="M1546" s="6">
        <v>0.74999999999999989</v>
      </c>
      <c r="N1546" s="6">
        <v>41.32</v>
      </c>
      <c r="O1546" s="57">
        <v>30.99</v>
      </c>
      <c r="P1546" s="52"/>
      <c r="Q1546" s="6">
        <v>0.75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1.88</v>
      </c>
      <c r="AB1546" s="6">
        <v>1.41</v>
      </c>
      <c r="AC1546" s="6">
        <v>0.75</v>
      </c>
      <c r="AD1546" s="6">
        <v>-1.8800000000000026</v>
      </c>
      <c r="AE1546" s="6">
        <v>1.8800000000000026</v>
      </c>
    </row>
    <row r="1547" spans="2:31" ht="20" x14ac:dyDescent="0.25">
      <c r="B1547" s="55"/>
      <c r="C1547" s="55"/>
      <c r="D1547" s="4" t="s">
        <v>2418</v>
      </c>
      <c r="E1547" s="4" t="s">
        <v>2419</v>
      </c>
      <c r="F1547" s="4" t="s">
        <v>51</v>
      </c>
      <c r="G1547" s="4" t="s">
        <v>35</v>
      </c>
      <c r="H1547" s="54" t="s">
        <v>36</v>
      </c>
      <c r="I1547" s="52"/>
      <c r="J1547" s="57">
        <v>9.6560000000000006</v>
      </c>
      <c r="K1547" s="52"/>
      <c r="L1547" s="6">
        <v>8.854552</v>
      </c>
      <c r="M1547" s="6">
        <v>0.91699999999999993</v>
      </c>
      <c r="N1547" s="6">
        <v>8.9659999999999993</v>
      </c>
      <c r="O1547" s="57">
        <v>8.2218219999999995</v>
      </c>
      <c r="P1547" s="52"/>
      <c r="Q1547" s="6">
        <v>0.91700000000000004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0.69</v>
      </c>
      <c r="AB1547" s="6">
        <v>0.63273000000000001</v>
      </c>
      <c r="AC1547" s="6">
        <v>0.91700000000000004</v>
      </c>
      <c r="AD1547" s="6">
        <v>-0.69000000000000128</v>
      </c>
      <c r="AE1547" s="6">
        <v>0.69000000000000128</v>
      </c>
    </row>
    <row r="1548" spans="2:31" ht="20" x14ac:dyDescent="0.25">
      <c r="B1548" s="55"/>
      <c r="C1548" s="55"/>
      <c r="D1548" s="4" t="s">
        <v>2420</v>
      </c>
      <c r="E1548" s="4" t="s">
        <v>2421</v>
      </c>
      <c r="F1548" s="4" t="s">
        <v>51</v>
      </c>
      <c r="G1548" s="4" t="s">
        <v>35</v>
      </c>
      <c r="H1548" s="54" t="s">
        <v>36</v>
      </c>
      <c r="I1548" s="52"/>
      <c r="J1548" s="57">
        <v>9.02</v>
      </c>
      <c r="K1548" s="52"/>
      <c r="L1548" s="6">
        <v>8.2713400000000004</v>
      </c>
      <c r="M1548" s="6">
        <v>0.91700000000000004</v>
      </c>
      <c r="N1548" s="6">
        <v>8.8000000000000007</v>
      </c>
      <c r="O1548" s="57">
        <v>8.0695999999999994</v>
      </c>
      <c r="P1548" s="52"/>
      <c r="Q1548" s="6">
        <v>0.91699999999999982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0.22</v>
      </c>
      <c r="AB1548" s="6">
        <v>0.20174</v>
      </c>
      <c r="AC1548" s="6">
        <v>0.91700000000000004</v>
      </c>
      <c r="AD1548" s="6">
        <v>-0.21999999999999886</v>
      </c>
      <c r="AE1548" s="6">
        <v>0.21999999999999886</v>
      </c>
    </row>
    <row r="1549" spans="2:31" ht="20" x14ac:dyDescent="0.25">
      <c r="B1549" s="55"/>
      <c r="C1549" s="55"/>
      <c r="D1549" s="4" t="s">
        <v>2422</v>
      </c>
      <c r="E1549" s="4" t="s">
        <v>2296</v>
      </c>
      <c r="F1549" s="4" t="s">
        <v>51</v>
      </c>
      <c r="G1549" s="4" t="s">
        <v>35</v>
      </c>
      <c r="H1549" s="54" t="s">
        <v>36</v>
      </c>
      <c r="I1549" s="52"/>
      <c r="J1549" s="57">
        <v>22.71</v>
      </c>
      <c r="K1549" s="52"/>
      <c r="L1549" s="6">
        <v>20.82507</v>
      </c>
      <c r="M1549" s="6">
        <v>0.91699999999999993</v>
      </c>
      <c r="N1549" s="6">
        <v>21.65</v>
      </c>
      <c r="O1549" s="57">
        <v>19.85305</v>
      </c>
      <c r="P1549" s="52"/>
      <c r="Q1549" s="6">
        <v>0.91700000000000004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1.06</v>
      </c>
      <c r="AB1549" s="6">
        <v>0.97202</v>
      </c>
      <c r="AC1549" s="6">
        <v>0.91699999999999993</v>
      </c>
      <c r="AD1549" s="6">
        <v>-1.0600000000000023</v>
      </c>
      <c r="AE1549" s="6">
        <v>1.0600000000000023</v>
      </c>
    </row>
    <row r="1550" spans="2:31" x14ac:dyDescent="0.25">
      <c r="B1550" s="55"/>
      <c r="C1550" s="55"/>
      <c r="D1550" s="54" t="s">
        <v>2423</v>
      </c>
      <c r="E1550" s="4" t="s">
        <v>2424</v>
      </c>
      <c r="F1550" s="4" t="s">
        <v>51</v>
      </c>
      <c r="G1550" s="4" t="s">
        <v>35</v>
      </c>
      <c r="H1550" s="54" t="s">
        <v>36</v>
      </c>
      <c r="I1550" s="52"/>
      <c r="J1550" s="57">
        <v>49.08</v>
      </c>
      <c r="K1550" s="52"/>
      <c r="L1550" s="6">
        <v>45.006360000000001</v>
      </c>
      <c r="M1550" s="6">
        <v>0.91700000000000004</v>
      </c>
      <c r="N1550" s="6">
        <v>45.05</v>
      </c>
      <c r="O1550" s="57">
        <v>41.310850000000002</v>
      </c>
      <c r="P1550" s="52"/>
      <c r="Q1550" s="6">
        <v>0.91700000000000015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4.03</v>
      </c>
      <c r="AB1550" s="6">
        <v>3.6955100000000001</v>
      </c>
      <c r="AC1550" s="6">
        <v>0.91699999999999993</v>
      </c>
      <c r="AD1550" s="6">
        <v>-4.0300000000000011</v>
      </c>
      <c r="AE1550" s="6">
        <v>4.0300000000000011</v>
      </c>
    </row>
    <row r="1551" spans="2:31" x14ac:dyDescent="0.25">
      <c r="B1551" s="55"/>
      <c r="C1551" s="55"/>
      <c r="D1551" s="56"/>
      <c r="E1551" s="4" t="s">
        <v>2425</v>
      </c>
      <c r="F1551" s="4" t="s">
        <v>51</v>
      </c>
      <c r="G1551" s="4" t="s">
        <v>35</v>
      </c>
      <c r="H1551" s="54" t="s">
        <v>36</v>
      </c>
      <c r="I1551" s="52"/>
      <c r="J1551" s="57">
        <v>21.8</v>
      </c>
      <c r="K1551" s="52"/>
      <c r="L1551" s="6">
        <v>19.990600000000001</v>
      </c>
      <c r="M1551" s="6">
        <v>0.91700000000000004</v>
      </c>
      <c r="N1551" s="6">
        <v>20.67</v>
      </c>
      <c r="O1551" s="57">
        <v>18.95439</v>
      </c>
      <c r="P1551" s="52"/>
      <c r="Q1551" s="6">
        <v>0.91699999999999993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1.1299999999999999</v>
      </c>
      <c r="AB1551" s="6">
        <v>1.0362100000000001</v>
      </c>
      <c r="AC1551" s="6">
        <v>0.91700000000000015</v>
      </c>
      <c r="AD1551" s="6">
        <v>-1.129999999999999</v>
      </c>
      <c r="AE1551" s="6">
        <v>1.129999999999999</v>
      </c>
    </row>
    <row r="1552" spans="2:31" x14ac:dyDescent="0.25">
      <c r="B1552" s="55"/>
      <c r="C1552" s="55"/>
      <c r="D1552" s="54" t="s">
        <v>2426</v>
      </c>
      <c r="E1552" s="4" t="s">
        <v>2427</v>
      </c>
      <c r="F1552" s="4" t="s">
        <v>51</v>
      </c>
      <c r="G1552" s="4" t="s">
        <v>35</v>
      </c>
      <c r="H1552" s="54" t="s">
        <v>48</v>
      </c>
      <c r="I1552" s="52"/>
      <c r="J1552" s="57">
        <v>27.83</v>
      </c>
      <c r="K1552" s="52"/>
      <c r="L1552" s="6">
        <v>20.872499999999999</v>
      </c>
      <c r="M1552" s="6">
        <v>0.75</v>
      </c>
      <c r="N1552" s="6">
        <v>25.21</v>
      </c>
      <c r="O1552" s="57">
        <v>18.907499999999999</v>
      </c>
      <c r="P1552" s="52"/>
      <c r="Q1552" s="6">
        <v>0.74999999999999989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2.62</v>
      </c>
      <c r="AB1552" s="6">
        <v>1.9650000000000001</v>
      </c>
      <c r="AC1552" s="6">
        <v>0.75</v>
      </c>
      <c r="AD1552" s="6">
        <v>-2.6199999999999974</v>
      </c>
      <c r="AE1552" s="6">
        <v>2.6199999999999974</v>
      </c>
    </row>
    <row r="1553" spans="2:31" x14ac:dyDescent="0.25">
      <c r="B1553" s="55"/>
      <c r="C1553" s="55"/>
      <c r="D1553" s="56"/>
      <c r="E1553" s="4" t="s">
        <v>2428</v>
      </c>
      <c r="F1553" s="4" t="s">
        <v>51</v>
      </c>
      <c r="G1553" s="4" t="s">
        <v>35</v>
      </c>
      <c r="H1553" s="54" t="s">
        <v>36</v>
      </c>
      <c r="I1553" s="52"/>
      <c r="J1553" s="57">
        <v>26.07</v>
      </c>
      <c r="K1553" s="52"/>
      <c r="L1553" s="6">
        <v>23.906189999999999</v>
      </c>
      <c r="M1553" s="6">
        <v>0.91699999999999993</v>
      </c>
      <c r="N1553" s="6">
        <v>25.13</v>
      </c>
      <c r="O1553" s="57">
        <v>23.04421</v>
      </c>
      <c r="P1553" s="52"/>
      <c r="Q1553" s="6">
        <v>0.91700000000000004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0.94</v>
      </c>
      <c r="AB1553" s="6">
        <v>0.86197999999999997</v>
      </c>
      <c r="AC1553" s="6">
        <v>0.91700000000000004</v>
      </c>
      <c r="AD1553" s="6">
        <v>-0.94000000000000128</v>
      </c>
      <c r="AE1553" s="6">
        <v>0.94000000000000128</v>
      </c>
    </row>
    <row r="1554" spans="2:31" ht="20" x14ac:dyDescent="0.25">
      <c r="B1554" s="55"/>
      <c r="C1554" s="55"/>
      <c r="D1554" s="4" t="s">
        <v>2429</v>
      </c>
      <c r="E1554" s="4" t="s">
        <v>2294</v>
      </c>
      <c r="F1554" s="4" t="s">
        <v>51</v>
      </c>
      <c r="G1554" s="4" t="s">
        <v>35</v>
      </c>
      <c r="H1554" s="54" t="s">
        <v>36</v>
      </c>
      <c r="I1554" s="52"/>
      <c r="J1554" s="57">
        <v>22.21</v>
      </c>
      <c r="K1554" s="52"/>
      <c r="L1554" s="6">
        <v>20.366569999999999</v>
      </c>
      <c r="M1554" s="6">
        <v>0.91699999999999993</v>
      </c>
      <c r="N1554" s="6">
        <v>21.1</v>
      </c>
      <c r="O1554" s="57">
        <v>19.348700000000001</v>
      </c>
      <c r="P1554" s="52"/>
      <c r="Q1554" s="6">
        <v>0.91699999999999993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1.1100000000000001</v>
      </c>
      <c r="AB1554" s="6">
        <v>1.0178700000000001</v>
      </c>
      <c r="AC1554" s="6">
        <v>0.91699999999999993</v>
      </c>
      <c r="AD1554" s="6">
        <v>-1.1099999999999994</v>
      </c>
      <c r="AE1554" s="6">
        <v>1.1099999999999994</v>
      </c>
    </row>
    <row r="1555" spans="2:31" ht="20" x14ac:dyDescent="0.25">
      <c r="B1555" s="55"/>
      <c r="C1555" s="55"/>
      <c r="D1555" s="4" t="s">
        <v>2430</v>
      </c>
      <c r="E1555" s="4" t="s">
        <v>2431</v>
      </c>
      <c r="F1555" s="4" t="s">
        <v>51</v>
      </c>
      <c r="G1555" s="4" t="s">
        <v>35</v>
      </c>
      <c r="H1555" s="54" t="s">
        <v>41</v>
      </c>
      <c r="I1555" s="52"/>
      <c r="J1555" s="57">
        <v>36.11</v>
      </c>
      <c r="K1555" s="52"/>
      <c r="L1555" s="6">
        <v>27.0825</v>
      </c>
      <c r="M1555" s="6">
        <v>0.75</v>
      </c>
      <c r="N1555" s="6">
        <v>31.54</v>
      </c>
      <c r="O1555" s="57">
        <v>23.655000000000001</v>
      </c>
      <c r="P1555" s="52"/>
      <c r="Q1555" s="6">
        <v>0.75000000000000011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4.57</v>
      </c>
      <c r="AB1555" s="6">
        <v>3.4275000000000002</v>
      </c>
      <c r="AC1555" s="6">
        <v>0.75</v>
      </c>
      <c r="AD1555" s="6">
        <v>-4.57</v>
      </c>
      <c r="AE1555" s="6">
        <v>4.57</v>
      </c>
    </row>
    <row r="1556" spans="2:31" ht="20" x14ac:dyDescent="0.25">
      <c r="B1556" s="55"/>
      <c r="C1556" s="55"/>
      <c r="D1556" s="4" t="s">
        <v>2432</v>
      </c>
      <c r="E1556" s="4" t="s">
        <v>2433</v>
      </c>
      <c r="F1556" s="4" t="s">
        <v>51</v>
      </c>
      <c r="G1556" s="4" t="s">
        <v>35</v>
      </c>
      <c r="H1556" s="54" t="s">
        <v>36</v>
      </c>
      <c r="I1556" s="52"/>
      <c r="J1556" s="57">
        <v>21.57</v>
      </c>
      <c r="K1556" s="52"/>
      <c r="L1556" s="6">
        <v>19.779689999999999</v>
      </c>
      <c r="M1556" s="6">
        <v>0.91699999999999993</v>
      </c>
      <c r="N1556" s="6">
        <v>19.809999999999999</v>
      </c>
      <c r="O1556" s="57">
        <v>18.165769999999998</v>
      </c>
      <c r="P1556" s="52"/>
      <c r="Q1556" s="6">
        <v>0.91699999999999993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1.76</v>
      </c>
      <c r="AB1556" s="6">
        <v>1.61392</v>
      </c>
      <c r="AC1556" s="6">
        <v>0.91700000000000004</v>
      </c>
      <c r="AD1556" s="6">
        <v>-1.7600000000000016</v>
      </c>
      <c r="AE1556" s="6">
        <v>1.7600000000000016</v>
      </c>
    </row>
    <row r="1557" spans="2:31" x14ac:dyDescent="0.25">
      <c r="B1557" s="55"/>
      <c r="C1557" s="55"/>
      <c r="D1557" s="54" t="s">
        <v>2434</v>
      </c>
      <c r="E1557" s="4" t="s">
        <v>2435</v>
      </c>
      <c r="F1557" s="4" t="s">
        <v>51</v>
      </c>
      <c r="G1557" s="4" t="s">
        <v>35</v>
      </c>
      <c r="H1557" s="54" t="s">
        <v>48</v>
      </c>
      <c r="I1557" s="52"/>
      <c r="J1557" s="57">
        <v>17.14</v>
      </c>
      <c r="K1557" s="52"/>
      <c r="L1557" s="6">
        <v>12.855</v>
      </c>
      <c r="M1557" s="6">
        <v>0.75</v>
      </c>
      <c r="N1557" s="6">
        <v>15.2</v>
      </c>
      <c r="O1557" s="57">
        <v>11.4</v>
      </c>
      <c r="P1557" s="52"/>
      <c r="Q1557" s="6">
        <v>0.75000000000000011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1.94</v>
      </c>
      <c r="AB1557" s="6">
        <v>1.4550000000000001</v>
      </c>
      <c r="AC1557" s="6">
        <v>0.75000000000000011</v>
      </c>
      <c r="AD1557" s="6">
        <v>-1.9400000000000013</v>
      </c>
      <c r="AE1557" s="6">
        <v>1.9400000000000013</v>
      </c>
    </row>
    <row r="1558" spans="2:31" x14ac:dyDescent="0.25">
      <c r="B1558" s="55"/>
      <c r="C1558" s="55"/>
      <c r="D1558" s="56"/>
      <c r="E1558" s="4" t="s">
        <v>2436</v>
      </c>
      <c r="F1558" s="4" t="s">
        <v>51</v>
      </c>
      <c r="G1558" s="4" t="s">
        <v>35</v>
      </c>
      <c r="H1558" s="54" t="s">
        <v>36</v>
      </c>
      <c r="I1558" s="52"/>
      <c r="J1558" s="57">
        <v>71.97</v>
      </c>
      <c r="K1558" s="52"/>
      <c r="L1558" s="6">
        <v>65.996489999999994</v>
      </c>
      <c r="M1558" s="6">
        <v>0.91699999999999993</v>
      </c>
      <c r="N1558" s="6">
        <v>68.650000000000006</v>
      </c>
      <c r="O1558" s="57">
        <v>62.95205</v>
      </c>
      <c r="P1558" s="52"/>
      <c r="Q1558" s="6">
        <v>0.91699999999999993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3.32</v>
      </c>
      <c r="AB1558" s="6">
        <v>3.0444399999999998</v>
      </c>
      <c r="AC1558" s="6">
        <v>0.91700000000000004</v>
      </c>
      <c r="AD1558" s="6">
        <v>-3.3199999999999932</v>
      </c>
      <c r="AE1558" s="6">
        <v>3.3199999999999932</v>
      </c>
    </row>
    <row r="1559" spans="2:31" ht="20" x14ac:dyDescent="0.25">
      <c r="B1559" s="55"/>
      <c r="C1559" s="55"/>
      <c r="D1559" s="4" t="s">
        <v>2437</v>
      </c>
      <c r="E1559" s="4" t="s">
        <v>2438</v>
      </c>
      <c r="F1559" s="4" t="s">
        <v>51</v>
      </c>
      <c r="G1559" s="4" t="s">
        <v>35</v>
      </c>
      <c r="H1559" s="54" t="s">
        <v>48</v>
      </c>
      <c r="I1559" s="52"/>
      <c r="J1559" s="57">
        <v>57.24</v>
      </c>
      <c r="K1559" s="52"/>
      <c r="L1559" s="6">
        <v>42.93</v>
      </c>
      <c r="M1559" s="6">
        <v>0.75</v>
      </c>
      <c r="N1559" s="6">
        <v>52.94</v>
      </c>
      <c r="O1559" s="57">
        <v>39.704999999999998</v>
      </c>
      <c r="P1559" s="52"/>
      <c r="Q1559" s="6">
        <v>0.75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4.3</v>
      </c>
      <c r="AB1559" s="6">
        <v>3.2250000000000001</v>
      </c>
      <c r="AC1559" s="6">
        <v>0.75</v>
      </c>
      <c r="AD1559" s="6">
        <v>-4.3000000000000043</v>
      </c>
      <c r="AE1559" s="6">
        <v>4.3000000000000043</v>
      </c>
    </row>
    <row r="1560" spans="2:31" ht="20" x14ac:dyDescent="0.25">
      <c r="B1560" s="55"/>
      <c r="C1560" s="55"/>
      <c r="D1560" s="4" t="s">
        <v>2439</v>
      </c>
      <c r="E1560" s="4" t="s">
        <v>1905</v>
      </c>
      <c r="F1560" s="4" t="s">
        <v>51</v>
      </c>
      <c r="G1560" s="4" t="s">
        <v>35</v>
      </c>
      <c r="H1560" s="54" t="s">
        <v>36</v>
      </c>
      <c r="I1560" s="52"/>
      <c r="J1560" s="57">
        <v>29.2</v>
      </c>
      <c r="K1560" s="52"/>
      <c r="L1560" s="6">
        <v>26.776399999999999</v>
      </c>
      <c r="M1560" s="6">
        <v>0.91700000000000004</v>
      </c>
      <c r="N1560" s="6">
        <v>28.18</v>
      </c>
      <c r="O1560" s="57">
        <v>25.841059999999999</v>
      </c>
      <c r="P1560" s="52"/>
      <c r="Q1560" s="6">
        <v>0.91699999999999993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1.02</v>
      </c>
      <c r="AB1560" s="6">
        <v>0.93533999999999995</v>
      </c>
      <c r="AC1560" s="6">
        <v>0.91699999999999993</v>
      </c>
      <c r="AD1560" s="6">
        <v>-1.0199999999999996</v>
      </c>
      <c r="AE1560" s="6">
        <v>1.0199999999999996</v>
      </c>
    </row>
    <row r="1561" spans="2:31" ht="20" x14ac:dyDescent="0.25">
      <c r="B1561" s="55"/>
      <c r="C1561" s="55"/>
      <c r="D1561" s="4" t="s">
        <v>2440</v>
      </c>
      <c r="E1561" s="4" t="s">
        <v>2441</v>
      </c>
      <c r="F1561" s="4" t="s">
        <v>51</v>
      </c>
      <c r="G1561" s="4" t="s">
        <v>35</v>
      </c>
      <c r="H1561" s="54" t="s">
        <v>41</v>
      </c>
      <c r="I1561" s="52"/>
      <c r="J1561" s="57">
        <v>34.54</v>
      </c>
      <c r="K1561" s="52"/>
      <c r="L1561" s="6">
        <v>25.905000000000001</v>
      </c>
      <c r="M1561" s="6">
        <v>0.75</v>
      </c>
      <c r="N1561" s="6">
        <v>34.43</v>
      </c>
      <c r="O1561" s="57">
        <v>25.822500000000002</v>
      </c>
      <c r="P1561" s="52"/>
      <c r="Q1561" s="6">
        <v>0.75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0.11</v>
      </c>
      <c r="AB1561" s="6">
        <v>8.2500000000000004E-2</v>
      </c>
      <c r="AC1561" s="6">
        <v>0.75</v>
      </c>
      <c r="AD1561" s="6">
        <v>-0.10999999999999943</v>
      </c>
      <c r="AE1561" s="6">
        <v>0.10999999999999943</v>
      </c>
    </row>
    <row r="1562" spans="2:31" x14ac:dyDescent="0.25">
      <c r="B1562" s="55"/>
      <c r="C1562" s="55"/>
      <c r="D1562" s="54" t="s">
        <v>2442</v>
      </c>
      <c r="E1562" s="4" t="s">
        <v>2443</v>
      </c>
      <c r="F1562" s="4" t="s">
        <v>51</v>
      </c>
      <c r="G1562" s="4" t="s">
        <v>35</v>
      </c>
      <c r="H1562" s="54" t="s">
        <v>48</v>
      </c>
      <c r="I1562" s="52"/>
      <c r="J1562" s="57">
        <v>24.12</v>
      </c>
      <c r="K1562" s="52"/>
      <c r="L1562" s="6">
        <v>18.09</v>
      </c>
      <c r="M1562" s="6">
        <v>0.75</v>
      </c>
      <c r="N1562" s="6">
        <v>22.79</v>
      </c>
      <c r="O1562" s="57">
        <v>17.092500000000001</v>
      </c>
      <c r="P1562" s="52"/>
      <c r="Q1562" s="6">
        <v>0.75000000000000011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1.33</v>
      </c>
      <c r="AB1562" s="6">
        <v>0.99750000000000005</v>
      </c>
      <c r="AC1562" s="6">
        <v>0.75</v>
      </c>
      <c r="AD1562" s="6">
        <v>-1.3300000000000018</v>
      </c>
      <c r="AE1562" s="6">
        <v>1.3300000000000018</v>
      </c>
    </row>
    <row r="1563" spans="2:31" x14ac:dyDescent="0.25">
      <c r="B1563" s="55"/>
      <c r="C1563" s="55"/>
      <c r="D1563" s="55"/>
      <c r="E1563" s="4" t="s">
        <v>2444</v>
      </c>
      <c r="F1563" s="4" t="s">
        <v>51</v>
      </c>
      <c r="G1563" s="4" t="s">
        <v>35</v>
      </c>
      <c r="H1563" s="54" t="s">
        <v>48</v>
      </c>
      <c r="I1563" s="52"/>
      <c r="J1563" s="57">
        <v>63.39</v>
      </c>
      <c r="K1563" s="52"/>
      <c r="L1563" s="6">
        <v>47.542499999999997</v>
      </c>
      <c r="M1563" s="6">
        <v>0.74999999999999989</v>
      </c>
      <c r="N1563" s="6">
        <v>59.08</v>
      </c>
      <c r="O1563" s="57">
        <v>44.31</v>
      </c>
      <c r="P1563" s="52"/>
      <c r="Q1563" s="6">
        <v>0.75000000000000011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4.3099999999999996</v>
      </c>
      <c r="AB1563" s="6">
        <v>3.2324999999999999</v>
      </c>
      <c r="AC1563" s="6">
        <v>0.75</v>
      </c>
      <c r="AD1563" s="6">
        <v>-4.3100000000000023</v>
      </c>
      <c r="AE1563" s="6">
        <v>4.3100000000000023</v>
      </c>
    </row>
    <row r="1564" spans="2:31" x14ac:dyDescent="0.25">
      <c r="B1564" s="55"/>
      <c r="C1564" s="55"/>
      <c r="D1564" s="56"/>
      <c r="E1564" s="4" t="s">
        <v>2445</v>
      </c>
      <c r="F1564" s="4" t="s">
        <v>51</v>
      </c>
      <c r="G1564" s="4" t="s">
        <v>35</v>
      </c>
      <c r="H1564" s="54" t="s">
        <v>36</v>
      </c>
      <c r="I1564" s="52"/>
      <c r="J1564" s="57">
        <v>68.91</v>
      </c>
      <c r="K1564" s="52"/>
      <c r="L1564" s="6">
        <v>63.190469999999998</v>
      </c>
      <c r="M1564" s="6">
        <v>0.91700000000000004</v>
      </c>
      <c r="N1564" s="6">
        <v>64.680000000000007</v>
      </c>
      <c r="O1564" s="57">
        <v>59.31156</v>
      </c>
      <c r="P1564" s="52"/>
      <c r="Q1564" s="6">
        <v>0.91699999999999993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4.2300000000000004</v>
      </c>
      <c r="AB1564" s="6">
        <v>3.8789099999999999</v>
      </c>
      <c r="AC1564" s="6">
        <v>0.91699999999999993</v>
      </c>
      <c r="AD1564" s="6">
        <v>-4.2299999999999898</v>
      </c>
      <c r="AE1564" s="6">
        <v>4.2299999999999898</v>
      </c>
    </row>
    <row r="1565" spans="2:31" ht="20" x14ac:dyDescent="0.25">
      <c r="B1565" s="55"/>
      <c r="C1565" s="55"/>
      <c r="D1565" s="4" t="s">
        <v>2446</v>
      </c>
      <c r="E1565" s="4" t="s">
        <v>2292</v>
      </c>
      <c r="F1565" s="4" t="s">
        <v>51</v>
      </c>
      <c r="G1565" s="4" t="s">
        <v>35</v>
      </c>
      <c r="H1565" s="54" t="s">
        <v>36</v>
      </c>
      <c r="I1565" s="52"/>
      <c r="J1565" s="57">
        <v>30.02</v>
      </c>
      <c r="K1565" s="52"/>
      <c r="L1565" s="6">
        <v>27.52834</v>
      </c>
      <c r="M1565" s="6">
        <v>0.91700000000000004</v>
      </c>
      <c r="N1565" s="6">
        <v>27.95</v>
      </c>
      <c r="O1565" s="57">
        <v>25.63015</v>
      </c>
      <c r="P1565" s="52"/>
      <c r="Q1565" s="6">
        <v>0.91700000000000004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2.0699999999999998</v>
      </c>
      <c r="AB1565" s="6">
        <v>1.89819</v>
      </c>
      <c r="AC1565" s="6">
        <v>0.91700000000000004</v>
      </c>
      <c r="AD1565" s="6">
        <v>-2.0700000000000003</v>
      </c>
      <c r="AE1565" s="6">
        <v>2.0700000000000003</v>
      </c>
    </row>
    <row r="1566" spans="2:31" ht="20" x14ac:dyDescent="0.25">
      <c r="B1566" s="55"/>
      <c r="C1566" s="55"/>
      <c r="D1566" s="4" t="s">
        <v>2447</v>
      </c>
      <c r="E1566" s="4" t="s">
        <v>2448</v>
      </c>
      <c r="F1566" s="4" t="s">
        <v>51</v>
      </c>
      <c r="G1566" s="4" t="s">
        <v>35</v>
      </c>
      <c r="H1566" s="54" t="s">
        <v>36</v>
      </c>
      <c r="I1566" s="52"/>
      <c r="J1566" s="57">
        <v>3.31</v>
      </c>
      <c r="K1566" s="52"/>
      <c r="L1566" s="6">
        <v>3.0352700000000001</v>
      </c>
      <c r="M1566" s="6">
        <v>0.91700000000000004</v>
      </c>
      <c r="N1566" s="6">
        <v>3.25</v>
      </c>
      <c r="O1566" s="57">
        <v>2.9802499999999998</v>
      </c>
      <c r="P1566" s="52"/>
      <c r="Q1566" s="6">
        <v>0.91699999999999993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0.06</v>
      </c>
      <c r="AB1566" s="6">
        <v>5.5019999999999999E-2</v>
      </c>
      <c r="AC1566" s="6">
        <v>0.91700000000000004</v>
      </c>
      <c r="AD1566" s="6">
        <v>-6.0000000000000053E-2</v>
      </c>
      <c r="AE1566" s="6">
        <v>6.0000000000000053E-2</v>
      </c>
    </row>
    <row r="1567" spans="2:31" x14ac:dyDescent="0.25">
      <c r="B1567" s="55"/>
      <c r="C1567" s="55"/>
      <c r="D1567" s="54" t="s">
        <v>2449</v>
      </c>
      <c r="E1567" s="4" t="s">
        <v>2450</v>
      </c>
      <c r="F1567" s="4" t="s">
        <v>51</v>
      </c>
      <c r="G1567" s="4" t="s">
        <v>35</v>
      </c>
      <c r="H1567" s="54" t="s">
        <v>36</v>
      </c>
      <c r="I1567" s="52"/>
      <c r="J1567" s="57">
        <v>117.93</v>
      </c>
      <c r="K1567" s="52"/>
      <c r="L1567" s="6">
        <v>108.14181000000001</v>
      </c>
      <c r="M1567" s="6">
        <v>0.91700000000000004</v>
      </c>
      <c r="N1567" s="6">
        <v>110.21</v>
      </c>
      <c r="O1567" s="57">
        <v>101.06256999999999</v>
      </c>
      <c r="P1567" s="52"/>
      <c r="Q1567" s="6">
        <v>0.91700000000000004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7.72</v>
      </c>
      <c r="AB1567" s="6">
        <v>7.0792400000000004</v>
      </c>
      <c r="AC1567" s="6">
        <v>0.91700000000000004</v>
      </c>
      <c r="AD1567" s="6">
        <v>-7.7200000000000131</v>
      </c>
      <c r="AE1567" s="6">
        <v>7.7200000000000131</v>
      </c>
    </row>
    <row r="1568" spans="2:31" x14ac:dyDescent="0.25">
      <c r="B1568" s="55"/>
      <c r="C1568" s="55"/>
      <c r="D1568" s="56"/>
      <c r="E1568" s="4" t="s">
        <v>2451</v>
      </c>
      <c r="F1568" s="4" t="s">
        <v>51</v>
      </c>
      <c r="G1568" s="4" t="s">
        <v>35</v>
      </c>
      <c r="H1568" s="54" t="s">
        <v>48</v>
      </c>
      <c r="I1568" s="52"/>
      <c r="J1568" s="57">
        <v>26.51</v>
      </c>
      <c r="K1568" s="52"/>
      <c r="L1568" s="6">
        <v>19.8825</v>
      </c>
      <c r="M1568" s="6">
        <v>0.75</v>
      </c>
      <c r="N1568" s="6">
        <v>24.32</v>
      </c>
      <c r="O1568" s="57">
        <v>18.239999999999998</v>
      </c>
      <c r="P1568" s="52"/>
      <c r="Q1568" s="6">
        <v>0.74999999999999989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2.19</v>
      </c>
      <c r="AB1568" s="6">
        <v>1.6425000000000001</v>
      </c>
      <c r="AC1568" s="6">
        <v>0.75</v>
      </c>
      <c r="AD1568" s="6">
        <v>-2.1900000000000013</v>
      </c>
      <c r="AE1568" s="6">
        <v>2.1900000000000013</v>
      </c>
    </row>
    <row r="1569" spans="2:31" x14ac:dyDescent="0.25">
      <c r="B1569" s="55"/>
      <c r="C1569" s="55"/>
      <c r="D1569" s="54" t="s">
        <v>2452</v>
      </c>
      <c r="E1569" s="4" t="s">
        <v>2453</v>
      </c>
      <c r="F1569" s="4" t="s">
        <v>51</v>
      </c>
      <c r="G1569" s="4" t="s">
        <v>35</v>
      </c>
      <c r="H1569" s="54" t="s">
        <v>48</v>
      </c>
      <c r="I1569" s="52"/>
      <c r="J1569" s="57">
        <v>23.28</v>
      </c>
      <c r="K1569" s="52"/>
      <c r="L1569" s="6">
        <v>17.46</v>
      </c>
      <c r="M1569" s="6">
        <v>0.75</v>
      </c>
      <c r="N1569" s="6">
        <v>23.28</v>
      </c>
      <c r="O1569" s="57">
        <v>17.46</v>
      </c>
      <c r="P1569" s="52"/>
      <c r="Q1569" s="6">
        <v>0.75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</row>
    <row r="1570" spans="2:31" x14ac:dyDescent="0.25">
      <c r="B1570" s="55"/>
      <c r="C1570" s="55"/>
      <c r="D1570" s="56"/>
      <c r="E1570" s="4" t="s">
        <v>2454</v>
      </c>
      <c r="F1570" s="4" t="s">
        <v>51</v>
      </c>
      <c r="G1570" s="4" t="s">
        <v>35</v>
      </c>
      <c r="H1570" s="54" t="s">
        <v>48</v>
      </c>
      <c r="I1570" s="52"/>
      <c r="J1570" s="57">
        <v>16.09</v>
      </c>
      <c r="K1570" s="52"/>
      <c r="L1570" s="6">
        <v>12.067500000000001</v>
      </c>
      <c r="M1570" s="6">
        <v>0.75</v>
      </c>
      <c r="N1570" s="6">
        <v>14.18</v>
      </c>
      <c r="O1570" s="57">
        <v>10.635</v>
      </c>
      <c r="P1570" s="52"/>
      <c r="Q1570" s="6">
        <v>0.75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1.91</v>
      </c>
      <c r="AB1570" s="6">
        <v>1.4325000000000001</v>
      </c>
      <c r="AC1570" s="6">
        <v>0.75000000000000011</v>
      </c>
      <c r="AD1570" s="6">
        <v>-1.91</v>
      </c>
      <c r="AE1570" s="6">
        <v>1.91</v>
      </c>
    </row>
    <row r="1571" spans="2:31" x14ac:dyDescent="0.25">
      <c r="B1571" s="55"/>
      <c r="C1571" s="55"/>
      <c r="D1571" s="54" t="s">
        <v>2455</v>
      </c>
      <c r="E1571" s="4" t="s">
        <v>2456</v>
      </c>
      <c r="F1571" s="4" t="s">
        <v>51</v>
      </c>
      <c r="G1571" s="4" t="s">
        <v>35</v>
      </c>
      <c r="H1571" s="54" t="s">
        <v>36</v>
      </c>
      <c r="I1571" s="52"/>
      <c r="J1571" s="57">
        <v>28.97</v>
      </c>
      <c r="K1571" s="52"/>
      <c r="L1571" s="6">
        <v>26.56549</v>
      </c>
      <c r="M1571" s="6">
        <v>0.91700000000000004</v>
      </c>
      <c r="N1571" s="6">
        <v>26.56</v>
      </c>
      <c r="O1571" s="57">
        <v>24.355519999999999</v>
      </c>
      <c r="P1571" s="52"/>
      <c r="Q1571" s="6">
        <v>0.91700000000000004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2.41</v>
      </c>
      <c r="AB1571" s="6">
        <v>2.2099700000000002</v>
      </c>
      <c r="AC1571" s="6">
        <v>0.91700000000000004</v>
      </c>
      <c r="AD1571" s="6">
        <v>-2.41</v>
      </c>
      <c r="AE1571" s="6">
        <v>2.41</v>
      </c>
    </row>
    <row r="1572" spans="2:31" x14ac:dyDescent="0.25">
      <c r="B1572" s="55"/>
      <c r="C1572" s="55"/>
      <c r="D1572" s="55"/>
      <c r="E1572" s="4" t="s">
        <v>2457</v>
      </c>
      <c r="F1572" s="4" t="s">
        <v>51</v>
      </c>
      <c r="G1572" s="4" t="s">
        <v>35</v>
      </c>
      <c r="H1572" s="54" t="s">
        <v>48</v>
      </c>
      <c r="I1572" s="52"/>
      <c r="J1572" s="57">
        <v>55.12</v>
      </c>
      <c r="K1572" s="52"/>
      <c r="L1572" s="6">
        <v>41.34</v>
      </c>
      <c r="M1572" s="6">
        <v>0.75000000000000011</v>
      </c>
      <c r="N1572" s="6">
        <v>52.29</v>
      </c>
      <c r="O1572" s="57">
        <v>39.217500000000001</v>
      </c>
      <c r="P1572" s="52"/>
      <c r="Q1572" s="6">
        <v>0.75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2.83</v>
      </c>
      <c r="AB1572" s="6">
        <v>2.1225000000000001</v>
      </c>
      <c r="AC1572" s="6">
        <v>0.75</v>
      </c>
      <c r="AD1572" s="6">
        <v>-2.8299999999999983</v>
      </c>
      <c r="AE1572" s="6">
        <v>2.8299999999999983</v>
      </c>
    </row>
    <row r="1573" spans="2:31" x14ac:dyDescent="0.25">
      <c r="B1573" s="55"/>
      <c r="C1573" s="55"/>
      <c r="D1573" s="56"/>
      <c r="E1573" s="4" t="s">
        <v>2458</v>
      </c>
      <c r="F1573" s="4" t="s">
        <v>51</v>
      </c>
      <c r="G1573" s="4" t="s">
        <v>35</v>
      </c>
      <c r="H1573" s="54" t="s">
        <v>41</v>
      </c>
      <c r="I1573" s="52"/>
      <c r="J1573" s="57">
        <v>19.440000000000001</v>
      </c>
      <c r="K1573" s="52"/>
      <c r="L1573" s="6">
        <v>14.58</v>
      </c>
      <c r="M1573" s="6">
        <v>0.75</v>
      </c>
      <c r="N1573" s="6">
        <v>18.22</v>
      </c>
      <c r="O1573" s="57">
        <v>13.664999999999999</v>
      </c>
      <c r="P1573" s="52"/>
      <c r="Q1573" s="6">
        <v>0.75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1.22</v>
      </c>
      <c r="AB1573" s="6">
        <v>0.91500000000000004</v>
      </c>
      <c r="AC1573" s="6">
        <v>0.75</v>
      </c>
      <c r="AD1573" s="6">
        <v>-1.2200000000000024</v>
      </c>
      <c r="AE1573" s="6">
        <v>1.2200000000000024</v>
      </c>
    </row>
    <row r="1574" spans="2:31" ht="20" x14ac:dyDescent="0.25">
      <c r="B1574" s="55"/>
      <c r="C1574" s="55"/>
      <c r="D1574" s="4" t="s">
        <v>2459</v>
      </c>
      <c r="E1574" s="4" t="s">
        <v>2441</v>
      </c>
      <c r="F1574" s="4" t="s">
        <v>51</v>
      </c>
      <c r="G1574" s="4" t="s">
        <v>35</v>
      </c>
      <c r="H1574" s="54" t="s">
        <v>41</v>
      </c>
      <c r="I1574" s="52"/>
      <c r="J1574" s="57">
        <v>34.43</v>
      </c>
      <c r="K1574" s="52"/>
      <c r="L1574" s="6">
        <v>25.822500000000002</v>
      </c>
      <c r="M1574" s="6">
        <v>0.75</v>
      </c>
      <c r="N1574" s="6">
        <v>34.15</v>
      </c>
      <c r="O1574" s="57">
        <v>25.612500000000001</v>
      </c>
      <c r="P1574" s="52"/>
      <c r="Q1574" s="6">
        <v>0.75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0.28000000000000003</v>
      </c>
      <c r="AB1574" s="6">
        <v>0.21</v>
      </c>
      <c r="AC1574" s="6">
        <v>0.74999999999999989</v>
      </c>
      <c r="AD1574" s="6">
        <v>-0.28000000000000114</v>
      </c>
      <c r="AE1574" s="6">
        <v>0.28000000000000114</v>
      </c>
    </row>
    <row r="1575" spans="2:31" ht="20" x14ac:dyDescent="0.25">
      <c r="B1575" s="55"/>
      <c r="C1575" s="55"/>
      <c r="D1575" s="4" t="s">
        <v>2460</v>
      </c>
      <c r="E1575" s="4" t="s">
        <v>2461</v>
      </c>
      <c r="F1575" s="4" t="s">
        <v>51</v>
      </c>
      <c r="G1575" s="4" t="s">
        <v>35</v>
      </c>
      <c r="H1575" s="54" t="s">
        <v>48</v>
      </c>
      <c r="I1575" s="52"/>
      <c r="J1575" s="57">
        <v>17.75</v>
      </c>
      <c r="K1575" s="52"/>
      <c r="L1575" s="6">
        <v>13.3125</v>
      </c>
      <c r="M1575" s="6">
        <v>0.75</v>
      </c>
      <c r="N1575" s="6">
        <v>17.739999999999998</v>
      </c>
      <c r="O1575" s="57">
        <v>13.305</v>
      </c>
      <c r="P1575" s="52"/>
      <c r="Q1575" s="6">
        <v>0.75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0.01</v>
      </c>
      <c r="AB1575" s="6">
        <v>7.4999999999999997E-3</v>
      </c>
      <c r="AC1575" s="6">
        <v>0.75</v>
      </c>
      <c r="AD1575" s="6">
        <v>-1.0000000000001563E-2</v>
      </c>
      <c r="AE1575" s="6">
        <v>1.0000000000001563E-2</v>
      </c>
    </row>
    <row r="1576" spans="2:31" x14ac:dyDescent="0.25">
      <c r="B1576" s="55"/>
      <c r="C1576" s="55"/>
      <c r="D1576" s="54" t="s">
        <v>2462</v>
      </c>
      <c r="E1576" s="4" t="s">
        <v>2463</v>
      </c>
      <c r="F1576" s="4" t="s">
        <v>51</v>
      </c>
      <c r="G1576" s="4" t="s">
        <v>35</v>
      </c>
      <c r="H1576" s="54" t="s">
        <v>36</v>
      </c>
      <c r="I1576" s="52"/>
      <c r="J1576" s="57">
        <v>48.71</v>
      </c>
      <c r="K1576" s="52"/>
      <c r="L1576" s="6">
        <v>44.667070000000002</v>
      </c>
      <c r="M1576" s="6">
        <v>0.91700000000000004</v>
      </c>
      <c r="N1576" s="6">
        <v>44.92</v>
      </c>
      <c r="O1576" s="57">
        <v>41.19164</v>
      </c>
      <c r="P1576" s="52"/>
      <c r="Q1576" s="6">
        <v>0.91699999999999993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3.79</v>
      </c>
      <c r="AB1576" s="6">
        <v>3.4754299999999998</v>
      </c>
      <c r="AC1576" s="6">
        <v>0.91699999999999993</v>
      </c>
      <c r="AD1576" s="6">
        <v>-3.7899999999999991</v>
      </c>
      <c r="AE1576" s="6">
        <v>3.7899999999999991</v>
      </c>
    </row>
    <row r="1577" spans="2:31" x14ac:dyDescent="0.25">
      <c r="B1577" s="55"/>
      <c r="C1577" s="55"/>
      <c r="D1577" s="56"/>
      <c r="E1577" s="4" t="s">
        <v>2464</v>
      </c>
      <c r="F1577" s="4" t="s">
        <v>51</v>
      </c>
      <c r="G1577" s="4" t="s">
        <v>35</v>
      </c>
      <c r="H1577" s="54" t="s">
        <v>41</v>
      </c>
      <c r="I1577" s="52"/>
      <c r="J1577" s="57">
        <v>25.68</v>
      </c>
      <c r="K1577" s="52"/>
      <c r="L1577" s="6">
        <v>19.260000000000002</v>
      </c>
      <c r="M1577" s="6">
        <v>0.75000000000000011</v>
      </c>
      <c r="N1577" s="6">
        <v>23.4</v>
      </c>
      <c r="O1577" s="57">
        <v>17.55</v>
      </c>
      <c r="P1577" s="52"/>
      <c r="Q1577" s="6">
        <v>0.75000000000000011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2.2799999999999998</v>
      </c>
      <c r="AB1577" s="6">
        <v>1.71</v>
      </c>
      <c r="AC1577" s="6">
        <v>0.75</v>
      </c>
      <c r="AD1577" s="6">
        <v>-2.2800000000000011</v>
      </c>
      <c r="AE1577" s="6">
        <v>2.2800000000000011</v>
      </c>
    </row>
    <row r="1578" spans="2:31" x14ac:dyDescent="0.25">
      <c r="B1578" s="55"/>
      <c r="C1578" s="55"/>
      <c r="D1578" s="54" t="s">
        <v>2465</v>
      </c>
      <c r="E1578" s="4" t="s">
        <v>2243</v>
      </c>
      <c r="F1578" s="4" t="s">
        <v>51</v>
      </c>
      <c r="G1578" s="4" t="s">
        <v>35</v>
      </c>
      <c r="H1578" s="54" t="s">
        <v>36</v>
      </c>
      <c r="I1578" s="52"/>
      <c r="J1578" s="57">
        <v>3.43</v>
      </c>
      <c r="K1578" s="52"/>
      <c r="L1578" s="6">
        <v>3.1453099999999998</v>
      </c>
      <c r="M1578" s="6">
        <v>0.91699999999999993</v>
      </c>
      <c r="N1578" s="6">
        <v>3.37</v>
      </c>
      <c r="O1578" s="57">
        <v>3.09029</v>
      </c>
      <c r="P1578" s="52"/>
      <c r="Q1578" s="6">
        <v>0.91699999999999993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0.06</v>
      </c>
      <c r="AB1578" s="6">
        <v>5.5019999999999999E-2</v>
      </c>
      <c r="AC1578" s="6">
        <v>0.91700000000000004</v>
      </c>
      <c r="AD1578" s="6">
        <v>-6.0000000000000053E-2</v>
      </c>
      <c r="AE1578" s="6">
        <v>6.0000000000000053E-2</v>
      </c>
    </row>
    <row r="1579" spans="2:31" x14ac:dyDescent="0.25">
      <c r="B1579" s="55"/>
      <c r="C1579" s="55"/>
      <c r="D1579" s="56"/>
      <c r="E1579" s="4" t="s">
        <v>2248</v>
      </c>
      <c r="F1579" s="4" t="s">
        <v>51</v>
      </c>
      <c r="G1579" s="4" t="s">
        <v>35</v>
      </c>
      <c r="H1579" s="54" t="s">
        <v>36</v>
      </c>
      <c r="I1579" s="52"/>
      <c r="J1579" s="57">
        <v>3.64</v>
      </c>
      <c r="K1579" s="52"/>
      <c r="L1579" s="6">
        <v>3.3378800000000002</v>
      </c>
      <c r="M1579" s="6">
        <v>0.91700000000000004</v>
      </c>
      <c r="N1579" s="6">
        <v>3.6</v>
      </c>
      <c r="O1579" s="57">
        <v>3.3012000000000001</v>
      </c>
      <c r="P1579" s="52"/>
      <c r="Q1579" s="6">
        <v>0.91700000000000004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0.04</v>
      </c>
      <c r="AB1579" s="6">
        <v>3.6679999999999997E-2</v>
      </c>
      <c r="AC1579" s="6">
        <v>0.91699999999999993</v>
      </c>
      <c r="AD1579" s="6">
        <v>-4.0000000000000036E-2</v>
      </c>
      <c r="AE1579" s="6">
        <v>4.0000000000000036E-2</v>
      </c>
    </row>
    <row r="1580" spans="2:31" x14ac:dyDescent="0.25">
      <c r="B1580" s="55"/>
      <c r="C1580" s="55"/>
      <c r="D1580" s="54" t="s">
        <v>2466</v>
      </c>
      <c r="E1580" s="4" t="s">
        <v>2467</v>
      </c>
      <c r="F1580" s="4" t="s">
        <v>51</v>
      </c>
      <c r="G1580" s="4" t="s">
        <v>35</v>
      </c>
      <c r="H1580" s="54" t="s">
        <v>48</v>
      </c>
      <c r="I1580" s="52"/>
      <c r="J1580" s="57">
        <v>27.25</v>
      </c>
      <c r="K1580" s="52"/>
      <c r="L1580" s="6">
        <v>20.4375</v>
      </c>
      <c r="M1580" s="6">
        <v>0.75</v>
      </c>
      <c r="N1580" s="6">
        <v>25.98</v>
      </c>
      <c r="O1580" s="57">
        <v>19.484999999999999</v>
      </c>
      <c r="P1580" s="52"/>
      <c r="Q1580" s="6">
        <v>0.75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1.27</v>
      </c>
      <c r="AB1580" s="6">
        <v>0.95250000000000001</v>
      </c>
      <c r="AC1580" s="6">
        <v>0.75</v>
      </c>
      <c r="AD1580" s="6">
        <v>-1.2699999999999996</v>
      </c>
      <c r="AE1580" s="6">
        <v>1.2699999999999996</v>
      </c>
    </row>
    <row r="1581" spans="2:31" x14ac:dyDescent="0.25">
      <c r="B1581" s="55"/>
      <c r="C1581" s="55"/>
      <c r="D1581" s="56"/>
      <c r="E1581" s="4" t="s">
        <v>2468</v>
      </c>
      <c r="F1581" s="4" t="s">
        <v>51</v>
      </c>
      <c r="G1581" s="4" t="s">
        <v>35</v>
      </c>
      <c r="H1581" s="54" t="s">
        <v>41</v>
      </c>
      <c r="I1581" s="52"/>
      <c r="J1581" s="57">
        <v>20.6</v>
      </c>
      <c r="K1581" s="52"/>
      <c r="L1581" s="6">
        <v>15.45</v>
      </c>
      <c r="M1581" s="6">
        <v>0.74999999999999989</v>
      </c>
      <c r="N1581" s="6">
        <v>19.68</v>
      </c>
      <c r="O1581" s="57">
        <v>14.76</v>
      </c>
      <c r="P1581" s="52"/>
      <c r="Q1581" s="6">
        <v>0.75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0.92</v>
      </c>
      <c r="AB1581" s="6">
        <v>0.69</v>
      </c>
      <c r="AC1581" s="6">
        <v>0.74999999999999989</v>
      </c>
      <c r="AD1581" s="6">
        <v>-0.92000000000000171</v>
      </c>
      <c r="AE1581" s="6">
        <v>0.92000000000000171</v>
      </c>
    </row>
    <row r="1582" spans="2:31" ht="20" x14ac:dyDescent="0.25">
      <c r="B1582" s="55"/>
      <c r="C1582" s="55"/>
      <c r="D1582" s="4" t="s">
        <v>2469</v>
      </c>
      <c r="E1582" s="4" t="s">
        <v>2470</v>
      </c>
      <c r="F1582" s="4" t="s">
        <v>51</v>
      </c>
      <c r="G1582" s="4" t="s">
        <v>35</v>
      </c>
      <c r="H1582" s="54" t="s">
        <v>41</v>
      </c>
      <c r="I1582" s="52"/>
      <c r="J1582" s="57">
        <v>21.09</v>
      </c>
      <c r="K1582" s="52"/>
      <c r="L1582" s="6">
        <v>15.817500000000001</v>
      </c>
      <c r="M1582" s="6">
        <v>0.75</v>
      </c>
      <c r="N1582" s="6">
        <v>19.59</v>
      </c>
      <c r="O1582" s="57">
        <v>14.692500000000001</v>
      </c>
      <c r="P1582" s="52"/>
      <c r="Q1582" s="6">
        <v>0.75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1.5</v>
      </c>
      <c r="AB1582" s="6">
        <v>1.125</v>
      </c>
      <c r="AC1582" s="6">
        <v>0.75</v>
      </c>
      <c r="AD1582" s="6">
        <v>-1.5</v>
      </c>
      <c r="AE1582" s="6">
        <v>1.5</v>
      </c>
    </row>
    <row r="1583" spans="2:31" ht="20" x14ac:dyDescent="0.25">
      <c r="B1583" s="55"/>
      <c r="C1583" s="55"/>
      <c r="D1583" s="4" t="s">
        <v>2471</v>
      </c>
      <c r="E1583" s="4" t="s">
        <v>2472</v>
      </c>
      <c r="F1583" s="4" t="s">
        <v>51</v>
      </c>
      <c r="G1583" s="4" t="s">
        <v>35</v>
      </c>
      <c r="H1583" s="54" t="s">
        <v>36</v>
      </c>
      <c r="I1583" s="52"/>
      <c r="J1583" s="57">
        <v>3.52</v>
      </c>
      <c r="K1583" s="52"/>
      <c r="L1583" s="6">
        <v>3.22784</v>
      </c>
      <c r="M1583" s="6">
        <v>0.91700000000000004</v>
      </c>
      <c r="N1583" s="6">
        <v>3.05</v>
      </c>
      <c r="O1583" s="57">
        <v>2.7968500000000001</v>
      </c>
      <c r="P1583" s="52"/>
      <c r="Q1583" s="6">
        <v>0.91700000000000004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0.47</v>
      </c>
      <c r="AB1583" s="6">
        <v>0.43098999999999998</v>
      </c>
      <c r="AC1583" s="6">
        <v>0.91700000000000004</v>
      </c>
      <c r="AD1583" s="6">
        <v>-0.4700000000000002</v>
      </c>
      <c r="AE1583" s="6">
        <v>0.4700000000000002</v>
      </c>
    </row>
    <row r="1584" spans="2:31" ht="20" x14ac:dyDescent="0.25">
      <c r="B1584" s="55"/>
      <c r="C1584" s="55"/>
      <c r="D1584" s="4" t="s">
        <v>2473</v>
      </c>
      <c r="E1584" s="4" t="s">
        <v>2234</v>
      </c>
      <c r="F1584" s="4" t="s">
        <v>51</v>
      </c>
      <c r="G1584" s="4" t="s">
        <v>35</v>
      </c>
      <c r="H1584" s="54" t="s">
        <v>36</v>
      </c>
      <c r="I1584" s="52"/>
      <c r="J1584" s="57">
        <v>8.23</v>
      </c>
      <c r="K1584" s="52"/>
      <c r="L1584" s="6">
        <v>7.5469099999999996</v>
      </c>
      <c r="M1584" s="6">
        <v>0.91699999999999993</v>
      </c>
      <c r="N1584" s="6">
        <v>8.16</v>
      </c>
      <c r="O1584" s="57">
        <v>7.4827199999999996</v>
      </c>
      <c r="P1584" s="52"/>
      <c r="Q1584" s="6">
        <v>0.91699999999999993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7.0000000000000007E-2</v>
      </c>
      <c r="AB1584" s="6">
        <v>6.4189999999999997E-2</v>
      </c>
      <c r="AC1584" s="6">
        <v>0.91699999999999982</v>
      </c>
      <c r="AD1584" s="6">
        <v>-7.0000000000000284E-2</v>
      </c>
      <c r="AE1584" s="6">
        <v>7.0000000000000284E-2</v>
      </c>
    </row>
    <row r="1585" spans="2:31" x14ac:dyDescent="0.25">
      <c r="B1585" s="55"/>
      <c r="C1585" s="55"/>
      <c r="D1585" s="54" t="s">
        <v>2474</v>
      </c>
      <c r="E1585" s="4" t="s">
        <v>2475</v>
      </c>
      <c r="F1585" s="4" t="s">
        <v>51</v>
      </c>
      <c r="G1585" s="4" t="s">
        <v>35</v>
      </c>
      <c r="H1585" s="54" t="s">
        <v>36</v>
      </c>
      <c r="I1585" s="52"/>
      <c r="J1585" s="57">
        <v>60.7</v>
      </c>
      <c r="K1585" s="52"/>
      <c r="L1585" s="6">
        <v>55.661900000000003</v>
      </c>
      <c r="M1585" s="6">
        <v>0.91700000000000004</v>
      </c>
      <c r="N1585" s="6">
        <v>58.39</v>
      </c>
      <c r="O1585" s="57">
        <v>53.54363</v>
      </c>
      <c r="P1585" s="52"/>
      <c r="Q1585" s="6">
        <v>0.91700000000000004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2.31</v>
      </c>
      <c r="AB1585" s="6">
        <v>2.1182699999999999</v>
      </c>
      <c r="AC1585" s="6">
        <v>0.91699999999999993</v>
      </c>
      <c r="AD1585" s="6">
        <v>-2.3100000000000023</v>
      </c>
      <c r="AE1585" s="6">
        <v>2.3100000000000023</v>
      </c>
    </row>
    <row r="1586" spans="2:31" x14ac:dyDescent="0.25">
      <c r="B1586" s="55"/>
      <c r="C1586" s="55"/>
      <c r="D1586" s="55"/>
      <c r="E1586" s="4" t="s">
        <v>2476</v>
      </c>
      <c r="F1586" s="4" t="s">
        <v>51</v>
      </c>
      <c r="G1586" s="4" t="s">
        <v>35</v>
      </c>
      <c r="H1586" s="54" t="s">
        <v>36</v>
      </c>
      <c r="I1586" s="52"/>
      <c r="J1586" s="57">
        <v>21</v>
      </c>
      <c r="K1586" s="52"/>
      <c r="L1586" s="6">
        <v>19.257000000000001</v>
      </c>
      <c r="M1586" s="6">
        <v>0.91700000000000004</v>
      </c>
      <c r="N1586" s="6">
        <v>19.829999999999998</v>
      </c>
      <c r="O1586" s="57">
        <v>18.18411</v>
      </c>
      <c r="P1586" s="52"/>
      <c r="Q1586" s="6">
        <v>0.91700000000000015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1.17</v>
      </c>
      <c r="AB1586" s="6">
        <v>1.0728899999999999</v>
      </c>
      <c r="AC1586" s="6">
        <v>0.91699999999999993</v>
      </c>
      <c r="AD1586" s="6">
        <v>-1.1700000000000017</v>
      </c>
      <c r="AE1586" s="6">
        <v>1.1700000000000017</v>
      </c>
    </row>
    <row r="1587" spans="2:31" x14ac:dyDescent="0.25">
      <c r="B1587" s="55"/>
      <c r="C1587" s="55"/>
      <c r="D1587" s="56"/>
      <c r="E1587" s="4" t="s">
        <v>2477</v>
      </c>
      <c r="F1587" s="4" t="s">
        <v>51</v>
      </c>
      <c r="G1587" s="4" t="s">
        <v>35</v>
      </c>
      <c r="H1587" s="54" t="s">
        <v>48</v>
      </c>
      <c r="I1587" s="52"/>
      <c r="J1587" s="57">
        <v>19.87</v>
      </c>
      <c r="K1587" s="52"/>
      <c r="L1587" s="6">
        <v>14.9025</v>
      </c>
      <c r="M1587" s="6">
        <v>0.75</v>
      </c>
      <c r="N1587" s="6">
        <v>17.899999999999999</v>
      </c>
      <c r="O1587" s="57">
        <v>13.425000000000001</v>
      </c>
      <c r="P1587" s="52"/>
      <c r="Q1587" s="6">
        <v>0.75000000000000011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1.97</v>
      </c>
      <c r="AB1587" s="6">
        <v>1.4775</v>
      </c>
      <c r="AC1587" s="6">
        <v>0.75</v>
      </c>
      <c r="AD1587" s="6">
        <v>-1.9700000000000024</v>
      </c>
      <c r="AE1587" s="6">
        <v>1.9700000000000024</v>
      </c>
    </row>
    <row r="1588" spans="2:31" ht="20" x14ac:dyDescent="0.25">
      <c r="B1588" s="55"/>
      <c r="C1588" s="55"/>
      <c r="D1588" s="4" t="s">
        <v>2478</v>
      </c>
      <c r="E1588" s="4" t="s">
        <v>2479</v>
      </c>
      <c r="F1588" s="4" t="s">
        <v>51</v>
      </c>
      <c r="G1588" s="4" t="s">
        <v>35</v>
      </c>
      <c r="H1588" s="54" t="s">
        <v>36</v>
      </c>
      <c r="I1588" s="52"/>
      <c r="J1588" s="57">
        <v>12.12</v>
      </c>
      <c r="K1588" s="52"/>
      <c r="L1588" s="6">
        <v>11.114039999999999</v>
      </c>
      <c r="M1588" s="6">
        <v>0.91700000000000004</v>
      </c>
      <c r="N1588" s="6">
        <v>10.35</v>
      </c>
      <c r="O1588" s="57">
        <v>9.4909499999999998</v>
      </c>
      <c r="P1588" s="52"/>
      <c r="Q1588" s="6">
        <v>0.91700000000000004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1.77</v>
      </c>
      <c r="AB1588" s="6">
        <v>1.6230899999999999</v>
      </c>
      <c r="AC1588" s="6">
        <v>0.91699999999999993</v>
      </c>
      <c r="AD1588" s="6">
        <v>-1.7699999999999996</v>
      </c>
      <c r="AE1588" s="6">
        <v>1.7699999999999996</v>
      </c>
    </row>
    <row r="1589" spans="2:31" ht="20" x14ac:dyDescent="0.25">
      <c r="B1589" s="55"/>
      <c r="C1589" s="55"/>
      <c r="D1589" s="4" t="s">
        <v>2480</v>
      </c>
      <c r="E1589" s="4" t="s">
        <v>2431</v>
      </c>
      <c r="F1589" s="4" t="s">
        <v>51</v>
      </c>
      <c r="G1589" s="4" t="s">
        <v>35</v>
      </c>
      <c r="H1589" s="54" t="s">
        <v>41</v>
      </c>
      <c r="I1589" s="52"/>
      <c r="J1589" s="57">
        <v>34.159999999999997</v>
      </c>
      <c r="K1589" s="52"/>
      <c r="L1589" s="6">
        <v>25.62</v>
      </c>
      <c r="M1589" s="6">
        <v>0.75000000000000011</v>
      </c>
      <c r="N1589" s="6">
        <v>34.159999999999997</v>
      </c>
      <c r="O1589" s="57">
        <v>25.62</v>
      </c>
      <c r="P1589" s="52"/>
      <c r="Q1589" s="6">
        <v>0.75000000000000011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</row>
    <row r="1590" spans="2:31" ht="20" x14ac:dyDescent="0.25">
      <c r="B1590" s="55"/>
      <c r="C1590" s="55"/>
      <c r="D1590" s="4" t="s">
        <v>2481</v>
      </c>
      <c r="E1590" s="4" t="s">
        <v>2453</v>
      </c>
      <c r="F1590" s="4" t="s">
        <v>51</v>
      </c>
      <c r="G1590" s="4" t="s">
        <v>35</v>
      </c>
      <c r="H1590" s="54" t="s">
        <v>48</v>
      </c>
      <c r="I1590" s="52"/>
      <c r="J1590" s="57">
        <v>14.18</v>
      </c>
      <c r="K1590" s="52"/>
      <c r="L1590" s="6">
        <v>10.635</v>
      </c>
      <c r="M1590" s="6">
        <v>0.75</v>
      </c>
      <c r="N1590" s="6">
        <v>14.18</v>
      </c>
      <c r="O1590" s="57">
        <v>10.635</v>
      </c>
      <c r="P1590" s="52"/>
      <c r="Q1590" s="6">
        <v>0.75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</row>
    <row r="1591" spans="2:31" ht="20" x14ac:dyDescent="0.25">
      <c r="B1591" s="55"/>
      <c r="C1591" s="55"/>
      <c r="D1591" s="4" t="s">
        <v>2482</v>
      </c>
      <c r="E1591" s="4" t="s">
        <v>2441</v>
      </c>
      <c r="F1591" s="4" t="s">
        <v>51</v>
      </c>
      <c r="G1591" s="4" t="s">
        <v>35</v>
      </c>
      <c r="H1591" s="54" t="s">
        <v>41</v>
      </c>
      <c r="I1591" s="52"/>
      <c r="J1591" s="57">
        <v>31.54</v>
      </c>
      <c r="K1591" s="52"/>
      <c r="L1591" s="6">
        <v>23.655000000000001</v>
      </c>
      <c r="M1591" s="6">
        <v>0.75000000000000011</v>
      </c>
      <c r="N1591" s="6">
        <v>31.54</v>
      </c>
      <c r="O1591" s="57">
        <v>23.655000000000001</v>
      </c>
      <c r="P1591" s="52"/>
      <c r="Q1591" s="6">
        <v>0.75000000000000011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</row>
    <row r="1592" spans="2:31" x14ac:dyDescent="0.25">
      <c r="B1592" s="55"/>
      <c r="C1592" s="55"/>
      <c r="D1592" s="54" t="s">
        <v>2483</v>
      </c>
      <c r="E1592" s="4" t="s">
        <v>2484</v>
      </c>
      <c r="F1592" s="4" t="s">
        <v>51</v>
      </c>
      <c r="G1592" s="4" t="s">
        <v>35</v>
      </c>
      <c r="H1592" s="54" t="s">
        <v>36</v>
      </c>
      <c r="I1592" s="52"/>
      <c r="J1592" s="57">
        <v>81.709999999999994</v>
      </c>
      <c r="K1592" s="52"/>
      <c r="L1592" s="6">
        <v>74.928070000000005</v>
      </c>
      <c r="M1592" s="6">
        <v>0.91700000000000015</v>
      </c>
      <c r="N1592" s="6">
        <v>78.41</v>
      </c>
      <c r="O1592" s="57">
        <v>71.901970000000006</v>
      </c>
      <c r="P1592" s="52"/>
      <c r="Q1592" s="6">
        <v>0.91700000000000015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3.3</v>
      </c>
      <c r="AB1592" s="6">
        <v>3.0261</v>
      </c>
      <c r="AC1592" s="6">
        <v>0.91700000000000004</v>
      </c>
      <c r="AD1592" s="6">
        <v>-3.2999999999999972</v>
      </c>
      <c r="AE1592" s="6">
        <v>3.2999999999999972</v>
      </c>
    </row>
    <row r="1593" spans="2:31" x14ac:dyDescent="0.25">
      <c r="B1593" s="55"/>
      <c r="C1593" s="55"/>
      <c r="D1593" s="56"/>
      <c r="E1593" s="4" t="s">
        <v>2485</v>
      </c>
      <c r="F1593" s="4" t="s">
        <v>51</v>
      </c>
      <c r="G1593" s="4" t="s">
        <v>35</v>
      </c>
      <c r="H1593" s="54" t="s">
        <v>48</v>
      </c>
      <c r="I1593" s="52"/>
      <c r="J1593" s="57">
        <v>72.48</v>
      </c>
      <c r="K1593" s="52"/>
      <c r="L1593" s="6">
        <v>54.36</v>
      </c>
      <c r="M1593" s="6">
        <v>0.75</v>
      </c>
      <c r="N1593" s="6">
        <v>67.5</v>
      </c>
      <c r="O1593" s="57">
        <v>50.625</v>
      </c>
      <c r="P1593" s="52"/>
      <c r="Q1593" s="6">
        <v>0.75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4.9800000000000004</v>
      </c>
      <c r="AB1593" s="6">
        <v>3.7349999999999999</v>
      </c>
      <c r="AC1593" s="6">
        <v>0.74999999999999989</v>
      </c>
      <c r="AD1593" s="6">
        <v>-4.980000000000004</v>
      </c>
      <c r="AE1593" s="6">
        <v>4.980000000000004</v>
      </c>
    </row>
    <row r="1594" spans="2:31" x14ac:dyDescent="0.25">
      <c r="B1594" s="55"/>
      <c r="C1594" s="55"/>
      <c r="D1594" s="54" t="s">
        <v>2486</v>
      </c>
      <c r="E1594" s="4" t="s">
        <v>2487</v>
      </c>
      <c r="F1594" s="4" t="s">
        <v>51</v>
      </c>
      <c r="G1594" s="4" t="s">
        <v>35</v>
      </c>
      <c r="H1594" s="54" t="s">
        <v>48</v>
      </c>
      <c r="I1594" s="52"/>
      <c r="J1594" s="57">
        <v>27.61</v>
      </c>
      <c r="K1594" s="52"/>
      <c r="L1594" s="6">
        <v>20.7075</v>
      </c>
      <c r="M1594" s="6">
        <v>0.75</v>
      </c>
      <c r="N1594" s="6">
        <v>26.12</v>
      </c>
      <c r="O1594" s="57">
        <v>19.59</v>
      </c>
      <c r="P1594" s="52"/>
      <c r="Q1594" s="6">
        <v>0.75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1.49</v>
      </c>
      <c r="AB1594" s="6">
        <v>1.1174999999999999</v>
      </c>
      <c r="AC1594" s="6">
        <v>0.75</v>
      </c>
      <c r="AD1594" s="6">
        <v>-1.4899999999999984</v>
      </c>
      <c r="AE1594" s="6">
        <v>1.4899999999999984</v>
      </c>
    </row>
    <row r="1595" spans="2:31" x14ac:dyDescent="0.25">
      <c r="B1595" s="55"/>
      <c r="C1595" s="55"/>
      <c r="D1595" s="56"/>
      <c r="E1595" s="4" t="s">
        <v>2393</v>
      </c>
      <c r="F1595" s="4" t="s">
        <v>51</v>
      </c>
      <c r="G1595" s="4" t="s">
        <v>35</v>
      </c>
      <c r="H1595" s="54" t="s">
        <v>36</v>
      </c>
      <c r="I1595" s="52"/>
      <c r="J1595" s="57">
        <v>54.45</v>
      </c>
      <c r="K1595" s="52"/>
      <c r="L1595" s="6">
        <v>49.93065</v>
      </c>
      <c r="M1595" s="6">
        <v>0.91699999999999993</v>
      </c>
      <c r="N1595" s="6">
        <v>54.34</v>
      </c>
      <c r="O1595" s="57">
        <v>49.82978</v>
      </c>
      <c r="P1595" s="52"/>
      <c r="Q1595" s="6">
        <v>0.91699999999999993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0.11</v>
      </c>
      <c r="AB1595" s="6">
        <v>0.10087</v>
      </c>
      <c r="AC1595" s="6">
        <v>0.91700000000000004</v>
      </c>
      <c r="AD1595" s="6">
        <v>-0.10999999999999943</v>
      </c>
      <c r="AE1595" s="6">
        <v>0.10999999999999943</v>
      </c>
    </row>
    <row r="1596" spans="2:31" ht="20" x14ac:dyDescent="0.25">
      <c r="B1596" s="55"/>
      <c r="C1596" s="55"/>
      <c r="D1596" s="4" t="s">
        <v>2488</v>
      </c>
      <c r="E1596" s="4" t="s">
        <v>2489</v>
      </c>
      <c r="F1596" s="4" t="s">
        <v>51</v>
      </c>
      <c r="G1596" s="4" t="s">
        <v>35</v>
      </c>
      <c r="H1596" s="54" t="s">
        <v>41</v>
      </c>
      <c r="I1596" s="52"/>
      <c r="J1596" s="57">
        <v>8.58</v>
      </c>
      <c r="K1596" s="52"/>
      <c r="L1596" s="6">
        <v>6.4349999999999996</v>
      </c>
      <c r="M1596" s="6">
        <v>0.75</v>
      </c>
      <c r="N1596" s="6">
        <v>7.31</v>
      </c>
      <c r="O1596" s="57">
        <v>5.4824999999999999</v>
      </c>
      <c r="P1596" s="52"/>
      <c r="Q1596" s="6">
        <v>0.75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1.27</v>
      </c>
      <c r="AB1596" s="6">
        <v>0.95250000000000001</v>
      </c>
      <c r="AC1596" s="6">
        <v>0.75</v>
      </c>
      <c r="AD1596" s="6">
        <v>-1.2700000000000005</v>
      </c>
      <c r="AE1596" s="6">
        <v>1.2700000000000005</v>
      </c>
    </row>
    <row r="1597" spans="2:31" ht="20" x14ac:dyDescent="0.25">
      <c r="B1597" s="55"/>
      <c r="C1597" s="55"/>
      <c r="D1597" s="4" t="s">
        <v>2490</v>
      </c>
      <c r="E1597" s="4" t="s">
        <v>2433</v>
      </c>
      <c r="F1597" s="4" t="s">
        <v>51</v>
      </c>
      <c r="G1597" s="4" t="s">
        <v>35</v>
      </c>
      <c r="H1597" s="54" t="s">
        <v>36</v>
      </c>
      <c r="I1597" s="52"/>
      <c r="J1597" s="57">
        <v>19.84</v>
      </c>
      <c r="K1597" s="52"/>
      <c r="L1597" s="6">
        <v>18.193280000000001</v>
      </c>
      <c r="M1597" s="6">
        <v>0.91700000000000004</v>
      </c>
      <c r="N1597" s="6">
        <v>19.72</v>
      </c>
      <c r="O1597" s="57">
        <v>18.08324</v>
      </c>
      <c r="P1597" s="52"/>
      <c r="Q1597" s="6">
        <v>0.91700000000000004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0.12</v>
      </c>
      <c r="AB1597" s="6">
        <v>0.11004</v>
      </c>
      <c r="AC1597" s="6">
        <v>0.91700000000000004</v>
      </c>
      <c r="AD1597" s="6">
        <v>-0.12000000000000099</v>
      </c>
      <c r="AE1597" s="6">
        <v>0.12000000000000099</v>
      </c>
    </row>
    <row r="1598" spans="2:31" ht="20" x14ac:dyDescent="0.25">
      <c r="B1598" s="55"/>
      <c r="C1598" s="55"/>
      <c r="D1598" s="4" t="s">
        <v>2491</v>
      </c>
      <c r="E1598" s="4" t="s">
        <v>2290</v>
      </c>
      <c r="F1598" s="4" t="s">
        <v>51</v>
      </c>
      <c r="G1598" s="4" t="s">
        <v>35</v>
      </c>
      <c r="H1598" s="54" t="s">
        <v>36</v>
      </c>
      <c r="I1598" s="52"/>
      <c r="J1598" s="57">
        <v>11.62</v>
      </c>
      <c r="K1598" s="52"/>
      <c r="L1598" s="6">
        <v>10.65554</v>
      </c>
      <c r="M1598" s="6">
        <v>0.91700000000000004</v>
      </c>
      <c r="N1598" s="6">
        <v>10.85</v>
      </c>
      <c r="O1598" s="57">
        <v>9.9494500000000006</v>
      </c>
      <c r="P1598" s="52"/>
      <c r="Q1598" s="6">
        <v>0.91700000000000004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0.77</v>
      </c>
      <c r="AB1598" s="6">
        <v>0.70609</v>
      </c>
      <c r="AC1598" s="6">
        <v>0.91699999999999993</v>
      </c>
      <c r="AD1598" s="6">
        <v>-0.76999999999999957</v>
      </c>
      <c r="AE1598" s="6">
        <v>0.76999999999999957</v>
      </c>
    </row>
    <row r="1599" spans="2:31" x14ac:dyDescent="0.25">
      <c r="B1599" s="55"/>
      <c r="C1599" s="55"/>
      <c r="D1599" s="54" t="s">
        <v>2492</v>
      </c>
      <c r="E1599" s="4" t="s">
        <v>2493</v>
      </c>
      <c r="F1599" s="4" t="s">
        <v>51</v>
      </c>
      <c r="G1599" s="4" t="s">
        <v>35</v>
      </c>
      <c r="H1599" s="54" t="s">
        <v>41</v>
      </c>
      <c r="I1599" s="52"/>
      <c r="J1599" s="57">
        <v>15.21</v>
      </c>
      <c r="K1599" s="52"/>
      <c r="L1599" s="6">
        <v>11.407500000000001</v>
      </c>
      <c r="M1599" s="6">
        <v>0.75</v>
      </c>
      <c r="N1599" s="6">
        <v>14.28</v>
      </c>
      <c r="O1599" s="57">
        <v>10.71</v>
      </c>
      <c r="P1599" s="52"/>
      <c r="Q1599" s="6">
        <v>0.75000000000000011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0.93</v>
      </c>
      <c r="AB1599" s="6">
        <v>0.69750000000000001</v>
      </c>
      <c r="AC1599" s="6">
        <v>0.75</v>
      </c>
      <c r="AD1599" s="6">
        <v>-0.93000000000000149</v>
      </c>
      <c r="AE1599" s="6">
        <v>0.93000000000000149</v>
      </c>
    </row>
    <row r="1600" spans="2:31" x14ac:dyDescent="0.25">
      <c r="B1600" s="55"/>
      <c r="C1600" s="55"/>
      <c r="D1600" s="56"/>
      <c r="E1600" s="4" t="s">
        <v>2494</v>
      </c>
      <c r="F1600" s="4" t="s">
        <v>51</v>
      </c>
      <c r="G1600" s="4" t="s">
        <v>35</v>
      </c>
      <c r="H1600" s="54" t="s">
        <v>41</v>
      </c>
      <c r="I1600" s="52"/>
      <c r="J1600" s="57">
        <v>16.73</v>
      </c>
      <c r="K1600" s="52"/>
      <c r="L1600" s="6">
        <v>12.547499999999999</v>
      </c>
      <c r="M1600" s="6">
        <v>0.75</v>
      </c>
      <c r="N1600" s="6">
        <v>15.49</v>
      </c>
      <c r="O1600" s="57">
        <v>11.6175</v>
      </c>
      <c r="P1600" s="52"/>
      <c r="Q1600" s="6">
        <v>0.75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1.24</v>
      </c>
      <c r="AB1600" s="6">
        <v>0.93</v>
      </c>
      <c r="AC1600" s="6">
        <v>0.75</v>
      </c>
      <c r="AD1600" s="6">
        <v>-1.2400000000000002</v>
      </c>
      <c r="AE1600" s="6">
        <v>1.2400000000000002</v>
      </c>
    </row>
    <row r="1601" spans="2:31" ht="20" x14ac:dyDescent="0.25">
      <c r="B1601" s="55"/>
      <c r="C1601" s="55"/>
      <c r="D1601" s="4" t="s">
        <v>2495</v>
      </c>
      <c r="E1601" s="4" t="s">
        <v>2496</v>
      </c>
      <c r="F1601" s="4" t="s">
        <v>51</v>
      </c>
      <c r="G1601" s="4" t="s">
        <v>35</v>
      </c>
      <c r="H1601" s="54" t="s">
        <v>41</v>
      </c>
      <c r="I1601" s="52"/>
      <c r="J1601" s="57">
        <v>27.9</v>
      </c>
      <c r="K1601" s="52"/>
      <c r="L1601" s="6">
        <v>20.925000000000001</v>
      </c>
      <c r="M1601" s="6">
        <v>0.75000000000000011</v>
      </c>
      <c r="N1601" s="6">
        <v>25.58</v>
      </c>
      <c r="O1601" s="57">
        <v>19.184999999999999</v>
      </c>
      <c r="P1601" s="52"/>
      <c r="Q1601" s="6">
        <v>0.75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2.3199999999999998</v>
      </c>
      <c r="AB1601" s="6">
        <v>1.74</v>
      </c>
      <c r="AC1601" s="6">
        <v>0.75</v>
      </c>
      <c r="AD1601" s="6">
        <v>-2.3200000000000003</v>
      </c>
      <c r="AE1601" s="6">
        <v>2.3200000000000003</v>
      </c>
    </row>
    <row r="1602" spans="2:31" ht="20" x14ac:dyDescent="0.25">
      <c r="B1602" s="55"/>
      <c r="C1602" s="55"/>
      <c r="D1602" s="4" t="s">
        <v>2497</v>
      </c>
      <c r="E1602" s="4" t="s">
        <v>2286</v>
      </c>
      <c r="F1602" s="4" t="s">
        <v>51</v>
      </c>
      <c r="G1602" s="4" t="s">
        <v>35</v>
      </c>
      <c r="H1602" s="54" t="s">
        <v>36</v>
      </c>
      <c r="I1602" s="52"/>
      <c r="J1602" s="57">
        <v>2.63</v>
      </c>
      <c r="K1602" s="52"/>
      <c r="L1602" s="6">
        <v>2.4117099999999998</v>
      </c>
      <c r="M1602" s="6">
        <v>0.91699999999999993</v>
      </c>
      <c r="N1602" s="6">
        <v>2.4700000000000002</v>
      </c>
      <c r="O1602" s="57">
        <v>2.2649900000000001</v>
      </c>
      <c r="P1602" s="52"/>
      <c r="Q1602" s="6">
        <v>0.91699999999999993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0.16</v>
      </c>
      <c r="AB1602" s="6">
        <v>0.14671999999999999</v>
      </c>
      <c r="AC1602" s="6">
        <v>0.91699999999999993</v>
      </c>
      <c r="AD1602" s="6">
        <v>-0.1599999999999997</v>
      </c>
      <c r="AE1602" s="6">
        <v>0.1599999999999997</v>
      </c>
    </row>
    <row r="1603" spans="2:31" ht="20" x14ac:dyDescent="0.25">
      <c r="B1603" s="55"/>
      <c r="C1603" s="55"/>
      <c r="D1603" s="4" t="s">
        <v>2498</v>
      </c>
      <c r="E1603" s="4" t="s">
        <v>2499</v>
      </c>
      <c r="F1603" s="4" t="s">
        <v>51</v>
      </c>
      <c r="G1603" s="4" t="s">
        <v>35</v>
      </c>
      <c r="H1603" s="54" t="s">
        <v>36</v>
      </c>
      <c r="I1603" s="52"/>
      <c r="J1603" s="57">
        <v>19.48</v>
      </c>
      <c r="K1603" s="52"/>
      <c r="L1603" s="6">
        <v>17.863160000000001</v>
      </c>
      <c r="M1603" s="6">
        <v>0.91700000000000004</v>
      </c>
      <c r="N1603" s="6">
        <v>18.989999999999998</v>
      </c>
      <c r="O1603" s="57">
        <v>17.413830000000001</v>
      </c>
      <c r="P1603" s="52"/>
      <c r="Q1603" s="6">
        <v>0.91700000000000015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0.49</v>
      </c>
      <c r="AB1603" s="6">
        <v>0.44933000000000001</v>
      </c>
      <c r="AC1603" s="6">
        <v>0.91700000000000004</v>
      </c>
      <c r="AD1603" s="6">
        <v>-0.49000000000000199</v>
      </c>
      <c r="AE1603" s="6">
        <v>0.49000000000000199</v>
      </c>
    </row>
    <row r="1604" spans="2:31" ht="20" x14ac:dyDescent="0.25">
      <c r="B1604" s="55"/>
      <c r="C1604" s="55"/>
      <c r="D1604" s="4" t="s">
        <v>2500</v>
      </c>
      <c r="E1604" s="4" t="s">
        <v>2501</v>
      </c>
      <c r="F1604" s="4" t="s">
        <v>51</v>
      </c>
      <c r="G1604" s="4" t="s">
        <v>35</v>
      </c>
      <c r="H1604" s="54" t="s">
        <v>41</v>
      </c>
      <c r="I1604" s="52"/>
      <c r="J1604" s="57">
        <v>21.02</v>
      </c>
      <c r="K1604" s="52"/>
      <c r="L1604" s="6">
        <v>15.765000000000001</v>
      </c>
      <c r="M1604" s="6">
        <v>0.75</v>
      </c>
      <c r="N1604" s="6">
        <v>19.48</v>
      </c>
      <c r="O1604" s="57">
        <v>14.61</v>
      </c>
      <c r="P1604" s="52"/>
      <c r="Q1604" s="6">
        <v>0.75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1.54</v>
      </c>
      <c r="AB1604" s="6">
        <v>1.155</v>
      </c>
      <c r="AC1604" s="6">
        <v>0.75</v>
      </c>
      <c r="AD1604" s="6">
        <v>-1.5399999999999991</v>
      </c>
      <c r="AE1604" s="6">
        <v>1.5399999999999991</v>
      </c>
    </row>
    <row r="1605" spans="2:31" ht="20" x14ac:dyDescent="0.25">
      <c r="B1605" s="55"/>
      <c r="C1605" s="55"/>
      <c r="D1605" s="4" t="s">
        <v>2502</v>
      </c>
      <c r="E1605" s="4" t="s">
        <v>2284</v>
      </c>
      <c r="F1605" s="4" t="s">
        <v>51</v>
      </c>
      <c r="G1605" s="4" t="s">
        <v>35</v>
      </c>
      <c r="H1605" s="54" t="s">
        <v>36</v>
      </c>
      <c r="I1605" s="52"/>
      <c r="J1605" s="57">
        <v>3.47</v>
      </c>
      <c r="K1605" s="52"/>
      <c r="L1605" s="6">
        <v>3.1819899999999999</v>
      </c>
      <c r="M1605" s="6">
        <v>0.91699999999999993</v>
      </c>
      <c r="N1605" s="6">
        <v>3.29</v>
      </c>
      <c r="O1605" s="57">
        <v>3.0169299999999999</v>
      </c>
      <c r="P1605" s="52"/>
      <c r="Q1605" s="6">
        <v>0.91699999999999993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0.18</v>
      </c>
      <c r="AB1605" s="6">
        <v>0.16506000000000001</v>
      </c>
      <c r="AC1605" s="6">
        <v>0.91700000000000015</v>
      </c>
      <c r="AD1605" s="6">
        <v>-0.18000000000000016</v>
      </c>
      <c r="AE1605" s="6">
        <v>0.18000000000000016</v>
      </c>
    </row>
    <row r="1606" spans="2:31" x14ac:dyDescent="0.25">
      <c r="B1606" s="55"/>
      <c r="C1606" s="55"/>
      <c r="D1606" s="54" t="s">
        <v>2503</v>
      </c>
      <c r="E1606" s="4" t="s">
        <v>2233</v>
      </c>
      <c r="F1606" s="4" t="s">
        <v>51</v>
      </c>
      <c r="G1606" s="4" t="s">
        <v>35</v>
      </c>
      <c r="H1606" s="54" t="s">
        <v>36</v>
      </c>
      <c r="I1606" s="52"/>
      <c r="J1606" s="57">
        <v>4.18</v>
      </c>
      <c r="K1606" s="52"/>
      <c r="L1606" s="6">
        <v>3.8330600000000001</v>
      </c>
      <c r="M1606" s="6">
        <v>0.91700000000000015</v>
      </c>
      <c r="N1606" s="6">
        <v>4.01</v>
      </c>
      <c r="O1606" s="57">
        <v>3.6771699999999998</v>
      </c>
      <c r="P1606" s="52"/>
      <c r="Q1606" s="6">
        <v>0.91700000000000004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0.17</v>
      </c>
      <c r="AB1606" s="6">
        <v>0.15589</v>
      </c>
      <c r="AC1606" s="6">
        <v>0.91699999999999993</v>
      </c>
      <c r="AD1606" s="6">
        <v>-0.16999999999999993</v>
      </c>
      <c r="AE1606" s="6">
        <v>0.16999999999999993</v>
      </c>
    </row>
    <row r="1607" spans="2:31" x14ac:dyDescent="0.25">
      <c r="B1607" s="55"/>
      <c r="C1607" s="55"/>
      <c r="D1607" s="56"/>
      <c r="E1607" s="4" t="s">
        <v>2288</v>
      </c>
      <c r="F1607" s="4" t="s">
        <v>51</v>
      </c>
      <c r="G1607" s="4" t="s">
        <v>35</v>
      </c>
      <c r="H1607" s="54" t="s">
        <v>36</v>
      </c>
      <c r="I1607" s="52"/>
      <c r="J1607" s="57">
        <v>8.75</v>
      </c>
      <c r="K1607" s="52"/>
      <c r="L1607" s="6">
        <v>8.0237499999999997</v>
      </c>
      <c r="M1607" s="6">
        <v>0.91699999999999993</v>
      </c>
      <c r="N1607" s="6">
        <v>8.6</v>
      </c>
      <c r="O1607" s="57">
        <v>7.8861999999999997</v>
      </c>
      <c r="P1607" s="52"/>
      <c r="Q1607" s="6">
        <v>0.91700000000000004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0.15</v>
      </c>
      <c r="AB1607" s="6">
        <v>0.13755000000000001</v>
      </c>
      <c r="AC1607" s="6">
        <v>0.91700000000000004</v>
      </c>
      <c r="AD1607" s="6">
        <v>-0.15000000000000036</v>
      </c>
      <c r="AE1607" s="6">
        <v>0.15000000000000036</v>
      </c>
    </row>
    <row r="1608" spans="2:31" ht="20" x14ac:dyDescent="0.25">
      <c r="B1608" s="55"/>
      <c r="C1608" s="55"/>
      <c r="D1608" s="4" t="s">
        <v>2504</v>
      </c>
      <c r="E1608" s="4" t="s">
        <v>2274</v>
      </c>
      <c r="F1608" s="4" t="s">
        <v>51</v>
      </c>
      <c r="G1608" s="4" t="s">
        <v>35</v>
      </c>
      <c r="H1608" s="54" t="s">
        <v>36</v>
      </c>
      <c r="I1608" s="52"/>
      <c r="J1608" s="57">
        <v>8.81</v>
      </c>
      <c r="K1608" s="52"/>
      <c r="L1608" s="6">
        <v>8.0787700000000005</v>
      </c>
      <c r="M1608" s="6">
        <v>0.91700000000000004</v>
      </c>
      <c r="N1608" s="6">
        <v>8.7899999999999991</v>
      </c>
      <c r="O1608" s="57">
        <v>8.0604300000000002</v>
      </c>
      <c r="P1608" s="52"/>
      <c r="Q1608" s="6">
        <v>0.91700000000000015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0.02</v>
      </c>
      <c r="AB1608" s="6">
        <v>1.8339999999999999E-2</v>
      </c>
      <c r="AC1608" s="6">
        <v>0.91699999999999993</v>
      </c>
      <c r="AD1608" s="6">
        <v>-2.000000000000135E-2</v>
      </c>
      <c r="AE1608" s="6">
        <v>2.000000000000135E-2</v>
      </c>
    </row>
    <row r="1609" spans="2:31" ht="20" x14ac:dyDescent="0.25">
      <c r="B1609" s="55"/>
      <c r="C1609" s="55"/>
      <c r="D1609" s="4" t="s">
        <v>2505</v>
      </c>
      <c r="E1609" s="4" t="s">
        <v>2506</v>
      </c>
      <c r="F1609" s="4" t="s">
        <v>51</v>
      </c>
      <c r="G1609" s="4" t="s">
        <v>35</v>
      </c>
      <c r="H1609" s="54" t="s">
        <v>41</v>
      </c>
      <c r="I1609" s="52"/>
      <c r="J1609" s="57">
        <v>34.83</v>
      </c>
      <c r="K1609" s="52"/>
      <c r="L1609" s="6">
        <v>26.122499999999999</v>
      </c>
      <c r="M1609" s="6">
        <v>0.75</v>
      </c>
      <c r="N1609" s="6">
        <v>32.97</v>
      </c>
      <c r="O1609" s="57">
        <v>24.727499999999999</v>
      </c>
      <c r="P1609" s="52"/>
      <c r="Q1609" s="6">
        <v>0.75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1.86</v>
      </c>
      <c r="AB1609" s="6">
        <v>1.395</v>
      </c>
      <c r="AC1609" s="6">
        <v>0.75</v>
      </c>
      <c r="AD1609" s="6">
        <v>-1.8599999999999994</v>
      </c>
      <c r="AE1609" s="6">
        <v>1.8599999999999994</v>
      </c>
    </row>
    <row r="1610" spans="2:31" ht="20" x14ac:dyDescent="0.25">
      <c r="B1610" s="55"/>
      <c r="C1610" s="55"/>
      <c r="D1610" s="4" t="s">
        <v>2507</v>
      </c>
      <c r="E1610" s="4" t="s">
        <v>2508</v>
      </c>
      <c r="F1610" s="4" t="s">
        <v>51</v>
      </c>
      <c r="G1610" s="4" t="s">
        <v>35</v>
      </c>
      <c r="H1610" s="54" t="s">
        <v>36</v>
      </c>
      <c r="I1610" s="52"/>
      <c r="J1610" s="57">
        <v>26.08</v>
      </c>
      <c r="K1610" s="52"/>
      <c r="L1610" s="6">
        <v>23.91536</v>
      </c>
      <c r="M1610" s="6">
        <v>0.91700000000000004</v>
      </c>
      <c r="N1610" s="6">
        <v>24.45</v>
      </c>
      <c r="O1610" s="57">
        <v>22.420649999999998</v>
      </c>
      <c r="P1610" s="52"/>
      <c r="Q1610" s="6">
        <v>0.91699999999999993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1.63</v>
      </c>
      <c r="AB1610" s="6">
        <v>1.49471</v>
      </c>
      <c r="AC1610" s="6">
        <v>0.91700000000000004</v>
      </c>
      <c r="AD1610" s="6">
        <v>-1.629999999999999</v>
      </c>
      <c r="AE1610" s="6">
        <v>1.629999999999999</v>
      </c>
    </row>
    <row r="1611" spans="2:31" x14ac:dyDescent="0.25">
      <c r="B1611" s="55"/>
      <c r="C1611" s="55"/>
      <c r="D1611" s="54" t="s">
        <v>2509</v>
      </c>
      <c r="E1611" s="54" t="s">
        <v>338</v>
      </c>
      <c r="F1611" s="54" t="s">
        <v>51</v>
      </c>
      <c r="G1611" s="54" t="s">
        <v>35</v>
      </c>
      <c r="H1611" s="54" t="s">
        <v>48</v>
      </c>
      <c r="I1611" s="52"/>
      <c r="J1611" s="57">
        <v>8.7100000000000009</v>
      </c>
      <c r="K1611" s="52"/>
      <c r="L1611" s="6">
        <v>6.5324999999999998</v>
      </c>
      <c r="M1611" s="6">
        <v>0.74999999999999989</v>
      </c>
      <c r="N1611" s="6">
        <v>7.41</v>
      </c>
      <c r="O1611" s="57">
        <v>5.5575000000000001</v>
      </c>
      <c r="P1611" s="52"/>
      <c r="Q1611" s="6">
        <v>0.75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1.3</v>
      </c>
      <c r="AB1611" s="6">
        <v>0.97499999999999998</v>
      </c>
      <c r="AC1611" s="6">
        <v>0.75</v>
      </c>
      <c r="AD1611" s="6">
        <v>-1.3000000000000007</v>
      </c>
      <c r="AE1611" s="6">
        <v>1.3000000000000007</v>
      </c>
    </row>
    <row r="1612" spans="2:31" x14ac:dyDescent="0.25">
      <c r="B1612" s="55"/>
      <c r="C1612" s="55"/>
      <c r="D1612" s="55"/>
      <c r="E1612" s="55"/>
      <c r="F1612" s="55"/>
      <c r="G1612" s="55"/>
      <c r="H1612" s="54" t="s">
        <v>41</v>
      </c>
      <c r="I1612" s="52"/>
      <c r="J1612" s="57">
        <v>3.82</v>
      </c>
      <c r="K1612" s="52"/>
      <c r="L1612" s="6">
        <v>2.8650000000000002</v>
      </c>
      <c r="M1612" s="6">
        <v>0.75000000000000011</v>
      </c>
      <c r="N1612" s="6">
        <v>3.66</v>
      </c>
      <c r="O1612" s="57">
        <v>2.7450000000000001</v>
      </c>
      <c r="P1612" s="52"/>
      <c r="Q1612" s="6">
        <v>0.75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0.16</v>
      </c>
      <c r="AB1612" s="6">
        <v>0.12</v>
      </c>
      <c r="AC1612" s="6">
        <v>0.75</v>
      </c>
      <c r="AD1612" s="6">
        <v>-0.1599999999999997</v>
      </c>
      <c r="AE1612" s="6">
        <v>0.1599999999999997</v>
      </c>
    </row>
    <row r="1613" spans="2:31" x14ac:dyDescent="0.25">
      <c r="B1613" s="55"/>
      <c r="C1613" s="56"/>
      <c r="D1613" s="56"/>
      <c r="E1613" s="56"/>
      <c r="F1613" s="56"/>
      <c r="G1613" s="56"/>
      <c r="H1613" s="54" t="s">
        <v>36</v>
      </c>
      <c r="I1613" s="52"/>
      <c r="J1613" s="57">
        <v>10.61</v>
      </c>
      <c r="K1613" s="52"/>
      <c r="L1613" s="6">
        <v>9.7293699999999994</v>
      </c>
      <c r="M1613" s="6">
        <v>0.91700000000000004</v>
      </c>
      <c r="N1613" s="6">
        <v>6.65</v>
      </c>
      <c r="O1613" s="57">
        <v>6.0980499999999997</v>
      </c>
      <c r="P1613" s="52"/>
      <c r="Q1613" s="6">
        <v>0.91699999999999993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3.96</v>
      </c>
      <c r="AB1613" s="6">
        <v>3.6313200000000001</v>
      </c>
      <c r="AC1613" s="6">
        <v>0.91700000000000004</v>
      </c>
      <c r="AD1613" s="6">
        <v>-3.9599999999999991</v>
      </c>
      <c r="AE1613" s="6">
        <v>3.9599999999999991</v>
      </c>
    </row>
    <row r="1614" spans="2:31" x14ac:dyDescent="0.25">
      <c r="B1614" s="55"/>
      <c r="C1614" s="58">
        <v>46198</v>
      </c>
      <c r="D1614" s="4" t="s">
        <v>2510</v>
      </c>
      <c r="E1614" s="4" t="s">
        <v>2511</v>
      </c>
      <c r="F1614" s="4" t="s">
        <v>34</v>
      </c>
      <c r="G1614" s="4" t="s">
        <v>35</v>
      </c>
      <c r="H1614" s="54" t="s">
        <v>48</v>
      </c>
      <c r="I1614" s="52"/>
      <c r="J1614" s="57">
        <v>19.59</v>
      </c>
      <c r="K1614" s="52"/>
      <c r="L1614" s="6">
        <v>14.692500000000001</v>
      </c>
      <c r="M1614" s="6">
        <v>0.75</v>
      </c>
      <c r="N1614" s="6">
        <v>17.899999999999999</v>
      </c>
      <c r="O1614" s="57">
        <v>13.425000000000001</v>
      </c>
      <c r="P1614" s="52"/>
      <c r="Q1614" s="6">
        <v>0.75000000000000011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1.69</v>
      </c>
      <c r="AB1614" s="6">
        <v>1.2675000000000001</v>
      </c>
      <c r="AC1614" s="6">
        <v>0.75000000000000011</v>
      </c>
      <c r="AD1614" s="6">
        <v>-1.6900000000000013</v>
      </c>
      <c r="AE1614" s="6">
        <v>1.6900000000000013</v>
      </c>
    </row>
    <row r="1615" spans="2:31" x14ac:dyDescent="0.25">
      <c r="B1615" s="55"/>
      <c r="C1615" s="55"/>
      <c r="D1615" s="4" t="s">
        <v>2512</v>
      </c>
      <c r="E1615" s="4" t="s">
        <v>2513</v>
      </c>
      <c r="F1615" s="4" t="s">
        <v>34</v>
      </c>
      <c r="G1615" s="4" t="s">
        <v>35</v>
      </c>
      <c r="H1615" s="54" t="s">
        <v>36</v>
      </c>
      <c r="I1615" s="52"/>
      <c r="J1615" s="57">
        <v>15.73</v>
      </c>
      <c r="K1615" s="52"/>
      <c r="L1615" s="6">
        <v>14.42441</v>
      </c>
      <c r="M1615" s="6">
        <v>0.91699999999999993</v>
      </c>
      <c r="N1615" s="6">
        <v>14.25</v>
      </c>
      <c r="O1615" s="57">
        <v>13.06725</v>
      </c>
      <c r="P1615" s="52"/>
      <c r="Q1615" s="6">
        <v>0.91699999999999993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1.48</v>
      </c>
      <c r="AB1615" s="6">
        <v>1.3571599999999999</v>
      </c>
      <c r="AC1615" s="6">
        <v>0.91699999999999993</v>
      </c>
      <c r="AD1615" s="6">
        <v>-1.4800000000000004</v>
      </c>
      <c r="AE1615" s="6">
        <v>1.4800000000000004</v>
      </c>
    </row>
    <row r="1616" spans="2:31" x14ac:dyDescent="0.25">
      <c r="B1616" s="55"/>
      <c r="C1616" s="55"/>
      <c r="D1616" s="4" t="s">
        <v>2514</v>
      </c>
      <c r="E1616" s="4" t="s">
        <v>2515</v>
      </c>
      <c r="F1616" s="4" t="s">
        <v>34</v>
      </c>
      <c r="G1616" s="4" t="s">
        <v>35</v>
      </c>
      <c r="H1616" s="54" t="s">
        <v>48</v>
      </c>
      <c r="I1616" s="52"/>
      <c r="J1616" s="57">
        <v>20.68</v>
      </c>
      <c r="K1616" s="52"/>
      <c r="L1616" s="6">
        <v>15.51</v>
      </c>
      <c r="M1616" s="6">
        <v>0.75</v>
      </c>
      <c r="N1616" s="6">
        <v>18.14</v>
      </c>
      <c r="O1616" s="57">
        <v>13.605</v>
      </c>
      <c r="P1616" s="52"/>
      <c r="Q1616" s="6">
        <v>0.75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2.54</v>
      </c>
      <c r="AB1616" s="6">
        <v>1.905</v>
      </c>
      <c r="AC1616" s="6">
        <v>0.75</v>
      </c>
      <c r="AD1616" s="6">
        <v>-2.5399999999999991</v>
      </c>
      <c r="AE1616" s="6">
        <v>2.5399999999999991</v>
      </c>
    </row>
    <row r="1617" spans="2:31" x14ac:dyDescent="0.25">
      <c r="B1617" s="55"/>
      <c r="C1617" s="55"/>
      <c r="D1617" s="4" t="s">
        <v>2516</v>
      </c>
      <c r="E1617" s="4" t="s">
        <v>2216</v>
      </c>
      <c r="F1617" s="4" t="s">
        <v>34</v>
      </c>
      <c r="G1617" s="4" t="s">
        <v>35</v>
      </c>
      <c r="H1617" s="54" t="s">
        <v>48</v>
      </c>
      <c r="I1617" s="52"/>
      <c r="J1617" s="57">
        <v>105.9</v>
      </c>
      <c r="K1617" s="52"/>
      <c r="L1617" s="6">
        <v>79.424999999999997</v>
      </c>
      <c r="M1617" s="6">
        <v>0.74999999999999989</v>
      </c>
      <c r="N1617" s="6">
        <v>105.68</v>
      </c>
      <c r="O1617" s="57">
        <v>79.260000000000005</v>
      </c>
      <c r="P1617" s="52"/>
      <c r="Q1617" s="6">
        <v>0.75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0.22</v>
      </c>
      <c r="AB1617" s="6">
        <v>0.16500000000000001</v>
      </c>
      <c r="AC1617" s="6">
        <v>0.75</v>
      </c>
      <c r="AD1617" s="6">
        <v>-0.21999999999999886</v>
      </c>
      <c r="AE1617" s="6">
        <v>0.21999999999999886</v>
      </c>
    </row>
    <row r="1618" spans="2:31" x14ac:dyDescent="0.25">
      <c r="B1618" s="55"/>
      <c r="C1618" s="55"/>
      <c r="D1618" s="4" t="s">
        <v>2517</v>
      </c>
      <c r="E1618" s="4" t="s">
        <v>2518</v>
      </c>
      <c r="F1618" s="4" t="s">
        <v>34</v>
      </c>
      <c r="G1618" s="4" t="s">
        <v>35</v>
      </c>
      <c r="H1618" s="54" t="s">
        <v>36</v>
      </c>
      <c r="I1618" s="52"/>
      <c r="J1618" s="57">
        <v>13.73</v>
      </c>
      <c r="K1618" s="52"/>
      <c r="L1618" s="6">
        <v>12.59041</v>
      </c>
      <c r="M1618" s="6">
        <v>0.91700000000000004</v>
      </c>
      <c r="N1618" s="6">
        <v>11.6</v>
      </c>
      <c r="O1618" s="57">
        <v>10.6372</v>
      </c>
      <c r="P1618" s="52"/>
      <c r="Q1618" s="6">
        <v>0.91700000000000004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2.13</v>
      </c>
      <c r="AB1618" s="6">
        <v>1.9532099999999999</v>
      </c>
      <c r="AC1618" s="6">
        <v>0.91700000000000004</v>
      </c>
      <c r="AD1618" s="6">
        <v>-2.1300000000000008</v>
      </c>
      <c r="AE1618" s="6">
        <v>2.1300000000000008</v>
      </c>
    </row>
    <row r="1619" spans="2:31" x14ac:dyDescent="0.25">
      <c r="B1619" s="55"/>
      <c r="C1619" s="55"/>
      <c r="D1619" s="4" t="s">
        <v>2519</v>
      </c>
      <c r="E1619" s="4" t="s">
        <v>2520</v>
      </c>
      <c r="F1619" s="4" t="s">
        <v>34</v>
      </c>
      <c r="G1619" s="4" t="s">
        <v>35</v>
      </c>
      <c r="H1619" s="54" t="s">
        <v>36</v>
      </c>
      <c r="I1619" s="52"/>
      <c r="J1619" s="57">
        <v>39.65</v>
      </c>
      <c r="K1619" s="52"/>
      <c r="L1619" s="6">
        <v>36.359050000000003</v>
      </c>
      <c r="M1619" s="6">
        <v>0.91700000000000015</v>
      </c>
      <c r="N1619" s="6">
        <v>37.21</v>
      </c>
      <c r="O1619" s="57">
        <v>34.121569999999998</v>
      </c>
      <c r="P1619" s="52"/>
      <c r="Q1619" s="6">
        <v>0.91699999999999993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2.44</v>
      </c>
      <c r="AB1619" s="6">
        <v>2.2374800000000001</v>
      </c>
      <c r="AC1619" s="6">
        <v>0.91700000000000004</v>
      </c>
      <c r="AD1619" s="6">
        <v>-2.4399999999999977</v>
      </c>
      <c r="AE1619" s="6">
        <v>2.4399999999999977</v>
      </c>
    </row>
    <row r="1620" spans="2:31" x14ac:dyDescent="0.25">
      <c r="B1620" s="55"/>
      <c r="C1620" s="55"/>
      <c r="D1620" s="4" t="s">
        <v>2521</v>
      </c>
      <c r="E1620" s="4" t="s">
        <v>2522</v>
      </c>
      <c r="F1620" s="4" t="s">
        <v>34</v>
      </c>
      <c r="G1620" s="4" t="s">
        <v>35</v>
      </c>
      <c r="H1620" s="54" t="s">
        <v>36</v>
      </c>
      <c r="I1620" s="52"/>
      <c r="J1620" s="57">
        <v>13.44</v>
      </c>
      <c r="K1620" s="52"/>
      <c r="L1620" s="6">
        <v>12.324479999999999</v>
      </c>
      <c r="M1620" s="6">
        <v>0.91700000000000004</v>
      </c>
      <c r="N1620" s="6">
        <v>12.63</v>
      </c>
      <c r="O1620" s="57">
        <v>11.581709999999999</v>
      </c>
      <c r="P1620" s="52"/>
      <c r="Q1620" s="6">
        <v>0.91699999999999993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0.81</v>
      </c>
      <c r="AB1620" s="6">
        <v>0.74277000000000004</v>
      </c>
      <c r="AC1620" s="6">
        <v>0.91700000000000004</v>
      </c>
      <c r="AD1620" s="6">
        <v>-0.80999999999999872</v>
      </c>
      <c r="AE1620" s="6">
        <v>0.80999999999999872</v>
      </c>
    </row>
    <row r="1621" spans="2:31" x14ac:dyDescent="0.25">
      <c r="B1621" s="55"/>
      <c r="C1621" s="55"/>
      <c r="D1621" s="4" t="s">
        <v>2523</v>
      </c>
      <c r="E1621" s="4" t="s">
        <v>2524</v>
      </c>
      <c r="F1621" s="4" t="s">
        <v>34</v>
      </c>
      <c r="G1621" s="4" t="s">
        <v>35</v>
      </c>
      <c r="H1621" s="54" t="s">
        <v>36</v>
      </c>
      <c r="I1621" s="52"/>
      <c r="J1621" s="57">
        <v>181.08</v>
      </c>
      <c r="K1621" s="52"/>
      <c r="L1621" s="6">
        <v>166.05036000000001</v>
      </c>
      <c r="M1621" s="6">
        <v>0.91700000000000004</v>
      </c>
      <c r="N1621" s="6">
        <v>174.09</v>
      </c>
      <c r="O1621" s="57">
        <v>159.64053000000001</v>
      </c>
      <c r="P1621" s="52"/>
      <c r="Q1621" s="6">
        <v>0.91700000000000004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6.99</v>
      </c>
      <c r="AB1621" s="6">
        <v>6.4098300000000004</v>
      </c>
      <c r="AC1621" s="6">
        <v>0.91700000000000004</v>
      </c>
      <c r="AD1621" s="6">
        <v>-6.9900000000000091</v>
      </c>
      <c r="AE1621" s="6">
        <v>6.9900000000000091</v>
      </c>
    </row>
    <row r="1622" spans="2:31" x14ac:dyDescent="0.25">
      <c r="B1622" s="55"/>
      <c r="C1622" s="55"/>
      <c r="D1622" s="4" t="s">
        <v>2525</v>
      </c>
      <c r="E1622" s="4" t="s">
        <v>2526</v>
      </c>
      <c r="F1622" s="4" t="s">
        <v>34</v>
      </c>
      <c r="G1622" s="4" t="s">
        <v>35</v>
      </c>
      <c r="H1622" s="54" t="s">
        <v>36</v>
      </c>
      <c r="I1622" s="52"/>
      <c r="J1622" s="57">
        <v>99.48</v>
      </c>
      <c r="K1622" s="52"/>
      <c r="L1622" s="6">
        <v>91.223159999999993</v>
      </c>
      <c r="M1622" s="6">
        <v>0.91699999999999993</v>
      </c>
      <c r="N1622" s="6">
        <v>94.34</v>
      </c>
      <c r="O1622" s="57">
        <v>86.509780000000006</v>
      </c>
      <c r="P1622" s="52"/>
      <c r="Q1622" s="6">
        <v>0.91700000000000004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5.14</v>
      </c>
      <c r="AB1622" s="6">
        <v>4.7133799999999999</v>
      </c>
      <c r="AC1622" s="6">
        <v>0.91700000000000004</v>
      </c>
      <c r="AD1622" s="6">
        <v>-5.14</v>
      </c>
      <c r="AE1622" s="6">
        <v>5.14</v>
      </c>
    </row>
    <row r="1623" spans="2:31" x14ac:dyDescent="0.25">
      <c r="B1623" s="55"/>
      <c r="C1623" s="55"/>
      <c r="D1623" s="4" t="s">
        <v>2527</v>
      </c>
      <c r="E1623" s="4" t="s">
        <v>2528</v>
      </c>
      <c r="F1623" s="4" t="s">
        <v>34</v>
      </c>
      <c r="G1623" s="4" t="s">
        <v>35</v>
      </c>
      <c r="H1623" s="54" t="s">
        <v>36</v>
      </c>
      <c r="I1623" s="52"/>
      <c r="J1623" s="57">
        <v>368.67</v>
      </c>
      <c r="K1623" s="52"/>
      <c r="L1623" s="6">
        <v>338.07038999999997</v>
      </c>
      <c r="M1623" s="6">
        <v>0.91699999999999993</v>
      </c>
      <c r="N1623" s="6">
        <v>351.86</v>
      </c>
      <c r="O1623" s="57">
        <v>322.65562</v>
      </c>
      <c r="P1623" s="52"/>
      <c r="Q1623" s="6">
        <v>0.91699999999999993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16.809999999999999</v>
      </c>
      <c r="AB1623" s="6">
        <v>15.414770000000001</v>
      </c>
      <c r="AC1623" s="6">
        <v>0.91700000000000015</v>
      </c>
      <c r="AD1623" s="6">
        <v>-16.810000000000002</v>
      </c>
      <c r="AE1623" s="6">
        <v>16.810000000000002</v>
      </c>
    </row>
    <row r="1624" spans="2:31" x14ac:dyDescent="0.25">
      <c r="B1624" s="55"/>
      <c r="C1624" s="55"/>
      <c r="D1624" s="4" t="s">
        <v>2529</v>
      </c>
      <c r="E1624" s="4" t="s">
        <v>2218</v>
      </c>
      <c r="F1624" s="4" t="s">
        <v>34</v>
      </c>
      <c r="G1624" s="4" t="s">
        <v>35</v>
      </c>
      <c r="H1624" s="54" t="s">
        <v>36</v>
      </c>
      <c r="I1624" s="52"/>
      <c r="J1624" s="57">
        <v>206.55</v>
      </c>
      <c r="K1624" s="52"/>
      <c r="L1624" s="6">
        <v>189.40635</v>
      </c>
      <c r="M1624" s="6">
        <v>0.91699999999999993</v>
      </c>
      <c r="N1624" s="6">
        <v>195.11</v>
      </c>
      <c r="O1624" s="57">
        <v>178.91587000000001</v>
      </c>
      <c r="P1624" s="52"/>
      <c r="Q1624" s="6">
        <v>0.91700000000000004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11.44</v>
      </c>
      <c r="AB1624" s="6">
        <v>10.49048</v>
      </c>
      <c r="AC1624" s="6">
        <v>0.91700000000000004</v>
      </c>
      <c r="AD1624" s="6">
        <v>-11.439999999999998</v>
      </c>
      <c r="AE1624" s="6">
        <v>11.439999999999998</v>
      </c>
    </row>
    <row r="1625" spans="2:31" x14ac:dyDescent="0.25">
      <c r="B1625" s="55"/>
      <c r="C1625" s="55"/>
      <c r="D1625" s="4" t="s">
        <v>2530</v>
      </c>
      <c r="E1625" s="4" t="s">
        <v>2531</v>
      </c>
      <c r="F1625" s="4" t="s">
        <v>34</v>
      </c>
      <c r="G1625" s="4" t="s">
        <v>35</v>
      </c>
      <c r="H1625" s="54" t="s">
        <v>36</v>
      </c>
      <c r="I1625" s="52"/>
      <c r="J1625" s="57">
        <v>171.78</v>
      </c>
      <c r="K1625" s="52"/>
      <c r="L1625" s="6">
        <v>157.52225999999999</v>
      </c>
      <c r="M1625" s="6">
        <v>0.91699999999999993</v>
      </c>
      <c r="N1625" s="6">
        <v>163.85</v>
      </c>
      <c r="O1625" s="57">
        <v>150.25045</v>
      </c>
      <c r="P1625" s="52"/>
      <c r="Q1625" s="6">
        <v>0.91700000000000004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7.93</v>
      </c>
      <c r="AB1625" s="6">
        <v>7.2718100000000003</v>
      </c>
      <c r="AC1625" s="6">
        <v>0.91700000000000004</v>
      </c>
      <c r="AD1625" s="6">
        <v>-7.9300000000000068</v>
      </c>
      <c r="AE1625" s="6">
        <v>7.9300000000000068</v>
      </c>
    </row>
    <row r="1626" spans="2:31" x14ac:dyDescent="0.25">
      <c r="B1626" s="55"/>
      <c r="C1626" s="55"/>
      <c r="D1626" s="4" t="s">
        <v>2532</v>
      </c>
      <c r="E1626" s="4" t="s">
        <v>2528</v>
      </c>
      <c r="F1626" s="4" t="s">
        <v>34</v>
      </c>
      <c r="G1626" s="4" t="s">
        <v>35</v>
      </c>
      <c r="H1626" s="54" t="s">
        <v>36</v>
      </c>
      <c r="I1626" s="52"/>
      <c r="J1626" s="57">
        <v>352.12</v>
      </c>
      <c r="K1626" s="52"/>
      <c r="L1626" s="6">
        <v>322.89404000000002</v>
      </c>
      <c r="M1626" s="6">
        <v>0.91700000000000004</v>
      </c>
      <c r="N1626" s="6">
        <v>352.02</v>
      </c>
      <c r="O1626" s="57">
        <v>322.80234000000002</v>
      </c>
      <c r="P1626" s="52"/>
      <c r="Q1626" s="6">
        <v>0.91700000000000004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0.1</v>
      </c>
      <c r="AB1626" s="6">
        <v>9.1700000000000004E-2</v>
      </c>
      <c r="AC1626" s="6">
        <v>0.91700000000000004</v>
      </c>
      <c r="AD1626" s="6">
        <v>-0.10000000000002274</v>
      </c>
      <c r="AE1626" s="6">
        <v>0.10000000000002274</v>
      </c>
    </row>
    <row r="1627" spans="2:31" x14ac:dyDescent="0.25">
      <c r="B1627" s="55"/>
      <c r="C1627" s="55"/>
      <c r="D1627" s="4" t="s">
        <v>2533</v>
      </c>
      <c r="E1627" s="4" t="s">
        <v>2534</v>
      </c>
      <c r="F1627" s="4" t="s">
        <v>34</v>
      </c>
      <c r="G1627" s="4" t="s">
        <v>35</v>
      </c>
      <c r="H1627" s="54" t="s">
        <v>36</v>
      </c>
      <c r="I1627" s="52"/>
      <c r="J1627" s="57">
        <v>112.03</v>
      </c>
      <c r="K1627" s="52"/>
      <c r="L1627" s="6">
        <v>102.73151</v>
      </c>
      <c r="M1627" s="6">
        <v>0.91700000000000004</v>
      </c>
      <c r="N1627" s="6">
        <v>106.79</v>
      </c>
      <c r="O1627" s="57">
        <v>97.926429999999996</v>
      </c>
      <c r="P1627" s="52"/>
      <c r="Q1627" s="6">
        <v>0.91699999999999993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5.24</v>
      </c>
      <c r="AB1627" s="6">
        <v>4.8050800000000002</v>
      </c>
      <c r="AC1627" s="6">
        <v>0.91700000000000004</v>
      </c>
      <c r="AD1627" s="6">
        <v>-5.2399999999999949</v>
      </c>
      <c r="AE1627" s="6">
        <v>5.2399999999999949</v>
      </c>
    </row>
    <row r="1628" spans="2:31" x14ac:dyDescent="0.25">
      <c r="B1628" s="55"/>
      <c r="C1628" s="55"/>
      <c r="D1628" s="4" t="s">
        <v>2535</v>
      </c>
      <c r="E1628" s="4" t="s">
        <v>2536</v>
      </c>
      <c r="F1628" s="4" t="s">
        <v>34</v>
      </c>
      <c r="G1628" s="4" t="s">
        <v>35</v>
      </c>
      <c r="H1628" s="54" t="s">
        <v>48</v>
      </c>
      <c r="I1628" s="52"/>
      <c r="J1628" s="57">
        <v>79.63</v>
      </c>
      <c r="K1628" s="52"/>
      <c r="L1628" s="6">
        <v>59.722499999999997</v>
      </c>
      <c r="M1628" s="6">
        <v>0.75</v>
      </c>
      <c r="N1628" s="6">
        <v>70.83</v>
      </c>
      <c r="O1628" s="57">
        <v>53.122500000000002</v>
      </c>
      <c r="P1628" s="52"/>
      <c r="Q1628" s="6">
        <v>0.75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8.8000000000000007</v>
      </c>
      <c r="AB1628" s="6">
        <v>6.6</v>
      </c>
      <c r="AC1628" s="6">
        <v>0.74999999999999989</v>
      </c>
      <c r="AD1628" s="6">
        <v>-8.7999999999999972</v>
      </c>
      <c r="AE1628" s="6">
        <v>8.7999999999999972</v>
      </c>
    </row>
    <row r="1629" spans="2:31" x14ac:dyDescent="0.25">
      <c r="B1629" s="55"/>
      <c r="C1629" s="55"/>
      <c r="D1629" s="4" t="s">
        <v>2537</v>
      </c>
      <c r="E1629" s="4" t="s">
        <v>2538</v>
      </c>
      <c r="F1629" s="4" t="s">
        <v>34</v>
      </c>
      <c r="G1629" s="4" t="s">
        <v>35</v>
      </c>
      <c r="H1629" s="54" t="s">
        <v>48</v>
      </c>
      <c r="I1629" s="52"/>
      <c r="J1629" s="57">
        <v>102.12</v>
      </c>
      <c r="K1629" s="52"/>
      <c r="L1629" s="6">
        <v>76.59</v>
      </c>
      <c r="M1629" s="6">
        <v>0.75</v>
      </c>
      <c r="N1629" s="6">
        <v>94.68</v>
      </c>
      <c r="O1629" s="57">
        <v>71.010000000000005</v>
      </c>
      <c r="P1629" s="52"/>
      <c r="Q1629" s="6">
        <v>0.75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7.44</v>
      </c>
      <c r="AB1629" s="6">
        <v>5.58</v>
      </c>
      <c r="AC1629" s="6">
        <v>0.75</v>
      </c>
      <c r="AD1629" s="6">
        <v>-7.4399999999999977</v>
      </c>
      <c r="AE1629" s="6">
        <v>7.4399999999999977</v>
      </c>
    </row>
    <row r="1630" spans="2:31" ht="20" x14ac:dyDescent="0.25">
      <c r="B1630" s="55"/>
      <c r="C1630" s="55"/>
      <c r="D1630" s="4" t="s">
        <v>2539</v>
      </c>
      <c r="E1630" s="4" t="s">
        <v>2540</v>
      </c>
      <c r="F1630" s="4" t="s">
        <v>51</v>
      </c>
      <c r="G1630" s="4" t="s">
        <v>35</v>
      </c>
      <c r="H1630" s="54" t="s">
        <v>48</v>
      </c>
      <c r="I1630" s="52"/>
      <c r="J1630" s="57">
        <v>28.31</v>
      </c>
      <c r="K1630" s="52"/>
      <c r="L1630" s="6">
        <v>21.232500000000002</v>
      </c>
      <c r="M1630" s="6">
        <v>0.75000000000000011</v>
      </c>
      <c r="N1630" s="6">
        <v>24.11</v>
      </c>
      <c r="O1630" s="57">
        <v>18.0825</v>
      </c>
      <c r="P1630" s="52"/>
      <c r="Q1630" s="6">
        <v>0.75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4.2</v>
      </c>
      <c r="AB1630" s="6">
        <v>3.15</v>
      </c>
      <c r="AC1630" s="6">
        <v>0.75</v>
      </c>
      <c r="AD1630" s="6">
        <v>-4.1999999999999993</v>
      </c>
      <c r="AE1630" s="6">
        <v>4.1999999999999993</v>
      </c>
    </row>
    <row r="1631" spans="2:31" ht="20" x14ac:dyDescent="0.25">
      <c r="B1631" s="55"/>
      <c r="C1631" s="55"/>
      <c r="D1631" s="4" t="s">
        <v>2541</v>
      </c>
      <c r="E1631" s="4" t="s">
        <v>2542</v>
      </c>
      <c r="F1631" s="4" t="s">
        <v>51</v>
      </c>
      <c r="G1631" s="4" t="s">
        <v>35</v>
      </c>
      <c r="H1631" s="54" t="s">
        <v>36</v>
      </c>
      <c r="I1631" s="52"/>
      <c r="J1631" s="57">
        <v>8.59</v>
      </c>
      <c r="K1631" s="52"/>
      <c r="L1631" s="6">
        <v>7.8770300000000004</v>
      </c>
      <c r="M1631" s="6">
        <v>0.91700000000000004</v>
      </c>
      <c r="N1631" s="6">
        <v>8.15</v>
      </c>
      <c r="O1631" s="57">
        <v>7.4735500000000004</v>
      </c>
      <c r="P1631" s="52"/>
      <c r="Q1631" s="6">
        <v>0.91700000000000004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0.44</v>
      </c>
      <c r="AB1631" s="6">
        <v>0.40348000000000001</v>
      </c>
      <c r="AC1631" s="6">
        <v>0.91700000000000004</v>
      </c>
      <c r="AD1631" s="6">
        <v>-0.4399999999999995</v>
      </c>
      <c r="AE1631" s="6">
        <v>0.4399999999999995</v>
      </c>
    </row>
    <row r="1632" spans="2:31" ht="20" x14ac:dyDescent="0.25">
      <c r="B1632" s="55"/>
      <c r="C1632" s="55"/>
      <c r="D1632" s="4" t="s">
        <v>2543</v>
      </c>
      <c r="E1632" s="4" t="s">
        <v>2544</v>
      </c>
      <c r="F1632" s="4" t="s">
        <v>51</v>
      </c>
      <c r="G1632" s="4" t="s">
        <v>35</v>
      </c>
      <c r="H1632" s="54" t="s">
        <v>36</v>
      </c>
      <c r="I1632" s="52"/>
      <c r="J1632" s="57">
        <v>101.59</v>
      </c>
      <c r="K1632" s="52"/>
      <c r="L1632" s="6">
        <v>93.158029999999997</v>
      </c>
      <c r="M1632" s="6">
        <v>0.91699999999999993</v>
      </c>
      <c r="N1632" s="6">
        <v>97.55</v>
      </c>
      <c r="O1632" s="57">
        <v>89.45335</v>
      </c>
      <c r="P1632" s="52"/>
      <c r="Q1632" s="6">
        <v>0.91700000000000004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4.04</v>
      </c>
      <c r="AB1632" s="6">
        <v>3.7046800000000002</v>
      </c>
      <c r="AC1632" s="6">
        <v>0.91700000000000004</v>
      </c>
      <c r="AD1632" s="6">
        <v>-4.0400000000000063</v>
      </c>
      <c r="AE1632" s="6">
        <v>4.0400000000000063</v>
      </c>
    </row>
    <row r="1633" spans="2:31" ht="20" x14ac:dyDescent="0.25">
      <c r="B1633" s="55"/>
      <c r="C1633" s="55"/>
      <c r="D1633" s="4" t="s">
        <v>2545</v>
      </c>
      <c r="E1633" s="4" t="s">
        <v>2546</v>
      </c>
      <c r="F1633" s="4" t="s">
        <v>51</v>
      </c>
      <c r="G1633" s="4" t="s">
        <v>35</v>
      </c>
      <c r="H1633" s="54" t="s">
        <v>48</v>
      </c>
      <c r="I1633" s="52"/>
      <c r="J1633" s="57">
        <v>22.19</v>
      </c>
      <c r="K1633" s="52"/>
      <c r="L1633" s="6">
        <v>16.642499999999998</v>
      </c>
      <c r="M1633" s="6">
        <v>0.74999999999999989</v>
      </c>
      <c r="N1633" s="6">
        <v>20.13</v>
      </c>
      <c r="O1633" s="57">
        <v>15.0975</v>
      </c>
      <c r="P1633" s="52"/>
      <c r="Q1633" s="6">
        <v>0.75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2.06</v>
      </c>
      <c r="AB1633" s="6">
        <v>1.5449999999999999</v>
      </c>
      <c r="AC1633" s="6">
        <v>0.75</v>
      </c>
      <c r="AD1633" s="6">
        <v>-2.0600000000000023</v>
      </c>
      <c r="AE1633" s="6">
        <v>2.0600000000000023</v>
      </c>
    </row>
    <row r="1634" spans="2:31" ht="20" x14ac:dyDescent="0.25">
      <c r="B1634" s="55"/>
      <c r="C1634" s="55"/>
      <c r="D1634" s="4" t="s">
        <v>2547</v>
      </c>
      <c r="E1634" s="4" t="s">
        <v>2548</v>
      </c>
      <c r="F1634" s="4" t="s">
        <v>51</v>
      </c>
      <c r="G1634" s="4" t="s">
        <v>35</v>
      </c>
      <c r="H1634" s="54" t="s">
        <v>48</v>
      </c>
      <c r="I1634" s="52"/>
      <c r="J1634" s="57">
        <v>17.04</v>
      </c>
      <c r="K1634" s="52"/>
      <c r="L1634" s="6">
        <v>12.78</v>
      </c>
      <c r="M1634" s="6">
        <v>0.75</v>
      </c>
      <c r="N1634" s="6">
        <v>14.13</v>
      </c>
      <c r="O1634" s="57">
        <v>10.5975</v>
      </c>
      <c r="P1634" s="52"/>
      <c r="Q1634" s="6">
        <v>0.75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2.91</v>
      </c>
      <c r="AB1634" s="6">
        <v>2.1825000000000001</v>
      </c>
      <c r="AC1634" s="6">
        <v>0.75</v>
      </c>
      <c r="AD1634" s="6">
        <v>-2.9099999999999984</v>
      </c>
      <c r="AE1634" s="6">
        <v>2.9099999999999984</v>
      </c>
    </row>
    <row r="1635" spans="2:31" ht="20" x14ac:dyDescent="0.25">
      <c r="B1635" s="55"/>
      <c r="C1635" s="55"/>
      <c r="D1635" s="4" t="s">
        <v>2549</v>
      </c>
      <c r="E1635" s="4" t="s">
        <v>2550</v>
      </c>
      <c r="F1635" s="4" t="s">
        <v>51</v>
      </c>
      <c r="G1635" s="4" t="s">
        <v>35</v>
      </c>
      <c r="H1635" s="54" t="s">
        <v>48</v>
      </c>
      <c r="I1635" s="52"/>
      <c r="J1635" s="57">
        <v>42.19</v>
      </c>
      <c r="K1635" s="52"/>
      <c r="L1635" s="6">
        <v>31.642499999999998</v>
      </c>
      <c r="M1635" s="6">
        <v>0.75</v>
      </c>
      <c r="N1635" s="6">
        <v>37.450000000000003</v>
      </c>
      <c r="O1635" s="57">
        <v>28.087499999999999</v>
      </c>
      <c r="P1635" s="52"/>
      <c r="Q1635" s="6">
        <v>0.74999999999999989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4.74</v>
      </c>
      <c r="AB1635" s="6">
        <v>3.5550000000000002</v>
      </c>
      <c r="AC1635" s="6">
        <v>0.75</v>
      </c>
      <c r="AD1635" s="6">
        <v>-4.7399999999999949</v>
      </c>
      <c r="AE1635" s="6">
        <v>4.7399999999999949</v>
      </c>
    </row>
    <row r="1636" spans="2:31" ht="20" x14ac:dyDescent="0.25">
      <c r="B1636" s="55"/>
      <c r="C1636" s="55"/>
      <c r="D1636" s="4" t="s">
        <v>2551</v>
      </c>
      <c r="E1636" s="4" t="s">
        <v>2552</v>
      </c>
      <c r="F1636" s="4" t="s">
        <v>51</v>
      </c>
      <c r="G1636" s="4" t="s">
        <v>35</v>
      </c>
      <c r="H1636" s="54" t="s">
        <v>48</v>
      </c>
      <c r="I1636" s="52"/>
      <c r="J1636" s="57">
        <v>27.58</v>
      </c>
      <c r="K1636" s="52"/>
      <c r="L1636" s="6">
        <v>20.684999999999999</v>
      </c>
      <c r="M1636" s="6">
        <v>0.75</v>
      </c>
      <c r="N1636" s="6">
        <v>25.8</v>
      </c>
      <c r="O1636" s="57">
        <v>19.350000000000001</v>
      </c>
      <c r="P1636" s="52"/>
      <c r="Q1636" s="6">
        <v>0.75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1.78</v>
      </c>
      <c r="AB1636" s="6">
        <v>1.335</v>
      </c>
      <c r="AC1636" s="6">
        <v>0.75</v>
      </c>
      <c r="AD1636" s="6">
        <v>-1.7799999999999976</v>
      </c>
      <c r="AE1636" s="6">
        <v>1.7799999999999976</v>
      </c>
    </row>
    <row r="1637" spans="2:31" ht="20" x14ac:dyDescent="0.25">
      <c r="B1637" s="55"/>
      <c r="C1637" s="55"/>
      <c r="D1637" s="4" t="s">
        <v>2553</v>
      </c>
      <c r="E1637" s="4" t="s">
        <v>2461</v>
      </c>
      <c r="F1637" s="4" t="s">
        <v>51</v>
      </c>
      <c r="G1637" s="4" t="s">
        <v>35</v>
      </c>
      <c r="H1637" s="54" t="s">
        <v>48</v>
      </c>
      <c r="I1637" s="52"/>
      <c r="J1637" s="57">
        <v>23.28</v>
      </c>
      <c r="K1637" s="52"/>
      <c r="L1637" s="6">
        <v>17.46</v>
      </c>
      <c r="M1637" s="6">
        <v>0.75</v>
      </c>
      <c r="N1637" s="6">
        <v>21.95</v>
      </c>
      <c r="O1637" s="57">
        <v>16.462499999999999</v>
      </c>
      <c r="P1637" s="52"/>
      <c r="Q1637" s="6">
        <v>0.75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1.33</v>
      </c>
      <c r="AB1637" s="6">
        <v>0.99750000000000005</v>
      </c>
      <c r="AC1637" s="6">
        <v>0.75</v>
      </c>
      <c r="AD1637" s="6">
        <v>-1.3300000000000018</v>
      </c>
      <c r="AE1637" s="6">
        <v>1.3300000000000018</v>
      </c>
    </row>
    <row r="1638" spans="2:31" ht="20" x14ac:dyDescent="0.25">
      <c r="B1638" s="55"/>
      <c r="C1638" s="55"/>
      <c r="D1638" s="4" t="s">
        <v>2554</v>
      </c>
      <c r="E1638" s="4" t="s">
        <v>2555</v>
      </c>
      <c r="F1638" s="4" t="s">
        <v>51</v>
      </c>
      <c r="G1638" s="4" t="s">
        <v>35</v>
      </c>
      <c r="H1638" s="54" t="s">
        <v>36</v>
      </c>
      <c r="I1638" s="52"/>
      <c r="J1638" s="57">
        <v>1.19</v>
      </c>
      <c r="K1638" s="52"/>
      <c r="L1638" s="6">
        <v>1.0912299999999999</v>
      </c>
      <c r="M1638" s="6">
        <v>0.91699999999999993</v>
      </c>
      <c r="N1638" s="6">
        <v>1.1299999999999999</v>
      </c>
      <c r="O1638" s="57">
        <v>1.0362100000000001</v>
      </c>
      <c r="P1638" s="52"/>
      <c r="Q1638" s="6">
        <v>0.91700000000000015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0.06</v>
      </c>
      <c r="AB1638" s="6">
        <v>5.5019999999999999E-2</v>
      </c>
      <c r="AC1638" s="6">
        <v>0.91700000000000004</v>
      </c>
      <c r="AD1638" s="6">
        <v>-6.0000000000000053E-2</v>
      </c>
      <c r="AE1638" s="6">
        <v>6.0000000000000053E-2</v>
      </c>
    </row>
    <row r="1639" spans="2:31" ht="20" x14ac:dyDescent="0.25">
      <c r="B1639" s="55"/>
      <c r="C1639" s="55"/>
      <c r="D1639" s="4" t="s">
        <v>2556</v>
      </c>
      <c r="E1639" s="4" t="s">
        <v>2557</v>
      </c>
      <c r="F1639" s="4" t="s">
        <v>51</v>
      </c>
      <c r="G1639" s="4" t="s">
        <v>35</v>
      </c>
      <c r="H1639" s="54" t="s">
        <v>36</v>
      </c>
      <c r="I1639" s="52"/>
      <c r="J1639" s="57">
        <v>1.66</v>
      </c>
      <c r="K1639" s="52"/>
      <c r="L1639" s="6">
        <v>1.5222199999999999</v>
      </c>
      <c r="M1639" s="6">
        <v>0.91700000000000004</v>
      </c>
      <c r="N1639" s="6">
        <v>1.57</v>
      </c>
      <c r="O1639" s="57">
        <v>1.4396899999999999</v>
      </c>
      <c r="P1639" s="52"/>
      <c r="Q1639" s="6">
        <v>0.91699999999999993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0.09</v>
      </c>
      <c r="AB1639" s="6">
        <v>8.2530000000000006E-2</v>
      </c>
      <c r="AC1639" s="6">
        <v>0.91700000000000015</v>
      </c>
      <c r="AD1639" s="6">
        <v>-8.9999999999999858E-2</v>
      </c>
      <c r="AE1639" s="6">
        <v>8.9999999999999858E-2</v>
      </c>
    </row>
    <row r="1640" spans="2:31" ht="20" x14ac:dyDescent="0.25">
      <c r="B1640" s="55"/>
      <c r="C1640" s="55"/>
      <c r="D1640" s="4" t="s">
        <v>2558</v>
      </c>
      <c r="E1640" s="4" t="s">
        <v>2559</v>
      </c>
      <c r="F1640" s="4" t="s">
        <v>51</v>
      </c>
      <c r="G1640" s="4" t="s">
        <v>35</v>
      </c>
      <c r="H1640" s="54" t="s">
        <v>36</v>
      </c>
      <c r="I1640" s="52"/>
      <c r="J1640" s="57">
        <v>0.86</v>
      </c>
      <c r="K1640" s="52"/>
      <c r="L1640" s="6">
        <v>0.78861999999999999</v>
      </c>
      <c r="M1640" s="6">
        <v>0.91700000000000004</v>
      </c>
      <c r="N1640" s="6">
        <v>0.75</v>
      </c>
      <c r="O1640" s="57">
        <v>0.68774999999999997</v>
      </c>
      <c r="P1640" s="52"/>
      <c r="Q1640" s="6">
        <v>0.91699999999999993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0.11</v>
      </c>
      <c r="AB1640" s="6">
        <v>0.10087</v>
      </c>
      <c r="AC1640" s="6">
        <v>0.91700000000000004</v>
      </c>
      <c r="AD1640" s="6">
        <v>-0.10999999999999999</v>
      </c>
      <c r="AE1640" s="6">
        <v>0.10999999999999999</v>
      </c>
    </row>
    <row r="1641" spans="2:31" ht="20" x14ac:dyDescent="0.25">
      <c r="B1641" s="55"/>
      <c r="C1641" s="55"/>
      <c r="D1641" s="4" t="s">
        <v>2560</v>
      </c>
      <c r="E1641" s="4" t="s">
        <v>2561</v>
      </c>
      <c r="F1641" s="4" t="s">
        <v>51</v>
      </c>
      <c r="G1641" s="4" t="s">
        <v>35</v>
      </c>
      <c r="H1641" s="54" t="s">
        <v>36</v>
      </c>
      <c r="I1641" s="52"/>
      <c r="J1641" s="57">
        <v>1.62</v>
      </c>
      <c r="K1641" s="52"/>
      <c r="L1641" s="6">
        <v>1.4855400000000001</v>
      </c>
      <c r="M1641" s="6">
        <v>0.91700000000000004</v>
      </c>
      <c r="N1641" s="6">
        <v>1.5</v>
      </c>
      <c r="O1641" s="57">
        <v>1.3754999999999999</v>
      </c>
      <c r="P1641" s="52"/>
      <c r="Q1641" s="6">
        <v>0.91699999999999993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0.12</v>
      </c>
      <c r="AB1641" s="6">
        <v>0.11004</v>
      </c>
      <c r="AC1641" s="6">
        <v>0.91700000000000004</v>
      </c>
      <c r="AD1641" s="6">
        <v>-0.12000000000000011</v>
      </c>
      <c r="AE1641" s="6">
        <v>0.12000000000000011</v>
      </c>
    </row>
    <row r="1642" spans="2:31" ht="20" x14ac:dyDescent="0.25">
      <c r="B1642" s="55"/>
      <c r="C1642" s="55"/>
      <c r="D1642" s="4" t="s">
        <v>2562</v>
      </c>
      <c r="E1642" s="4" t="s">
        <v>2563</v>
      </c>
      <c r="F1642" s="4" t="s">
        <v>51</v>
      </c>
      <c r="G1642" s="4" t="s">
        <v>35</v>
      </c>
      <c r="H1642" s="54" t="s">
        <v>48</v>
      </c>
      <c r="I1642" s="52"/>
      <c r="J1642" s="57">
        <v>45.33</v>
      </c>
      <c r="K1642" s="52"/>
      <c r="L1642" s="6">
        <v>33.997500000000002</v>
      </c>
      <c r="M1642" s="6">
        <v>0.75000000000000011</v>
      </c>
      <c r="N1642" s="6">
        <v>42.57</v>
      </c>
      <c r="O1642" s="57">
        <v>31.927499999999998</v>
      </c>
      <c r="P1642" s="52"/>
      <c r="Q1642" s="6">
        <v>0.75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2.76</v>
      </c>
      <c r="AB1642" s="6">
        <v>2.0699999999999998</v>
      </c>
      <c r="AC1642" s="6">
        <v>0.75</v>
      </c>
      <c r="AD1642" s="6">
        <v>-2.759999999999998</v>
      </c>
      <c r="AE1642" s="6">
        <v>2.759999999999998</v>
      </c>
    </row>
    <row r="1643" spans="2:31" ht="20" x14ac:dyDescent="0.25">
      <c r="B1643" s="55"/>
      <c r="C1643" s="55"/>
      <c r="D1643" s="4" t="s">
        <v>2564</v>
      </c>
      <c r="E1643" s="4" t="s">
        <v>2565</v>
      </c>
      <c r="F1643" s="4" t="s">
        <v>51</v>
      </c>
      <c r="G1643" s="4" t="s">
        <v>35</v>
      </c>
      <c r="H1643" s="54" t="s">
        <v>48</v>
      </c>
      <c r="I1643" s="52"/>
      <c r="J1643" s="57">
        <v>44.16</v>
      </c>
      <c r="K1643" s="52"/>
      <c r="L1643" s="6">
        <v>33.119999999999997</v>
      </c>
      <c r="M1643" s="6">
        <v>0.75</v>
      </c>
      <c r="N1643" s="6">
        <v>40.78</v>
      </c>
      <c r="O1643" s="57">
        <v>30.585000000000001</v>
      </c>
      <c r="P1643" s="52"/>
      <c r="Q1643" s="6">
        <v>0.75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3.38</v>
      </c>
      <c r="AB1643" s="6">
        <v>2.5350000000000001</v>
      </c>
      <c r="AC1643" s="6">
        <v>0.75000000000000011</v>
      </c>
      <c r="AD1643" s="6">
        <v>-3.3799999999999955</v>
      </c>
      <c r="AE1643" s="6">
        <v>3.3799999999999955</v>
      </c>
    </row>
    <row r="1644" spans="2:31" ht="20" x14ac:dyDescent="0.25">
      <c r="B1644" s="55"/>
      <c r="C1644" s="55"/>
      <c r="D1644" s="4" t="s">
        <v>2566</v>
      </c>
      <c r="E1644" s="4" t="s">
        <v>2567</v>
      </c>
      <c r="F1644" s="4" t="s">
        <v>51</v>
      </c>
      <c r="G1644" s="4" t="s">
        <v>35</v>
      </c>
      <c r="H1644" s="54" t="s">
        <v>48</v>
      </c>
      <c r="I1644" s="52"/>
      <c r="J1644" s="57">
        <v>25.61</v>
      </c>
      <c r="K1644" s="52"/>
      <c r="L1644" s="6">
        <v>19.2075</v>
      </c>
      <c r="M1644" s="6">
        <v>0.75</v>
      </c>
      <c r="N1644" s="6">
        <v>24.11</v>
      </c>
      <c r="O1644" s="57">
        <v>18.0825</v>
      </c>
      <c r="P1644" s="52"/>
      <c r="Q1644" s="6">
        <v>0.75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1.5</v>
      </c>
      <c r="AB1644" s="6">
        <v>1.125</v>
      </c>
      <c r="AC1644" s="6">
        <v>0.75</v>
      </c>
      <c r="AD1644" s="6">
        <v>-1.5</v>
      </c>
      <c r="AE1644" s="6">
        <v>1.5</v>
      </c>
    </row>
    <row r="1645" spans="2:31" ht="20" x14ac:dyDescent="0.25">
      <c r="B1645" s="55"/>
      <c r="C1645" s="55"/>
      <c r="D1645" s="4" t="s">
        <v>2568</v>
      </c>
      <c r="E1645" s="4" t="s">
        <v>2569</v>
      </c>
      <c r="F1645" s="4" t="s">
        <v>51</v>
      </c>
      <c r="G1645" s="4" t="s">
        <v>35</v>
      </c>
      <c r="H1645" s="54" t="s">
        <v>41</v>
      </c>
      <c r="I1645" s="52"/>
      <c r="J1645" s="57">
        <v>5.28</v>
      </c>
      <c r="K1645" s="52"/>
      <c r="L1645" s="6">
        <v>3.96</v>
      </c>
      <c r="M1645" s="6">
        <v>0.75</v>
      </c>
      <c r="N1645" s="6">
        <v>4.47</v>
      </c>
      <c r="O1645" s="57">
        <v>3.3525</v>
      </c>
      <c r="P1645" s="52"/>
      <c r="Q1645" s="6">
        <v>0.75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0.81</v>
      </c>
      <c r="AB1645" s="6">
        <v>0.60750000000000004</v>
      </c>
      <c r="AC1645" s="6">
        <v>0.75</v>
      </c>
      <c r="AD1645" s="6">
        <v>-0.8100000000000005</v>
      </c>
      <c r="AE1645" s="6">
        <v>0.8100000000000005</v>
      </c>
    </row>
    <row r="1646" spans="2:31" ht="20" x14ac:dyDescent="0.25">
      <c r="B1646" s="55"/>
      <c r="C1646" s="55"/>
      <c r="D1646" s="4" t="s">
        <v>2570</v>
      </c>
      <c r="E1646" s="4" t="s">
        <v>2571</v>
      </c>
      <c r="F1646" s="4" t="s">
        <v>51</v>
      </c>
      <c r="G1646" s="4" t="s">
        <v>35</v>
      </c>
      <c r="H1646" s="54" t="s">
        <v>48</v>
      </c>
      <c r="I1646" s="52"/>
      <c r="J1646" s="57">
        <v>37.32</v>
      </c>
      <c r="K1646" s="52"/>
      <c r="L1646" s="6">
        <v>27.99</v>
      </c>
      <c r="M1646" s="6">
        <v>0.75</v>
      </c>
      <c r="N1646" s="6">
        <v>34.92</v>
      </c>
      <c r="O1646" s="57">
        <v>26.19</v>
      </c>
      <c r="P1646" s="52"/>
      <c r="Q1646" s="6">
        <v>0.75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2.4</v>
      </c>
      <c r="AB1646" s="6">
        <v>1.8</v>
      </c>
      <c r="AC1646" s="6">
        <v>0.75</v>
      </c>
      <c r="AD1646" s="6">
        <v>-2.3999999999999986</v>
      </c>
      <c r="AE1646" s="6">
        <v>2.3999999999999986</v>
      </c>
    </row>
    <row r="1647" spans="2:31" ht="20" x14ac:dyDescent="0.25">
      <c r="B1647" s="55"/>
      <c r="C1647" s="55"/>
      <c r="D1647" s="4" t="s">
        <v>2572</v>
      </c>
      <c r="E1647" s="4" t="s">
        <v>2573</v>
      </c>
      <c r="F1647" s="4" t="s">
        <v>51</v>
      </c>
      <c r="G1647" s="4" t="s">
        <v>35</v>
      </c>
      <c r="H1647" s="54" t="s">
        <v>48</v>
      </c>
      <c r="I1647" s="52"/>
      <c r="J1647" s="57">
        <v>19.28</v>
      </c>
      <c r="K1647" s="52"/>
      <c r="L1647" s="6">
        <v>14.46</v>
      </c>
      <c r="M1647" s="6">
        <v>0.75</v>
      </c>
      <c r="N1647" s="6">
        <v>17.239999999999998</v>
      </c>
      <c r="O1647" s="57">
        <v>12.93</v>
      </c>
      <c r="P1647" s="52"/>
      <c r="Q1647" s="6">
        <v>0.75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2.04</v>
      </c>
      <c r="AB1647" s="6">
        <v>1.53</v>
      </c>
      <c r="AC1647" s="6">
        <v>0.75</v>
      </c>
      <c r="AD1647" s="6">
        <v>-2.0400000000000027</v>
      </c>
      <c r="AE1647" s="6">
        <v>2.0400000000000027</v>
      </c>
    </row>
    <row r="1648" spans="2:31" ht="20" x14ac:dyDescent="0.25">
      <c r="B1648" s="55"/>
      <c r="C1648" s="55"/>
      <c r="D1648" s="4" t="s">
        <v>2574</v>
      </c>
      <c r="E1648" s="4" t="s">
        <v>2575</v>
      </c>
      <c r="F1648" s="4" t="s">
        <v>51</v>
      </c>
      <c r="G1648" s="4" t="s">
        <v>35</v>
      </c>
      <c r="H1648" s="54" t="s">
        <v>36</v>
      </c>
      <c r="I1648" s="52"/>
      <c r="J1648" s="57">
        <v>2.56</v>
      </c>
      <c r="K1648" s="52"/>
      <c r="L1648" s="6">
        <v>2.3475199999999998</v>
      </c>
      <c r="M1648" s="6">
        <v>0.91699999999999993</v>
      </c>
      <c r="N1648" s="6">
        <v>2.34</v>
      </c>
      <c r="O1648" s="57">
        <v>2.1457799999999998</v>
      </c>
      <c r="P1648" s="52"/>
      <c r="Q1648" s="6">
        <v>0.91699999999999993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0.22</v>
      </c>
      <c r="AB1648" s="6">
        <v>0.20174</v>
      </c>
      <c r="AC1648" s="6">
        <v>0.91700000000000004</v>
      </c>
      <c r="AD1648" s="6">
        <v>-0.2200000000000002</v>
      </c>
      <c r="AE1648" s="6">
        <v>0.2200000000000002</v>
      </c>
    </row>
    <row r="1649" spans="2:31" ht="20" x14ac:dyDescent="0.25">
      <c r="B1649" s="55"/>
      <c r="C1649" s="55"/>
      <c r="D1649" s="4" t="s">
        <v>2576</v>
      </c>
      <c r="E1649" s="4" t="s">
        <v>2577</v>
      </c>
      <c r="F1649" s="4" t="s">
        <v>51</v>
      </c>
      <c r="G1649" s="4" t="s">
        <v>35</v>
      </c>
      <c r="H1649" s="54" t="s">
        <v>36</v>
      </c>
      <c r="I1649" s="52"/>
      <c r="J1649" s="57">
        <v>1.1200000000000001</v>
      </c>
      <c r="K1649" s="52"/>
      <c r="L1649" s="6">
        <v>1.02704</v>
      </c>
      <c r="M1649" s="6">
        <v>0.91699999999999982</v>
      </c>
      <c r="N1649" s="6">
        <v>1.02</v>
      </c>
      <c r="O1649" s="57">
        <v>0.93533999999999995</v>
      </c>
      <c r="P1649" s="52"/>
      <c r="Q1649" s="6">
        <v>0.91699999999999993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0.1</v>
      </c>
      <c r="AB1649" s="6">
        <v>9.1700000000000004E-2</v>
      </c>
      <c r="AC1649" s="6">
        <v>0.91700000000000004</v>
      </c>
      <c r="AD1649" s="6">
        <v>-0.10000000000000009</v>
      </c>
      <c r="AE1649" s="6">
        <v>0.10000000000000009</v>
      </c>
    </row>
    <row r="1650" spans="2:31" ht="20" x14ac:dyDescent="0.25">
      <c r="B1650" s="55"/>
      <c r="C1650" s="55"/>
      <c r="D1650" s="4" t="s">
        <v>2578</v>
      </c>
      <c r="E1650" s="4" t="s">
        <v>2579</v>
      </c>
      <c r="F1650" s="4" t="s">
        <v>51</v>
      </c>
      <c r="G1650" s="4" t="s">
        <v>35</v>
      </c>
      <c r="H1650" s="54" t="s">
        <v>36</v>
      </c>
      <c r="I1650" s="52"/>
      <c r="J1650" s="57">
        <v>1.94</v>
      </c>
      <c r="K1650" s="52"/>
      <c r="L1650" s="6">
        <v>1.77898</v>
      </c>
      <c r="M1650" s="6">
        <v>0.91700000000000004</v>
      </c>
      <c r="N1650" s="6">
        <v>1.78</v>
      </c>
      <c r="O1650" s="57">
        <v>1.63226</v>
      </c>
      <c r="P1650" s="52"/>
      <c r="Q1650" s="6">
        <v>0.91700000000000004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0.16</v>
      </c>
      <c r="AB1650" s="6">
        <v>0.14671999999999999</v>
      </c>
      <c r="AC1650" s="6">
        <v>0.91699999999999993</v>
      </c>
      <c r="AD1650" s="6">
        <v>-0.15999999999999992</v>
      </c>
      <c r="AE1650" s="6">
        <v>0.15999999999999992</v>
      </c>
    </row>
    <row r="1651" spans="2:31" ht="20" x14ac:dyDescent="0.25">
      <c r="B1651" s="55"/>
      <c r="C1651" s="55"/>
      <c r="D1651" s="4" t="s">
        <v>2580</v>
      </c>
      <c r="E1651" s="4" t="s">
        <v>2581</v>
      </c>
      <c r="F1651" s="4" t="s">
        <v>51</v>
      </c>
      <c r="G1651" s="4" t="s">
        <v>35</v>
      </c>
      <c r="H1651" s="54" t="s">
        <v>36</v>
      </c>
      <c r="I1651" s="52"/>
      <c r="J1651" s="57">
        <v>41.81</v>
      </c>
      <c r="K1651" s="52"/>
      <c r="L1651" s="6">
        <v>38.339770000000001</v>
      </c>
      <c r="M1651" s="6">
        <v>0.91700000000000004</v>
      </c>
      <c r="N1651" s="6">
        <v>38.520000000000003</v>
      </c>
      <c r="O1651" s="57">
        <v>35.322839999999999</v>
      </c>
      <c r="P1651" s="52"/>
      <c r="Q1651" s="6">
        <v>0.91699999999999993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3.29</v>
      </c>
      <c r="AB1651" s="6">
        <v>3.0169299999999999</v>
      </c>
      <c r="AC1651" s="6">
        <v>0.91699999999999993</v>
      </c>
      <c r="AD1651" s="6">
        <v>-3.2899999999999991</v>
      </c>
      <c r="AE1651" s="6">
        <v>3.2899999999999991</v>
      </c>
    </row>
    <row r="1652" spans="2:31" ht="20" x14ac:dyDescent="0.25">
      <c r="B1652" s="55"/>
      <c r="C1652" s="55"/>
      <c r="D1652" s="4" t="s">
        <v>2582</v>
      </c>
      <c r="E1652" s="4" t="s">
        <v>2583</v>
      </c>
      <c r="F1652" s="4" t="s">
        <v>51</v>
      </c>
      <c r="G1652" s="4" t="s">
        <v>35</v>
      </c>
      <c r="H1652" s="54" t="s">
        <v>48</v>
      </c>
      <c r="I1652" s="52"/>
      <c r="J1652" s="57">
        <v>23.12</v>
      </c>
      <c r="K1652" s="52"/>
      <c r="L1652" s="6">
        <v>17.34</v>
      </c>
      <c r="M1652" s="6">
        <v>0.75</v>
      </c>
      <c r="N1652" s="6">
        <v>20.85</v>
      </c>
      <c r="O1652" s="57">
        <v>15.637499999999999</v>
      </c>
      <c r="P1652" s="52"/>
      <c r="Q1652" s="6">
        <v>0.74999999999999989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2.27</v>
      </c>
      <c r="AB1652" s="6">
        <v>1.7024999999999999</v>
      </c>
      <c r="AC1652" s="6">
        <v>0.75</v>
      </c>
      <c r="AD1652" s="6">
        <v>-2.2699999999999996</v>
      </c>
      <c r="AE1652" s="6">
        <v>2.2699999999999996</v>
      </c>
    </row>
    <row r="1653" spans="2:31" ht="20" x14ac:dyDescent="0.25">
      <c r="B1653" s="55"/>
      <c r="C1653" s="55"/>
      <c r="D1653" s="4" t="s">
        <v>2584</v>
      </c>
      <c r="E1653" s="4" t="s">
        <v>2331</v>
      </c>
      <c r="F1653" s="4" t="s">
        <v>51</v>
      </c>
      <c r="G1653" s="4" t="s">
        <v>35</v>
      </c>
      <c r="H1653" s="54" t="s">
        <v>41</v>
      </c>
      <c r="I1653" s="52"/>
      <c r="J1653" s="57">
        <v>17.45</v>
      </c>
      <c r="K1653" s="52"/>
      <c r="L1653" s="6">
        <v>13.0875</v>
      </c>
      <c r="M1653" s="6">
        <v>0.75</v>
      </c>
      <c r="N1653" s="6">
        <v>17.37</v>
      </c>
      <c r="O1653" s="57">
        <v>13.0275</v>
      </c>
      <c r="P1653" s="52"/>
      <c r="Q1653" s="6">
        <v>0.75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0.08</v>
      </c>
      <c r="AB1653" s="6">
        <v>0.06</v>
      </c>
      <c r="AC1653" s="6">
        <v>0.75</v>
      </c>
      <c r="AD1653" s="6">
        <v>-7.9999999999998295E-2</v>
      </c>
      <c r="AE1653" s="6">
        <v>7.9999999999998295E-2</v>
      </c>
    </row>
    <row r="1654" spans="2:31" ht="20" x14ac:dyDescent="0.25">
      <c r="B1654" s="55"/>
      <c r="C1654" s="55"/>
      <c r="D1654" s="4" t="s">
        <v>2585</v>
      </c>
      <c r="E1654" s="4" t="s">
        <v>2586</v>
      </c>
      <c r="F1654" s="4" t="s">
        <v>51</v>
      </c>
      <c r="G1654" s="4" t="s">
        <v>35</v>
      </c>
      <c r="H1654" s="54" t="s">
        <v>48</v>
      </c>
      <c r="I1654" s="52"/>
      <c r="J1654" s="57">
        <v>32.630000000000003</v>
      </c>
      <c r="K1654" s="52"/>
      <c r="L1654" s="6">
        <v>24.4725</v>
      </c>
      <c r="M1654" s="6">
        <v>0.75</v>
      </c>
      <c r="N1654" s="6">
        <v>30.24</v>
      </c>
      <c r="O1654" s="57">
        <v>22.68</v>
      </c>
      <c r="P1654" s="52"/>
      <c r="Q1654" s="6">
        <v>0.75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2.39</v>
      </c>
      <c r="AB1654" s="6">
        <v>1.7925</v>
      </c>
      <c r="AC1654" s="6">
        <v>0.75</v>
      </c>
      <c r="AD1654" s="6">
        <v>-2.3900000000000041</v>
      </c>
      <c r="AE1654" s="6">
        <v>2.3900000000000041</v>
      </c>
    </row>
    <row r="1655" spans="2:31" ht="20" x14ac:dyDescent="0.25">
      <c r="B1655" s="55"/>
      <c r="C1655" s="55"/>
      <c r="D1655" s="4" t="s">
        <v>2587</v>
      </c>
      <c r="E1655" s="4" t="s">
        <v>2588</v>
      </c>
      <c r="F1655" s="4" t="s">
        <v>51</v>
      </c>
      <c r="G1655" s="4" t="s">
        <v>35</v>
      </c>
      <c r="H1655" s="54" t="s">
        <v>36</v>
      </c>
      <c r="I1655" s="52"/>
      <c r="J1655" s="57">
        <v>11.94</v>
      </c>
      <c r="K1655" s="52"/>
      <c r="L1655" s="6">
        <v>10.948980000000001</v>
      </c>
      <c r="M1655" s="6">
        <v>0.91700000000000004</v>
      </c>
      <c r="N1655" s="6">
        <v>9.99</v>
      </c>
      <c r="O1655" s="57">
        <v>9.1608300000000007</v>
      </c>
      <c r="P1655" s="52"/>
      <c r="Q1655" s="6">
        <v>0.91700000000000004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1.95</v>
      </c>
      <c r="AB1655" s="6">
        <v>1.7881499999999999</v>
      </c>
      <c r="AC1655" s="6">
        <v>0.91699999999999993</v>
      </c>
      <c r="AD1655" s="6">
        <v>-1.9499999999999993</v>
      </c>
      <c r="AE1655" s="6">
        <v>1.9499999999999993</v>
      </c>
    </row>
    <row r="1656" spans="2:31" ht="20" x14ac:dyDescent="0.25">
      <c r="B1656" s="55"/>
      <c r="C1656" s="55"/>
      <c r="D1656" s="4" t="s">
        <v>2589</v>
      </c>
      <c r="E1656" s="4" t="s">
        <v>2454</v>
      </c>
      <c r="F1656" s="4" t="s">
        <v>51</v>
      </c>
      <c r="G1656" s="4" t="s">
        <v>35</v>
      </c>
      <c r="H1656" s="54" t="s">
        <v>48</v>
      </c>
      <c r="I1656" s="52"/>
      <c r="J1656" s="57">
        <v>17.75</v>
      </c>
      <c r="K1656" s="52"/>
      <c r="L1656" s="6">
        <v>13.3125</v>
      </c>
      <c r="M1656" s="6">
        <v>0.75</v>
      </c>
      <c r="N1656" s="6">
        <v>16.36</v>
      </c>
      <c r="O1656" s="57">
        <v>12.27</v>
      </c>
      <c r="P1656" s="52"/>
      <c r="Q1656" s="6">
        <v>0.75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1.39</v>
      </c>
      <c r="AB1656" s="6">
        <v>1.0425</v>
      </c>
      <c r="AC1656" s="6">
        <v>0.75</v>
      </c>
      <c r="AD1656" s="6">
        <v>-1.3900000000000006</v>
      </c>
      <c r="AE1656" s="6">
        <v>1.3900000000000006</v>
      </c>
    </row>
    <row r="1657" spans="2:31" ht="20" x14ac:dyDescent="0.25">
      <c r="B1657" s="55"/>
      <c r="C1657" s="55"/>
      <c r="D1657" s="4" t="s">
        <v>2590</v>
      </c>
      <c r="E1657" s="4" t="s">
        <v>2591</v>
      </c>
      <c r="F1657" s="4" t="s">
        <v>51</v>
      </c>
      <c r="G1657" s="4" t="s">
        <v>35</v>
      </c>
      <c r="H1657" s="54" t="s">
        <v>41</v>
      </c>
      <c r="I1657" s="52"/>
      <c r="J1657" s="57">
        <v>36.200000000000003</v>
      </c>
      <c r="K1657" s="52"/>
      <c r="L1657" s="6">
        <v>27.15</v>
      </c>
      <c r="M1657" s="6">
        <v>0.74999999999999989</v>
      </c>
      <c r="N1657" s="6">
        <v>34.64</v>
      </c>
      <c r="O1657" s="57">
        <v>25.98</v>
      </c>
      <c r="P1657" s="52"/>
      <c r="Q1657" s="6">
        <v>0.75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1.56</v>
      </c>
      <c r="AB1657" s="6">
        <v>1.17</v>
      </c>
      <c r="AC1657" s="6">
        <v>0.74999999999999989</v>
      </c>
      <c r="AD1657" s="6">
        <v>-1.5600000000000023</v>
      </c>
      <c r="AE1657" s="6">
        <v>1.5600000000000023</v>
      </c>
    </row>
    <row r="1658" spans="2:31" ht="20" x14ac:dyDescent="0.25">
      <c r="B1658" s="55"/>
      <c r="C1658" s="55"/>
      <c r="D1658" s="4" t="s">
        <v>2592</v>
      </c>
      <c r="E1658" s="4" t="s">
        <v>2593</v>
      </c>
      <c r="F1658" s="4" t="s">
        <v>51</v>
      </c>
      <c r="G1658" s="4" t="s">
        <v>35</v>
      </c>
      <c r="H1658" s="54" t="s">
        <v>41</v>
      </c>
      <c r="I1658" s="52"/>
      <c r="J1658" s="57">
        <v>7.41</v>
      </c>
      <c r="K1658" s="52"/>
      <c r="L1658" s="6">
        <v>5.5575000000000001</v>
      </c>
      <c r="M1658" s="6">
        <v>0.75</v>
      </c>
      <c r="N1658" s="6">
        <v>6.15</v>
      </c>
      <c r="O1658" s="57">
        <v>4.6124999999999998</v>
      </c>
      <c r="P1658" s="52"/>
      <c r="Q1658" s="6">
        <v>0.74999999999999989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1.26</v>
      </c>
      <c r="AB1658" s="6">
        <v>0.94499999999999995</v>
      </c>
      <c r="AC1658" s="6">
        <v>0.75</v>
      </c>
      <c r="AD1658" s="6">
        <v>-1.2599999999999998</v>
      </c>
      <c r="AE1658" s="6">
        <v>1.2599999999999998</v>
      </c>
    </row>
    <row r="1659" spans="2:31" ht="20" x14ac:dyDescent="0.25">
      <c r="B1659" s="55"/>
      <c r="C1659" s="55"/>
      <c r="D1659" s="4" t="s">
        <v>2594</v>
      </c>
      <c r="E1659" s="4" t="s">
        <v>2595</v>
      </c>
      <c r="F1659" s="4" t="s">
        <v>51</v>
      </c>
      <c r="G1659" s="4" t="s">
        <v>35</v>
      </c>
      <c r="H1659" s="54" t="s">
        <v>48</v>
      </c>
      <c r="I1659" s="52"/>
      <c r="J1659" s="57">
        <v>22.22</v>
      </c>
      <c r="K1659" s="52"/>
      <c r="L1659" s="6">
        <v>16.664999999999999</v>
      </c>
      <c r="M1659" s="6">
        <v>0.75</v>
      </c>
      <c r="N1659" s="6">
        <v>20.52</v>
      </c>
      <c r="O1659" s="57">
        <v>15.39</v>
      </c>
      <c r="P1659" s="52"/>
      <c r="Q1659" s="6">
        <v>0.75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1.7</v>
      </c>
      <c r="AB1659" s="6">
        <v>1.2749999999999999</v>
      </c>
      <c r="AC1659" s="6">
        <v>0.75</v>
      </c>
      <c r="AD1659" s="6">
        <v>-1.6999999999999993</v>
      </c>
      <c r="AE1659" s="6">
        <v>1.6999999999999993</v>
      </c>
    </row>
    <row r="1660" spans="2:31" x14ac:dyDescent="0.25">
      <c r="B1660" s="55"/>
      <c r="C1660" s="55"/>
      <c r="D1660" s="54" t="s">
        <v>2596</v>
      </c>
      <c r="E1660" s="4" t="s">
        <v>2244</v>
      </c>
      <c r="F1660" s="4" t="s">
        <v>51</v>
      </c>
      <c r="G1660" s="4" t="s">
        <v>35</v>
      </c>
      <c r="H1660" s="54" t="s">
        <v>36</v>
      </c>
      <c r="I1660" s="52"/>
      <c r="J1660" s="57">
        <v>5.29</v>
      </c>
      <c r="K1660" s="52"/>
      <c r="L1660" s="6">
        <v>4.85093</v>
      </c>
      <c r="M1660" s="6">
        <v>0.91700000000000004</v>
      </c>
      <c r="N1660" s="6">
        <v>5.26</v>
      </c>
      <c r="O1660" s="57">
        <v>4.8234199999999996</v>
      </c>
      <c r="P1660" s="52"/>
      <c r="Q1660" s="6">
        <v>0.91699999999999993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0.03</v>
      </c>
      <c r="AB1660" s="6">
        <v>2.751E-2</v>
      </c>
      <c r="AC1660" s="6">
        <v>0.91700000000000004</v>
      </c>
      <c r="AD1660" s="6">
        <v>-3.0000000000000249E-2</v>
      </c>
      <c r="AE1660" s="6">
        <v>3.0000000000000249E-2</v>
      </c>
    </row>
    <row r="1661" spans="2:31" x14ac:dyDescent="0.25">
      <c r="B1661" s="55"/>
      <c r="C1661" s="55"/>
      <c r="D1661" s="55"/>
      <c r="E1661" s="4" t="s">
        <v>2597</v>
      </c>
      <c r="F1661" s="4" t="s">
        <v>51</v>
      </c>
      <c r="G1661" s="4" t="s">
        <v>35</v>
      </c>
      <c r="H1661" s="54" t="s">
        <v>36</v>
      </c>
      <c r="I1661" s="52"/>
      <c r="J1661" s="57">
        <v>13.56</v>
      </c>
      <c r="K1661" s="52"/>
      <c r="L1661" s="6">
        <v>12.434519999999999</v>
      </c>
      <c r="M1661" s="6">
        <v>0.91699999999999993</v>
      </c>
      <c r="N1661" s="6">
        <v>12.75</v>
      </c>
      <c r="O1661" s="57">
        <v>11.691750000000001</v>
      </c>
      <c r="P1661" s="52"/>
      <c r="Q1661" s="6">
        <v>0.91700000000000004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0.81</v>
      </c>
      <c r="AB1661" s="6">
        <v>0.74277000000000004</v>
      </c>
      <c r="AC1661" s="6">
        <v>0.91700000000000004</v>
      </c>
      <c r="AD1661" s="6">
        <v>-0.8100000000000005</v>
      </c>
      <c r="AE1661" s="6">
        <v>0.8100000000000005</v>
      </c>
    </row>
    <row r="1662" spans="2:31" x14ac:dyDescent="0.25">
      <c r="B1662" s="55"/>
      <c r="C1662" s="55"/>
      <c r="D1662" s="56"/>
      <c r="E1662" s="4" t="s">
        <v>2598</v>
      </c>
      <c r="F1662" s="4" t="s">
        <v>51</v>
      </c>
      <c r="G1662" s="4" t="s">
        <v>35</v>
      </c>
      <c r="H1662" s="54" t="s">
        <v>36</v>
      </c>
      <c r="I1662" s="52"/>
      <c r="J1662" s="57">
        <v>14.41</v>
      </c>
      <c r="K1662" s="52"/>
      <c r="L1662" s="6">
        <v>13.21397</v>
      </c>
      <c r="M1662" s="6">
        <v>0.91699999999999993</v>
      </c>
      <c r="N1662" s="6">
        <v>13.22</v>
      </c>
      <c r="O1662" s="57">
        <v>12.12274</v>
      </c>
      <c r="P1662" s="52"/>
      <c r="Q1662" s="6">
        <v>0.91699999999999993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1.19</v>
      </c>
      <c r="AB1662" s="6">
        <v>1.0912299999999999</v>
      </c>
      <c r="AC1662" s="6">
        <v>0.91699999999999993</v>
      </c>
      <c r="AD1662" s="6">
        <v>-1.1899999999999995</v>
      </c>
      <c r="AE1662" s="6">
        <v>1.1899999999999995</v>
      </c>
    </row>
    <row r="1663" spans="2:31" ht="20" x14ac:dyDescent="0.25">
      <c r="B1663" s="55"/>
      <c r="C1663" s="55"/>
      <c r="D1663" s="4" t="s">
        <v>2599</v>
      </c>
      <c r="E1663" s="4" t="s">
        <v>2600</v>
      </c>
      <c r="F1663" s="4" t="s">
        <v>51</v>
      </c>
      <c r="G1663" s="4" t="s">
        <v>35</v>
      </c>
      <c r="H1663" s="54" t="s">
        <v>41</v>
      </c>
      <c r="I1663" s="52"/>
      <c r="J1663" s="57">
        <v>20.75</v>
      </c>
      <c r="K1663" s="52"/>
      <c r="L1663" s="6">
        <v>15.5625</v>
      </c>
      <c r="M1663" s="6">
        <v>0.75</v>
      </c>
      <c r="N1663" s="6">
        <v>19.5</v>
      </c>
      <c r="O1663" s="57">
        <v>14.625</v>
      </c>
      <c r="P1663" s="52"/>
      <c r="Q1663" s="6">
        <v>0.75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1.25</v>
      </c>
      <c r="AB1663" s="6">
        <v>0.9375</v>
      </c>
      <c r="AC1663" s="6">
        <v>0.75</v>
      </c>
      <c r="AD1663" s="6">
        <v>-1.25</v>
      </c>
      <c r="AE1663" s="6">
        <v>1.25</v>
      </c>
    </row>
    <row r="1664" spans="2:31" ht="20" x14ac:dyDescent="0.25">
      <c r="B1664" s="55"/>
      <c r="C1664" s="55"/>
      <c r="D1664" s="4" t="s">
        <v>2601</v>
      </c>
      <c r="E1664" s="4" t="s">
        <v>2602</v>
      </c>
      <c r="F1664" s="4" t="s">
        <v>51</v>
      </c>
      <c r="G1664" s="4" t="s">
        <v>35</v>
      </c>
      <c r="H1664" s="54" t="s">
        <v>48</v>
      </c>
      <c r="I1664" s="52"/>
      <c r="J1664" s="57">
        <v>35.729999999999997</v>
      </c>
      <c r="K1664" s="52"/>
      <c r="L1664" s="6">
        <v>26.797499999999999</v>
      </c>
      <c r="M1664" s="6">
        <v>0.75</v>
      </c>
      <c r="N1664" s="6">
        <v>32.71</v>
      </c>
      <c r="O1664" s="57">
        <v>24.532499999999999</v>
      </c>
      <c r="P1664" s="52"/>
      <c r="Q1664" s="6">
        <v>0.75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3.02</v>
      </c>
      <c r="AB1664" s="6">
        <v>2.2650000000000001</v>
      </c>
      <c r="AC1664" s="6">
        <v>0.75</v>
      </c>
      <c r="AD1664" s="6">
        <v>-3.019999999999996</v>
      </c>
      <c r="AE1664" s="6">
        <v>3.019999999999996</v>
      </c>
    </row>
    <row r="1665" spans="2:31" ht="20" x14ac:dyDescent="0.25">
      <c r="B1665" s="55"/>
      <c r="C1665" s="55"/>
      <c r="D1665" s="4" t="s">
        <v>2603</v>
      </c>
      <c r="E1665" s="4" t="s">
        <v>2604</v>
      </c>
      <c r="F1665" s="4" t="s">
        <v>51</v>
      </c>
      <c r="G1665" s="4" t="s">
        <v>35</v>
      </c>
      <c r="H1665" s="54" t="s">
        <v>48</v>
      </c>
      <c r="I1665" s="52"/>
      <c r="J1665" s="57">
        <v>23.4</v>
      </c>
      <c r="K1665" s="52"/>
      <c r="L1665" s="6">
        <v>17.55</v>
      </c>
      <c r="M1665" s="6">
        <v>0.75000000000000011</v>
      </c>
      <c r="N1665" s="6">
        <v>21.24</v>
      </c>
      <c r="O1665" s="57">
        <v>15.93</v>
      </c>
      <c r="P1665" s="52"/>
      <c r="Q1665" s="6">
        <v>0.75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2.16</v>
      </c>
      <c r="AB1665" s="6">
        <v>1.62</v>
      </c>
      <c r="AC1665" s="6">
        <v>0.75</v>
      </c>
      <c r="AD1665" s="6">
        <v>-2.16</v>
      </c>
      <c r="AE1665" s="6">
        <v>2.16</v>
      </c>
    </row>
    <row r="1666" spans="2:31" ht="20" x14ac:dyDescent="0.25">
      <c r="B1666" s="55"/>
      <c r="C1666" s="55"/>
      <c r="D1666" s="4" t="s">
        <v>2605</v>
      </c>
      <c r="E1666" s="4" t="s">
        <v>2606</v>
      </c>
      <c r="F1666" s="4" t="s">
        <v>51</v>
      </c>
      <c r="G1666" s="4" t="s">
        <v>35</v>
      </c>
      <c r="H1666" s="54" t="s">
        <v>48</v>
      </c>
      <c r="I1666" s="52"/>
      <c r="J1666" s="57">
        <v>25.35</v>
      </c>
      <c r="K1666" s="52"/>
      <c r="L1666" s="6">
        <v>19.012499999999999</v>
      </c>
      <c r="M1666" s="6">
        <v>0.74999999999999989</v>
      </c>
      <c r="N1666" s="6">
        <v>22.56</v>
      </c>
      <c r="O1666" s="57">
        <v>16.920000000000002</v>
      </c>
      <c r="P1666" s="52"/>
      <c r="Q1666" s="6">
        <v>0.75000000000000011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2.79</v>
      </c>
      <c r="AB1666" s="6">
        <v>2.0924999999999998</v>
      </c>
      <c r="AC1666" s="6">
        <v>0.74999999999999989</v>
      </c>
      <c r="AD1666" s="6">
        <v>-2.7900000000000027</v>
      </c>
      <c r="AE1666" s="6">
        <v>2.7900000000000027</v>
      </c>
    </row>
    <row r="1667" spans="2:31" ht="20" x14ac:dyDescent="0.25">
      <c r="B1667" s="55"/>
      <c r="C1667" s="55"/>
      <c r="D1667" s="4" t="s">
        <v>2607</v>
      </c>
      <c r="E1667" s="4" t="s">
        <v>2608</v>
      </c>
      <c r="F1667" s="4" t="s">
        <v>51</v>
      </c>
      <c r="G1667" s="4" t="s">
        <v>35</v>
      </c>
      <c r="H1667" s="54" t="s">
        <v>36</v>
      </c>
      <c r="I1667" s="52"/>
      <c r="J1667" s="57">
        <v>40.11</v>
      </c>
      <c r="K1667" s="52"/>
      <c r="L1667" s="6">
        <v>36.78087</v>
      </c>
      <c r="M1667" s="6">
        <v>0.91700000000000004</v>
      </c>
      <c r="N1667" s="6">
        <v>37.619999999999997</v>
      </c>
      <c r="O1667" s="57">
        <v>34.497540000000001</v>
      </c>
      <c r="P1667" s="52"/>
      <c r="Q1667" s="6">
        <v>0.91700000000000004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2.4900000000000002</v>
      </c>
      <c r="AB1667" s="6">
        <v>2.2833299999999999</v>
      </c>
      <c r="AC1667" s="6">
        <v>0.91699999999999982</v>
      </c>
      <c r="AD1667" s="6">
        <v>-2.490000000000002</v>
      </c>
      <c r="AE1667" s="6">
        <v>2.490000000000002</v>
      </c>
    </row>
    <row r="1668" spans="2:31" ht="20" x14ac:dyDescent="0.25">
      <c r="B1668" s="55"/>
      <c r="C1668" s="55"/>
      <c r="D1668" s="4" t="s">
        <v>2609</v>
      </c>
      <c r="E1668" s="4" t="s">
        <v>2610</v>
      </c>
      <c r="F1668" s="4" t="s">
        <v>51</v>
      </c>
      <c r="G1668" s="4" t="s">
        <v>35</v>
      </c>
      <c r="H1668" s="54" t="s">
        <v>36</v>
      </c>
      <c r="I1668" s="52"/>
      <c r="J1668" s="57">
        <v>35.75</v>
      </c>
      <c r="K1668" s="52"/>
      <c r="L1668" s="6">
        <v>32.78275</v>
      </c>
      <c r="M1668" s="6">
        <v>0.91700000000000004</v>
      </c>
      <c r="N1668" s="6">
        <v>33.380000000000003</v>
      </c>
      <c r="O1668" s="57">
        <v>30.609459999999999</v>
      </c>
      <c r="P1668" s="52"/>
      <c r="Q1668" s="6">
        <v>0.91699999999999993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2.37</v>
      </c>
      <c r="AB1668" s="6">
        <v>2.1732900000000002</v>
      </c>
      <c r="AC1668" s="6">
        <v>0.91700000000000004</v>
      </c>
      <c r="AD1668" s="6">
        <v>-2.3699999999999974</v>
      </c>
      <c r="AE1668" s="6">
        <v>2.3699999999999974</v>
      </c>
    </row>
    <row r="1669" spans="2:31" ht="20" x14ac:dyDescent="0.25">
      <c r="B1669" s="55"/>
      <c r="C1669" s="55"/>
      <c r="D1669" s="4" t="s">
        <v>2611</v>
      </c>
      <c r="E1669" s="4" t="s">
        <v>2612</v>
      </c>
      <c r="F1669" s="4" t="s">
        <v>51</v>
      </c>
      <c r="G1669" s="4" t="s">
        <v>35</v>
      </c>
      <c r="H1669" s="54" t="s">
        <v>48</v>
      </c>
      <c r="I1669" s="52"/>
      <c r="J1669" s="57">
        <v>22.17</v>
      </c>
      <c r="K1669" s="52"/>
      <c r="L1669" s="6">
        <v>16.627500000000001</v>
      </c>
      <c r="M1669" s="6">
        <v>0.75</v>
      </c>
      <c r="N1669" s="6">
        <v>21.17</v>
      </c>
      <c r="O1669" s="57">
        <v>15.8775</v>
      </c>
      <c r="P1669" s="52"/>
      <c r="Q1669" s="6">
        <v>0.74999999999999989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1</v>
      </c>
      <c r="AB1669" s="6">
        <v>0.75</v>
      </c>
      <c r="AC1669" s="6">
        <v>0.75</v>
      </c>
      <c r="AD1669" s="6">
        <v>-1</v>
      </c>
      <c r="AE1669" s="6">
        <v>1</v>
      </c>
    </row>
    <row r="1670" spans="2:31" ht="20" x14ac:dyDescent="0.25">
      <c r="B1670" s="55"/>
      <c r="C1670" s="55"/>
      <c r="D1670" s="4" t="s">
        <v>2613</v>
      </c>
      <c r="E1670" s="4" t="s">
        <v>2614</v>
      </c>
      <c r="F1670" s="4" t="s">
        <v>51</v>
      </c>
      <c r="G1670" s="4" t="s">
        <v>35</v>
      </c>
      <c r="H1670" s="54" t="s">
        <v>36</v>
      </c>
      <c r="I1670" s="52"/>
      <c r="J1670" s="57">
        <v>33.97</v>
      </c>
      <c r="K1670" s="52"/>
      <c r="L1670" s="6">
        <v>31.150490000000001</v>
      </c>
      <c r="M1670" s="6">
        <v>0.91700000000000004</v>
      </c>
      <c r="N1670" s="6">
        <v>32.14</v>
      </c>
      <c r="O1670" s="57">
        <v>29.472380000000001</v>
      </c>
      <c r="P1670" s="52"/>
      <c r="Q1670" s="6">
        <v>0.91700000000000004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1.83</v>
      </c>
      <c r="AB1670" s="6">
        <v>1.67811</v>
      </c>
      <c r="AC1670" s="6">
        <v>0.91699999999999993</v>
      </c>
      <c r="AD1670" s="6">
        <v>-1.8299999999999983</v>
      </c>
      <c r="AE1670" s="6">
        <v>1.8299999999999983</v>
      </c>
    </row>
    <row r="1671" spans="2:31" ht="20" x14ac:dyDescent="0.25">
      <c r="B1671" s="55"/>
      <c r="C1671" s="55"/>
      <c r="D1671" s="4" t="s">
        <v>2615</v>
      </c>
      <c r="E1671" s="4" t="s">
        <v>2616</v>
      </c>
      <c r="F1671" s="4" t="s">
        <v>51</v>
      </c>
      <c r="G1671" s="4" t="s">
        <v>35</v>
      </c>
      <c r="H1671" s="54" t="s">
        <v>48</v>
      </c>
      <c r="I1671" s="52"/>
      <c r="J1671" s="57">
        <v>47.61</v>
      </c>
      <c r="K1671" s="52"/>
      <c r="L1671" s="6">
        <v>35.707500000000003</v>
      </c>
      <c r="M1671" s="6">
        <v>0.75000000000000011</v>
      </c>
      <c r="N1671" s="6">
        <v>45.15</v>
      </c>
      <c r="O1671" s="57">
        <v>33.862499999999997</v>
      </c>
      <c r="P1671" s="52"/>
      <c r="Q1671" s="6">
        <v>0.75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2.46</v>
      </c>
      <c r="AB1671" s="6">
        <v>1.845</v>
      </c>
      <c r="AC1671" s="6">
        <v>0.75</v>
      </c>
      <c r="AD1671" s="6">
        <v>-2.4600000000000009</v>
      </c>
      <c r="AE1671" s="6">
        <v>2.4600000000000009</v>
      </c>
    </row>
    <row r="1672" spans="2:31" ht="20" x14ac:dyDescent="0.25">
      <c r="B1672" s="55"/>
      <c r="C1672" s="55"/>
      <c r="D1672" s="4" t="s">
        <v>2617</v>
      </c>
      <c r="E1672" s="4" t="s">
        <v>2618</v>
      </c>
      <c r="F1672" s="4" t="s">
        <v>51</v>
      </c>
      <c r="G1672" s="4" t="s">
        <v>35</v>
      </c>
      <c r="H1672" s="54" t="s">
        <v>48</v>
      </c>
      <c r="I1672" s="52"/>
      <c r="J1672" s="57">
        <v>15.37</v>
      </c>
      <c r="K1672" s="52"/>
      <c r="L1672" s="6">
        <v>11.5275</v>
      </c>
      <c r="M1672" s="6">
        <v>0.75</v>
      </c>
      <c r="N1672" s="6">
        <v>13.38</v>
      </c>
      <c r="O1672" s="57">
        <v>10.035</v>
      </c>
      <c r="P1672" s="52"/>
      <c r="Q1672" s="6">
        <v>0.75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1.99</v>
      </c>
      <c r="AB1672" s="6">
        <v>1.4924999999999999</v>
      </c>
      <c r="AC1672" s="6">
        <v>0.75</v>
      </c>
      <c r="AD1672" s="6">
        <v>-1.9899999999999984</v>
      </c>
      <c r="AE1672" s="6">
        <v>1.9899999999999984</v>
      </c>
    </row>
    <row r="1673" spans="2:31" ht="20" x14ac:dyDescent="0.25">
      <c r="B1673" s="55"/>
      <c r="C1673" s="55"/>
      <c r="D1673" s="4" t="s">
        <v>2619</v>
      </c>
      <c r="E1673" s="4" t="s">
        <v>2620</v>
      </c>
      <c r="F1673" s="4" t="s">
        <v>51</v>
      </c>
      <c r="G1673" s="4" t="s">
        <v>35</v>
      </c>
      <c r="H1673" s="54" t="s">
        <v>48</v>
      </c>
      <c r="I1673" s="52"/>
      <c r="J1673" s="57">
        <v>17.68</v>
      </c>
      <c r="K1673" s="52"/>
      <c r="L1673" s="6">
        <v>13.26</v>
      </c>
      <c r="M1673" s="6">
        <v>0.75</v>
      </c>
      <c r="N1673" s="6">
        <v>16.489999999999998</v>
      </c>
      <c r="O1673" s="57">
        <v>12.3675</v>
      </c>
      <c r="P1673" s="52"/>
      <c r="Q1673" s="6">
        <v>0.75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1.19</v>
      </c>
      <c r="AB1673" s="6">
        <v>0.89249999999999996</v>
      </c>
      <c r="AC1673" s="6">
        <v>0.75</v>
      </c>
      <c r="AD1673" s="6">
        <v>-1.1900000000000013</v>
      </c>
      <c r="AE1673" s="6">
        <v>1.1900000000000013</v>
      </c>
    </row>
    <row r="1674" spans="2:31" x14ac:dyDescent="0.25">
      <c r="B1674" s="55"/>
      <c r="C1674" s="55"/>
      <c r="D1674" s="54" t="s">
        <v>2621</v>
      </c>
      <c r="E1674" s="4" t="s">
        <v>2622</v>
      </c>
      <c r="F1674" s="4" t="s">
        <v>51</v>
      </c>
      <c r="G1674" s="4" t="s">
        <v>35</v>
      </c>
      <c r="H1674" s="54" t="s">
        <v>36</v>
      </c>
      <c r="I1674" s="52"/>
      <c r="J1674" s="57">
        <v>34.340000000000003</v>
      </c>
      <c r="K1674" s="52"/>
      <c r="L1674" s="6">
        <v>31.48978</v>
      </c>
      <c r="M1674" s="6">
        <v>0.91699999999999993</v>
      </c>
      <c r="N1674" s="6">
        <v>32.26</v>
      </c>
      <c r="O1674" s="57">
        <v>29.582419999999999</v>
      </c>
      <c r="P1674" s="52"/>
      <c r="Q1674" s="6">
        <v>0.91700000000000004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2.08</v>
      </c>
      <c r="AB1674" s="6">
        <v>1.9073599999999999</v>
      </c>
      <c r="AC1674" s="6">
        <v>0.91699999999999993</v>
      </c>
      <c r="AD1674" s="6">
        <v>-2.0800000000000054</v>
      </c>
      <c r="AE1674" s="6">
        <v>2.0800000000000054</v>
      </c>
    </row>
    <row r="1675" spans="2:31" x14ac:dyDescent="0.25">
      <c r="B1675" s="55"/>
      <c r="C1675" s="55"/>
      <c r="D1675" s="56"/>
      <c r="E1675" s="4" t="s">
        <v>2623</v>
      </c>
      <c r="F1675" s="4" t="s">
        <v>51</v>
      </c>
      <c r="G1675" s="4" t="s">
        <v>35</v>
      </c>
      <c r="H1675" s="54" t="s">
        <v>36</v>
      </c>
      <c r="I1675" s="52"/>
      <c r="J1675" s="57">
        <v>20.3</v>
      </c>
      <c r="K1675" s="52"/>
      <c r="L1675" s="6">
        <v>18.615100000000002</v>
      </c>
      <c r="M1675" s="6">
        <v>0.91700000000000004</v>
      </c>
      <c r="N1675" s="6">
        <v>19.11</v>
      </c>
      <c r="O1675" s="57">
        <v>17.523869999999999</v>
      </c>
      <c r="P1675" s="52"/>
      <c r="Q1675" s="6">
        <v>0.91699999999999993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1.19</v>
      </c>
      <c r="AB1675" s="6">
        <v>1.0912299999999999</v>
      </c>
      <c r="AC1675" s="6">
        <v>0.91699999999999993</v>
      </c>
      <c r="AD1675" s="6">
        <v>-1.1900000000000013</v>
      </c>
      <c r="AE1675" s="6">
        <v>1.1900000000000013</v>
      </c>
    </row>
    <row r="1676" spans="2:31" x14ac:dyDescent="0.25">
      <c r="B1676" s="55"/>
      <c r="C1676" s="55"/>
      <c r="D1676" s="54" t="s">
        <v>2624</v>
      </c>
      <c r="E1676" s="4" t="s">
        <v>2625</v>
      </c>
      <c r="F1676" s="4" t="s">
        <v>51</v>
      </c>
      <c r="G1676" s="4" t="s">
        <v>35</v>
      </c>
      <c r="H1676" s="54" t="s">
        <v>36</v>
      </c>
      <c r="I1676" s="52"/>
      <c r="J1676" s="57">
        <v>37.22</v>
      </c>
      <c r="K1676" s="52"/>
      <c r="L1676" s="6">
        <v>34.130740000000003</v>
      </c>
      <c r="M1676" s="6">
        <v>0.91700000000000015</v>
      </c>
      <c r="N1676" s="6">
        <v>35.51</v>
      </c>
      <c r="O1676" s="57">
        <v>32.562669999999997</v>
      </c>
      <c r="P1676" s="52"/>
      <c r="Q1676" s="6">
        <v>0.91699999999999993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1.71</v>
      </c>
      <c r="AB1676" s="6">
        <v>1.5680700000000001</v>
      </c>
      <c r="AC1676" s="6">
        <v>0.91700000000000004</v>
      </c>
      <c r="AD1676" s="6">
        <v>-1.7100000000000009</v>
      </c>
      <c r="AE1676" s="6">
        <v>1.7100000000000009</v>
      </c>
    </row>
    <row r="1677" spans="2:31" x14ac:dyDescent="0.25">
      <c r="B1677" s="55"/>
      <c r="C1677" s="55"/>
      <c r="D1677" s="55"/>
      <c r="E1677" s="4" t="s">
        <v>2626</v>
      </c>
      <c r="F1677" s="4" t="s">
        <v>51</v>
      </c>
      <c r="G1677" s="4" t="s">
        <v>35</v>
      </c>
      <c r="H1677" s="54" t="s">
        <v>48</v>
      </c>
      <c r="I1677" s="52"/>
      <c r="J1677" s="57">
        <v>33.29</v>
      </c>
      <c r="K1677" s="52"/>
      <c r="L1677" s="6">
        <v>24.967500000000001</v>
      </c>
      <c r="M1677" s="6">
        <v>0.75</v>
      </c>
      <c r="N1677" s="6">
        <v>30.73</v>
      </c>
      <c r="O1677" s="57">
        <v>23.047499999999999</v>
      </c>
      <c r="P1677" s="52"/>
      <c r="Q1677" s="6">
        <v>0.75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2.56</v>
      </c>
      <c r="AB1677" s="6">
        <v>1.92</v>
      </c>
      <c r="AC1677" s="6">
        <v>0.75</v>
      </c>
      <c r="AD1677" s="6">
        <v>-2.5599999999999987</v>
      </c>
      <c r="AE1677" s="6">
        <v>2.5599999999999987</v>
      </c>
    </row>
    <row r="1678" spans="2:31" x14ac:dyDescent="0.25">
      <c r="B1678" s="55"/>
      <c r="C1678" s="55"/>
      <c r="D1678" s="56"/>
      <c r="E1678" s="4" t="s">
        <v>2627</v>
      </c>
      <c r="F1678" s="4" t="s">
        <v>51</v>
      </c>
      <c r="G1678" s="4" t="s">
        <v>35</v>
      </c>
      <c r="H1678" s="54" t="s">
        <v>36</v>
      </c>
      <c r="I1678" s="52"/>
      <c r="J1678" s="57">
        <v>45.78</v>
      </c>
      <c r="K1678" s="52"/>
      <c r="L1678" s="6">
        <v>41.980260000000001</v>
      </c>
      <c r="M1678" s="6">
        <v>0.91700000000000004</v>
      </c>
      <c r="N1678" s="6">
        <v>43.59</v>
      </c>
      <c r="O1678" s="57">
        <v>39.972029999999997</v>
      </c>
      <c r="P1678" s="52"/>
      <c r="Q1678" s="6">
        <v>0.91699999999999982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2.19</v>
      </c>
      <c r="AB1678" s="6">
        <v>2.0082300000000002</v>
      </c>
      <c r="AC1678" s="6">
        <v>0.91700000000000015</v>
      </c>
      <c r="AD1678" s="6">
        <v>-2.1899999999999977</v>
      </c>
      <c r="AE1678" s="6">
        <v>2.1899999999999977</v>
      </c>
    </row>
    <row r="1679" spans="2:31" x14ac:dyDescent="0.25">
      <c r="B1679" s="55"/>
      <c r="C1679" s="55"/>
      <c r="D1679" s="54" t="s">
        <v>2628</v>
      </c>
      <c r="E1679" s="4" t="s">
        <v>2629</v>
      </c>
      <c r="F1679" s="4" t="s">
        <v>51</v>
      </c>
      <c r="G1679" s="4" t="s">
        <v>35</v>
      </c>
      <c r="H1679" s="54" t="s">
        <v>48</v>
      </c>
      <c r="I1679" s="52"/>
      <c r="J1679" s="57">
        <v>55.25</v>
      </c>
      <c r="K1679" s="52"/>
      <c r="L1679" s="6">
        <v>41.4375</v>
      </c>
      <c r="M1679" s="6">
        <v>0.75</v>
      </c>
      <c r="N1679" s="6">
        <v>49.75</v>
      </c>
      <c r="O1679" s="57">
        <v>37.3125</v>
      </c>
      <c r="P1679" s="52"/>
      <c r="Q1679" s="6">
        <v>0.75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5.5</v>
      </c>
      <c r="AB1679" s="6">
        <v>4.125</v>
      </c>
      <c r="AC1679" s="6">
        <v>0.75</v>
      </c>
      <c r="AD1679" s="6">
        <v>-5.5</v>
      </c>
      <c r="AE1679" s="6">
        <v>5.5</v>
      </c>
    </row>
    <row r="1680" spans="2:31" x14ac:dyDescent="0.25">
      <c r="B1680" s="55"/>
      <c r="C1680" s="55"/>
      <c r="D1680" s="56"/>
      <c r="E1680" s="4" t="s">
        <v>2630</v>
      </c>
      <c r="F1680" s="4" t="s">
        <v>51</v>
      </c>
      <c r="G1680" s="4" t="s">
        <v>35</v>
      </c>
      <c r="H1680" s="54" t="s">
        <v>36</v>
      </c>
      <c r="I1680" s="52"/>
      <c r="J1680" s="57">
        <v>76.25</v>
      </c>
      <c r="K1680" s="52"/>
      <c r="L1680" s="6">
        <v>69.921250000000001</v>
      </c>
      <c r="M1680" s="6">
        <v>0.91700000000000004</v>
      </c>
      <c r="N1680" s="6">
        <v>73.319999999999993</v>
      </c>
      <c r="O1680" s="57">
        <v>67.234440000000006</v>
      </c>
      <c r="P1680" s="52"/>
      <c r="Q1680" s="6">
        <v>0.91700000000000015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2.93</v>
      </c>
      <c r="AB1680" s="6">
        <v>2.6868099999999999</v>
      </c>
      <c r="AC1680" s="6">
        <v>0.91699999999999993</v>
      </c>
      <c r="AD1680" s="6">
        <v>-2.9300000000000068</v>
      </c>
      <c r="AE1680" s="6">
        <v>2.9300000000000068</v>
      </c>
    </row>
    <row r="1681" spans="2:31" ht="20" x14ac:dyDescent="0.25">
      <c r="B1681" s="55"/>
      <c r="C1681" s="55"/>
      <c r="D1681" s="4" t="s">
        <v>2631</v>
      </c>
      <c r="E1681" s="4" t="s">
        <v>2632</v>
      </c>
      <c r="F1681" s="4" t="s">
        <v>51</v>
      </c>
      <c r="G1681" s="4" t="s">
        <v>35</v>
      </c>
      <c r="H1681" s="54" t="s">
        <v>36</v>
      </c>
      <c r="I1681" s="52"/>
      <c r="J1681" s="57">
        <v>7.21</v>
      </c>
      <c r="K1681" s="52"/>
      <c r="L1681" s="6">
        <v>6.6115700000000004</v>
      </c>
      <c r="M1681" s="6">
        <v>0.91700000000000004</v>
      </c>
      <c r="N1681" s="6">
        <v>6.95</v>
      </c>
      <c r="O1681" s="57">
        <v>6.3731499999999999</v>
      </c>
      <c r="P1681" s="52"/>
      <c r="Q1681" s="6">
        <v>0.91699999999999993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0.26</v>
      </c>
      <c r="AB1681" s="6">
        <v>0.23841999999999999</v>
      </c>
      <c r="AC1681" s="6">
        <v>0.91699999999999993</v>
      </c>
      <c r="AD1681" s="6">
        <v>-0.25999999999999979</v>
      </c>
      <c r="AE1681" s="6">
        <v>0.25999999999999979</v>
      </c>
    </row>
    <row r="1682" spans="2:31" ht="20" x14ac:dyDescent="0.25">
      <c r="B1682" s="55"/>
      <c r="C1682" s="55"/>
      <c r="D1682" s="4" t="s">
        <v>2633</v>
      </c>
      <c r="E1682" s="4" t="s">
        <v>2634</v>
      </c>
      <c r="F1682" s="4" t="s">
        <v>51</v>
      </c>
      <c r="G1682" s="4" t="s">
        <v>35</v>
      </c>
      <c r="H1682" s="54" t="s">
        <v>36</v>
      </c>
      <c r="I1682" s="52"/>
      <c r="J1682" s="57">
        <v>3.15</v>
      </c>
      <c r="K1682" s="52"/>
      <c r="L1682" s="6">
        <v>2.88855</v>
      </c>
      <c r="M1682" s="6">
        <v>0.91700000000000004</v>
      </c>
      <c r="N1682" s="6">
        <v>2.63</v>
      </c>
      <c r="O1682" s="57">
        <v>2.4117099999999998</v>
      </c>
      <c r="P1682" s="52"/>
      <c r="Q1682" s="6">
        <v>0.91699999999999993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0.52</v>
      </c>
      <c r="AB1682" s="6">
        <v>0.47683999999999999</v>
      </c>
      <c r="AC1682" s="6">
        <v>0.91699999999999993</v>
      </c>
      <c r="AD1682" s="6">
        <v>-0.52</v>
      </c>
      <c r="AE1682" s="6">
        <v>0.52</v>
      </c>
    </row>
    <row r="1683" spans="2:31" ht="20" x14ac:dyDescent="0.25">
      <c r="B1683" s="55"/>
      <c r="C1683" s="55"/>
      <c r="D1683" s="4" t="s">
        <v>2635</v>
      </c>
      <c r="E1683" s="4" t="s">
        <v>2600</v>
      </c>
      <c r="F1683" s="4" t="s">
        <v>51</v>
      </c>
      <c r="G1683" s="4" t="s">
        <v>133</v>
      </c>
      <c r="H1683" s="54" t="s">
        <v>41</v>
      </c>
      <c r="I1683" s="52"/>
      <c r="J1683" s="57">
        <v>19.690000000000001</v>
      </c>
      <c r="K1683" s="52"/>
      <c r="L1683" s="6">
        <v>14.7675</v>
      </c>
      <c r="M1683" s="6">
        <v>0.75</v>
      </c>
      <c r="N1683" s="6">
        <v>19.489999999999998</v>
      </c>
      <c r="O1683" s="57">
        <v>14.6175</v>
      </c>
      <c r="P1683" s="52"/>
      <c r="Q1683" s="6">
        <v>0.75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0.2</v>
      </c>
      <c r="AB1683" s="6">
        <v>0.15</v>
      </c>
      <c r="AC1683" s="6">
        <v>0.74999999999999989</v>
      </c>
      <c r="AD1683" s="6">
        <v>-0.20000000000000284</v>
      </c>
      <c r="AE1683" s="6">
        <v>0.20000000000000284</v>
      </c>
    </row>
    <row r="1684" spans="2:31" ht="20" x14ac:dyDescent="0.25">
      <c r="B1684" s="55"/>
      <c r="C1684" s="55"/>
      <c r="D1684" s="4" t="s">
        <v>2636</v>
      </c>
      <c r="E1684" s="4" t="s">
        <v>2637</v>
      </c>
      <c r="F1684" s="4" t="s">
        <v>51</v>
      </c>
      <c r="G1684" s="4" t="s">
        <v>35</v>
      </c>
      <c r="H1684" s="54" t="s">
        <v>36</v>
      </c>
      <c r="I1684" s="52"/>
      <c r="J1684" s="57">
        <v>51.78</v>
      </c>
      <c r="K1684" s="52"/>
      <c r="L1684" s="6">
        <v>47.482259999999997</v>
      </c>
      <c r="M1684" s="6">
        <v>0.91699999999999993</v>
      </c>
      <c r="N1684" s="6">
        <v>51.69</v>
      </c>
      <c r="O1684" s="57">
        <v>47.399729999999998</v>
      </c>
      <c r="P1684" s="52"/>
      <c r="Q1684" s="6">
        <v>0.91700000000000004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0.09</v>
      </c>
      <c r="AB1684" s="6">
        <v>8.2530000000000006E-2</v>
      </c>
      <c r="AC1684" s="6">
        <v>0.91700000000000015</v>
      </c>
      <c r="AD1684" s="6">
        <v>-9.0000000000003411E-2</v>
      </c>
      <c r="AE1684" s="6">
        <v>9.0000000000003411E-2</v>
      </c>
    </row>
    <row r="1685" spans="2:31" x14ac:dyDescent="0.25">
      <c r="B1685" s="55"/>
      <c r="C1685" s="55"/>
      <c r="D1685" s="54" t="s">
        <v>2638</v>
      </c>
      <c r="E1685" s="4" t="s">
        <v>2639</v>
      </c>
      <c r="F1685" s="4" t="s">
        <v>51</v>
      </c>
      <c r="G1685" s="4" t="s">
        <v>35</v>
      </c>
      <c r="H1685" s="54" t="s">
        <v>36</v>
      </c>
      <c r="I1685" s="52"/>
      <c r="J1685" s="57">
        <v>46.45</v>
      </c>
      <c r="K1685" s="52"/>
      <c r="L1685" s="6">
        <v>42.594650000000001</v>
      </c>
      <c r="M1685" s="6">
        <v>0.91699999999999993</v>
      </c>
      <c r="N1685" s="6">
        <v>43.59</v>
      </c>
      <c r="O1685" s="57">
        <v>39.972029999999997</v>
      </c>
      <c r="P1685" s="52"/>
      <c r="Q1685" s="6">
        <v>0.91699999999999982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2.86</v>
      </c>
      <c r="AB1685" s="6">
        <v>2.62262</v>
      </c>
      <c r="AC1685" s="6">
        <v>0.91700000000000004</v>
      </c>
      <c r="AD1685" s="6">
        <v>-2.8599999999999994</v>
      </c>
      <c r="AE1685" s="6">
        <v>2.8599999999999994</v>
      </c>
    </row>
    <row r="1686" spans="2:31" x14ac:dyDescent="0.25">
      <c r="B1686" s="55"/>
      <c r="C1686" s="55"/>
      <c r="D1686" s="55"/>
      <c r="E1686" s="4" t="s">
        <v>2477</v>
      </c>
      <c r="F1686" s="4" t="s">
        <v>51</v>
      </c>
      <c r="G1686" s="4" t="s">
        <v>35</v>
      </c>
      <c r="H1686" s="54" t="s">
        <v>48</v>
      </c>
      <c r="I1686" s="52"/>
      <c r="J1686" s="57">
        <v>19.14</v>
      </c>
      <c r="K1686" s="52"/>
      <c r="L1686" s="6">
        <v>14.355</v>
      </c>
      <c r="M1686" s="6">
        <v>0.75</v>
      </c>
      <c r="N1686" s="6">
        <v>19.04</v>
      </c>
      <c r="O1686" s="57">
        <v>14.28</v>
      </c>
      <c r="P1686" s="52"/>
      <c r="Q1686" s="6">
        <v>0.75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0.1</v>
      </c>
      <c r="AB1686" s="6">
        <v>7.4999999999999997E-2</v>
      </c>
      <c r="AC1686" s="6">
        <v>0.74999999999999989</v>
      </c>
      <c r="AD1686" s="6">
        <v>-0.10000000000000142</v>
      </c>
      <c r="AE1686" s="6">
        <v>0.10000000000000142</v>
      </c>
    </row>
    <row r="1687" spans="2:31" x14ac:dyDescent="0.25">
      <c r="B1687" s="55"/>
      <c r="C1687" s="55"/>
      <c r="D1687" s="55"/>
      <c r="E1687" s="4" t="s">
        <v>2640</v>
      </c>
      <c r="F1687" s="4" t="s">
        <v>51</v>
      </c>
      <c r="G1687" s="4" t="s">
        <v>35</v>
      </c>
      <c r="H1687" s="54" t="s">
        <v>48</v>
      </c>
      <c r="I1687" s="52"/>
      <c r="J1687" s="57">
        <v>24.85</v>
      </c>
      <c r="K1687" s="52"/>
      <c r="L1687" s="6">
        <v>18.637499999999999</v>
      </c>
      <c r="M1687" s="6">
        <v>0.74999999999999989</v>
      </c>
      <c r="N1687" s="6">
        <v>22.18</v>
      </c>
      <c r="O1687" s="57">
        <v>16.635000000000002</v>
      </c>
      <c r="P1687" s="52"/>
      <c r="Q1687" s="6">
        <v>0.75000000000000011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2.67</v>
      </c>
      <c r="AB1687" s="6">
        <v>2.0024999999999999</v>
      </c>
      <c r="AC1687" s="6">
        <v>0.75</v>
      </c>
      <c r="AD1687" s="6">
        <v>-2.6700000000000017</v>
      </c>
      <c r="AE1687" s="6">
        <v>2.6700000000000017</v>
      </c>
    </row>
    <row r="1688" spans="2:31" x14ac:dyDescent="0.25">
      <c r="B1688" s="55"/>
      <c r="C1688" s="55"/>
      <c r="D1688" s="56"/>
      <c r="E1688" s="4" t="s">
        <v>2641</v>
      </c>
      <c r="F1688" s="4" t="s">
        <v>51</v>
      </c>
      <c r="G1688" s="4" t="s">
        <v>35</v>
      </c>
      <c r="H1688" s="54" t="s">
        <v>36</v>
      </c>
      <c r="I1688" s="52"/>
      <c r="J1688" s="57">
        <v>8.4600000000000009</v>
      </c>
      <c r="K1688" s="52"/>
      <c r="L1688" s="6">
        <v>7.7578199999999997</v>
      </c>
      <c r="M1688" s="6">
        <v>0.91699999999999993</v>
      </c>
      <c r="N1688" s="6">
        <v>8.0500000000000007</v>
      </c>
      <c r="O1688" s="57">
        <v>7.38185</v>
      </c>
      <c r="P1688" s="52"/>
      <c r="Q1688" s="6">
        <v>0.91699999999999993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0.41</v>
      </c>
      <c r="AB1688" s="6">
        <v>0.37597000000000003</v>
      </c>
      <c r="AC1688" s="6">
        <v>0.91700000000000015</v>
      </c>
      <c r="AD1688" s="6">
        <v>-0.41000000000000014</v>
      </c>
      <c r="AE1688" s="6">
        <v>0.41000000000000014</v>
      </c>
    </row>
    <row r="1689" spans="2:31" ht="20" x14ac:dyDescent="0.25">
      <c r="B1689" s="55"/>
      <c r="C1689" s="55"/>
      <c r="D1689" s="4" t="s">
        <v>2642</v>
      </c>
      <c r="E1689" s="4" t="s">
        <v>2643</v>
      </c>
      <c r="F1689" s="4" t="s">
        <v>51</v>
      </c>
      <c r="G1689" s="4" t="s">
        <v>35</v>
      </c>
      <c r="H1689" s="54" t="s">
        <v>41</v>
      </c>
      <c r="I1689" s="52"/>
      <c r="J1689" s="57">
        <v>33.82</v>
      </c>
      <c r="K1689" s="52"/>
      <c r="L1689" s="6">
        <v>25.364999999999998</v>
      </c>
      <c r="M1689" s="6">
        <v>0.75</v>
      </c>
      <c r="N1689" s="6">
        <v>32.71</v>
      </c>
      <c r="O1689" s="57">
        <v>24.532499999999999</v>
      </c>
      <c r="P1689" s="52"/>
      <c r="Q1689" s="6">
        <v>0.75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1.1100000000000001</v>
      </c>
      <c r="AB1689" s="6">
        <v>0.83250000000000002</v>
      </c>
      <c r="AC1689" s="6">
        <v>0.75</v>
      </c>
      <c r="AD1689" s="6">
        <v>-1.1099999999999994</v>
      </c>
      <c r="AE1689" s="6">
        <v>1.1099999999999994</v>
      </c>
    </row>
    <row r="1690" spans="2:31" x14ac:dyDescent="0.25">
      <c r="B1690" s="55"/>
      <c r="C1690" s="55"/>
      <c r="D1690" s="54" t="s">
        <v>2644</v>
      </c>
      <c r="E1690" s="4" t="s">
        <v>2403</v>
      </c>
      <c r="F1690" s="4" t="s">
        <v>51</v>
      </c>
      <c r="G1690" s="4" t="s">
        <v>35</v>
      </c>
      <c r="H1690" s="54" t="s">
        <v>36</v>
      </c>
      <c r="I1690" s="52"/>
      <c r="J1690" s="57">
        <v>3.96</v>
      </c>
      <c r="K1690" s="52"/>
      <c r="L1690" s="6">
        <v>3.6313200000000001</v>
      </c>
      <c r="M1690" s="6">
        <v>0.91700000000000004</v>
      </c>
      <c r="N1690" s="6">
        <v>3.81</v>
      </c>
      <c r="O1690" s="57">
        <v>3.49377</v>
      </c>
      <c r="P1690" s="52"/>
      <c r="Q1690" s="6">
        <v>0.91700000000000004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0.15</v>
      </c>
      <c r="AB1690" s="6">
        <v>0.13755000000000001</v>
      </c>
      <c r="AC1690" s="6">
        <v>0.91700000000000004</v>
      </c>
      <c r="AD1690" s="6">
        <v>-0.14999999999999991</v>
      </c>
      <c r="AE1690" s="6">
        <v>0.14999999999999991</v>
      </c>
    </row>
    <row r="1691" spans="2:31" x14ac:dyDescent="0.25">
      <c r="B1691" s="55"/>
      <c r="C1691" s="55"/>
      <c r="D1691" s="55"/>
      <c r="E1691" s="4" t="s">
        <v>2411</v>
      </c>
      <c r="F1691" s="4" t="s">
        <v>51</v>
      </c>
      <c r="G1691" s="4" t="s">
        <v>35</v>
      </c>
      <c r="H1691" s="54" t="s">
        <v>36</v>
      </c>
      <c r="I1691" s="52"/>
      <c r="J1691" s="57">
        <v>14.91</v>
      </c>
      <c r="K1691" s="52"/>
      <c r="L1691" s="6">
        <v>13.672470000000001</v>
      </c>
      <c r="M1691" s="6">
        <v>0.91700000000000004</v>
      </c>
      <c r="N1691" s="6">
        <v>14.33</v>
      </c>
      <c r="O1691" s="57">
        <v>13.140610000000001</v>
      </c>
      <c r="P1691" s="52"/>
      <c r="Q1691" s="6">
        <v>0.91700000000000004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0.57999999999999996</v>
      </c>
      <c r="AB1691" s="6">
        <v>0.53186</v>
      </c>
      <c r="AC1691" s="6">
        <v>0.91700000000000004</v>
      </c>
      <c r="AD1691" s="6">
        <v>-0.58000000000000007</v>
      </c>
      <c r="AE1691" s="6">
        <v>0.58000000000000007</v>
      </c>
    </row>
    <row r="1692" spans="2:31" x14ac:dyDescent="0.25">
      <c r="B1692" s="55"/>
      <c r="C1692" s="55"/>
      <c r="D1692" s="56"/>
      <c r="E1692" s="4" t="s">
        <v>2409</v>
      </c>
      <c r="F1692" s="4" t="s">
        <v>51</v>
      </c>
      <c r="G1692" s="4" t="s">
        <v>35</v>
      </c>
      <c r="H1692" s="54" t="s">
        <v>36</v>
      </c>
      <c r="I1692" s="52"/>
      <c r="J1692" s="57">
        <v>11.93</v>
      </c>
      <c r="K1692" s="52"/>
      <c r="L1692" s="6">
        <v>10.93981</v>
      </c>
      <c r="M1692" s="6">
        <v>0.91700000000000004</v>
      </c>
      <c r="N1692" s="6">
        <v>11.58</v>
      </c>
      <c r="O1692" s="57">
        <v>10.61886</v>
      </c>
      <c r="P1692" s="52"/>
      <c r="Q1692" s="6">
        <v>0.91699999999999993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0.35</v>
      </c>
      <c r="AB1692" s="6">
        <v>0.32095000000000001</v>
      </c>
      <c r="AC1692" s="6">
        <v>0.91700000000000015</v>
      </c>
      <c r="AD1692" s="6">
        <v>-0.34999999999999964</v>
      </c>
      <c r="AE1692" s="6">
        <v>0.34999999999999964</v>
      </c>
    </row>
    <row r="1693" spans="2:31" ht="20" x14ac:dyDescent="0.25">
      <c r="B1693" s="55"/>
      <c r="C1693" s="55"/>
      <c r="D1693" s="4" t="s">
        <v>2645</v>
      </c>
      <c r="E1693" s="4" t="s">
        <v>2401</v>
      </c>
      <c r="F1693" s="4" t="s">
        <v>51</v>
      </c>
      <c r="G1693" s="4" t="s">
        <v>35</v>
      </c>
      <c r="H1693" s="54" t="s">
        <v>36</v>
      </c>
      <c r="I1693" s="52"/>
      <c r="J1693" s="57">
        <v>113.65</v>
      </c>
      <c r="K1693" s="52"/>
      <c r="L1693" s="6">
        <v>104.21705</v>
      </c>
      <c r="M1693" s="6">
        <v>0.91699999999999993</v>
      </c>
      <c r="N1693" s="6">
        <v>113.58</v>
      </c>
      <c r="O1693" s="57">
        <v>104.15286</v>
      </c>
      <c r="P1693" s="52"/>
      <c r="Q1693" s="6">
        <v>0.91700000000000004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7.0000000000000007E-2</v>
      </c>
      <c r="AB1693" s="6">
        <v>6.4189999999999997E-2</v>
      </c>
      <c r="AC1693" s="6">
        <v>0.91699999999999982</v>
      </c>
      <c r="AD1693" s="6">
        <v>-7.000000000000739E-2</v>
      </c>
      <c r="AE1693" s="6">
        <v>7.000000000000739E-2</v>
      </c>
    </row>
    <row r="1694" spans="2:31" ht="20" x14ac:dyDescent="0.25">
      <c r="B1694" s="55"/>
      <c r="C1694" s="55"/>
      <c r="D1694" s="4" t="s">
        <v>2646</v>
      </c>
      <c r="E1694" s="4" t="s">
        <v>2647</v>
      </c>
      <c r="F1694" s="4" t="s">
        <v>51</v>
      </c>
      <c r="G1694" s="4" t="s">
        <v>35</v>
      </c>
      <c r="H1694" s="54" t="s">
        <v>41</v>
      </c>
      <c r="I1694" s="52"/>
      <c r="J1694" s="57">
        <v>69.09</v>
      </c>
      <c r="K1694" s="52"/>
      <c r="L1694" s="6">
        <v>51.817500000000003</v>
      </c>
      <c r="M1694" s="6">
        <v>0.75</v>
      </c>
      <c r="N1694" s="6">
        <v>61.82</v>
      </c>
      <c r="O1694" s="57">
        <v>46.365000000000002</v>
      </c>
      <c r="P1694" s="52"/>
      <c r="Q1694" s="6">
        <v>0.75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7.27</v>
      </c>
      <c r="AB1694" s="6">
        <v>5.4524999999999997</v>
      </c>
      <c r="AC1694" s="6">
        <v>0.75</v>
      </c>
      <c r="AD1694" s="6">
        <v>-7.2700000000000031</v>
      </c>
      <c r="AE1694" s="6">
        <v>7.2700000000000031</v>
      </c>
    </row>
    <row r="1695" spans="2:31" ht="20" x14ac:dyDescent="0.25">
      <c r="B1695" s="55"/>
      <c r="C1695" s="55"/>
      <c r="D1695" s="4" t="s">
        <v>2648</v>
      </c>
      <c r="E1695" s="4" t="s">
        <v>2649</v>
      </c>
      <c r="F1695" s="4" t="s">
        <v>51</v>
      </c>
      <c r="G1695" s="4" t="s">
        <v>35</v>
      </c>
      <c r="H1695" s="54" t="s">
        <v>36</v>
      </c>
      <c r="I1695" s="52"/>
      <c r="J1695" s="57">
        <v>81.77</v>
      </c>
      <c r="K1695" s="52"/>
      <c r="L1695" s="6">
        <v>74.983090000000004</v>
      </c>
      <c r="M1695" s="6">
        <v>0.91700000000000015</v>
      </c>
      <c r="N1695" s="6">
        <v>75.239999999999995</v>
      </c>
      <c r="O1695" s="57">
        <v>68.995080000000002</v>
      </c>
      <c r="P1695" s="52"/>
      <c r="Q1695" s="6">
        <v>0.91700000000000004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6.53</v>
      </c>
      <c r="AB1695" s="6">
        <v>5.9880100000000001</v>
      </c>
      <c r="AC1695" s="6">
        <v>0.91699999999999993</v>
      </c>
      <c r="AD1695" s="6">
        <v>-6.5300000000000011</v>
      </c>
      <c r="AE1695" s="6">
        <v>6.5300000000000011</v>
      </c>
    </row>
    <row r="1696" spans="2:31" ht="20" x14ac:dyDescent="0.25">
      <c r="B1696" s="55"/>
      <c r="C1696" s="55"/>
      <c r="D1696" s="4" t="s">
        <v>2650</v>
      </c>
      <c r="E1696" s="4" t="s">
        <v>2651</v>
      </c>
      <c r="F1696" s="4" t="s">
        <v>51</v>
      </c>
      <c r="G1696" s="4" t="s">
        <v>35</v>
      </c>
      <c r="H1696" s="54" t="s">
        <v>36</v>
      </c>
      <c r="I1696" s="52"/>
      <c r="J1696" s="57">
        <v>131.44</v>
      </c>
      <c r="K1696" s="52"/>
      <c r="L1696" s="6">
        <v>120.53048</v>
      </c>
      <c r="M1696" s="6">
        <v>0.91700000000000004</v>
      </c>
      <c r="N1696" s="6">
        <v>124.99</v>
      </c>
      <c r="O1696" s="57">
        <v>114.61583</v>
      </c>
      <c r="P1696" s="52"/>
      <c r="Q1696" s="6">
        <v>0.91700000000000004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6.45</v>
      </c>
      <c r="AB1696" s="6">
        <v>5.91465</v>
      </c>
      <c r="AC1696" s="6">
        <v>0.91699999999999993</v>
      </c>
      <c r="AD1696" s="6">
        <v>-6.4500000000000028</v>
      </c>
      <c r="AE1696" s="6">
        <v>6.4500000000000028</v>
      </c>
    </row>
    <row r="1697" spans="2:31" ht="20" x14ac:dyDescent="0.25">
      <c r="B1697" s="55"/>
      <c r="C1697" s="55"/>
      <c r="D1697" s="4" t="s">
        <v>2652</v>
      </c>
      <c r="E1697" s="4" t="s">
        <v>2653</v>
      </c>
      <c r="F1697" s="4" t="s">
        <v>51</v>
      </c>
      <c r="G1697" s="4" t="s">
        <v>35</v>
      </c>
      <c r="H1697" s="54" t="s">
        <v>48</v>
      </c>
      <c r="I1697" s="52"/>
      <c r="J1697" s="57">
        <v>33.18</v>
      </c>
      <c r="K1697" s="52"/>
      <c r="L1697" s="6">
        <v>24.885000000000002</v>
      </c>
      <c r="M1697" s="6">
        <v>0.75</v>
      </c>
      <c r="N1697" s="6">
        <v>31.37</v>
      </c>
      <c r="O1697" s="57">
        <v>23.5275</v>
      </c>
      <c r="P1697" s="52"/>
      <c r="Q1697" s="6">
        <v>0.75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1.81</v>
      </c>
      <c r="AB1697" s="6">
        <v>1.3574999999999999</v>
      </c>
      <c r="AC1697" s="6">
        <v>0.74999999999999989</v>
      </c>
      <c r="AD1697" s="6">
        <v>-1.8099999999999987</v>
      </c>
      <c r="AE1697" s="6">
        <v>1.8099999999999987</v>
      </c>
    </row>
    <row r="1698" spans="2:31" ht="20" x14ac:dyDescent="0.25">
      <c r="B1698" s="55"/>
      <c r="C1698" s="55"/>
      <c r="D1698" s="4" t="s">
        <v>2654</v>
      </c>
      <c r="E1698" s="4" t="s">
        <v>2655</v>
      </c>
      <c r="F1698" s="4" t="s">
        <v>51</v>
      </c>
      <c r="G1698" s="4" t="s">
        <v>35</v>
      </c>
      <c r="H1698" s="54" t="s">
        <v>36</v>
      </c>
      <c r="I1698" s="52"/>
      <c r="J1698" s="57">
        <v>48.41</v>
      </c>
      <c r="K1698" s="52"/>
      <c r="L1698" s="6">
        <v>44.391970000000001</v>
      </c>
      <c r="M1698" s="6">
        <v>0.91700000000000004</v>
      </c>
      <c r="N1698" s="6">
        <v>47.47</v>
      </c>
      <c r="O1698" s="57">
        <v>43.529989999999998</v>
      </c>
      <c r="P1698" s="52"/>
      <c r="Q1698" s="6">
        <v>0.91699999999999993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0.94</v>
      </c>
      <c r="AB1698" s="6">
        <v>0.86197999999999997</v>
      </c>
      <c r="AC1698" s="6">
        <v>0.91700000000000004</v>
      </c>
      <c r="AD1698" s="6">
        <v>-0.93999999999999773</v>
      </c>
      <c r="AE1698" s="6">
        <v>0.93999999999999773</v>
      </c>
    </row>
    <row r="1699" spans="2:31" ht="20" x14ac:dyDescent="0.25">
      <c r="B1699" s="55"/>
      <c r="C1699" s="55"/>
      <c r="D1699" s="4" t="s">
        <v>2656</v>
      </c>
      <c r="E1699" s="4" t="s">
        <v>2657</v>
      </c>
      <c r="F1699" s="4" t="s">
        <v>51</v>
      </c>
      <c r="G1699" s="4" t="s">
        <v>35</v>
      </c>
      <c r="H1699" s="54" t="s">
        <v>41</v>
      </c>
      <c r="I1699" s="52"/>
      <c r="J1699" s="57">
        <v>22.63</v>
      </c>
      <c r="K1699" s="52"/>
      <c r="L1699" s="6">
        <v>16.9725</v>
      </c>
      <c r="M1699" s="6">
        <v>0.75</v>
      </c>
      <c r="N1699" s="6">
        <v>21.8</v>
      </c>
      <c r="O1699" s="57">
        <v>16.350000000000001</v>
      </c>
      <c r="P1699" s="52"/>
      <c r="Q1699" s="6">
        <v>0.75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0.83</v>
      </c>
      <c r="AB1699" s="6">
        <v>0.62250000000000005</v>
      </c>
      <c r="AC1699" s="6">
        <v>0.75000000000000011</v>
      </c>
      <c r="AD1699" s="6">
        <v>-0.82999999999999829</v>
      </c>
      <c r="AE1699" s="6">
        <v>0.82999999999999829</v>
      </c>
    </row>
    <row r="1700" spans="2:31" x14ac:dyDescent="0.25">
      <c r="B1700" s="55"/>
      <c r="C1700" s="55"/>
      <c r="D1700" s="54" t="s">
        <v>2658</v>
      </c>
      <c r="E1700" s="54" t="s">
        <v>338</v>
      </c>
      <c r="F1700" s="54" t="s">
        <v>51</v>
      </c>
      <c r="G1700" s="54" t="s">
        <v>35</v>
      </c>
      <c r="H1700" s="54" t="s">
        <v>48</v>
      </c>
      <c r="I1700" s="52"/>
      <c r="J1700" s="57">
        <v>7.41</v>
      </c>
      <c r="K1700" s="52"/>
      <c r="L1700" s="6">
        <v>5.5575000000000001</v>
      </c>
      <c r="M1700" s="6">
        <v>0.75</v>
      </c>
      <c r="N1700" s="6">
        <v>5.73</v>
      </c>
      <c r="O1700" s="57">
        <v>4.2975000000000003</v>
      </c>
      <c r="P1700" s="52"/>
      <c r="Q1700" s="6">
        <v>0.75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1.68</v>
      </c>
      <c r="AB1700" s="6">
        <v>1.26</v>
      </c>
      <c r="AC1700" s="6">
        <v>0.75</v>
      </c>
      <c r="AD1700" s="6">
        <v>-1.6799999999999997</v>
      </c>
      <c r="AE1700" s="6">
        <v>1.6799999999999997</v>
      </c>
    </row>
    <row r="1701" spans="2:31" x14ac:dyDescent="0.25">
      <c r="B1701" s="55"/>
      <c r="C1701" s="55"/>
      <c r="D1701" s="55"/>
      <c r="E1701" s="55"/>
      <c r="F1701" s="55"/>
      <c r="G1701" s="55"/>
      <c r="H1701" s="54" t="s">
        <v>41</v>
      </c>
      <c r="I1701" s="52"/>
      <c r="J1701" s="57">
        <v>3.66</v>
      </c>
      <c r="K1701" s="52"/>
      <c r="L1701" s="6">
        <v>2.7450000000000001</v>
      </c>
      <c r="M1701" s="6">
        <v>0.75</v>
      </c>
      <c r="N1701" s="6">
        <v>3.25</v>
      </c>
      <c r="O1701" s="57">
        <v>2.4375</v>
      </c>
      <c r="P1701" s="52"/>
      <c r="Q1701" s="6">
        <v>0.75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0.41</v>
      </c>
      <c r="AB1701" s="6">
        <v>0.3075</v>
      </c>
      <c r="AC1701" s="6">
        <v>0.75</v>
      </c>
      <c r="AD1701" s="6">
        <v>-0.41000000000000014</v>
      </c>
      <c r="AE1701" s="6">
        <v>0.41000000000000014</v>
      </c>
    </row>
    <row r="1702" spans="2:31" x14ac:dyDescent="0.25">
      <c r="B1702" s="55"/>
      <c r="C1702" s="56"/>
      <c r="D1702" s="56"/>
      <c r="E1702" s="56"/>
      <c r="F1702" s="56"/>
      <c r="G1702" s="56"/>
      <c r="H1702" s="54" t="s">
        <v>36</v>
      </c>
      <c r="I1702" s="52"/>
      <c r="J1702" s="57">
        <v>6.65</v>
      </c>
      <c r="K1702" s="52"/>
      <c r="L1702" s="6">
        <v>6.0980499999999997</v>
      </c>
      <c r="M1702" s="6">
        <v>0.91699999999999993</v>
      </c>
      <c r="N1702" s="6">
        <v>3.07</v>
      </c>
      <c r="O1702" s="57">
        <v>2.8151899999999999</v>
      </c>
      <c r="P1702" s="52"/>
      <c r="Q1702" s="6">
        <v>0.91700000000000004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3.58</v>
      </c>
      <c r="AB1702" s="6">
        <v>3.2828599999999999</v>
      </c>
      <c r="AC1702" s="6">
        <v>0.91699999999999993</v>
      </c>
      <c r="AD1702" s="6">
        <v>-3.5800000000000005</v>
      </c>
      <c r="AE1702" s="6">
        <v>3.5800000000000005</v>
      </c>
    </row>
    <row r="1703" spans="2:31" x14ac:dyDescent="0.25">
      <c r="B1703" s="55"/>
      <c r="C1703" s="58">
        <v>46199</v>
      </c>
      <c r="D1703" s="4" t="s">
        <v>2659</v>
      </c>
      <c r="E1703" s="4" t="s">
        <v>2212</v>
      </c>
      <c r="F1703" s="4" t="s">
        <v>34</v>
      </c>
      <c r="G1703" s="4" t="s">
        <v>35</v>
      </c>
      <c r="H1703" s="54" t="s">
        <v>36</v>
      </c>
      <c r="I1703" s="52"/>
      <c r="J1703" s="57">
        <v>202.65</v>
      </c>
      <c r="K1703" s="52"/>
      <c r="L1703" s="6">
        <v>185.83005</v>
      </c>
      <c r="M1703" s="6">
        <v>0.91699999999999993</v>
      </c>
      <c r="N1703" s="6">
        <v>202.12</v>
      </c>
      <c r="O1703" s="57">
        <v>185.34404000000001</v>
      </c>
      <c r="P1703" s="52"/>
      <c r="Q1703" s="6">
        <v>0.91700000000000004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0.53</v>
      </c>
      <c r="AB1703" s="6">
        <v>0.48601</v>
      </c>
      <c r="AC1703" s="6">
        <v>0.91699999999999993</v>
      </c>
      <c r="AD1703" s="6">
        <v>-0.53000000000000114</v>
      </c>
      <c r="AE1703" s="6">
        <v>0.53000000000000114</v>
      </c>
    </row>
    <row r="1704" spans="2:31" x14ac:dyDescent="0.25">
      <c r="B1704" s="55"/>
      <c r="C1704" s="55"/>
      <c r="D1704" s="4" t="s">
        <v>2660</v>
      </c>
      <c r="E1704" s="4" t="s">
        <v>2661</v>
      </c>
      <c r="F1704" s="4" t="s">
        <v>34</v>
      </c>
      <c r="G1704" s="4" t="s">
        <v>35</v>
      </c>
      <c r="H1704" s="54" t="s">
        <v>48</v>
      </c>
      <c r="I1704" s="52"/>
      <c r="J1704" s="57">
        <v>88.97</v>
      </c>
      <c r="K1704" s="52"/>
      <c r="L1704" s="6">
        <v>66.727500000000006</v>
      </c>
      <c r="M1704" s="6">
        <v>0.75000000000000011</v>
      </c>
      <c r="N1704" s="6">
        <v>84.62</v>
      </c>
      <c r="O1704" s="57">
        <v>63.465000000000003</v>
      </c>
      <c r="P1704" s="52"/>
      <c r="Q1704" s="6">
        <v>0.75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4.3499999999999996</v>
      </c>
      <c r="AB1704" s="6">
        <v>3.2625000000000002</v>
      </c>
      <c r="AC1704" s="6">
        <v>0.75000000000000011</v>
      </c>
      <c r="AD1704" s="6">
        <v>-4.3499999999999943</v>
      </c>
      <c r="AE1704" s="6">
        <v>4.3499999999999943</v>
      </c>
    </row>
    <row r="1705" spans="2:31" x14ac:dyDescent="0.25">
      <c r="B1705" s="55"/>
      <c r="C1705" s="55"/>
      <c r="D1705" s="4" t="s">
        <v>2662</v>
      </c>
      <c r="E1705" s="4" t="s">
        <v>2663</v>
      </c>
      <c r="F1705" s="4" t="s">
        <v>34</v>
      </c>
      <c r="G1705" s="4" t="s">
        <v>35</v>
      </c>
      <c r="H1705" s="54" t="s">
        <v>36</v>
      </c>
      <c r="I1705" s="52"/>
      <c r="J1705" s="57">
        <v>13.4</v>
      </c>
      <c r="K1705" s="52"/>
      <c r="L1705" s="6">
        <v>12.287800000000001</v>
      </c>
      <c r="M1705" s="6">
        <v>0.91700000000000004</v>
      </c>
      <c r="N1705" s="6">
        <v>12.11</v>
      </c>
      <c r="O1705" s="57">
        <v>11.10487</v>
      </c>
      <c r="P1705" s="52"/>
      <c r="Q1705" s="6">
        <v>0.91700000000000004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1.29</v>
      </c>
      <c r="AB1705" s="6">
        <v>1.18293</v>
      </c>
      <c r="AC1705" s="6">
        <v>0.91700000000000004</v>
      </c>
      <c r="AD1705" s="6">
        <v>-1.2900000000000009</v>
      </c>
      <c r="AE1705" s="6">
        <v>1.2900000000000009</v>
      </c>
    </row>
    <row r="1706" spans="2:31" x14ac:dyDescent="0.25">
      <c r="B1706" s="55"/>
      <c r="C1706" s="55"/>
      <c r="D1706" s="4" t="s">
        <v>2664</v>
      </c>
      <c r="E1706" s="4" t="s">
        <v>2665</v>
      </c>
      <c r="F1706" s="4" t="s">
        <v>34</v>
      </c>
      <c r="G1706" s="4" t="s">
        <v>35</v>
      </c>
      <c r="H1706" s="54" t="s">
        <v>36</v>
      </c>
      <c r="I1706" s="52"/>
      <c r="J1706" s="57">
        <v>7.79</v>
      </c>
      <c r="K1706" s="52"/>
      <c r="L1706" s="6">
        <v>7.1434300000000004</v>
      </c>
      <c r="M1706" s="6">
        <v>0.91700000000000004</v>
      </c>
      <c r="N1706" s="6">
        <v>7.19</v>
      </c>
      <c r="O1706" s="57">
        <v>6.5932300000000001</v>
      </c>
      <c r="P1706" s="52"/>
      <c r="Q1706" s="6">
        <v>0.91699999999999993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0.6</v>
      </c>
      <c r="AB1706" s="6">
        <v>0.55020000000000002</v>
      </c>
      <c r="AC1706" s="6">
        <v>0.91700000000000004</v>
      </c>
      <c r="AD1706" s="6">
        <v>-0.59999999999999964</v>
      </c>
      <c r="AE1706" s="6">
        <v>0.59999999999999964</v>
      </c>
    </row>
    <row r="1707" spans="2:31" ht="20" x14ac:dyDescent="0.25">
      <c r="B1707" s="55"/>
      <c r="C1707" s="55"/>
      <c r="D1707" s="4" t="s">
        <v>2666</v>
      </c>
      <c r="E1707" s="4" t="s">
        <v>338</v>
      </c>
      <c r="F1707" s="4"/>
      <c r="G1707" s="4" t="s">
        <v>35</v>
      </c>
      <c r="H1707" s="54" t="s">
        <v>36</v>
      </c>
      <c r="I1707" s="52"/>
      <c r="J1707" s="57">
        <v>14.25</v>
      </c>
      <c r="K1707" s="52"/>
      <c r="L1707" s="6">
        <v>13.06725</v>
      </c>
      <c r="M1707" s="6">
        <v>0.91699999999999993</v>
      </c>
      <c r="N1707" s="6">
        <v>14.25</v>
      </c>
      <c r="O1707" s="57">
        <v>13.06725</v>
      </c>
      <c r="P1707" s="52"/>
      <c r="Q1707" s="6">
        <v>0.91699999999999993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</row>
    <row r="1708" spans="2:31" ht="20" x14ac:dyDescent="0.25">
      <c r="B1708" s="55"/>
      <c r="C1708" s="55"/>
      <c r="D1708" s="4" t="s">
        <v>2667</v>
      </c>
      <c r="E1708" s="4" t="s">
        <v>338</v>
      </c>
      <c r="F1708" s="4"/>
      <c r="G1708" s="4" t="s">
        <v>35</v>
      </c>
      <c r="H1708" s="54" t="s">
        <v>48</v>
      </c>
      <c r="I1708" s="52"/>
      <c r="J1708" s="57">
        <v>5.82</v>
      </c>
      <c r="K1708" s="52"/>
      <c r="L1708" s="6">
        <v>4.3650000000000002</v>
      </c>
      <c r="M1708" s="6">
        <v>0.75</v>
      </c>
      <c r="N1708" s="6">
        <v>5.82</v>
      </c>
      <c r="O1708" s="57">
        <v>4.3650000000000002</v>
      </c>
      <c r="P1708" s="52"/>
      <c r="Q1708" s="6">
        <v>0.75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</row>
    <row r="1709" spans="2:31" ht="20" x14ac:dyDescent="0.25">
      <c r="B1709" s="55"/>
      <c r="C1709" s="55"/>
      <c r="D1709" s="4" t="s">
        <v>2668</v>
      </c>
      <c r="E1709" s="4" t="s">
        <v>338</v>
      </c>
      <c r="F1709" s="4"/>
      <c r="G1709" s="4" t="s">
        <v>35</v>
      </c>
      <c r="H1709" s="54" t="s">
        <v>41</v>
      </c>
      <c r="I1709" s="52"/>
      <c r="J1709" s="57">
        <v>15.77</v>
      </c>
      <c r="K1709" s="52"/>
      <c r="L1709" s="6">
        <v>11.827500000000001</v>
      </c>
      <c r="M1709" s="6">
        <v>0.75000000000000011</v>
      </c>
      <c r="N1709" s="6">
        <v>15.77</v>
      </c>
      <c r="O1709" s="57">
        <v>11.827500000000001</v>
      </c>
      <c r="P1709" s="52"/>
      <c r="Q1709" s="6">
        <v>0.75000000000000011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</row>
    <row r="1710" spans="2:31" x14ac:dyDescent="0.25">
      <c r="B1710" s="55"/>
      <c r="C1710" s="55"/>
      <c r="D1710" s="54" t="s">
        <v>2669</v>
      </c>
      <c r="E1710" s="54" t="s">
        <v>338</v>
      </c>
      <c r="F1710" s="54"/>
      <c r="G1710" s="54" t="s">
        <v>35</v>
      </c>
      <c r="H1710" s="54" t="s">
        <v>48</v>
      </c>
      <c r="I1710" s="52"/>
      <c r="J1710" s="57">
        <v>4.68</v>
      </c>
      <c r="K1710" s="52"/>
      <c r="L1710" s="6">
        <v>3.51</v>
      </c>
      <c r="M1710" s="6">
        <v>0.75</v>
      </c>
      <c r="N1710" s="6">
        <v>0</v>
      </c>
      <c r="O1710" s="57">
        <v>0</v>
      </c>
      <c r="P1710" s="52"/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4.68</v>
      </c>
      <c r="AB1710" s="6">
        <v>3.51</v>
      </c>
      <c r="AC1710" s="6">
        <v>0.75</v>
      </c>
      <c r="AD1710" s="6">
        <v>-4.68</v>
      </c>
      <c r="AE1710" s="6">
        <v>4.68</v>
      </c>
    </row>
    <row r="1711" spans="2:31" x14ac:dyDescent="0.25">
      <c r="B1711" s="55"/>
      <c r="C1711" s="55"/>
      <c r="D1711" s="56"/>
      <c r="E1711" s="56"/>
      <c r="F1711" s="56"/>
      <c r="G1711" s="56"/>
      <c r="H1711" s="54" t="s">
        <v>41</v>
      </c>
      <c r="I1711" s="52"/>
      <c r="J1711" s="57">
        <v>1.89</v>
      </c>
      <c r="K1711" s="52"/>
      <c r="L1711" s="6">
        <v>1.4175</v>
      </c>
      <c r="M1711" s="6">
        <v>0.75</v>
      </c>
      <c r="N1711" s="6">
        <v>0</v>
      </c>
      <c r="O1711" s="57">
        <v>0</v>
      </c>
      <c r="P1711" s="52"/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1.89</v>
      </c>
      <c r="AB1711" s="6">
        <v>1.4175</v>
      </c>
      <c r="AC1711" s="6">
        <v>0.75</v>
      </c>
      <c r="AD1711" s="6">
        <v>-1.89</v>
      </c>
      <c r="AE1711" s="6">
        <v>1.89</v>
      </c>
    </row>
    <row r="1712" spans="2:31" ht="20" x14ac:dyDescent="0.25">
      <c r="B1712" s="55"/>
      <c r="C1712" s="55"/>
      <c r="D1712" s="4" t="s">
        <v>2670</v>
      </c>
      <c r="E1712" s="4" t="s">
        <v>338</v>
      </c>
      <c r="F1712" s="4"/>
      <c r="G1712" s="4" t="s">
        <v>35</v>
      </c>
      <c r="H1712" s="54" t="s">
        <v>36</v>
      </c>
      <c r="I1712" s="52"/>
      <c r="J1712" s="57">
        <v>15.49</v>
      </c>
      <c r="K1712" s="52"/>
      <c r="L1712" s="6">
        <v>14.204330000000001</v>
      </c>
      <c r="M1712" s="6">
        <v>0.91700000000000004</v>
      </c>
      <c r="N1712" s="6">
        <v>8.84</v>
      </c>
      <c r="O1712" s="57">
        <v>8.1062799999999999</v>
      </c>
      <c r="P1712" s="52"/>
      <c r="Q1712" s="6">
        <v>0.91700000000000004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6.65</v>
      </c>
      <c r="AB1712" s="6">
        <v>6.0980499999999997</v>
      </c>
      <c r="AC1712" s="6">
        <v>0.91699999999999993</v>
      </c>
      <c r="AD1712" s="6">
        <v>-6.65</v>
      </c>
      <c r="AE1712" s="6">
        <v>6.65</v>
      </c>
    </row>
    <row r="1713" spans="2:31" ht="20" x14ac:dyDescent="0.25">
      <c r="B1713" s="55"/>
      <c r="C1713" s="55"/>
      <c r="D1713" s="4" t="s">
        <v>2671</v>
      </c>
      <c r="E1713" s="4" t="s">
        <v>338</v>
      </c>
      <c r="F1713" s="4"/>
      <c r="G1713" s="4" t="s">
        <v>35</v>
      </c>
      <c r="H1713" s="54" t="s">
        <v>48</v>
      </c>
      <c r="I1713" s="52"/>
      <c r="J1713" s="57">
        <v>1.1399999999999999</v>
      </c>
      <c r="K1713" s="52"/>
      <c r="L1713" s="6">
        <v>0.85499999999999998</v>
      </c>
      <c r="M1713" s="6">
        <v>0.75</v>
      </c>
      <c r="N1713" s="6">
        <v>1.1399999999999999</v>
      </c>
      <c r="O1713" s="57">
        <v>0.85499999999999998</v>
      </c>
      <c r="P1713" s="52"/>
      <c r="Q1713" s="6">
        <v>0.75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</row>
    <row r="1714" spans="2:31" ht="20" x14ac:dyDescent="0.25">
      <c r="B1714" s="55"/>
      <c r="C1714" s="55"/>
      <c r="D1714" s="4" t="s">
        <v>2672</v>
      </c>
      <c r="E1714" s="4" t="s">
        <v>2673</v>
      </c>
      <c r="F1714" s="4" t="s">
        <v>51</v>
      </c>
      <c r="G1714" s="4" t="s">
        <v>35</v>
      </c>
      <c r="H1714" s="54" t="s">
        <v>41</v>
      </c>
      <c r="I1714" s="52"/>
      <c r="J1714" s="57">
        <v>209.37</v>
      </c>
      <c r="K1714" s="52"/>
      <c r="L1714" s="6">
        <v>157.0275</v>
      </c>
      <c r="M1714" s="6">
        <v>0.75</v>
      </c>
      <c r="N1714" s="6">
        <v>181.56</v>
      </c>
      <c r="O1714" s="57">
        <v>136.16999999999999</v>
      </c>
      <c r="P1714" s="52"/>
      <c r="Q1714" s="6">
        <v>0.74999999999999989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27.81</v>
      </c>
      <c r="AB1714" s="6">
        <v>20.857500000000002</v>
      </c>
      <c r="AC1714" s="6">
        <v>0.75000000000000011</v>
      </c>
      <c r="AD1714" s="6">
        <v>-27.81</v>
      </c>
      <c r="AE1714" s="6">
        <v>27.81</v>
      </c>
    </row>
    <row r="1715" spans="2:31" ht="20" x14ac:dyDescent="0.25">
      <c r="B1715" s="55"/>
      <c r="C1715" s="55"/>
      <c r="D1715" s="4" t="s">
        <v>2674</v>
      </c>
      <c r="E1715" s="4" t="s">
        <v>2675</v>
      </c>
      <c r="F1715" s="4" t="s">
        <v>51</v>
      </c>
      <c r="G1715" s="4" t="s">
        <v>35</v>
      </c>
      <c r="H1715" s="54" t="s">
        <v>36</v>
      </c>
      <c r="I1715" s="52"/>
      <c r="J1715" s="57">
        <v>45.9</v>
      </c>
      <c r="K1715" s="52"/>
      <c r="L1715" s="6">
        <v>42.090299999999999</v>
      </c>
      <c r="M1715" s="6">
        <v>0.91700000000000004</v>
      </c>
      <c r="N1715" s="6">
        <v>42.02</v>
      </c>
      <c r="O1715" s="57">
        <v>38.532339999999998</v>
      </c>
      <c r="P1715" s="52"/>
      <c r="Q1715" s="6">
        <v>0.91699999999999993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3.88</v>
      </c>
      <c r="AB1715" s="6">
        <v>3.55796</v>
      </c>
      <c r="AC1715" s="6">
        <v>0.91700000000000004</v>
      </c>
      <c r="AD1715" s="6">
        <v>-3.8799999999999955</v>
      </c>
      <c r="AE1715" s="6">
        <v>3.8799999999999955</v>
      </c>
    </row>
    <row r="1716" spans="2:31" ht="20" x14ac:dyDescent="0.25">
      <c r="B1716" s="55"/>
      <c r="C1716" s="55"/>
      <c r="D1716" s="4" t="s">
        <v>2676</v>
      </c>
      <c r="E1716" s="4" t="s">
        <v>2677</v>
      </c>
      <c r="F1716" s="4" t="s">
        <v>51</v>
      </c>
      <c r="G1716" s="4" t="s">
        <v>35</v>
      </c>
      <c r="H1716" s="54" t="s">
        <v>36</v>
      </c>
      <c r="I1716" s="52"/>
      <c r="J1716" s="57">
        <v>44.22</v>
      </c>
      <c r="K1716" s="52"/>
      <c r="L1716" s="6">
        <v>40.54974</v>
      </c>
      <c r="M1716" s="6">
        <v>0.91700000000000004</v>
      </c>
      <c r="N1716" s="6">
        <v>42.93</v>
      </c>
      <c r="O1716" s="57">
        <v>39.366810000000001</v>
      </c>
      <c r="P1716" s="52"/>
      <c r="Q1716" s="6">
        <v>0.91700000000000004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1.29</v>
      </c>
      <c r="AB1716" s="6">
        <v>1.18293</v>
      </c>
      <c r="AC1716" s="6">
        <v>0.91700000000000004</v>
      </c>
      <c r="AD1716" s="6">
        <v>-1.2899999999999991</v>
      </c>
      <c r="AE1716" s="6">
        <v>1.2899999999999991</v>
      </c>
    </row>
    <row r="1717" spans="2:31" ht="20" x14ac:dyDescent="0.25">
      <c r="B1717" s="55"/>
      <c r="C1717" s="55"/>
      <c r="D1717" s="4" t="s">
        <v>2678</v>
      </c>
      <c r="E1717" s="4" t="s">
        <v>2679</v>
      </c>
      <c r="F1717" s="4" t="s">
        <v>51</v>
      </c>
      <c r="G1717" s="4" t="s">
        <v>35</v>
      </c>
      <c r="H1717" s="54" t="s">
        <v>36</v>
      </c>
      <c r="I1717" s="52"/>
      <c r="J1717" s="57">
        <v>2.81</v>
      </c>
      <c r="K1717" s="52"/>
      <c r="L1717" s="6">
        <v>2.5767699999999998</v>
      </c>
      <c r="M1717" s="6">
        <v>0.91699999999999993</v>
      </c>
      <c r="N1717" s="6">
        <v>2.64</v>
      </c>
      <c r="O1717" s="57">
        <v>2.4208799999999999</v>
      </c>
      <c r="P1717" s="52"/>
      <c r="Q1717" s="6">
        <v>0.91699999999999993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0</v>
      </c>
      <c r="AA1717" s="6">
        <v>0.17</v>
      </c>
      <c r="AB1717" s="6">
        <v>0.15589</v>
      </c>
      <c r="AC1717" s="6">
        <v>0.91699999999999993</v>
      </c>
      <c r="AD1717" s="6">
        <v>-0.16999999999999993</v>
      </c>
      <c r="AE1717" s="6">
        <v>0.16999999999999993</v>
      </c>
    </row>
    <row r="1718" spans="2:31" ht="20" x14ac:dyDescent="0.25">
      <c r="B1718" s="55"/>
      <c r="C1718" s="55"/>
      <c r="D1718" s="4" t="s">
        <v>2680</v>
      </c>
      <c r="E1718" s="4" t="s">
        <v>2681</v>
      </c>
      <c r="F1718" s="4" t="s">
        <v>51</v>
      </c>
      <c r="G1718" s="4" t="s">
        <v>35</v>
      </c>
      <c r="H1718" s="54" t="s">
        <v>36</v>
      </c>
      <c r="I1718" s="52"/>
      <c r="J1718" s="57">
        <v>12.84</v>
      </c>
      <c r="K1718" s="52"/>
      <c r="L1718" s="6">
        <v>11.774279999999999</v>
      </c>
      <c r="M1718" s="6">
        <v>0.91699999999999993</v>
      </c>
      <c r="N1718" s="6">
        <v>12.84</v>
      </c>
      <c r="O1718" s="57">
        <v>11.774279999999999</v>
      </c>
      <c r="P1718" s="52"/>
      <c r="Q1718" s="6">
        <v>0.91699999999999993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</row>
    <row r="1719" spans="2:31" ht="20" x14ac:dyDescent="0.25">
      <c r="B1719" s="55"/>
      <c r="C1719" s="55"/>
      <c r="D1719" s="4" t="s">
        <v>2682</v>
      </c>
      <c r="E1719" s="4" t="s">
        <v>2683</v>
      </c>
      <c r="F1719" s="4" t="s">
        <v>51</v>
      </c>
      <c r="G1719" s="4" t="s">
        <v>35</v>
      </c>
      <c r="H1719" s="54" t="s">
        <v>36</v>
      </c>
      <c r="I1719" s="52"/>
      <c r="J1719" s="57">
        <v>2.54</v>
      </c>
      <c r="K1719" s="52"/>
      <c r="L1719" s="6">
        <v>2.32918</v>
      </c>
      <c r="M1719" s="6">
        <v>0.91700000000000004</v>
      </c>
      <c r="N1719" s="6">
        <v>2.42</v>
      </c>
      <c r="O1719" s="57">
        <v>2.2191399999999999</v>
      </c>
      <c r="P1719" s="52"/>
      <c r="Q1719" s="6">
        <v>0.91699999999999993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0.12</v>
      </c>
      <c r="AB1719" s="6">
        <v>0.11004</v>
      </c>
      <c r="AC1719" s="6">
        <v>0.91700000000000004</v>
      </c>
      <c r="AD1719" s="6">
        <v>-0.12000000000000011</v>
      </c>
      <c r="AE1719" s="6">
        <v>0.12000000000000011</v>
      </c>
    </row>
    <row r="1720" spans="2:31" ht="20" x14ac:dyDescent="0.25">
      <c r="B1720" s="55"/>
      <c r="C1720" s="55"/>
      <c r="D1720" s="4" t="s">
        <v>2684</v>
      </c>
      <c r="E1720" s="4" t="s">
        <v>2685</v>
      </c>
      <c r="F1720" s="4" t="s">
        <v>51</v>
      </c>
      <c r="G1720" s="4" t="s">
        <v>35</v>
      </c>
      <c r="H1720" s="54" t="s">
        <v>36</v>
      </c>
      <c r="I1720" s="52"/>
      <c r="J1720" s="57">
        <v>3.54</v>
      </c>
      <c r="K1720" s="52"/>
      <c r="L1720" s="6">
        <v>3.2461799999999998</v>
      </c>
      <c r="M1720" s="6">
        <v>0.91699999999999993</v>
      </c>
      <c r="N1720" s="6">
        <v>3.34</v>
      </c>
      <c r="O1720" s="57">
        <v>3.0627800000000001</v>
      </c>
      <c r="P1720" s="52"/>
      <c r="Q1720" s="6">
        <v>0.91700000000000004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0.2</v>
      </c>
      <c r="AB1720" s="6">
        <v>0.18340000000000001</v>
      </c>
      <c r="AC1720" s="6">
        <v>0.91700000000000004</v>
      </c>
      <c r="AD1720" s="6">
        <v>-0.20000000000000018</v>
      </c>
      <c r="AE1720" s="6">
        <v>0.20000000000000018</v>
      </c>
    </row>
    <row r="1721" spans="2:31" ht="20" x14ac:dyDescent="0.25">
      <c r="B1721" s="55"/>
      <c r="C1721" s="55"/>
      <c r="D1721" s="4" t="s">
        <v>2686</v>
      </c>
      <c r="E1721" s="4" t="s">
        <v>2687</v>
      </c>
      <c r="F1721" s="4" t="s">
        <v>51</v>
      </c>
      <c r="G1721" s="4" t="s">
        <v>35</v>
      </c>
      <c r="H1721" s="54" t="s">
        <v>36</v>
      </c>
      <c r="I1721" s="52"/>
      <c r="J1721" s="57">
        <v>21.05</v>
      </c>
      <c r="K1721" s="52"/>
      <c r="L1721" s="6">
        <v>19.302849999999999</v>
      </c>
      <c r="M1721" s="6">
        <v>0.91699999999999993</v>
      </c>
      <c r="N1721" s="6">
        <v>19.02</v>
      </c>
      <c r="O1721" s="57">
        <v>17.44134</v>
      </c>
      <c r="P1721" s="52"/>
      <c r="Q1721" s="6">
        <v>0.91700000000000004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2.0299999999999998</v>
      </c>
      <c r="AB1721" s="6">
        <v>1.86151</v>
      </c>
      <c r="AC1721" s="6">
        <v>0.91700000000000004</v>
      </c>
      <c r="AD1721" s="6">
        <v>-2.0300000000000011</v>
      </c>
      <c r="AE1721" s="6">
        <v>2.0300000000000011</v>
      </c>
    </row>
    <row r="1722" spans="2:31" ht="20" x14ac:dyDescent="0.25">
      <c r="B1722" s="55"/>
      <c r="C1722" s="55"/>
      <c r="D1722" s="4" t="s">
        <v>2688</v>
      </c>
      <c r="E1722" s="4" t="s">
        <v>2689</v>
      </c>
      <c r="F1722" s="4" t="s">
        <v>51</v>
      </c>
      <c r="G1722" s="4" t="s">
        <v>35</v>
      </c>
      <c r="H1722" s="54" t="s">
        <v>36</v>
      </c>
      <c r="I1722" s="52"/>
      <c r="J1722" s="57">
        <v>3.78</v>
      </c>
      <c r="K1722" s="52"/>
      <c r="L1722" s="6">
        <v>3.4662600000000001</v>
      </c>
      <c r="M1722" s="6">
        <v>0.91700000000000004</v>
      </c>
      <c r="N1722" s="6">
        <v>3.62</v>
      </c>
      <c r="O1722" s="57">
        <v>3.3195399999999999</v>
      </c>
      <c r="P1722" s="52"/>
      <c r="Q1722" s="6">
        <v>0.91699999999999993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0.16</v>
      </c>
      <c r="AB1722" s="6">
        <v>0.14671999999999999</v>
      </c>
      <c r="AC1722" s="6">
        <v>0.91699999999999993</v>
      </c>
      <c r="AD1722" s="6">
        <v>-0.1599999999999997</v>
      </c>
      <c r="AE1722" s="6">
        <v>0.1599999999999997</v>
      </c>
    </row>
    <row r="1723" spans="2:31" ht="20" x14ac:dyDescent="0.25">
      <c r="B1723" s="55"/>
      <c r="C1723" s="55"/>
      <c r="D1723" s="4" t="s">
        <v>2690</v>
      </c>
      <c r="E1723" s="4" t="s">
        <v>2691</v>
      </c>
      <c r="F1723" s="4" t="s">
        <v>51</v>
      </c>
      <c r="G1723" s="4" t="s">
        <v>35</v>
      </c>
      <c r="H1723" s="54" t="s">
        <v>36</v>
      </c>
      <c r="I1723" s="52"/>
      <c r="J1723" s="57">
        <v>44.46</v>
      </c>
      <c r="K1723" s="52"/>
      <c r="L1723" s="6">
        <v>40.769820000000003</v>
      </c>
      <c r="M1723" s="6">
        <v>0.91700000000000004</v>
      </c>
      <c r="N1723" s="6">
        <v>40.83</v>
      </c>
      <c r="O1723" s="57">
        <v>37.441110000000002</v>
      </c>
      <c r="P1723" s="52"/>
      <c r="Q1723" s="6">
        <v>0.91700000000000004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3.63</v>
      </c>
      <c r="AB1723" s="6">
        <v>3.3287100000000001</v>
      </c>
      <c r="AC1723" s="6">
        <v>0.91700000000000004</v>
      </c>
      <c r="AD1723" s="6">
        <v>-3.6300000000000026</v>
      </c>
      <c r="AE1723" s="6">
        <v>3.6300000000000026</v>
      </c>
    </row>
    <row r="1724" spans="2:31" ht="20" x14ac:dyDescent="0.25">
      <c r="B1724" s="55"/>
      <c r="C1724" s="55"/>
      <c r="D1724" s="4" t="s">
        <v>2692</v>
      </c>
      <c r="E1724" s="4" t="s">
        <v>2693</v>
      </c>
      <c r="F1724" s="4" t="s">
        <v>51</v>
      </c>
      <c r="G1724" s="4" t="s">
        <v>35</v>
      </c>
      <c r="H1724" s="54" t="s">
        <v>48</v>
      </c>
      <c r="I1724" s="52"/>
      <c r="J1724" s="57">
        <v>47.55</v>
      </c>
      <c r="K1724" s="52"/>
      <c r="L1724" s="6">
        <v>35.662500000000001</v>
      </c>
      <c r="M1724" s="6">
        <v>0.75000000000000011</v>
      </c>
      <c r="N1724" s="6">
        <v>43.48</v>
      </c>
      <c r="O1724" s="57">
        <v>32.61</v>
      </c>
      <c r="P1724" s="52"/>
      <c r="Q1724" s="6">
        <v>0.75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4.07</v>
      </c>
      <c r="AB1724" s="6">
        <v>3.0525000000000002</v>
      </c>
      <c r="AC1724" s="6">
        <v>0.75</v>
      </c>
      <c r="AD1724" s="6">
        <v>-4.07</v>
      </c>
      <c r="AE1724" s="6">
        <v>4.07</v>
      </c>
    </row>
    <row r="1725" spans="2:31" ht="20" x14ac:dyDescent="0.25">
      <c r="B1725" s="55"/>
      <c r="C1725" s="55"/>
      <c r="D1725" s="4" t="s">
        <v>2694</v>
      </c>
      <c r="E1725" s="4" t="s">
        <v>2695</v>
      </c>
      <c r="F1725" s="4" t="s">
        <v>51</v>
      </c>
      <c r="G1725" s="4" t="s">
        <v>35</v>
      </c>
      <c r="H1725" s="54" t="s">
        <v>36</v>
      </c>
      <c r="I1725" s="52"/>
      <c r="J1725" s="57">
        <v>21.03</v>
      </c>
      <c r="K1725" s="52"/>
      <c r="L1725" s="6">
        <v>19.284510000000001</v>
      </c>
      <c r="M1725" s="6">
        <v>0.91700000000000004</v>
      </c>
      <c r="N1725" s="6">
        <v>18.5</v>
      </c>
      <c r="O1725" s="57">
        <v>16.964500000000001</v>
      </c>
      <c r="P1725" s="52"/>
      <c r="Q1725" s="6">
        <v>0.91700000000000004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2.5299999999999998</v>
      </c>
      <c r="AB1725" s="6">
        <v>2.3200099999999999</v>
      </c>
      <c r="AC1725" s="6">
        <v>0.91700000000000004</v>
      </c>
      <c r="AD1725" s="6">
        <v>-2.5300000000000011</v>
      </c>
      <c r="AE1725" s="6">
        <v>2.5300000000000011</v>
      </c>
    </row>
    <row r="1726" spans="2:31" ht="20" x14ac:dyDescent="0.25">
      <c r="B1726" s="55"/>
      <c r="C1726" s="55"/>
      <c r="D1726" s="4" t="s">
        <v>2696</v>
      </c>
      <c r="E1726" s="4" t="s">
        <v>2697</v>
      </c>
      <c r="F1726" s="4" t="s">
        <v>51</v>
      </c>
      <c r="G1726" s="4" t="s">
        <v>35</v>
      </c>
      <c r="H1726" s="54" t="s">
        <v>36</v>
      </c>
      <c r="I1726" s="52"/>
      <c r="J1726" s="57">
        <v>86.63</v>
      </c>
      <c r="K1726" s="52"/>
      <c r="L1726" s="6">
        <v>79.439710000000005</v>
      </c>
      <c r="M1726" s="6">
        <v>0.91700000000000015</v>
      </c>
      <c r="N1726" s="6">
        <v>81.47</v>
      </c>
      <c r="O1726" s="57">
        <v>74.707989999999995</v>
      </c>
      <c r="P1726" s="52"/>
      <c r="Q1726" s="6">
        <v>0.91699999999999993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5.16</v>
      </c>
      <c r="AB1726" s="6">
        <v>4.7317200000000001</v>
      </c>
      <c r="AC1726" s="6">
        <v>0.91700000000000004</v>
      </c>
      <c r="AD1726" s="6">
        <v>-5.1599999999999966</v>
      </c>
      <c r="AE1726" s="6">
        <v>5.1599999999999966</v>
      </c>
    </row>
    <row r="1727" spans="2:31" ht="20" x14ac:dyDescent="0.25">
      <c r="B1727" s="55"/>
      <c r="C1727" s="55"/>
      <c r="D1727" s="4" t="s">
        <v>2698</v>
      </c>
      <c r="E1727" s="4" t="s">
        <v>2699</v>
      </c>
      <c r="F1727" s="4" t="s">
        <v>51</v>
      </c>
      <c r="G1727" s="4" t="s">
        <v>35</v>
      </c>
      <c r="H1727" s="54" t="s">
        <v>48</v>
      </c>
      <c r="I1727" s="52"/>
      <c r="J1727" s="57">
        <v>71.37</v>
      </c>
      <c r="K1727" s="52"/>
      <c r="L1727" s="6">
        <v>53.527500000000003</v>
      </c>
      <c r="M1727" s="6">
        <v>0.75</v>
      </c>
      <c r="N1727" s="6">
        <v>66.48</v>
      </c>
      <c r="O1727" s="57">
        <v>49.86</v>
      </c>
      <c r="P1727" s="52"/>
      <c r="Q1727" s="6">
        <v>0.75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4.8899999999999997</v>
      </c>
      <c r="AB1727" s="6">
        <v>3.6675</v>
      </c>
      <c r="AC1727" s="6">
        <v>0.75</v>
      </c>
      <c r="AD1727" s="6">
        <v>-4.8900000000000006</v>
      </c>
      <c r="AE1727" s="6">
        <v>4.8900000000000006</v>
      </c>
    </row>
    <row r="1728" spans="2:31" ht="20" x14ac:dyDescent="0.25">
      <c r="B1728" s="55"/>
      <c r="C1728" s="55"/>
      <c r="D1728" s="4" t="s">
        <v>2700</v>
      </c>
      <c r="E1728" s="4" t="s">
        <v>2701</v>
      </c>
      <c r="F1728" s="4" t="s">
        <v>51</v>
      </c>
      <c r="G1728" s="4" t="s">
        <v>35</v>
      </c>
      <c r="H1728" s="54" t="s">
        <v>36</v>
      </c>
      <c r="I1728" s="52"/>
      <c r="J1728" s="57">
        <v>92.36</v>
      </c>
      <c r="K1728" s="52"/>
      <c r="L1728" s="6">
        <v>84.694119999999998</v>
      </c>
      <c r="M1728" s="6">
        <v>0.91700000000000004</v>
      </c>
      <c r="N1728" s="6">
        <v>90.06</v>
      </c>
      <c r="O1728" s="57">
        <v>82.58502</v>
      </c>
      <c r="P1728" s="52"/>
      <c r="Q1728" s="6">
        <v>0.91699999999999993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2.2999999999999998</v>
      </c>
      <c r="AB1728" s="6">
        <v>2.1091000000000002</v>
      </c>
      <c r="AC1728" s="6">
        <v>0.91700000000000015</v>
      </c>
      <c r="AD1728" s="6">
        <v>-2.2999999999999972</v>
      </c>
      <c r="AE1728" s="6">
        <v>2.2999999999999972</v>
      </c>
    </row>
    <row r="1729" spans="2:31" ht="20" x14ac:dyDescent="0.25">
      <c r="B1729" s="55"/>
      <c r="C1729" s="55"/>
      <c r="D1729" s="4" t="s">
        <v>2702</v>
      </c>
      <c r="E1729" s="4" t="s">
        <v>2703</v>
      </c>
      <c r="F1729" s="4" t="s">
        <v>51</v>
      </c>
      <c r="G1729" s="4" t="s">
        <v>35</v>
      </c>
      <c r="H1729" s="54" t="s">
        <v>36</v>
      </c>
      <c r="I1729" s="52"/>
      <c r="J1729" s="57">
        <v>45.37</v>
      </c>
      <c r="K1729" s="52"/>
      <c r="L1729" s="6">
        <v>41.604289999999999</v>
      </c>
      <c r="M1729" s="6">
        <v>0.91700000000000004</v>
      </c>
      <c r="N1729" s="6">
        <v>41.89</v>
      </c>
      <c r="O1729" s="57">
        <v>38.413130000000002</v>
      </c>
      <c r="P1729" s="52"/>
      <c r="Q1729" s="6">
        <v>0.91700000000000004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3.48</v>
      </c>
      <c r="AB1729" s="6">
        <v>3.19116</v>
      </c>
      <c r="AC1729" s="6">
        <v>0.91700000000000004</v>
      </c>
      <c r="AD1729" s="6">
        <v>-3.4799999999999969</v>
      </c>
      <c r="AE1729" s="6">
        <v>3.4799999999999969</v>
      </c>
    </row>
    <row r="1730" spans="2:31" ht="20" x14ac:dyDescent="0.25">
      <c r="B1730" s="55"/>
      <c r="C1730" s="55"/>
      <c r="D1730" s="4" t="s">
        <v>2704</v>
      </c>
      <c r="E1730" s="4" t="s">
        <v>2705</v>
      </c>
      <c r="F1730" s="4" t="s">
        <v>51</v>
      </c>
      <c r="G1730" s="4" t="s">
        <v>35</v>
      </c>
      <c r="H1730" s="54" t="s">
        <v>36</v>
      </c>
      <c r="I1730" s="52"/>
      <c r="J1730" s="57">
        <v>4.08</v>
      </c>
      <c r="K1730" s="52"/>
      <c r="L1730" s="6">
        <v>3.7413599999999998</v>
      </c>
      <c r="M1730" s="6">
        <v>0.91699999999999993</v>
      </c>
      <c r="N1730" s="6">
        <v>3.87</v>
      </c>
      <c r="O1730" s="57">
        <v>3.5487899999999999</v>
      </c>
      <c r="P1730" s="52"/>
      <c r="Q1730" s="6">
        <v>0.91699999999999993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0.21</v>
      </c>
      <c r="AB1730" s="6">
        <v>0.19256999999999999</v>
      </c>
      <c r="AC1730" s="6">
        <v>0.91700000000000004</v>
      </c>
      <c r="AD1730" s="6">
        <v>-0.20999999999999996</v>
      </c>
      <c r="AE1730" s="6">
        <v>0.20999999999999996</v>
      </c>
    </row>
    <row r="1731" spans="2:31" ht="20" x14ac:dyDescent="0.25">
      <c r="B1731" s="55"/>
      <c r="C1731" s="55"/>
      <c r="D1731" s="4" t="s">
        <v>2706</v>
      </c>
      <c r="E1731" s="4" t="s">
        <v>2707</v>
      </c>
      <c r="F1731" s="4" t="s">
        <v>51</v>
      </c>
      <c r="G1731" s="4" t="s">
        <v>35</v>
      </c>
      <c r="H1731" s="54" t="s">
        <v>36</v>
      </c>
      <c r="I1731" s="52"/>
      <c r="J1731" s="57">
        <v>23.13</v>
      </c>
      <c r="K1731" s="52"/>
      <c r="L1731" s="6">
        <v>21.21021</v>
      </c>
      <c r="M1731" s="6">
        <v>0.91700000000000004</v>
      </c>
      <c r="N1731" s="6">
        <v>20.79</v>
      </c>
      <c r="O1731" s="57">
        <v>19.064430000000002</v>
      </c>
      <c r="P1731" s="52"/>
      <c r="Q1731" s="6">
        <v>0.91700000000000015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2.34</v>
      </c>
      <c r="AB1731" s="6">
        <v>2.1457799999999998</v>
      </c>
      <c r="AC1731" s="6">
        <v>0.91699999999999993</v>
      </c>
      <c r="AD1731" s="6">
        <v>-2.34</v>
      </c>
      <c r="AE1731" s="6">
        <v>2.34</v>
      </c>
    </row>
    <row r="1732" spans="2:31" ht="20" x14ac:dyDescent="0.25">
      <c r="B1732" s="55"/>
      <c r="C1732" s="55"/>
      <c r="D1732" s="4" t="s">
        <v>2708</v>
      </c>
      <c r="E1732" s="4" t="s">
        <v>2709</v>
      </c>
      <c r="F1732" s="4" t="s">
        <v>51</v>
      </c>
      <c r="G1732" s="4" t="s">
        <v>35</v>
      </c>
      <c r="H1732" s="54" t="s">
        <v>36</v>
      </c>
      <c r="I1732" s="52"/>
      <c r="J1732" s="57">
        <v>5.6</v>
      </c>
      <c r="K1732" s="52"/>
      <c r="L1732" s="6">
        <v>5.1352000000000002</v>
      </c>
      <c r="M1732" s="6">
        <v>0.91700000000000015</v>
      </c>
      <c r="N1732" s="6">
        <v>5.28</v>
      </c>
      <c r="O1732" s="57">
        <v>4.8417599999999998</v>
      </c>
      <c r="P1732" s="52"/>
      <c r="Q1732" s="6">
        <v>0.91699999999999993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0.32</v>
      </c>
      <c r="AB1732" s="6">
        <v>0.29343999999999998</v>
      </c>
      <c r="AC1732" s="6">
        <v>0.91699999999999993</v>
      </c>
      <c r="AD1732" s="6">
        <v>-0.3199999999999994</v>
      </c>
      <c r="AE1732" s="6">
        <v>0.3199999999999994</v>
      </c>
    </row>
    <row r="1733" spans="2:31" ht="20" x14ac:dyDescent="0.25">
      <c r="B1733" s="55"/>
      <c r="C1733" s="55"/>
      <c r="D1733" s="4" t="s">
        <v>2710</v>
      </c>
      <c r="E1733" s="4" t="s">
        <v>2711</v>
      </c>
      <c r="F1733" s="4" t="s">
        <v>51</v>
      </c>
      <c r="G1733" s="4" t="s">
        <v>35</v>
      </c>
      <c r="H1733" s="54" t="s">
        <v>36</v>
      </c>
      <c r="I1733" s="52"/>
      <c r="J1733" s="57">
        <v>4.9000000000000004</v>
      </c>
      <c r="K1733" s="52"/>
      <c r="L1733" s="6">
        <v>4.4932999999999996</v>
      </c>
      <c r="M1733" s="6">
        <v>0.91699999999999982</v>
      </c>
      <c r="N1733" s="6">
        <v>4.5999999999999996</v>
      </c>
      <c r="O1733" s="57">
        <v>4.2182000000000004</v>
      </c>
      <c r="P1733" s="52"/>
      <c r="Q1733" s="6">
        <v>0.91700000000000015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0.3</v>
      </c>
      <c r="AB1733" s="6">
        <v>0.27510000000000001</v>
      </c>
      <c r="AC1733" s="6">
        <v>0.91700000000000004</v>
      </c>
      <c r="AD1733" s="6">
        <v>-0.30000000000000071</v>
      </c>
      <c r="AE1733" s="6">
        <v>0.30000000000000071</v>
      </c>
    </row>
    <row r="1734" spans="2:31" ht="20" x14ac:dyDescent="0.25">
      <c r="B1734" s="55"/>
      <c r="C1734" s="55"/>
      <c r="D1734" s="4" t="s">
        <v>2712</v>
      </c>
      <c r="E1734" s="4" t="s">
        <v>2713</v>
      </c>
      <c r="F1734" s="4" t="s">
        <v>51</v>
      </c>
      <c r="G1734" s="4" t="s">
        <v>35</v>
      </c>
      <c r="H1734" s="54" t="s">
        <v>36</v>
      </c>
      <c r="I1734" s="52"/>
      <c r="J1734" s="57">
        <v>5.77</v>
      </c>
      <c r="K1734" s="52"/>
      <c r="L1734" s="6">
        <v>5.2910899999999996</v>
      </c>
      <c r="M1734" s="6">
        <v>0.91700000000000004</v>
      </c>
      <c r="N1734" s="6">
        <v>5.41</v>
      </c>
      <c r="O1734" s="57">
        <v>4.9609699999999997</v>
      </c>
      <c r="P1734" s="52"/>
      <c r="Q1734" s="6">
        <v>0.91699999999999993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0.36</v>
      </c>
      <c r="AB1734" s="6">
        <v>0.33012000000000002</v>
      </c>
      <c r="AC1734" s="6">
        <v>0.91700000000000015</v>
      </c>
      <c r="AD1734" s="6">
        <v>-0.35999999999999943</v>
      </c>
      <c r="AE1734" s="6">
        <v>0.35999999999999943</v>
      </c>
    </row>
    <row r="1735" spans="2:31" ht="20" x14ac:dyDescent="0.25">
      <c r="B1735" s="55"/>
      <c r="C1735" s="55"/>
      <c r="D1735" s="4" t="s">
        <v>2714</v>
      </c>
      <c r="E1735" s="4" t="s">
        <v>2715</v>
      </c>
      <c r="F1735" s="4" t="s">
        <v>51</v>
      </c>
      <c r="G1735" s="4" t="s">
        <v>35</v>
      </c>
      <c r="H1735" s="54" t="s">
        <v>41</v>
      </c>
      <c r="I1735" s="52"/>
      <c r="J1735" s="57">
        <v>400.7</v>
      </c>
      <c r="K1735" s="52"/>
      <c r="L1735" s="6">
        <v>300.52499999999998</v>
      </c>
      <c r="M1735" s="6">
        <v>0.75</v>
      </c>
      <c r="N1735" s="6">
        <v>376.03</v>
      </c>
      <c r="O1735" s="57">
        <v>282.02249999999998</v>
      </c>
      <c r="P1735" s="52"/>
      <c r="Q1735" s="6">
        <v>0.75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24.67</v>
      </c>
      <c r="AB1735" s="6">
        <v>18.502500000000001</v>
      </c>
      <c r="AC1735" s="6">
        <v>0.75</v>
      </c>
      <c r="AD1735" s="6">
        <v>-24.670000000000016</v>
      </c>
      <c r="AE1735" s="6">
        <v>24.670000000000016</v>
      </c>
    </row>
    <row r="1736" spans="2:31" ht="20" x14ac:dyDescent="0.25">
      <c r="B1736" s="55"/>
      <c r="C1736" s="55"/>
      <c r="D1736" s="4" t="s">
        <v>2716</v>
      </c>
      <c r="E1736" s="4" t="s">
        <v>2717</v>
      </c>
      <c r="F1736" s="4" t="s">
        <v>51</v>
      </c>
      <c r="G1736" s="4" t="s">
        <v>35</v>
      </c>
      <c r="H1736" s="54" t="s">
        <v>36</v>
      </c>
      <c r="I1736" s="52"/>
      <c r="J1736" s="57">
        <v>4.04</v>
      </c>
      <c r="K1736" s="52"/>
      <c r="L1736" s="6">
        <v>3.7046800000000002</v>
      </c>
      <c r="M1736" s="6">
        <v>0.91700000000000004</v>
      </c>
      <c r="N1736" s="6">
        <v>3.7</v>
      </c>
      <c r="O1736" s="57">
        <v>3.3929</v>
      </c>
      <c r="P1736" s="52"/>
      <c r="Q1736" s="6">
        <v>0.91699999999999993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0.34</v>
      </c>
      <c r="AB1736" s="6">
        <v>0.31178</v>
      </c>
      <c r="AC1736" s="6">
        <v>0.91699999999999993</v>
      </c>
      <c r="AD1736" s="6">
        <v>-0.33999999999999986</v>
      </c>
      <c r="AE1736" s="6">
        <v>0.33999999999999986</v>
      </c>
    </row>
    <row r="1737" spans="2:31" ht="20" x14ac:dyDescent="0.25">
      <c r="B1737" s="55"/>
      <c r="C1737" s="55"/>
      <c r="D1737" s="4" t="s">
        <v>2718</v>
      </c>
      <c r="E1737" s="4" t="s">
        <v>2719</v>
      </c>
      <c r="F1737" s="4" t="s">
        <v>51</v>
      </c>
      <c r="G1737" s="4" t="s">
        <v>35</v>
      </c>
      <c r="H1737" s="54" t="s">
        <v>36</v>
      </c>
      <c r="I1737" s="52"/>
      <c r="J1737" s="57">
        <v>49.95</v>
      </c>
      <c r="K1737" s="52"/>
      <c r="L1737" s="6">
        <v>45.80415</v>
      </c>
      <c r="M1737" s="6">
        <v>0.91699999999999993</v>
      </c>
      <c r="N1737" s="6">
        <v>48.18</v>
      </c>
      <c r="O1737" s="57">
        <v>44.181060000000002</v>
      </c>
      <c r="P1737" s="52"/>
      <c r="Q1737" s="6">
        <v>0.91700000000000004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1.77</v>
      </c>
      <c r="AB1737" s="6">
        <v>1.6230899999999999</v>
      </c>
      <c r="AC1737" s="6">
        <v>0.91699999999999993</v>
      </c>
      <c r="AD1737" s="6">
        <v>-1.7700000000000031</v>
      </c>
      <c r="AE1737" s="6">
        <v>1.7700000000000031</v>
      </c>
    </row>
    <row r="1738" spans="2:31" ht="20" x14ac:dyDescent="0.25">
      <c r="B1738" s="55"/>
      <c r="C1738" s="55"/>
      <c r="D1738" s="4" t="s">
        <v>2720</v>
      </c>
      <c r="E1738" s="4" t="s">
        <v>2721</v>
      </c>
      <c r="F1738" s="4" t="s">
        <v>51</v>
      </c>
      <c r="G1738" s="4" t="s">
        <v>35</v>
      </c>
      <c r="H1738" s="54" t="s">
        <v>36</v>
      </c>
      <c r="I1738" s="52"/>
      <c r="J1738" s="57">
        <v>23.74</v>
      </c>
      <c r="K1738" s="52"/>
      <c r="L1738" s="6">
        <v>21.769580000000001</v>
      </c>
      <c r="M1738" s="6">
        <v>0.91700000000000015</v>
      </c>
      <c r="N1738" s="6">
        <v>23.14</v>
      </c>
      <c r="O1738" s="57">
        <v>21.219380000000001</v>
      </c>
      <c r="P1738" s="52"/>
      <c r="Q1738" s="6">
        <v>0.91700000000000004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0.6</v>
      </c>
      <c r="AB1738" s="6">
        <v>0.55020000000000002</v>
      </c>
      <c r="AC1738" s="6">
        <v>0.91700000000000004</v>
      </c>
      <c r="AD1738" s="6">
        <v>-0.59999999999999787</v>
      </c>
      <c r="AE1738" s="6">
        <v>0.59999999999999787</v>
      </c>
    </row>
    <row r="1739" spans="2:31" ht="20" x14ac:dyDescent="0.25">
      <c r="B1739" s="55"/>
      <c r="C1739" s="55"/>
      <c r="D1739" s="4" t="s">
        <v>2722</v>
      </c>
      <c r="E1739" s="4" t="s">
        <v>2723</v>
      </c>
      <c r="F1739" s="4" t="s">
        <v>51</v>
      </c>
      <c r="G1739" s="4" t="s">
        <v>35</v>
      </c>
      <c r="H1739" s="54" t="s">
        <v>36</v>
      </c>
      <c r="I1739" s="52"/>
      <c r="J1739" s="57">
        <v>29.04</v>
      </c>
      <c r="K1739" s="52"/>
      <c r="L1739" s="6">
        <v>26.62968</v>
      </c>
      <c r="M1739" s="6">
        <v>0.91700000000000004</v>
      </c>
      <c r="N1739" s="6">
        <v>28.23</v>
      </c>
      <c r="O1739" s="57">
        <v>25.88691</v>
      </c>
      <c r="P1739" s="52"/>
      <c r="Q1739" s="6">
        <v>0.91700000000000004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0.81</v>
      </c>
      <c r="AB1739" s="6">
        <v>0.74277000000000004</v>
      </c>
      <c r="AC1739" s="6">
        <v>0.91700000000000004</v>
      </c>
      <c r="AD1739" s="6">
        <v>-0.80999999999999872</v>
      </c>
      <c r="AE1739" s="6">
        <v>0.80999999999999872</v>
      </c>
    </row>
    <row r="1740" spans="2:31" ht="20" x14ac:dyDescent="0.25">
      <c r="B1740" s="55"/>
      <c r="C1740" s="55"/>
      <c r="D1740" s="4" t="s">
        <v>2724</v>
      </c>
      <c r="E1740" s="4" t="s">
        <v>2725</v>
      </c>
      <c r="F1740" s="4" t="s">
        <v>51</v>
      </c>
      <c r="G1740" s="4" t="s">
        <v>35</v>
      </c>
      <c r="H1740" s="54" t="s">
        <v>48</v>
      </c>
      <c r="I1740" s="52"/>
      <c r="J1740" s="57">
        <v>1.48</v>
      </c>
      <c r="K1740" s="52"/>
      <c r="L1740" s="6">
        <v>1.1100000000000001</v>
      </c>
      <c r="M1740" s="6">
        <v>0.75000000000000011</v>
      </c>
      <c r="N1740" s="6">
        <v>1.38</v>
      </c>
      <c r="O1740" s="57">
        <v>1.0349999999999999</v>
      </c>
      <c r="P1740" s="52"/>
      <c r="Q1740" s="6">
        <v>0.75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0.1</v>
      </c>
      <c r="AB1740" s="6">
        <v>7.4999999999999997E-2</v>
      </c>
      <c r="AC1740" s="6">
        <v>0.74999999999999989</v>
      </c>
      <c r="AD1740" s="6">
        <v>-0.10000000000000009</v>
      </c>
      <c r="AE1740" s="6">
        <v>0.10000000000000009</v>
      </c>
    </row>
    <row r="1741" spans="2:31" ht="20" x14ac:dyDescent="0.25">
      <c r="B1741" s="55"/>
      <c r="C1741" s="55"/>
      <c r="D1741" s="4" t="s">
        <v>2726</v>
      </c>
      <c r="E1741" s="4" t="s">
        <v>2715</v>
      </c>
      <c r="F1741" s="4" t="s">
        <v>51</v>
      </c>
      <c r="G1741" s="4" t="s">
        <v>133</v>
      </c>
      <c r="H1741" s="54" t="s">
        <v>41</v>
      </c>
      <c r="I1741" s="52"/>
      <c r="J1741" s="57">
        <v>376.03</v>
      </c>
      <c r="K1741" s="52"/>
      <c r="L1741" s="6">
        <v>282.02249999999998</v>
      </c>
      <c r="M1741" s="6">
        <v>0.75</v>
      </c>
      <c r="N1741" s="6">
        <v>375.93</v>
      </c>
      <c r="O1741" s="57">
        <v>281.94749999999999</v>
      </c>
      <c r="P1741" s="52"/>
      <c r="Q1741" s="6">
        <v>0.75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0.1</v>
      </c>
      <c r="AB1741" s="6">
        <v>7.4999999999999997E-2</v>
      </c>
      <c r="AC1741" s="6">
        <v>0.74999999999999989</v>
      </c>
      <c r="AD1741" s="6">
        <v>-9.9999999999965894E-2</v>
      </c>
      <c r="AE1741" s="6">
        <v>9.9999999999965894E-2</v>
      </c>
    </row>
    <row r="1742" spans="2:31" ht="20" x14ac:dyDescent="0.25">
      <c r="B1742" s="55"/>
      <c r="C1742" s="55"/>
      <c r="D1742" s="4" t="s">
        <v>2727</v>
      </c>
      <c r="E1742" s="4" t="s">
        <v>2653</v>
      </c>
      <c r="F1742" s="4" t="s">
        <v>51</v>
      </c>
      <c r="G1742" s="4" t="s">
        <v>35</v>
      </c>
      <c r="H1742" s="54" t="s">
        <v>48</v>
      </c>
      <c r="I1742" s="52"/>
      <c r="J1742" s="57">
        <v>31.67</v>
      </c>
      <c r="K1742" s="52"/>
      <c r="L1742" s="6">
        <v>23.752500000000001</v>
      </c>
      <c r="M1742" s="6">
        <v>0.75</v>
      </c>
      <c r="N1742" s="6">
        <v>31.67</v>
      </c>
      <c r="O1742" s="57">
        <v>23.752500000000001</v>
      </c>
      <c r="P1742" s="52"/>
      <c r="Q1742" s="6">
        <v>0.75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</row>
    <row r="1743" spans="2:31" ht="20" x14ac:dyDescent="0.25">
      <c r="B1743" s="55"/>
      <c r="C1743" s="55"/>
      <c r="D1743" s="4" t="s">
        <v>2728</v>
      </c>
      <c r="E1743" s="4" t="s">
        <v>2729</v>
      </c>
      <c r="F1743" s="4" t="s">
        <v>51</v>
      </c>
      <c r="G1743" s="4" t="s">
        <v>35</v>
      </c>
      <c r="H1743" s="54" t="s">
        <v>36</v>
      </c>
      <c r="I1743" s="52"/>
      <c r="J1743" s="57">
        <v>46.1</v>
      </c>
      <c r="K1743" s="52"/>
      <c r="L1743" s="6">
        <v>42.273699999999998</v>
      </c>
      <c r="M1743" s="6">
        <v>0.91699999999999993</v>
      </c>
      <c r="N1743" s="6">
        <v>46.01</v>
      </c>
      <c r="O1743" s="57">
        <v>42.19117</v>
      </c>
      <c r="P1743" s="52"/>
      <c r="Q1743" s="6">
        <v>0.91700000000000004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0.09</v>
      </c>
      <c r="AB1743" s="6">
        <v>8.2530000000000006E-2</v>
      </c>
      <c r="AC1743" s="6">
        <v>0.91700000000000015</v>
      </c>
      <c r="AD1743" s="6">
        <v>-9.0000000000003411E-2</v>
      </c>
      <c r="AE1743" s="6">
        <v>9.0000000000003411E-2</v>
      </c>
    </row>
    <row r="1744" spans="2:31" ht="20" x14ac:dyDescent="0.25">
      <c r="B1744" s="55"/>
      <c r="C1744" s="55"/>
      <c r="D1744" s="4" t="s">
        <v>2730</v>
      </c>
      <c r="E1744" s="4" t="s">
        <v>2731</v>
      </c>
      <c r="F1744" s="4" t="s">
        <v>51</v>
      </c>
      <c r="G1744" s="4" t="s">
        <v>35</v>
      </c>
      <c r="H1744" s="54" t="s">
        <v>36</v>
      </c>
      <c r="I1744" s="52"/>
      <c r="J1744" s="57">
        <v>12.22</v>
      </c>
      <c r="K1744" s="52"/>
      <c r="L1744" s="6">
        <v>11.20574</v>
      </c>
      <c r="M1744" s="6">
        <v>0.91700000000000004</v>
      </c>
      <c r="N1744" s="6">
        <v>11.25</v>
      </c>
      <c r="O1744" s="57">
        <v>10.31625</v>
      </c>
      <c r="P1744" s="52"/>
      <c r="Q1744" s="6">
        <v>0.91700000000000004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0.97</v>
      </c>
      <c r="AB1744" s="6">
        <v>0.88949</v>
      </c>
      <c r="AC1744" s="6">
        <v>0.91700000000000004</v>
      </c>
      <c r="AD1744" s="6">
        <v>-0.97000000000000064</v>
      </c>
      <c r="AE1744" s="6">
        <v>0.97000000000000064</v>
      </c>
    </row>
    <row r="1745" spans="2:31" ht="20" x14ac:dyDescent="0.25">
      <c r="B1745" s="55"/>
      <c r="C1745" s="55"/>
      <c r="D1745" s="4" t="s">
        <v>2732</v>
      </c>
      <c r="E1745" s="4" t="s">
        <v>2717</v>
      </c>
      <c r="F1745" s="4" t="s">
        <v>51</v>
      </c>
      <c r="G1745" s="4" t="s">
        <v>35</v>
      </c>
      <c r="H1745" s="54" t="s">
        <v>36</v>
      </c>
      <c r="I1745" s="52"/>
      <c r="J1745" s="57">
        <v>3.7</v>
      </c>
      <c r="K1745" s="52"/>
      <c r="L1745" s="6">
        <v>3.3929</v>
      </c>
      <c r="M1745" s="6">
        <v>0.91699999999999993</v>
      </c>
      <c r="N1745" s="6">
        <v>3.65</v>
      </c>
      <c r="O1745" s="57">
        <v>3.3470499999999999</v>
      </c>
      <c r="P1745" s="52"/>
      <c r="Q1745" s="6">
        <v>0.91700000000000004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0.05</v>
      </c>
      <c r="AB1745" s="6">
        <v>4.5850000000000002E-2</v>
      </c>
      <c r="AC1745" s="6">
        <v>0.91700000000000004</v>
      </c>
      <c r="AD1745" s="6">
        <v>-5.0000000000000266E-2</v>
      </c>
      <c r="AE1745" s="6">
        <v>5.0000000000000266E-2</v>
      </c>
    </row>
    <row r="1746" spans="2:31" ht="20" x14ac:dyDescent="0.25">
      <c r="B1746" s="55"/>
      <c r="C1746" s="55"/>
      <c r="D1746" s="4" t="s">
        <v>2733</v>
      </c>
      <c r="E1746" s="4" t="s">
        <v>2734</v>
      </c>
      <c r="F1746" s="4" t="s">
        <v>51</v>
      </c>
      <c r="G1746" s="4" t="s">
        <v>35</v>
      </c>
      <c r="H1746" s="54" t="s">
        <v>36</v>
      </c>
      <c r="I1746" s="52"/>
      <c r="J1746" s="57">
        <v>3.46</v>
      </c>
      <c r="K1746" s="52"/>
      <c r="L1746" s="6">
        <v>3.1728200000000002</v>
      </c>
      <c r="M1746" s="6">
        <v>0.91700000000000004</v>
      </c>
      <c r="N1746" s="6">
        <v>2.99</v>
      </c>
      <c r="O1746" s="57">
        <v>2.7418300000000002</v>
      </c>
      <c r="P1746" s="52"/>
      <c r="Q1746" s="6">
        <v>0.91700000000000004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0.47</v>
      </c>
      <c r="AB1746" s="6">
        <v>0.43098999999999998</v>
      </c>
      <c r="AC1746" s="6">
        <v>0.91700000000000004</v>
      </c>
      <c r="AD1746" s="6">
        <v>-0.46999999999999975</v>
      </c>
      <c r="AE1746" s="6">
        <v>0.46999999999999975</v>
      </c>
    </row>
    <row r="1747" spans="2:31" ht="20" x14ac:dyDescent="0.25">
      <c r="B1747" s="55"/>
      <c r="C1747" s="55"/>
      <c r="D1747" s="4" t="s">
        <v>2735</v>
      </c>
      <c r="E1747" s="4" t="s">
        <v>2736</v>
      </c>
      <c r="F1747" s="4" t="s">
        <v>51</v>
      </c>
      <c r="G1747" s="4" t="s">
        <v>35</v>
      </c>
      <c r="H1747" s="54" t="s">
        <v>36</v>
      </c>
      <c r="I1747" s="52"/>
      <c r="J1747" s="57">
        <v>11.19</v>
      </c>
      <c r="K1747" s="52"/>
      <c r="L1747" s="6">
        <v>10.261229999999999</v>
      </c>
      <c r="M1747" s="6">
        <v>0.91700000000000004</v>
      </c>
      <c r="N1747" s="6">
        <v>10.11</v>
      </c>
      <c r="O1747" s="57">
        <v>9.2708700000000004</v>
      </c>
      <c r="P1747" s="52"/>
      <c r="Q1747" s="6">
        <v>0.91700000000000004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1.08</v>
      </c>
      <c r="AB1747" s="6">
        <v>0.99036000000000002</v>
      </c>
      <c r="AC1747" s="6">
        <v>0.91699999999999993</v>
      </c>
      <c r="AD1747" s="6">
        <v>-1.08</v>
      </c>
      <c r="AE1747" s="6">
        <v>1.08</v>
      </c>
    </row>
    <row r="1748" spans="2:31" ht="20" x14ac:dyDescent="0.25">
      <c r="B1748" s="55"/>
      <c r="C1748" s="55"/>
      <c r="D1748" s="4" t="s">
        <v>2737</v>
      </c>
      <c r="E1748" s="4" t="s">
        <v>2738</v>
      </c>
      <c r="F1748" s="4" t="s">
        <v>51</v>
      </c>
      <c r="G1748" s="4" t="s">
        <v>35</v>
      </c>
      <c r="H1748" s="54" t="s">
        <v>36</v>
      </c>
      <c r="I1748" s="52"/>
      <c r="J1748" s="57">
        <v>60.92</v>
      </c>
      <c r="K1748" s="52"/>
      <c r="L1748" s="6">
        <v>55.863639999999997</v>
      </c>
      <c r="M1748" s="6">
        <v>0.91699999999999993</v>
      </c>
      <c r="N1748" s="6">
        <v>54.83</v>
      </c>
      <c r="O1748" s="57">
        <v>50.279110000000003</v>
      </c>
      <c r="P1748" s="52"/>
      <c r="Q1748" s="6">
        <v>0.91700000000000004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6.09</v>
      </c>
      <c r="AB1748" s="6">
        <v>5.58453</v>
      </c>
      <c r="AC1748" s="6">
        <v>0.91700000000000004</v>
      </c>
      <c r="AD1748" s="6">
        <v>-6.0900000000000034</v>
      </c>
      <c r="AE1748" s="6">
        <v>6.0900000000000034</v>
      </c>
    </row>
    <row r="1749" spans="2:31" ht="20" x14ac:dyDescent="0.25">
      <c r="B1749" s="55"/>
      <c r="C1749" s="55"/>
      <c r="D1749" s="4" t="s">
        <v>2739</v>
      </c>
      <c r="E1749" s="4" t="s">
        <v>2740</v>
      </c>
      <c r="F1749" s="4" t="s">
        <v>51</v>
      </c>
      <c r="G1749" s="4" t="s">
        <v>35</v>
      </c>
      <c r="H1749" s="54" t="s">
        <v>36</v>
      </c>
      <c r="I1749" s="52"/>
      <c r="J1749" s="57">
        <v>59.21</v>
      </c>
      <c r="K1749" s="52"/>
      <c r="L1749" s="6">
        <v>54.295569999999998</v>
      </c>
      <c r="M1749" s="6">
        <v>0.91699999999999993</v>
      </c>
      <c r="N1749" s="6">
        <v>56.37</v>
      </c>
      <c r="O1749" s="57">
        <v>51.691290000000002</v>
      </c>
      <c r="P1749" s="52"/>
      <c r="Q1749" s="6">
        <v>0.91700000000000004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2.84</v>
      </c>
      <c r="AB1749" s="6">
        <v>2.6042800000000002</v>
      </c>
      <c r="AC1749" s="6">
        <v>0.91700000000000015</v>
      </c>
      <c r="AD1749" s="6">
        <v>-2.8400000000000034</v>
      </c>
      <c r="AE1749" s="6">
        <v>2.8400000000000034</v>
      </c>
    </row>
    <row r="1750" spans="2:31" x14ac:dyDescent="0.25">
      <c r="B1750" s="55"/>
      <c r="C1750" s="55"/>
      <c r="D1750" s="54" t="s">
        <v>2741</v>
      </c>
      <c r="E1750" s="4" t="s">
        <v>2681</v>
      </c>
      <c r="F1750" s="4" t="s">
        <v>51</v>
      </c>
      <c r="G1750" s="4" t="s">
        <v>35</v>
      </c>
      <c r="H1750" s="54" t="s">
        <v>36</v>
      </c>
      <c r="I1750" s="52"/>
      <c r="J1750" s="57">
        <v>12.84</v>
      </c>
      <c r="K1750" s="52"/>
      <c r="L1750" s="6">
        <v>11.774279999999999</v>
      </c>
      <c r="M1750" s="6">
        <v>0.91699999999999993</v>
      </c>
      <c r="N1750" s="6">
        <v>12.29</v>
      </c>
      <c r="O1750" s="57">
        <v>11.26993</v>
      </c>
      <c r="P1750" s="52"/>
      <c r="Q1750" s="6">
        <v>0.91700000000000015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0.55000000000000004</v>
      </c>
      <c r="AB1750" s="6">
        <v>0.50434999999999997</v>
      </c>
      <c r="AC1750" s="6">
        <v>0.91699999999999982</v>
      </c>
      <c r="AD1750" s="6">
        <v>-0.55000000000000071</v>
      </c>
      <c r="AE1750" s="6">
        <v>0.55000000000000071</v>
      </c>
    </row>
    <row r="1751" spans="2:31" x14ac:dyDescent="0.25">
      <c r="B1751" s="55"/>
      <c r="C1751" s="55"/>
      <c r="D1751" s="56"/>
      <c r="E1751" s="4" t="s">
        <v>2643</v>
      </c>
      <c r="F1751" s="4" t="s">
        <v>51</v>
      </c>
      <c r="G1751" s="4" t="s">
        <v>35</v>
      </c>
      <c r="H1751" s="54" t="s">
        <v>41</v>
      </c>
      <c r="I1751" s="52"/>
      <c r="J1751" s="57">
        <v>32.590000000000003</v>
      </c>
      <c r="K1751" s="52"/>
      <c r="L1751" s="6">
        <v>24.442499999999999</v>
      </c>
      <c r="M1751" s="6">
        <v>0.74999999999999989</v>
      </c>
      <c r="N1751" s="6">
        <v>30.84</v>
      </c>
      <c r="O1751" s="57">
        <v>23.13</v>
      </c>
      <c r="P1751" s="52"/>
      <c r="Q1751" s="6">
        <v>0.75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1.75</v>
      </c>
      <c r="AB1751" s="6">
        <v>1.3125</v>
      </c>
      <c r="AC1751" s="6">
        <v>0.75</v>
      </c>
      <c r="AD1751" s="6">
        <v>-1.7500000000000036</v>
      </c>
      <c r="AE1751" s="6">
        <v>1.7500000000000036</v>
      </c>
    </row>
    <row r="1752" spans="2:31" ht="20" x14ac:dyDescent="0.25">
      <c r="B1752" s="55"/>
      <c r="C1752" s="55"/>
      <c r="D1752" s="4" t="s">
        <v>2742</v>
      </c>
      <c r="E1752" s="4" t="s">
        <v>2743</v>
      </c>
      <c r="F1752" s="4" t="s">
        <v>51</v>
      </c>
      <c r="G1752" s="4" t="s">
        <v>35</v>
      </c>
      <c r="H1752" s="54" t="s">
        <v>36</v>
      </c>
      <c r="I1752" s="52"/>
      <c r="J1752" s="57">
        <v>11.7</v>
      </c>
      <c r="K1752" s="52"/>
      <c r="L1752" s="6">
        <v>10.728899999999999</v>
      </c>
      <c r="M1752" s="6">
        <v>0.91700000000000004</v>
      </c>
      <c r="N1752" s="6">
        <v>11.04</v>
      </c>
      <c r="O1752" s="57">
        <v>10.12368</v>
      </c>
      <c r="P1752" s="52"/>
      <c r="Q1752" s="6">
        <v>0.91700000000000004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0.66</v>
      </c>
      <c r="AB1752" s="6">
        <v>0.60521999999999998</v>
      </c>
      <c r="AC1752" s="6">
        <v>0.91699999999999993</v>
      </c>
      <c r="AD1752" s="6">
        <v>-0.66000000000000014</v>
      </c>
      <c r="AE1752" s="6">
        <v>0.66000000000000014</v>
      </c>
    </row>
    <row r="1753" spans="2:31" ht="20" x14ac:dyDescent="0.25">
      <c r="B1753" s="55"/>
      <c r="C1753" s="55"/>
      <c r="D1753" s="4" t="s">
        <v>2744</v>
      </c>
      <c r="E1753" s="4" t="s">
        <v>2745</v>
      </c>
      <c r="F1753" s="4" t="s">
        <v>51</v>
      </c>
      <c r="G1753" s="4" t="s">
        <v>35</v>
      </c>
      <c r="H1753" s="54" t="s">
        <v>36</v>
      </c>
      <c r="I1753" s="52"/>
      <c r="J1753" s="57">
        <v>11.73</v>
      </c>
      <c r="K1753" s="52"/>
      <c r="L1753" s="6">
        <v>10.756410000000001</v>
      </c>
      <c r="M1753" s="6">
        <v>0.91700000000000004</v>
      </c>
      <c r="N1753" s="6">
        <v>10.8</v>
      </c>
      <c r="O1753" s="57">
        <v>9.9036000000000008</v>
      </c>
      <c r="P1753" s="52"/>
      <c r="Q1753" s="6">
        <v>0.91700000000000004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0.93</v>
      </c>
      <c r="AB1753" s="6">
        <v>0.85280999999999996</v>
      </c>
      <c r="AC1753" s="6">
        <v>0.91699999999999993</v>
      </c>
      <c r="AD1753" s="6">
        <v>-0.92999999999999972</v>
      </c>
      <c r="AE1753" s="6">
        <v>0.92999999999999972</v>
      </c>
    </row>
    <row r="1754" spans="2:31" ht="20" x14ac:dyDescent="0.25">
      <c r="B1754" s="55"/>
      <c r="C1754" s="55"/>
      <c r="D1754" s="4" t="s">
        <v>2746</v>
      </c>
      <c r="E1754" s="4" t="s">
        <v>2747</v>
      </c>
      <c r="F1754" s="4" t="s">
        <v>51</v>
      </c>
      <c r="G1754" s="4" t="s">
        <v>35</v>
      </c>
      <c r="H1754" s="54" t="s">
        <v>36</v>
      </c>
      <c r="I1754" s="52"/>
      <c r="J1754" s="57">
        <v>12.19</v>
      </c>
      <c r="K1754" s="52"/>
      <c r="L1754" s="6">
        <v>11.178229999999999</v>
      </c>
      <c r="M1754" s="6">
        <v>0.91699999999999993</v>
      </c>
      <c r="N1754" s="6">
        <v>10.19</v>
      </c>
      <c r="O1754" s="57">
        <v>9.3442299999999996</v>
      </c>
      <c r="P1754" s="52"/>
      <c r="Q1754" s="6">
        <v>0.91700000000000004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2</v>
      </c>
      <c r="AB1754" s="6">
        <v>1.8340000000000001</v>
      </c>
      <c r="AC1754" s="6">
        <v>0.91700000000000004</v>
      </c>
      <c r="AD1754" s="6">
        <v>-2</v>
      </c>
      <c r="AE1754" s="6">
        <v>2</v>
      </c>
    </row>
    <row r="1755" spans="2:31" ht="20" x14ac:dyDescent="0.25">
      <c r="B1755" s="55"/>
      <c r="C1755" s="55"/>
      <c r="D1755" s="4" t="s">
        <v>2748</v>
      </c>
      <c r="E1755" s="4" t="s">
        <v>2749</v>
      </c>
      <c r="F1755" s="4" t="s">
        <v>51</v>
      </c>
      <c r="G1755" s="4" t="s">
        <v>35</v>
      </c>
      <c r="H1755" s="54" t="s">
        <v>48</v>
      </c>
      <c r="I1755" s="52"/>
      <c r="J1755" s="57">
        <v>53.04</v>
      </c>
      <c r="K1755" s="52"/>
      <c r="L1755" s="6">
        <v>39.78</v>
      </c>
      <c r="M1755" s="6">
        <v>0.75</v>
      </c>
      <c r="N1755" s="6">
        <v>49.92</v>
      </c>
      <c r="O1755" s="57">
        <v>37.44</v>
      </c>
      <c r="P1755" s="52"/>
      <c r="Q1755" s="6">
        <v>0.74999999999999989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3.12</v>
      </c>
      <c r="AB1755" s="6">
        <v>2.34</v>
      </c>
      <c r="AC1755" s="6">
        <v>0.74999999999999989</v>
      </c>
      <c r="AD1755" s="6">
        <v>-3.1199999999999974</v>
      </c>
      <c r="AE1755" s="6">
        <v>3.1199999999999974</v>
      </c>
    </row>
    <row r="1756" spans="2:31" ht="20" x14ac:dyDescent="0.25">
      <c r="B1756" s="55"/>
      <c r="C1756" s="55"/>
      <c r="D1756" s="4" t="s">
        <v>2750</v>
      </c>
      <c r="E1756" s="4" t="s">
        <v>2751</v>
      </c>
      <c r="F1756" s="4" t="s">
        <v>51</v>
      </c>
      <c r="G1756" s="4" t="s">
        <v>35</v>
      </c>
      <c r="H1756" s="54" t="s">
        <v>36</v>
      </c>
      <c r="I1756" s="52"/>
      <c r="J1756" s="57">
        <v>11.92</v>
      </c>
      <c r="K1756" s="52"/>
      <c r="L1756" s="6">
        <v>10.93064</v>
      </c>
      <c r="M1756" s="6">
        <v>0.91700000000000004</v>
      </c>
      <c r="N1756" s="6">
        <v>10.82</v>
      </c>
      <c r="O1756" s="57">
        <v>9.9219399999999993</v>
      </c>
      <c r="P1756" s="52"/>
      <c r="Q1756" s="6">
        <v>0.91699999999999993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1.1000000000000001</v>
      </c>
      <c r="AB1756" s="6">
        <v>1.0086999999999999</v>
      </c>
      <c r="AC1756" s="6">
        <v>0.91699999999999982</v>
      </c>
      <c r="AD1756" s="6">
        <v>-1.0999999999999996</v>
      </c>
      <c r="AE1756" s="6">
        <v>1.0999999999999996</v>
      </c>
    </row>
    <row r="1757" spans="2:31" ht="20" x14ac:dyDescent="0.25">
      <c r="B1757" s="55"/>
      <c r="C1757" s="55"/>
      <c r="D1757" s="4" t="s">
        <v>2752</v>
      </c>
      <c r="E1757" s="4" t="s">
        <v>2753</v>
      </c>
      <c r="F1757" s="4" t="s">
        <v>51</v>
      </c>
      <c r="G1757" s="4" t="s">
        <v>35</v>
      </c>
      <c r="H1757" s="54" t="s">
        <v>36</v>
      </c>
      <c r="I1757" s="52"/>
      <c r="J1757" s="57">
        <v>10.79</v>
      </c>
      <c r="K1757" s="52"/>
      <c r="L1757" s="6">
        <v>9.8944299999999998</v>
      </c>
      <c r="M1757" s="6">
        <v>0.91700000000000004</v>
      </c>
      <c r="N1757" s="6">
        <v>10.08</v>
      </c>
      <c r="O1757" s="57">
        <v>9.2433599999999991</v>
      </c>
      <c r="P1757" s="52"/>
      <c r="Q1757" s="6">
        <v>0.91699999999999993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0.71</v>
      </c>
      <c r="AB1757" s="6">
        <v>0.65107000000000004</v>
      </c>
      <c r="AC1757" s="6">
        <v>0.91700000000000015</v>
      </c>
      <c r="AD1757" s="6">
        <v>-0.70999999999999908</v>
      </c>
      <c r="AE1757" s="6">
        <v>0.70999999999999908</v>
      </c>
    </row>
    <row r="1758" spans="2:31" ht="20" x14ac:dyDescent="0.25">
      <c r="B1758" s="55"/>
      <c r="C1758" s="55"/>
      <c r="D1758" s="4" t="s">
        <v>2754</v>
      </c>
      <c r="E1758" s="4" t="s">
        <v>2755</v>
      </c>
      <c r="F1758" s="4" t="s">
        <v>51</v>
      </c>
      <c r="G1758" s="4" t="s">
        <v>35</v>
      </c>
      <c r="H1758" s="54" t="s">
        <v>36</v>
      </c>
      <c r="I1758" s="52"/>
      <c r="J1758" s="57">
        <v>9.3800000000000008</v>
      </c>
      <c r="K1758" s="52"/>
      <c r="L1758" s="6">
        <v>8.6014599999999994</v>
      </c>
      <c r="M1758" s="6">
        <v>0.91699999999999982</v>
      </c>
      <c r="N1758" s="6">
        <v>8.7899999999999991</v>
      </c>
      <c r="O1758" s="57">
        <v>8.0604300000000002</v>
      </c>
      <c r="P1758" s="52"/>
      <c r="Q1758" s="6">
        <v>0.91700000000000015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0.59</v>
      </c>
      <c r="AB1758" s="6">
        <v>0.54103000000000001</v>
      </c>
      <c r="AC1758" s="6">
        <v>0.91700000000000004</v>
      </c>
      <c r="AD1758" s="6">
        <v>-0.59000000000000163</v>
      </c>
      <c r="AE1758" s="6">
        <v>0.59000000000000163</v>
      </c>
    </row>
    <row r="1759" spans="2:31" ht="20" x14ac:dyDescent="0.25">
      <c r="B1759" s="55"/>
      <c r="C1759" s="55"/>
      <c r="D1759" s="4" t="s">
        <v>2756</v>
      </c>
      <c r="E1759" s="4" t="s">
        <v>2757</v>
      </c>
      <c r="F1759" s="4" t="s">
        <v>51</v>
      </c>
      <c r="G1759" s="4" t="s">
        <v>35</v>
      </c>
      <c r="H1759" s="54" t="s">
        <v>48</v>
      </c>
      <c r="I1759" s="52"/>
      <c r="J1759" s="57">
        <v>34.36</v>
      </c>
      <c r="K1759" s="52"/>
      <c r="L1759" s="6">
        <v>25.77</v>
      </c>
      <c r="M1759" s="6">
        <v>0.75</v>
      </c>
      <c r="N1759" s="6">
        <v>31.52</v>
      </c>
      <c r="O1759" s="57">
        <v>23.64</v>
      </c>
      <c r="P1759" s="52"/>
      <c r="Q1759" s="6">
        <v>0.75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2.84</v>
      </c>
      <c r="AB1759" s="6">
        <v>2.13</v>
      </c>
      <c r="AC1759" s="6">
        <v>0.75</v>
      </c>
      <c r="AD1759" s="6">
        <v>-2.84</v>
      </c>
      <c r="AE1759" s="6">
        <v>2.84</v>
      </c>
    </row>
    <row r="1760" spans="2:31" ht="20" x14ac:dyDescent="0.25">
      <c r="B1760" s="55"/>
      <c r="C1760" s="55"/>
      <c r="D1760" s="4" t="s">
        <v>2758</v>
      </c>
      <c r="E1760" s="4" t="s">
        <v>2759</v>
      </c>
      <c r="F1760" s="4" t="s">
        <v>51</v>
      </c>
      <c r="G1760" s="4" t="s">
        <v>35</v>
      </c>
      <c r="H1760" s="54" t="s">
        <v>36</v>
      </c>
      <c r="I1760" s="52"/>
      <c r="J1760" s="57">
        <v>18.670000000000002</v>
      </c>
      <c r="K1760" s="52"/>
      <c r="L1760" s="6">
        <v>17.12039</v>
      </c>
      <c r="M1760" s="6">
        <v>0.91699999999999993</v>
      </c>
      <c r="N1760" s="6">
        <v>17.86</v>
      </c>
      <c r="O1760" s="57">
        <v>16.37762</v>
      </c>
      <c r="P1760" s="52"/>
      <c r="Q1760" s="6">
        <v>0.91700000000000004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0.81</v>
      </c>
      <c r="AB1760" s="6">
        <v>0.74277000000000004</v>
      </c>
      <c r="AC1760" s="6">
        <v>0.91700000000000004</v>
      </c>
      <c r="AD1760" s="6">
        <v>-0.81000000000000227</v>
      </c>
      <c r="AE1760" s="6">
        <v>0.81000000000000227</v>
      </c>
    </row>
    <row r="1761" spans="2:31" ht="20" x14ac:dyDescent="0.25">
      <c r="B1761" s="55"/>
      <c r="C1761" s="55"/>
      <c r="D1761" s="4" t="s">
        <v>2760</v>
      </c>
      <c r="E1761" s="4" t="s">
        <v>2761</v>
      </c>
      <c r="F1761" s="4" t="s">
        <v>51</v>
      </c>
      <c r="G1761" s="4" t="s">
        <v>35</v>
      </c>
      <c r="H1761" s="54" t="s">
        <v>36</v>
      </c>
      <c r="I1761" s="52"/>
      <c r="J1761" s="57">
        <v>22.95</v>
      </c>
      <c r="K1761" s="52"/>
      <c r="L1761" s="6">
        <v>21.04515</v>
      </c>
      <c r="M1761" s="6">
        <v>0.91700000000000004</v>
      </c>
      <c r="N1761" s="6">
        <v>22.09</v>
      </c>
      <c r="O1761" s="57">
        <v>20.256530000000001</v>
      </c>
      <c r="P1761" s="52"/>
      <c r="Q1761" s="6">
        <v>0.91700000000000004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0.86</v>
      </c>
      <c r="AB1761" s="6">
        <v>0.78861999999999999</v>
      </c>
      <c r="AC1761" s="6">
        <v>0.91700000000000004</v>
      </c>
      <c r="AD1761" s="6">
        <v>-0.85999999999999943</v>
      </c>
      <c r="AE1761" s="6">
        <v>0.85999999999999943</v>
      </c>
    </row>
    <row r="1762" spans="2:31" ht="20" x14ac:dyDescent="0.25">
      <c r="B1762" s="55"/>
      <c r="C1762" s="55"/>
      <c r="D1762" s="4" t="s">
        <v>2762</v>
      </c>
      <c r="E1762" s="4" t="s">
        <v>2763</v>
      </c>
      <c r="F1762" s="4" t="s">
        <v>51</v>
      </c>
      <c r="G1762" s="4" t="s">
        <v>35</v>
      </c>
      <c r="H1762" s="54" t="s">
        <v>41</v>
      </c>
      <c r="I1762" s="52"/>
      <c r="J1762" s="57">
        <v>477.72</v>
      </c>
      <c r="K1762" s="52"/>
      <c r="L1762" s="6">
        <v>358.29</v>
      </c>
      <c r="M1762" s="6">
        <v>0.75</v>
      </c>
      <c r="N1762" s="6">
        <v>448.23</v>
      </c>
      <c r="O1762" s="57">
        <v>336.17250000000001</v>
      </c>
      <c r="P1762" s="52"/>
      <c r="Q1762" s="6">
        <v>0.75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29.49</v>
      </c>
      <c r="AB1762" s="6">
        <v>22.1175</v>
      </c>
      <c r="AC1762" s="6">
        <v>0.75</v>
      </c>
      <c r="AD1762" s="6">
        <v>-29.490000000000009</v>
      </c>
      <c r="AE1762" s="6">
        <v>29.490000000000009</v>
      </c>
    </row>
    <row r="1763" spans="2:31" ht="20" x14ac:dyDescent="0.25">
      <c r="B1763" s="55"/>
      <c r="C1763" s="55"/>
      <c r="D1763" s="4" t="s">
        <v>2764</v>
      </c>
      <c r="E1763" s="4" t="s">
        <v>2765</v>
      </c>
      <c r="F1763" s="4" t="s">
        <v>51</v>
      </c>
      <c r="G1763" s="4" t="s">
        <v>35</v>
      </c>
      <c r="H1763" s="54" t="s">
        <v>36</v>
      </c>
      <c r="I1763" s="52"/>
      <c r="J1763" s="57">
        <v>12.09</v>
      </c>
      <c r="K1763" s="52"/>
      <c r="L1763" s="6">
        <v>11.08653</v>
      </c>
      <c r="M1763" s="6">
        <v>0.91700000000000004</v>
      </c>
      <c r="N1763" s="6">
        <v>11.45</v>
      </c>
      <c r="O1763" s="57">
        <v>10.499650000000001</v>
      </c>
      <c r="P1763" s="52"/>
      <c r="Q1763" s="6">
        <v>0.91700000000000015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0.64</v>
      </c>
      <c r="AB1763" s="6">
        <v>0.58687999999999996</v>
      </c>
      <c r="AC1763" s="6">
        <v>0.91699999999999993</v>
      </c>
      <c r="AD1763" s="6">
        <v>-0.64000000000000057</v>
      </c>
      <c r="AE1763" s="6">
        <v>0.64000000000000057</v>
      </c>
    </row>
    <row r="1764" spans="2:31" ht="20" x14ac:dyDescent="0.25">
      <c r="B1764" s="55"/>
      <c r="C1764" s="55"/>
      <c r="D1764" s="4" t="s">
        <v>2766</v>
      </c>
      <c r="E1764" s="4" t="s">
        <v>2767</v>
      </c>
      <c r="F1764" s="4" t="s">
        <v>51</v>
      </c>
      <c r="G1764" s="4" t="s">
        <v>35</v>
      </c>
      <c r="H1764" s="54" t="s">
        <v>36</v>
      </c>
      <c r="I1764" s="52"/>
      <c r="J1764" s="57">
        <v>4.3600000000000003</v>
      </c>
      <c r="K1764" s="52"/>
      <c r="L1764" s="6">
        <v>3.9981200000000001</v>
      </c>
      <c r="M1764" s="6">
        <v>0.91699999999999993</v>
      </c>
      <c r="N1764" s="6">
        <v>4.2300000000000004</v>
      </c>
      <c r="O1764" s="57">
        <v>3.8789099999999999</v>
      </c>
      <c r="P1764" s="52"/>
      <c r="Q1764" s="6">
        <v>0.91699999999999993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0.13</v>
      </c>
      <c r="AB1764" s="6">
        <v>0.11921</v>
      </c>
      <c r="AC1764" s="6">
        <v>0.91699999999999993</v>
      </c>
      <c r="AD1764" s="6">
        <v>-0.12999999999999989</v>
      </c>
      <c r="AE1764" s="6">
        <v>0.12999999999999989</v>
      </c>
    </row>
    <row r="1765" spans="2:31" ht="20" x14ac:dyDescent="0.25">
      <c r="B1765" s="55"/>
      <c r="C1765" s="55"/>
      <c r="D1765" s="4" t="s">
        <v>2768</v>
      </c>
      <c r="E1765" s="4" t="s">
        <v>2769</v>
      </c>
      <c r="F1765" s="4" t="s">
        <v>51</v>
      </c>
      <c r="G1765" s="4" t="s">
        <v>35</v>
      </c>
      <c r="H1765" s="54" t="s">
        <v>41</v>
      </c>
      <c r="I1765" s="52"/>
      <c r="J1765" s="57">
        <v>32.14</v>
      </c>
      <c r="K1765" s="52"/>
      <c r="L1765" s="6">
        <v>24.105</v>
      </c>
      <c r="M1765" s="6">
        <v>0.75</v>
      </c>
      <c r="N1765" s="6">
        <v>29.89</v>
      </c>
      <c r="O1765" s="57">
        <v>22.4175</v>
      </c>
      <c r="P1765" s="52"/>
      <c r="Q1765" s="6">
        <v>0.75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2.25</v>
      </c>
      <c r="AB1765" s="6">
        <v>1.6875</v>
      </c>
      <c r="AC1765" s="6">
        <v>0.75</v>
      </c>
      <c r="AD1765" s="6">
        <v>-2.25</v>
      </c>
      <c r="AE1765" s="6">
        <v>2.25</v>
      </c>
    </row>
    <row r="1766" spans="2:31" ht="20" x14ac:dyDescent="0.25">
      <c r="B1766" s="55"/>
      <c r="C1766" s="55"/>
      <c r="D1766" s="4" t="s">
        <v>2770</v>
      </c>
      <c r="E1766" s="4" t="s">
        <v>2771</v>
      </c>
      <c r="F1766" s="4" t="s">
        <v>51</v>
      </c>
      <c r="G1766" s="4" t="s">
        <v>35</v>
      </c>
      <c r="H1766" s="54" t="s">
        <v>48</v>
      </c>
      <c r="I1766" s="52"/>
      <c r="J1766" s="57">
        <v>31.46</v>
      </c>
      <c r="K1766" s="52"/>
      <c r="L1766" s="6">
        <v>23.594999999999999</v>
      </c>
      <c r="M1766" s="6">
        <v>0.74999999999999989</v>
      </c>
      <c r="N1766" s="6">
        <v>28.84</v>
      </c>
      <c r="O1766" s="57">
        <v>21.63</v>
      </c>
      <c r="P1766" s="52"/>
      <c r="Q1766" s="6">
        <v>0.75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2.62</v>
      </c>
      <c r="AB1766" s="6">
        <v>1.9650000000000001</v>
      </c>
      <c r="AC1766" s="6">
        <v>0.75</v>
      </c>
      <c r="AD1766" s="6">
        <v>-2.620000000000001</v>
      </c>
      <c r="AE1766" s="6">
        <v>2.620000000000001</v>
      </c>
    </row>
    <row r="1767" spans="2:31" ht="20" x14ac:dyDescent="0.25">
      <c r="B1767" s="55"/>
      <c r="C1767" s="55"/>
      <c r="D1767" s="4" t="s">
        <v>2772</v>
      </c>
      <c r="E1767" s="4" t="s">
        <v>2773</v>
      </c>
      <c r="F1767" s="4" t="s">
        <v>51</v>
      </c>
      <c r="G1767" s="4" t="s">
        <v>35</v>
      </c>
      <c r="H1767" s="54" t="s">
        <v>36</v>
      </c>
      <c r="I1767" s="52"/>
      <c r="J1767" s="57">
        <v>4.4800000000000004</v>
      </c>
      <c r="K1767" s="52"/>
      <c r="L1767" s="6">
        <v>4.1081599999999998</v>
      </c>
      <c r="M1767" s="6">
        <v>0.91699999999999982</v>
      </c>
      <c r="N1767" s="6">
        <v>4.17</v>
      </c>
      <c r="O1767" s="57">
        <v>3.82389</v>
      </c>
      <c r="P1767" s="52"/>
      <c r="Q1767" s="6">
        <v>0.91700000000000004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0.31</v>
      </c>
      <c r="AB1767" s="6">
        <v>0.28427000000000002</v>
      </c>
      <c r="AC1767" s="6">
        <v>0.91700000000000004</v>
      </c>
      <c r="AD1767" s="6">
        <v>-0.3100000000000005</v>
      </c>
      <c r="AE1767" s="6">
        <v>0.3100000000000005</v>
      </c>
    </row>
    <row r="1768" spans="2:31" ht="20" x14ac:dyDescent="0.25">
      <c r="B1768" s="55"/>
      <c r="C1768" s="55"/>
      <c r="D1768" s="4" t="s">
        <v>2774</v>
      </c>
      <c r="E1768" s="4" t="s">
        <v>2775</v>
      </c>
      <c r="F1768" s="4" t="s">
        <v>51</v>
      </c>
      <c r="G1768" s="4" t="s">
        <v>35</v>
      </c>
      <c r="H1768" s="54" t="s">
        <v>36</v>
      </c>
      <c r="I1768" s="52"/>
      <c r="J1768" s="57">
        <v>5.45</v>
      </c>
      <c r="K1768" s="52"/>
      <c r="L1768" s="6">
        <v>4.9976500000000001</v>
      </c>
      <c r="M1768" s="6">
        <v>0.91700000000000004</v>
      </c>
      <c r="N1768" s="6">
        <v>4.8600000000000003</v>
      </c>
      <c r="O1768" s="57">
        <v>4.45662</v>
      </c>
      <c r="P1768" s="52"/>
      <c r="Q1768" s="6">
        <v>0.91699999999999993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0.59</v>
      </c>
      <c r="AB1768" s="6">
        <v>0.54103000000000001</v>
      </c>
      <c r="AC1768" s="6">
        <v>0.91700000000000004</v>
      </c>
      <c r="AD1768" s="6">
        <v>-0.58999999999999986</v>
      </c>
      <c r="AE1768" s="6">
        <v>0.58999999999999986</v>
      </c>
    </row>
    <row r="1769" spans="2:31" ht="20" x14ac:dyDescent="0.25">
      <c r="B1769" s="55"/>
      <c r="C1769" s="55"/>
      <c r="D1769" s="4" t="s">
        <v>2776</v>
      </c>
      <c r="E1769" s="4" t="s">
        <v>2777</v>
      </c>
      <c r="F1769" s="4" t="s">
        <v>51</v>
      </c>
      <c r="G1769" s="4" t="s">
        <v>35</v>
      </c>
      <c r="H1769" s="54" t="s">
        <v>36</v>
      </c>
      <c r="I1769" s="52"/>
      <c r="J1769" s="57">
        <v>11.56</v>
      </c>
      <c r="K1769" s="52"/>
      <c r="L1769" s="6">
        <v>10.600519999999999</v>
      </c>
      <c r="M1769" s="6">
        <v>0.91699999999999993</v>
      </c>
      <c r="N1769" s="6">
        <v>11.07</v>
      </c>
      <c r="O1769" s="57">
        <v>10.15119</v>
      </c>
      <c r="P1769" s="52"/>
      <c r="Q1769" s="6">
        <v>0.91699999999999993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0.49</v>
      </c>
      <c r="AB1769" s="6">
        <v>0.44933000000000001</v>
      </c>
      <c r="AC1769" s="6">
        <v>0.91700000000000004</v>
      </c>
      <c r="AD1769" s="6">
        <v>-0.49000000000000021</v>
      </c>
      <c r="AE1769" s="6">
        <v>0.49000000000000021</v>
      </c>
    </row>
    <row r="1770" spans="2:31" ht="20" x14ac:dyDescent="0.25">
      <c r="B1770" s="55"/>
      <c r="C1770" s="55"/>
      <c r="D1770" s="4" t="s">
        <v>2778</v>
      </c>
      <c r="E1770" s="4" t="s">
        <v>2779</v>
      </c>
      <c r="F1770" s="4" t="s">
        <v>51</v>
      </c>
      <c r="G1770" s="4" t="s">
        <v>35</v>
      </c>
      <c r="H1770" s="54" t="s">
        <v>36</v>
      </c>
      <c r="I1770" s="52"/>
      <c r="J1770" s="57">
        <v>10.91</v>
      </c>
      <c r="K1770" s="52"/>
      <c r="L1770" s="6">
        <v>10.00447</v>
      </c>
      <c r="M1770" s="6">
        <v>0.91699999999999993</v>
      </c>
      <c r="N1770" s="6">
        <v>10.14</v>
      </c>
      <c r="O1770" s="57">
        <v>9.2983799999999999</v>
      </c>
      <c r="P1770" s="52"/>
      <c r="Q1770" s="6">
        <v>0.91699999999999993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0.77</v>
      </c>
      <c r="AB1770" s="6">
        <v>0.70609</v>
      </c>
      <c r="AC1770" s="6">
        <v>0.91699999999999993</v>
      </c>
      <c r="AD1770" s="6">
        <v>-0.76999999999999957</v>
      </c>
      <c r="AE1770" s="6">
        <v>0.76999999999999957</v>
      </c>
    </row>
    <row r="1771" spans="2:31" ht="20" x14ac:dyDescent="0.25">
      <c r="B1771" s="55"/>
      <c r="C1771" s="55"/>
      <c r="D1771" s="4" t="s">
        <v>2780</v>
      </c>
      <c r="E1771" s="4" t="s">
        <v>2781</v>
      </c>
      <c r="F1771" s="4" t="s">
        <v>51</v>
      </c>
      <c r="G1771" s="4" t="s">
        <v>35</v>
      </c>
      <c r="H1771" s="54" t="s">
        <v>36</v>
      </c>
      <c r="I1771" s="52"/>
      <c r="J1771" s="57">
        <v>12.09</v>
      </c>
      <c r="K1771" s="52"/>
      <c r="L1771" s="6">
        <v>11.08653</v>
      </c>
      <c r="M1771" s="6">
        <v>0.91700000000000004</v>
      </c>
      <c r="N1771" s="6">
        <v>11.17</v>
      </c>
      <c r="O1771" s="57">
        <v>10.242889999999999</v>
      </c>
      <c r="P1771" s="52"/>
      <c r="Q1771" s="6">
        <v>0.91699999999999993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0.92</v>
      </c>
      <c r="AB1771" s="6">
        <v>0.84363999999999995</v>
      </c>
      <c r="AC1771" s="6">
        <v>0.91699999999999993</v>
      </c>
      <c r="AD1771" s="6">
        <v>-0.92</v>
      </c>
      <c r="AE1771" s="6">
        <v>0.92</v>
      </c>
    </row>
    <row r="1772" spans="2:31" ht="20" x14ac:dyDescent="0.25">
      <c r="B1772" s="55"/>
      <c r="C1772" s="55"/>
      <c r="D1772" s="4" t="s">
        <v>2782</v>
      </c>
      <c r="E1772" s="4" t="s">
        <v>2783</v>
      </c>
      <c r="F1772" s="4" t="s">
        <v>51</v>
      </c>
      <c r="G1772" s="4" t="s">
        <v>35</v>
      </c>
      <c r="H1772" s="54" t="s">
        <v>36</v>
      </c>
      <c r="I1772" s="52"/>
      <c r="J1772" s="57">
        <v>19.18</v>
      </c>
      <c r="K1772" s="52"/>
      <c r="L1772" s="6">
        <v>17.588059999999999</v>
      </c>
      <c r="M1772" s="6">
        <v>0.91699999999999993</v>
      </c>
      <c r="N1772" s="6">
        <v>18.04</v>
      </c>
      <c r="O1772" s="57">
        <v>16.542680000000001</v>
      </c>
      <c r="P1772" s="52"/>
      <c r="Q1772" s="6">
        <v>0.91700000000000004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1.1399999999999999</v>
      </c>
      <c r="AB1772" s="6">
        <v>1.04538</v>
      </c>
      <c r="AC1772" s="6">
        <v>0.91700000000000004</v>
      </c>
      <c r="AD1772" s="6">
        <v>-1.1400000000000006</v>
      </c>
      <c r="AE1772" s="6">
        <v>1.1400000000000006</v>
      </c>
    </row>
    <row r="1773" spans="2:31" ht="20" x14ac:dyDescent="0.25">
      <c r="B1773" s="55"/>
      <c r="C1773" s="55"/>
      <c r="D1773" s="4" t="s">
        <v>2784</v>
      </c>
      <c r="E1773" s="4" t="s">
        <v>2785</v>
      </c>
      <c r="F1773" s="4" t="s">
        <v>34</v>
      </c>
      <c r="G1773" s="4" t="s">
        <v>35</v>
      </c>
      <c r="H1773" s="54" t="s">
        <v>48</v>
      </c>
      <c r="I1773" s="52"/>
      <c r="J1773" s="57">
        <v>12.69</v>
      </c>
      <c r="K1773" s="52"/>
      <c r="L1773" s="6">
        <v>9.5175000000000001</v>
      </c>
      <c r="M1773" s="6">
        <v>0.75</v>
      </c>
      <c r="N1773" s="6">
        <v>12.69</v>
      </c>
      <c r="O1773" s="57">
        <v>9.5175000000000001</v>
      </c>
      <c r="P1773" s="52"/>
      <c r="Q1773" s="6">
        <v>0.75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</row>
    <row r="1774" spans="2:31" ht="20" x14ac:dyDescent="0.25">
      <c r="B1774" s="55"/>
      <c r="C1774" s="55"/>
      <c r="D1774" s="4" t="s">
        <v>2786</v>
      </c>
      <c r="E1774" s="4" t="s">
        <v>2785</v>
      </c>
      <c r="F1774" s="4" t="s">
        <v>51</v>
      </c>
      <c r="G1774" s="4" t="s">
        <v>35</v>
      </c>
      <c r="H1774" s="54" t="s">
        <v>48</v>
      </c>
      <c r="I1774" s="52"/>
      <c r="J1774" s="57">
        <v>12.73</v>
      </c>
      <c r="K1774" s="52"/>
      <c r="L1774" s="6">
        <v>9.5474999999999994</v>
      </c>
      <c r="M1774" s="6">
        <v>0.74999999999999989</v>
      </c>
      <c r="N1774" s="6">
        <v>12.73</v>
      </c>
      <c r="O1774" s="57">
        <v>9.5474999999999994</v>
      </c>
      <c r="P1774" s="52"/>
      <c r="Q1774" s="6">
        <v>0.74999999999999989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</row>
    <row r="1775" spans="2:31" ht="20" x14ac:dyDescent="0.25">
      <c r="B1775" s="55"/>
      <c r="C1775" s="55"/>
      <c r="D1775" s="4" t="s">
        <v>2787</v>
      </c>
      <c r="E1775" s="4" t="s">
        <v>2591</v>
      </c>
      <c r="F1775" s="4" t="s">
        <v>51</v>
      </c>
      <c r="G1775" s="4" t="s">
        <v>35</v>
      </c>
      <c r="H1775" s="54" t="s">
        <v>41</v>
      </c>
      <c r="I1775" s="52"/>
      <c r="J1775" s="57">
        <v>36.17</v>
      </c>
      <c r="K1775" s="52"/>
      <c r="L1775" s="6">
        <v>27.127500000000001</v>
      </c>
      <c r="M1775" s="6">
        <v>0.75</v>
      </c>
      <c r="N1775" s="6">
        <v>35.72</v>
      </c>
      <c r="O1775" s="57">
        <v>26.79</v>
      </c>
      <c r="P1775" s="52"/>
      <c r="Q1775" s="6">
        <v>0.75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0.45</v>
      </c>
      <c r="AB1775" s="6">
        <v>0.33750000000000002</v>
      </c>
      <c r="AC1775" s="6">
        <v>0.75</v>
      </c>
      <c r="AD1775" s="6">
        <v>-0.45000000000000284</v>
      </c>
      <c r="AE1775" s="6">
        <v>0.45000000000000284</v>
      </c>
    </row>
    <row r="1776" spans="2:31" ht="20" x14ac:dyDescent="0.25">
      <c r="B1776" s="55"/>
      <c r="C1776" s="55"/>
      <c r="D1776" s="4" t="s">
        <v>2788</v>
      </c>
      <c r="E1776" s="4" t="s">
        <v>2789</v>
      </c>
      <c r="F1776" s="4" t="s">
        <v>51</v>
      </c>
      <c r="G1776" s="4" t="s">
        <v>35</v>
      </c>
      <c r="H1776" s="54" t="s">
        <v>36</v>
      </c>
      <c r="I1776" s="52"/>
      <c r="J1776" s="57">
        <v>3.55</v>
      </c>
      <c r="K1776" s="52"/>
      <c r="L1776" s="6">
        <v>3.25535</v>
      </c>
      <c r="M1776" s="6">
        <v>0.91700000000000004</v>
      </c>
      <c r="N1776" s="6">
        <v>3.33</v>
      </c>
      <c r="O1776" s="57">
        <v>3.0536099999999999</v>
      </c>
      <c r="P1776" s="52"/>
      <c r="Q1776" s="6">
        <v>0.91699999999999993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0.22</v>
      </c>
      <c r="AB1776" s="6">
        <v>0.20174</v>
      </c>
      <c r="AC1776" s="6">
        <v>0.91700000000000004</v>
      </c>
      <c r="AD1776" s="6">
        <v>-0.21999999999999975</v>
      </c>
      <c r="AE1776" s="6">
        <v>0.21999999999999975</v>
      </c>
    </row>
    <row r="1777" spans="2:31" ht="20" x14ac:dyDescent="0.25">
      <c r="B1777" s="55"/>
      <c r="C1777" s="55"/>
      <c r="D1777" s="4" t="s">
        <v>2790</v>
      </c>
      <c r="E1777" s="4" t="s">
        <v>2791</v>
      </c>
      <c r="F1777" s="4" t="s">
        <v>51</v>
      </c>
      <c r="G1777" s="4" t="s">
        <v>35</v>
      </c>
      <c r="H1777" s="54" t="s">
        <v>36</v>
      </c>
      <c r="I1777" s="52"/>
      <c r="J1777" s="57">
        <v>39.17</v>
      </c>
      <c r="K1777" s="52"/>
      <c r="L1777" s="6">
        <v>35.918889999999998</v>
      </c>
      <c r="M1777" s="6">
        <v>0.91699999999999993</v>
      </c>
      <c r="N1777" s="6">
        <v>38.81</v>
      </c>
      <c r="O1777" s="57">
        <v>35.588769999999997</v>
      </c>
      <c r="P1777" s="52"/>
      <c r="Q1777" s="6">
        <v>0.91699999999999982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0.36</v>
      </c>
      <c r="AB1777" s="6">
        <v>0.33012000000000002</v>
      </c>
      <c r="AC1777" s="6">
        <v>0.91700000000000015</v>
      </c>
      <c r="AD1777" s="6">
        <v>-0.35999999999999943</v>
      </c>
      <c r="AE1777" s="6">
        <v>0.35999999999999943</v>
      </c>
    </row>
    <row r="1778" spans="2:31" ht="20" x14ac:dyDescent="0.25">
      <c r="B1778" s="55"/>
      <c r="C1778" s="55"/>
      <c r="D1778" s="4" t="s">
        <v>2792</v>
      </c>
      <c r="E1778" s="4" t="s">
        <v>2793</v>
      </c>
      <c r="F1778" s="4" t="s">
        <v>51</v>
      </c>
      <c r="G1778" s="4" t="s">
        <v>35</v>
      </c>
      <c r="H1778" s="54" t="s">
        <v>36</v>
      </c>
      <c r="I1778" s="52"/>
      <c r="J1778" s="57">
        <v>3.17</v>
      </c>
      <c r="K1778" s="52"/>
      <c r="L1778" s="6">
        <v>2.9068900000000002</v>
      </c>
      <c r="M1778" s="6">
        <v>0.91700000000000004</v>
      </c>
      <c r="N1778" s="6">
        <v>2.91</v>
      </c>
      <c r="O1778" s="57">
        <v>2.6684700000000001</v>
      </c>
      <c r="P1778" s="52"/>
      <c r="Q1778" s="6">
        <v>0.91700000000000004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0.26</v>
      </c>
      <c r="AB1778" s="6">
        <v>0.23841999999999999</v>
      </c>
      <c r="AC1778" s="6">
        <v>0.91699999999999993</v>
      </c>
      <c r="AD1778" s="6">
        <v>-0.25999999999999979</v>
      </c>
      <c r="AE1778" s="6">
        <v>0.25999999999999979</v>
      </c>
    </row>
    <row r="1779" spans="2:31" ht="20" x14ac:dyDescent="0.25">
      <c r="B1779" s="55"/>
      <c r="C1779" s="55"/>
      <c r="D1779" s="4" t="s">
        <v>2794</v>
      </c>
      <c r="E1779" s="4" t="s">
        <v>2795</v>
      </c>
      <c r="F1779" s="4" t="s">
        <v>51</v>
      </c>
      <c r="G1779" s="4" t="s">
        <v>35</v>
      </c>
      <c r="H1779" s="54" t="s">
        <v>36</v>
      </c>
      <c r="I1779" s="52"/>
      <c r="J1779" s="57">
        <v>24.5</v>
      </c>
      <c r="K1779" s="52"/>
      <c r="L1779" s="6">
        <v>22.4665</v>
      </c>
      <c r="M1779" s="6">
        <v>0.91700000000000004</v>
      </c>
      <c r="N1779" s="6">
        <v>23.07</v>
      </c>
      <c r="O1779" s="57">
        <v>21.155190000000001</v>
      </c>
      <c r="P1779" s="52"/>
      <c r="Q1779" s="6">
        <v>0.91700000000000004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1.43</v>
      </c>
      <c r="AB1779" s="6">
        <v>1.31131</v>
      </c>
      <c r="AC1779" s="6">
        <v>0.91700000000000004</v>
      </c>
      <c r="AD1779" s="6">
        <v>-1.4299999999999997</v>
      </c>
      <c r="AE1779" s="6">
        <v>1.4299999999999997</v>
      </c>
    </row>
    <row r="1780" spans="2:31" ht="20" x14ac:dyDescent="0.25">
      <c r="B1780" s="55"/>
      <c r="C1780" s="55"/>
      <c r="D1780" s="4" t="s">
        <v>2796</v>
      </c>
      <c r="E1780" s="4" t="s">
        <v>2797</v>
      </c>
      <c r="F1780" s="4" t="s">
        <v>51</v>
      </c>
      <c r="G1780" s="4" t="s">
        <v>35</v>
      </c>
      <c r="H1780" s="54" t="s">
        <v>36</v>
      </c>
      <c r="I1780" s="52"/>
      <c r="J1780" s="57">
        <v>9.8000000000000007</v>
      </c>
      <c r="K1780" s="52"/>
      <c r="L1780" s="6">
        <v>8.9865999999999993</v>
      </c>
      <c r="M1780" s="6">
        <v>0.91699999999999982</v>
      </c>
      <c r="N1780" s="6">
        <v>9.24</v>
      </c>
      <c r="O1780" s="57">
        <v>8.4730799999999995</v>
      </c>
      <c r="P1780" s="52"/>
      <c r="Q1780" s="6">
        <v>0.91699999999999993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0.56000000000000005</v>
      </c>
      <c r="AB1780" s="6">
        <v>0.51351999999999998</v>
      </c>
      <c r="AC1780" s="6">
        <v>0.91699999999999982</v>
      </c>
      <c r="AD1780" s="6">
        <v>-0.5600000000000005</v>
      </c>
      <c r="AE1780" s="6">
        <v>0.5600000000000005</v>
      </c>
    </row>
    <row r="1781" spans="2:31" ht="20" x14ac:dyDescent="0.25">
      <c r="B1781" s="55"/>
      <c r="C1781" s="55"/>
      <c r="D1781" s="4" t="s">
        <v>2798</v>
      </c>
      <c r="E1781" s="4" t="s">
        <v>2458</v>
      </c>
      <c r="F1781" s="4" t="s">
        <v>51</v>
      </c>
      <c r="G1781" s="4" t="s">
        <v>35</v>
      </c>
      <c r="H1781" s="54" t="s">
        <v>41</v>
      </c>
      <c r="I1781" s="52"/>
      <c r="J1781" s="57">
        <v>18.71</v>
      </c>
      <c r="K1781" s="52"/>
      <c r="L1781" s="6">
        <v>14.032500000000001</v>
      </c>
      <c r="M1781" s="6">
        <v>0.75</v>
      </c>
      <c r="N1781" s="6">
        <v>18.38</v>
      </c>
      <c r="O1781" s="57">
        <v>13.785</v>
      </c>
      <c r="P1781" s="52"/>
      <c r="Q1781" s="6">
        <v>0.75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0.33</v>
      </c>
      <c r="AB1781" s="6">
        <v>0.2475</v>
      </c>
      <c r="AC1781" s="6">
        <v>0.75</v>
      </c>
      <c r="AD1781" s="6">
        <v>-0.33000000000000185</v>
      </c>
      <c r="AE1781" s="6">
        <v>0.33000000000000185</v>
      </c>
    </row>
    <row r="1782" spans="2:31" ht="20" x14ac:dyDescent="0.25">
      <c r="B1782" s="55"/>
      <c r="C1782" s="55"/>
      <c r="D1782" s="4" t="s">
        <v>2799</v>
      </c>
      <c r="E1782" s="4" t="s">
        <v>2800</v>
      </c>
      <c r="F1782" s="4" t="s">
        <v>51</v>
      </c>
      <c r="G1782" s="4" t="s">
        <v>35</v>
      </c>
      <c r="H1782" s="54" t="s">
        <v>36</v>
      </c>
      <c r="I1782" s="52"/>
      <c r="J1782" s="57">
        <v>63.62</v>
      </c>
      <c r="K1782" s="52"/>
      <c r="L1782" s="6">
        <v>58.33954</v>
      </c>
      <c r="M1782" s="6">
        <v>0.91700000000000004</v>
      </c>
      <c r="N1782" s="6">
        <v>61.74</v>
      </c>
      <c r="O1782" s="57">
        <v>56.615580000000001</v>
      </c>
      <c r="P1782" s="52"/>
      <c r="Q1782" s="6">
        <v>0.91700000000000004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1.88</v>
      </c>
      <c r="AB1782" s="6">
        <v>1.7239599999999999</v>
      </c>
      <c r="AC1782" s="6">
        <v>0.91700000000000004</v>
      </c>
      <c r="AD1782" s="6">
        <v>-1.8799999999999955</v>
      </c>
      <c r="AE1782" s="6">
        <v>1.8799999999999955</v>
      </c>
    </row>
    <row r="1783" spans="2:31" x14ac:dyDescent="0.25">
      <c r="B1783" s="55"/>
      <c r="C1783" s="55"/>
      <c r="D1783" s="54" t="s">
        <v>2801</v>
      </c>
      <c r="E1783" s="4" t="s">
        <v>2802</v>
      </c>
      <c r="F1783" s="4" t="s">
        <v>51</v>
      </c>
      <c r="G1783" s="4" t="s">
        <v>35</v>
      </c>
      <c r="H1783" s="54" t="s">
        <v>36</v>
      </c>
      <c r="I1783" s="52"/>
      <c r="J1783" s="57">
        <v>11.02</v>
      </c>
      <c r="K1783" s="52"/>
      <c r="L1783" s="6">
        <v>10.10534</v>
      </c>
      <c r="M1783" s="6">
        <v>0.91700000000000004</v>
      </c>
      <c r="N1783" s="6">
        <v>10.48</v>
      </c>
      <c r="O1783" s="57">
        <v>9.6101600000000005</v>
      </c>
      <c r="P1783" s="52"/>
      <c r="Q1783" s="6">
        <v>0.91700000000000004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0.54</v>
      </c>
      <c r="AB1783" s="6">
        <v>0.49518000000000001</v>
      </c>
      <c r="AC1783" s="6">
        <v>0.91699999999999993</v>
      </c>
      <c r="AD1783" s="6">
        <v>-0.53999999999999915</v>
      </c>
      <c r="AE1783" s="6">
        <v>0.53999999999999915</v>
      </c>
    </row>
    <row r="1784" spans="2:31" x14ac:dyDescent="0.25">
      <c r="B1784" s="55"/>
      <c r="C1784" s="55"/>
      <c r="D1784" s="56"/>
      <c r="E1784" s="4" t="s">
        <v>2803</v>
      </c>
      <c r="F1784" s="4" t="s">
        <v>51</v>
      </c>
      <c r="G1784" s="4" t="s">
        <v>35</v>
      </c>
      <c r="H1784" s="54" t="s">
        <v>36</v>
      </c>
      <c r="I1784" s="52"/>
      <c r="J1784" s="57">
        <v>14.22</v>
      </c>
      <c r="K1784" s="52"/>
      <c r="L1784" s="6">
        <v>13.03974</v>
      </c>
      <c r="M1784" s="6">
        <v>0.91699999999999993</v>
      </c>
      <c r="N1784" s="6">
        <v>13.98</v>
      </c>
      <c r="O1784" s="57">
        <v>12.819660000000001</v>
      </c>
      <c r="P1784" s="52"/>
      <c r="Q1784" s="6">
        <v>0.91700000000000004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0.24</v>
      </c>
      <c r="AB1784" s="6">
        <v>0.22008</v>
      </c>
      <c r="AC1784" s="6">
        <v>0.91700000000000004</v>
      </c>
      <c r="AD1784" s="6">
        <v>-0.24000000000000021</v>
      </c>
      <c r="AE1784" s="6">
        <v>0.24000000000000021</v>
      </c>
    </row>
    <row r="1785" spans="2:31" ht="20" x14ac:dyDescent="0.25">
      <c r="B1785" s="55"/>
      <c r="C1785" s="55"/>
      <c r="D1785" s="4" t="s">
        <v>2804</v>
      </c>
      <c r="E1785" s="4" t="s">
        <v>2805</v>
      </c>
      <c r="F1785" s="4" t="s">
        <v>51</v>
      </c>
      <c r="G1785" s="4" t="s">
        <v>35</v>
      </c>
      <c r="H1785" s="54" t="s">
        <v>36</v>
      </c>
      <c r="I1785" s="52"/>
      <c r="J1785" s="57">
        <v>60.27</v>
      </c>
      <c r="K1785" s="52"/>
      <c r="L1785" s="6">
        <v>55.267589999999998</v>
      </c>
      <c r="M1785" s="6">
        <v>0.91699999999999993</v>
      </c>
      <c r="N1785" s="6">
        <v>58.33</v>
      </c>
      <c r="O1785" s="57">
        <v>53.488610000000001</v>
      </c>
      <c r="P1785" s="52"/>
      <c r="Q1785" s="6">
        <v>0.91700000000000004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1.94</v>
      </c>
      <c r="AB1785" s="6">
        <v>1.77898</v>
      </c>
      <c r="AC1785" s="6">
        <v>0.91700000000000004</v>
      </c>
      <c r="AD1785" s="6">
        <v>-1.9400000000000048</v>
      </c>
      <c r="AE1785" s="6">
        <v>1.9400000000000048</v>
      </c>
    </row>
    <row r="1786" spans="2:31" ht="20" x14ac:dyDescent="0.25">
      <c r="B1786" s="55"/>
      <c r="C1786" s="55"/>
      <c r="D1786" s="4" t="s">
        <v>2806</v>
      </c>
      <c r="E1786" s="4" t="s">
        <v>2681</v>
      </c>
      <c r="F1786" s="4" t="s">
        <v>51</v>
      </c>
      <c r="G1786" s="4" t="s">
        <v>133</v>
      </c>
      <c r="H1786" s="54" t="s">
        <v>36</v>
      </c>
      <c r="I1786" s="52"/>
      <c r="J1786" s="57">
        <v>12.29</v>
      </c>
      <c r="K1786" s="52"/>
      <c r="L1786" s="6">
        <v>11.26993</v>
      </c>
      <c r="M1786" s="6">
        <v>0.91700000000000015</v>
      </c>
      <c r="N1786" s="6">
        <v>12.17</v>
      </c>
      <c r="O1786" s="57">
        <v>11.159890000000001</v>
      </c>
      <c r="P1786" s="52"/>
      <c r="Q1786" s="6">
        <v>0.91700000000000004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0.12</v>
      </c>
      <c r="AB1786" s="6">
        <v>0.11004</v>
      </c>
      <c r="AC1786" s="6">
        <v>0.91700000000000004</v>
      </c>
      <c r="AD1786" s="6">
        <v>-0.11999999999999922</v>
      </c>
      <c r="AE1786" s="6">
        <v>0.11999999999999922</v>
      </c>
    </row>
    <row r="1787" spans="2:31" ht="20" x14ac:dyDescent="0.25">
      <c r="B1787" s="55"/>
      <c r="C1787" s="55"/>
      <c r="D1787" s="4" t="s">
        <v>2807</v>
      </c>
      <c r="E1787" s="4" t="s">
        <v>2808</v>
      </c>
      <c r="F1787" s="4" t="s">
        <v>51</v>
      </c>
      <c r="G1787" s="4" t="s">
        <v>35</v>
      </c>
      <c r="H1787" s="54" t="s">
        <v>36</v>
      </c>
      <c r="I1787" s="52"/>
      <c r="J1787" s="57">
        <v>11.06</v>
      </c>
      <c r="K1787" s="52"/>
      <c r="L1787" s="6">
        <v>10.14202</v>
      </c>
      <c r="M1787" s="6">
        <v>0.91700000000000004</v>
      </c>
      <c r="N1787" s="6">
        <v>10.83</v>
      </c>
      <c r="O1787" s="57">
        <v>9.9311100000000003</v>
      </c>
      <c r="P1787" s="52"/>
      <c r="Q1787" s="6">
        <v>0.91700000000000004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0.23</v>
      </c>
      <c r="AB1787" s="6">
        <v>0.21090999999999999</v>
      </c>
      <c r="AC1787" s="6">
        <v>0.91699999999999993</v>
      </c>
      <c r="AD1787" s="6">
        <v>-0.23000000000000043</v>
      </c>
      <c r="AE1787" s="6">
        <v>0.23000000000000043</v>
      </c>
    </row>
    <row r="1788" spans="2:31" x14ac:dyDescent="0.25">
      <c r="B1788" s="55"/>
      <c r="C1788" s="55"/>
      <c r="D1788" s="54" t="s">
        <v>2809</v>
      </c>
      <c r="E1788" s="54" t="s">
        <v>338</v>
      </c>
      <c r="F1788" s="54" t="s">
        <v>51</v>
      </c>
      <c r="G1788" s="54" t="s">
        <v>35</v>
      </c>
      <c r="H1788" s="54" t="s">
        <v>48</v>
      </c>
      <c r="I1788" s="52"/>
      <c r="J1788" s="57">
        <v>0.39</v>
      </c>
      <c r="K1788" s="52"/>
      <c r="L1788" s="6">
        <v>0.29249999999999998</v>
      </c>
      <c r="M1788" s="6">
        <v>0.74999999999999989</v>
      </c>
      <c r="N1788" s="6">
        <v>0.09</v>
      </c>
      <c r="O1788" s="57">
        <v>6.7500000000000004E-2</v>
      </c>
      <c r="P1788" s="52"/>
      <c r="Q1788" s="6">
        <v>0.75000000000000011</v>
      </c>
      <c r="R1788" s="6">
        <v>0.3</v>
      </c>
      <c r="S1788" s="6">
        <v>0.22500000000000001</v>
      </c>
      <c r="T1788" s="6">
        <v>0.75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-0.60000000000000009</v>
      </c>
      <c r="AE1788" s="6">
        <v>5.5511151231257827E-17</v>
      </c>
    </row>
    <row r="1789" spans="2:31" x14ac:dyDescent="0.25">
      <c r="B1789" s="55"/>
      <c r="C1789" s="55"/>
      <c r="D1789" s="55"/>
      <c r="E1789" s="55"/>
      <c r="F1789" s="55"/>
      <c r="G1789" s="55"/>
      <c r="H1789" s="54" t="s">
        <v>41</v>
      </c>
      <c r="I1789" s="52"/>
      <c r="J1789" s="57">
        <v>0.01</v>
      </c>
      <c r="K1789" s="52"/>
      <c r="L1789" s="6">
        <v>7.4999999999999997E-3</v>
      </c>
      <c r="M1789" s="6">
        <v>0.75</v>
      </c>
      <c r="N1789" s="6">
        <v>0.01</v>
      </c>
      <c r="O1789" s="57">
        <v>7.4999999999999997E-3</v>
      </c>
      <c r="P1789" s="52"/>
      <c r="Q1789" s="6">
        <v>0.75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0</v>
      </c>
      <c r="AE1789" s="6">
        <v>0</v>
      </c>
    </row>
    <row r="1790" spans="2:31" x14ac:dyDescent="0.25">
      <c r="B1790" s="55"/>
      <c r="C1790" s="56"/>
      <c r="D1790" s="56"/>
      <c r="E1790" s="56"/>
      <c r="F1790" s="56"/>
      <c r="G1790" s="56"/>
      <c r="H1790" s="54" t="s">
        <v>36</v>
      </c>
      <c r="I1790" s="52"/>
      <c r="J1790" s="57">
        <v>0.01</v>
      </c>
      <c r="K1790" s="52"/>
      <c r="L1790" s="6">
        <v>9.1699999999999993E-3</v>
      </c>
      <c r="M1790" s="6">
        <v>0.91699999999999993</v>
      </c>
      <c r="N1790" s="6">
        <v>0.01</v>
      </c>
      <c r="O1790" s="57">
        <v>9.1699999999999993E-3</v>
      </c>
      <c r="P1790" s="52"/>
      <c r="Q1790" s="6">
        <v>0.91699999999999993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0</v>
      </c>
    </row>
    <row r="1791" spans="2:31" x14ac:dyDescent="0.25">
      <c r="B1791" s="55"/>
      <c r="C1791" s="58">
        <v>46200</v>
      </c>
      <c r="D1791" s="4" t="s">
        <v>2810</v>
      </c>
      <c r="E1791" s="4" t="s">
        <v>2811</v>
      </c>
      <c r="F1791" s="4" t="s">
        <v>34</v>
      </c>
      <c r="G1791" s="4" t="s">
        <v>35</v>
      </c>
      <c r="H1791" s="54" t="s">
        <v>36</v>
      </c>
      <c r="I1791" s="52"/>
      <c r="J1791" s="57">
        <v>342.2</v>
      </c>
      <c r="K1791" s="52"/>
      <c r="L1791" s="6">
        <v>313.79739999999998</v>
      </c>
      <c r="M1791" s="6">
        <v>0.91699999999999993</v>
      </c>
      <c r="N1791" s="6">
        <v>323.14</v>
      </c>
      <c r="O1791" s="57">
        <v>296.31938000000002</v>
      </c>
      <c r="P1791" s="52"/>
      <c r="Q1791" s="6">
        <v>0.91700000000000015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19.059999999999999</v>
      </c>
      <c r="AB1791" s="6">
        <v>17.478020000000001</v>
      </c>
      <c r="AC1791" s="6">
        <v>0.91700000000000015</v>
      </c>
      <c r="AD1791" s="6">
        <v>-19.060000000000002</v>
      </c>
      <c r="AE1791" s="6">
        <v>19.060000000000002</v>
      </c>
    </row>
    <row r="1792" spans="2:31" x14ac:dyDescent="0.25">
      <c r="B1792" s="55"/>
      <c r="C1792" s="55"/>
      <c r="D1792" s="4" t="s">
        <v>2812</v>
      </c>
      <c r="E1792" s="4" t="s">
        <v>2813</v>
      </c>
      <c r="F1792" s="4" t="s">
        <v>34</v>
      </c>
      <c r="G1792" s="4" t="s">
        <v>35</v>
      </c>
      <c r="H1792" s="54" t="s">
        <v>36</v>
      </c>
      <c r="I1792" s="52"/>
      <c r="J1792" s="57">
        <v>13.81</v>
      </c>
      <c r="K1792" s="52"/>
      <c r="L1792" s="6">
        <v>12.66377</v>
      </c>
      <c r="M1792" s="6">
        <v>0.91699999999999993</v>
      </c>
      <c r="N1792" s="6">
        <v>13</v>
      </c>
      <c r="O1792" s="57">
        <v>11.920999999999999</v>
      </c>
      <c r="P1792" s="52"/>
      <c r="Q1792" s="6">
        <v>0.91699999999999993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0.81</v>
      </c>
      <c r="AB1792" s="6">
        <v>0.74277000000000004</v>
      </c>
      <c r="AC1792" s="6">
        <v>0.91700000000000004</v>
      </c>
      <c r="AD1792" s="6">
        <v>-0.8100000000000005</v>
      </c>
      <c r="AE1792" s="6">
        <v>0.8100000000000005</v>
      </c>
    </row>
    <row r="1793" spans="2:31" x14ac:dyDescent="0.25">
      <c r="B1793" s="55"/>
      <c r="C1793" s="55"/>
      <c r="D1793" s="4" t="s">
        <v>2814</v>
      </c>
      <c r="E1793" s="4" t="s">
        <v>2815</v>
      </c>
      <c r="F1793" s="4" t="s">
        <v>34</v>
      </c>
      <c r="G1793" s="4" t="s">
        <v>35</v>
      </c>
      <c r="H1793" s="54" t="s">
        <v>36</v>
      </c>
      <c r="I1793" s="52"/>
      <c r="J1793" s="57">
        <v>166.21</v>
      </c>
      <c r="K1793" s="52"/>
      <c r="L1793" s="6">
        <v>152.41457</v>
      </c>
      <c r="M1793" s="6">
        <v>0.91699999999999993</v>
      </c>
      <c r="N1793" s="6">
        <v>154.91</v>
      </c>
      <c r="O1793" s="57">
        <v>142.05247</v>
      </c>
      <c r="P1793" s="52"/>
      <c r="Q1793" s="6">
        <v>0.91700000000000004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11.3</v>
      </c>
      <c r="AB1793" s="6">
        <v>10.3621</v>
      </c>
      <c r="AC1793" s="6">
        <v>0.91699999999999993</v>
      </c>
      <c r="AD1793" s="6">
        <v>-11.300000000000011</v>
      </c>
      <c r="AE1793" s="6">
        <v>11.300000000000011</v>
      </c>
    </row>
    <row r="1794" spans="2:31" x14ac:dyDescent="0.25">
      <c r="B1794" s="55"/>
      <c r="C1794" s="55"/>
      <c r="D1794" s="4" t="s">
        <v>2816</v>
      </c>
      <c r="E1794" s="4" t="s">
        <v>2817</v>
      </c>
      <c r="F1794" s="4" t="s">
        <v>34</v>
      </c>
      <c r="G1794" s="4" t="s">
        <v>35</v>
      </c>
      <c r="H1794" s="54" t="s">
        <v>36</v>
      </c>
      <c r="I1794" s="52"/>
      <c r="J1794" s="57">
        <v>73.45</v>
      </c>
      <c r="K1794" s="52"/>
      <c r="L1794" s="6">
        <v>67.353650000000002</v>
      </c>
      <c r="M1794" s="6">
        <v>0.91700000000000004</v>
      </c>
      <c r="N1794" s="6">
        <v>70.28</v>
      </c>
      <c r="O1794" s="57">
        <v>64.446759999999998</v>
      </c>
      <c r="P1794" s="52"/>
      <c r="Q1794" s="6">
        <v>0.91699999999999993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3.17</v>
      </c>
      <c r="AB1794" s="6">
        <v>2.9068900000000002</v>
      </c>
      <c r="AC1794" s="6">
        <v>0.91700000000000004</v>
      </c>
      <c r="AD1794" s="6">
        <v>-3.1700000000000017</v>
      </c>
      <c r="AE1794" s="6">
        <v>3.1700000000000017</v>
      </c>
    </row>
    <row r="1795" spans="2:31" ht="20" x14ac:dyDescent="0.25">
      <c r="B1795" s="55"/>
      <c r="C1795" s="55"/>
      <c r="D1795" s="4" t="s">
        <v>2818</v>
      </c>
      <c r="E1795" s="4" t="s">
        <v>338</v>
      </c>
      <c r="F1795" s="4"/>
      <c r="G1795" s="4" t="s">
        <v>35</v>
      </c>
      <c r="H1795" s="54" t="s">
        <v>41</v>
      </c>
      <c r="I1795" s="52"/>
      <c r="J1795" s="57">
        <v>13.88</v>
      </c>
      <c r="K1795" s="52"/>
      <c r="L1795" s="6">
        <v>10.41</v>
      </c>
      <c r="M1795" s="6">
        <v>0.75</v>
      </c>
      <c r="N1795" s="6">
        <v>12.46</v>
      </c>
      <c r="O1795" s="57">
        <v>9.3450000000000006</v>
      </c>
      <c r="P1795" s="52"/>
      <c r="Q1795" s="6">
        <v>0.75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1.42</v>
      </c>
      <c r="AB1795" s="6">
        <v>1.0649999999999999</v>
      </c>
      <c r="AC1795" s="6">
        <v>0.75</v>
      </c>
      <c r="AD1795" s="6">
        <v>-1.42</v>
      </c>
      <c r="AE1795" s="6">
        <v>1.42</v>
      </c>
    </row>
    <row r="1796" spans="2:31" ht="20" x14ac:dyDescent="0.25">
      <c r="B1796" s="55"/>
      <c r="C1796" s="55"/>
      <c r="D1796" s="4" t="s">
        <v>2819</v>
      </c>
      <c r="E1796" s="4" t="s">
        <v>2763</v>
      </c>
      <c r="F1796" s="4" t="s">
        <v>51</v>
      </c>
      <c r="G1796" s="4" t="s">
        <v>35</v>
      </c>
      <c r="H1796" s="54" t="s">
        <v>41</v>
      </c>
      <c r="I1796" s="52"/>
      <c r="J1796" s="57">
        <v>448.23</v>
      </c>
      <c r="K1796" s="52"/>
      <c r="L1796" s="6">
        <v>336.17250000000001</v>
      </c>
      <c r="M1796" s="6">
        <v>0.75</v>
      </c>
      <c r="N1796" s="6">
        <v>448.13</v>
      </c>
      <c r="O1796" s="57">
        <v>336.09750000000003</v>
      </c>
      <c r="P1796" s="52"/>
      <c r="Q1796" s="6">
        <v>0.75000000000000011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0.1</v>
      </c>
      <c r="AB1796" s="6">
        <v>7.4999999999999997E-2</v>
      </c>
      <c r="AC1796" s="6">
        <v>0.74999999999999989</v>
      </c>
      <c r="AD1796" s="6">
        <v>-0.10000000000002274</v>
      </c>
      <c r="AE1796" s="6">
        <v>0.10000000000002274</v>
      </c>
    </row>
    <row r="1797" spans="2:31" ht="20" x14ac:dyDescent="0.25">
      <c r="B1797" s="55"/>
      <c r="C1797" s="55"/>
      <c r="D1797" s="4" t="s">
        <v>2820</v>
      </c>
      <c r="E1797" s="4" t="s">
        <v>2821</v>
      </c>
      <c r="F1797" s="4" t="s">
        <v>51</v>
      </c>
      <c r="G1797" s="4" t="s">
        <v>35</v>
      </c>
      <c r="H1797" s="54" t="s">
        <v>36</v>
      </c>
      <c r="I1797" s="52"/>
      <c r="J1797" s="57">
        <v>11.64</v>
      </c>
      <c r="K1797" s="52"/>
      <c r="L1797" s="6">
        <v>10.67388</v>
      </c>
      <c r="M1797" s="6">
        <v>0.91700000000000004</v>
      </c>
      <c r="N1797" s="6">
        <v>10.98</v>
      </c>
      <c r="O1797" s="57">
        <v>10.068659999999999</v>
      </c>
      <c r="P1797" s="52"/>
      <c r="Q1797" s="6">
        <v>0.91699999999999993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0.66</v>
      </c>
      <c r="AB1797" s="6">
        <v>0.60521999999999998</v>
      </c>
      <c r="AC1797" s="6">
        <v>0.91699999999999993</v>
      </c>
      <c r="AD1797" s="6">
        <v>-0.66000000000000014</v>
      </c>
      <c r="AE1797" s="6">
        <v>0.66000000000000014</v>
      </c>
    </row>
    <row r="1798" spans="2:31" ht="20" x14ac:dyDescent="0.25">
      <c r="B1798" s="55"/>
      <c r="C1798" s="55"/>
      <c r="D1798" s="4" t="s">
        <v>2822</v>
      </c>
      <c r="E1798" s="4" t="s">
        <v>2823</v>
      </c>
      <c r="F1798" s="4" t="s">
        <v>51</v>
      </c>
      <c r="G1798" s="4" t="s">
        <v>35</v>
      </c>
      <c r="H1798" s="54" t="s">
        <v>36</v>
      </c>
      <c r="I1798" s="52"/>
      <c r="J1798" s="57">
        <v>11.01</v>
      </c>
      <c r="K1798" s="52"/>
      <c r="L1798" s="6">
        <v>10.096170000000001</v>
      </c>
      <c r="M1798" s="6">
        <v>0.91700000000000004</v>
      </c>
      <c r="N1798" s="6">
        <v>10.34</v>
      </c>
      <c r="O1798" s="57">
        <v>9.4817800000000005</v>
      </c>
      <c r="P1798" s="52"/>
      <c r="Q1798" s="6">
        <v>0.91700000000000004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0.67</v>
      </c>
      <c r="AB1798" s="6">
        <v>0.61438999999999999</v>
      </c>
      <c r="AC1798" s="6">
        <v>0.91699999999999993</v>
      </c>
      <c r="AD1798" s="6">
        <v>-0.67</v>
      </c>
      <c r="AE1798" s="6">
        <v>0.67</v>
      </c>
    </row>
    <row r="1799" spans="2:31" ht="20" x14ac:dyDescent="0.25">
      <c r="B1799" s="55"/>
      <c r="C1799" s="55"/>
      <c r="D1799" s="4" t="s">
        <v>2824</v>
      </c>
      <c r="E1799" s="4" t="s">
        <v>2825</v>
      </c>
      <c r="F1799" s="4" t="s">
        <v>51</v>
      </c>
      <c r="G1799" s="4" t="s">
        <v>35</v>
      </c>
      <c r="H1799" s="54" t="s">
        <v>36</v>
      </c>
      <c r="I1799" s="52"/>
      <c r="J1799" s="57">
        <v>12.1</v>
      </c>
      <c r="K1799" s="52"/>
      <c r="L1799" s="6">
        <v>11.095700000000001</v>
      </c>
      <c r="M1799" s="6">
        <v>0.91700000000000004</v>
      </c>
      <c r="N1799" s="6">
        <v>11.68</v>
      </c>
      <c r="O1799" s="57">
        <v>10.710559999999999</v>
      </c>
      <c r="P1799" s="52"/>
      <c r="Q1799" s="6">
        <v>0.91699999999999993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0.42</v>
      </c>
      <c r="AB1799" s="6">
        <v>0.38513999999999998</v>
      </c>
      <c r="AC1799" s="6">
        <v>0.91700000000000004</v>
      </c>
      <c r="AD1799" s="6">
        <v>-0.41999999999999993</v>
      </c>
      <c r="AE1799" s="6">
        <v>0.41999999999999993</v>
      </c>
    </row>
    <row r="1800" spans="2:31" ht="20" x14ac:dyDescent="0.25">
      <c r="B1800" s="55"/>
      <c r="C1800" s="55"/>
      <c r="D1800" s="4" t="s">
        <v>2826</v>
      </c>
      <c r="E1800" s="4" t="s">
        <v>2827</v>
      </c>
      <c r="F1800" s="4" t="s">
        <v>51</v>
      </c>
      <c r="G1800" s="4" t="s">
        <v>35</v>
      </c>
      <c r="H1800" s="54" t="s">
        <v>36</v>
      </c>
      <c r="I1800" s="52"/>
      <c r="J1800" s="57">
        <v>11.19</v>
      </c>
      <c r="K1800" s="52"/>
      <c r="L1800" s="6">
        <v>10.261229999999999</v>
      </c>
      <c r="M1800" s="6">
        <v>0.91700000000000004</v>
      </c>
      <c r="N1800" s="6">
        <v>10.68</v>
      </c>
      <c r="O1800" s="57">
        <v>9.7935599999999994</v>
      </c>
      <c r="P1800" s="52"/>
      <c r="Q1800" s="6">
        <v>0.91699999999999993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0.51</v>
      </c>
      <c r="AB1800" s="6">
        <v>0.46766999999999997</v>
      </c>
      <c r="AC1800" s="6">
        <v>0.91699999999999993</v>
      </c>
      <c r="AD1800" s="6">
        <v>-0.50999999999999979</v>
      </c>
      <c r="AE1800" s="6">
        <v>0.50999999999999979</v>
      </c>
    </row>
    <row r="1801" spans="2:31" ht="20" x14ac:dyDescent="0.25">
      <c r="B1801" s="55"/>
      <c r="C1801" s="55"/>
      <c r="D1801" s="4" t="s">
        <v>2828</v>
      </c>
      <c r="E1801" s="4" t="s">
        <v>2829</v>
      </c>
      <c r="F1801" s="4" t="s">
        <v>51</v>
      </c>
      <c r="G1801" s="4" t="s">
        <v>35</v>
      </c>
      <c r="H1801" s="54" t="s">
        <v>48</v>
      </c>
      <c r="I1801" s="52"/>
      <c r="J1801" s="57">
        <v>0.75</v>
      </c>
      <c r="K1801" s="52"/>
      <c r="L1801" s="6">
        <v>0.5625</v>
      </c>
      <c r="M1801" s="6">
        <v>0.75</v>
      </c>
      <c r="N1801" s="6">
        <v>0.72</v>
      </c>
      <c r="O1801" s="57">
        <v>0.54</v>
      </c>
      <c r="P1801" s="52"/>
      <c r="Q1801" s="6">
        <v>0.75000000000000011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0.03</v>
      </c>
      <c r="AB1801" s="6">
        <v>2.2499999999999999E-2</v>
      </c>
      <c r="AC1801" s="6">
        <v>0.75</v>
      </c>
      <c r="AD1801" s="6">
        <v>-3.0000000000000027E-2</v>
      </c>
      <c r="AE1801" s="6">
        <v>3.0000000000000027E-2</v>
      </c>
    </row>
    <row r="1802" spans="2:31" ht="20" x14ac:dyDescent="0.25">
      <c r="B1802" s="55"/>
      <c r="C1802" s="55"/>
      <c r="D1802" s="4" t="s">
        <v>2830</v>
      </c>
      <c r="E1802" s="4" t="s">
        <v>2831</v>
      </c>
      <c r="F1802" s="4" t="s">
        <v>51</v>
      </c>
      <c r="G1802" s="4" t="s">
        <v>35</v>
      </c>
      <c r="H1802" s="54" t="s">
        <v>36</v>
      </c>
      <c r="I1802" s="52"/>
      <c r="J1802" s="57">
        <v>11.53</v>
      </c>
      <c r="K1802" s="52"/>
      <c r="L1802" s="6">
        <v>10.57301</v>
      </c>
      <c r="M1802" s="6">
        <v>0.91700000000000004</v>
      </c>
      <c r="N1802" s="6">
        <v>10.7</v>
      </c>
      <c r="O1802" s="57">
        <v>9.8118999999999996</v>
      </c>
      <c r="P1802" s="52"/>
      <c r="Q1802" s="6">
        <v>0.91700000000000004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0.83</v>
      </c>
      <c r="AB1802" s="6">
        <v>0.76110999999999995</v>
      </c>
      <c r="AC1802" s="6">
        <v>0.91700000000000004</v>
      </c>
      <c r="AD1802" s="6">
        <v>-0.83</v>
      </c>
      <c r="AE1802" s="6">
        <v>0.83</v>
      </c>
    </row>
    <row r="1803" spans="2:31" ht="20" x14ac:dyDescent="0.25">
      <c r="B1803" s="55"/>
      <c r="C1803" s="55"/>
      <c r="D1803" s="4" t="s">
        <v>2832</v>
      </c>
      <c r="E1803" s="4" t="s">
        <v>2833</v>
      </c>
      <c r="F1803" s="4" t="s">
        <v>51</v>
      </c>
      <c r="G1803" s="4" t="s">
        <v>35</v>
      </c>
      <c r="H1803" s="54" t="s">
        <v>36</v>
      </c>
      <c r="I1803" s="52"/>
      <c r="J1803" s="57">
        <v>10.89</v>
      </c>
      <c r="K1803" s="52"/>
      <c r="L1803" s="6">
        <v>9.9861299999999993</v>
      </c>
      <c r="M1803" s="6">
        <v>0.91699999999999993</v>
      </c>
      <c r="N1803" s="6">
        <v>10.26</v>
      </c>
      <c r="O1803" s="57">
        <v>9.4084199999999996</v>
      </c>
      <c r="P1803" s="52"/>
      <c r="Q1803" s="6">
        <v>0.91699999999999993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0.63</v>
      </c>
      <c r="AB1803" s="6">
        <v>0.57770999999999995</v>
      </c>
      <c r="AC1803" s="6">
        <v>0.91699999999999993</v>
      </c>
      <c r="AD1803" s="6">
        <v>-0.63000000000000078</v>
      </c>
      <c r="AE1803" s="6">
        <v>0.63000000000000078</v>
      </c>
    </row>
    <row r="1804" spans="2:31" ht="20" x14ac:dyDescent="0.25">
      <c r="B1804" s="55"/>
      <c r="C1804" s="55"/>
      <c r="D1804" s="4" t="s">
        <v>2834</v>
      </c>
      <c r="E1804" s="4" t="s">
        <v>2835</v>
      </c>
      <c r="F1804" s="4" t="s">
        <v>51</v>
      </c>
      <c r="G1804" s="4" t="s">
        <v>35</v>
      </c>
      <c r="H1804" s="54" t="s">
        <v>36</v>
      </c>
      <c r="I1804" s="52"/>
      <c r="J1804" s="57">
        <v>4.5999999999999996</v>
      </c>
      <c r="K1804" s="52"/>
      <c r="L1804" s="6">
        <v>4.2182000000000004</v>
      </c>
      <c r="M1804" s="6">
        <v>0.91700000000000015</v>
      </c>
      <c r="N1804" s="6">
        <v>4.3099999999999996</v>
      </c>
      <c r="O1804" s="57">
        <v>3.9522699999999999</v>
      </c>
      <c r="P1804" s="52"/>
      <c r="Q1804" s="6">
        <v>0.91700000000000004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0.28999999999999998</v>
      </c>
      <c r="AB1804" s="6">
        <v>0.26593</v>
      </c>
      <c r="AC1804" s="6">
        <v>0.91700000000000004</v>
      </c>
      <c r="AD1804" s="6">
        <v>-0.29000000000000004</v>
      </c>
      <c r="AE1804" s="6">
        <v>0.29000000000000004</v>
      </c>
    </row>
    <row r="1805" spans="2:31" ht="20" x14ac:dyDescent="0.25">
      <c r="B1805" s="55"/>
      <c r="C1805" s="55"/>
      <c r="D1805" s="4" t="s">
        <v>2836</v>
      </c>
      <c r="E1805" s="4" t="s">
        <v>2837</v>
      </c>
      <c r="F1805" s="4" t="s">
        <v>51</v>
      </c>
      <c r="G1805" s="4" t="s">
        <v>35</v>
      </c>
      <c r="H1805" s="54" t="s">
        <v>36</v>
      </c>
      <c r="I1805" s="52"/>
      <c r="J1805" s="57">
        <v>0.74</v>
      </c>
      <c r="K1805" s="52"/>
      <c r="L1805" s="6">
        <v>0.67857999999999996</v>
      </c>
      <c r="M1805" s="6">
        <v>0.91699999999999993</v>
      </c>
      <c r="N1805" s="6">
        <v>0.72</v>
      </c>
      <c r="O1805" s="57">
        <v>0.66024000000000005</v>
      </c>
      <c r="P1805" s="52"/>
      <c r="Q1805" s="6">
        <v>0.91700000000000015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0.02</v>
      </c>
      <c r="AB1805" s="6">
        <v>1.8339999999999999E-2</v>
      </c>
      <c r="AC1805" s="6">
        <v>0.91699999999999993</v>
      </c>
      <c r="AD1805" s="6">
        <v>-2.0000000000000018E-2</v>
      </c>
      <c r="AE1805" s="6">
        <v>2.0000000000000018E-2</v>
      </c>
    </row>
    <row r="1806" spans="2:31" ht="20" x14ac:dyDescent="0.25">
      <c r="B1806" s="55"/>
      <c r="C1806" s="55"/>
      <c r="D1806" s="4" t="s">
        <v>2838</v>
      </c>
      <c r="E1806" s="4" t="s">
        <v>2839</v>
      </c>
      <c r="F1806" s="4" t="s">
        <v>51</v>
      </c>
      <c r="G1806" s="4" t="s">
        <v>35</v>
      </c>
      <c r="H1806" s="54" t="s">
        <v>36</v>
      </c>
      <c r="I1806" s="52"/>
      <c r="J1806" s="57">
        <v>0.77</v>
      </c>
      <c r="K1806" s="52"/>
      <c r="L1806" s="6">
        <v>0.70609</v>
      </c>
      <c r="M1806" s="6">
        <v>0.91699999999999993</v>
      </c>
      <c r="N1806" s="6">
        <v>0.75</v>
      </c>
      <c r="O1806" s="57">
        <v>0.68774999999999997</v>
      </c>
      <c r="P1806" s="52"/>
      <c r="Q1806" s="6">
        <v>0.91699999999999993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0.02</v>
      </c>
      <c r="AB1806" s="6">
        <v>1.8339999999999999E-2</v>
      </c>
      <c r="AC1806" s="6">
        <v>0.91699999999999993</v>
      </c>
      <c r="AD1806" s="6">
        <v>-2.0000000000000018E-2</v>
      </c>
      <c r="AE1806" s="6">
        <v>2.0000000000000018E-2</v>
      </c>
    </row>
    <row r="1807" spans="2:31" ht="20" x14ac:dyDescent="0.25">
      <c r="B1807" s="55"/>
      <c r="C1807" s="55"/>
      <c r="D1807" s="4" t="s">
        <v>2840</v>
      </c>
      <c r="E1807" s="4" t="s">
        <v>2841</v>
      </c>
      <c r="F1807" s="4" t="s">
        <v>51</v>
      </c>
      <c r="G1807" s="4" t="s">
        <v>35</v>
      </c>
      <c r="H1807" s="54" t="s">
        <v>36</v>
      </c>
      <c r="I1807" s="52"/>
      <c r="J1807" s="57">
        <v>1</v>
      </c>
      <c r="K1807" s="52"/>
      <c r="L1807" s="6">
        <v>0.91700000000000004</v>
      </c>
      <c r="M1807" s="6">
        <v>0.91700000000000004</v>
      </c>
      <c r="N1807" s="6">
        <v>0.98</v>
      </c>
      <c r="O1807" s="57">
        <v>0.89866000000000001</v>
      </c>
      <c r="P1807" s="52"/>
      <c r="Q1807" s="6">
        <v>0.91700000000000004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0.02</v>
      </c>
      <c r="AB1807" s="6">
        <v>1.8339999999999999E-2</v>
      </c>
      <c r="AC1807" s="6">
        <v>0.91699999999999993</v>
      </c>
      <c r="AD1807" s="6">
        <v>-2.0000000000000018E-2</v>
      </c>
      <c r="AE1807" s="6">
        <v>2.0000000000000018E-2</v>
      </c>
    </row>
    <row r="1808" spans="2:31" ht="20" x14ac:dyDescent="0.25">
      <c r="B1808" s="55"/>
      <c r="C1808" s="55"/>
      <c r="D1808" s="4" t="s">
        <v>2842</v>
      </c>
      <c r="E1808" s="4" t="s">
        <v>2843</v>
      </c>
      <c r="F1808" s="4" t="s">
        <v>51</v>
      </c>
      <c r="G1808" s="4" t="s">
        <v>35</v>
      </c>
      <c r="H1808" s="54" t="s">
        <v>36</v>
      </c>
      <c r="I1808" s="52"/>
      <c r="J1808" s="57">
        <v>13.62</v>
      </c>
      <c r="K1808" s="52"/>
      <c r="L1808" s="6">
        <v>12.48954</v>
      </c>
      <c r="M1808" s="6">
        <v>0.91700000000000004</v>
      </c>
      <c r="N1808" s="6">
        <v>13.17</v>
      </c>
      <c r="O1808" s="57">
        <v>12.076890000000001</v>
      </c>
      <c r="P1808" s="52"/>
      <c r="Q1808" s="6">
        <v>0.91700000000000004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0.45</v>
      </c>
      <c r="AB1808" s="6">
        <v>0.41265000000000002</v>
      </c>
      <c r="AC1808" s="6">
        <v>0.91700000000000004</v>
      </c>
      <c r="AD1808" s="6">
        <v>-0.44999999999999929</v>
      </c>
      <c r="AE1808" s="6">
        <v>0.44999999999999929</v>
      </c>
    </row>
    <row r="1809" spans="2:31" ht="20" x14ac:dyDescent="0.25">
      <c r="B1809" s="55"/>
      <c r="C1809" s="55"/>
      <c r="D1809" s="4" t="s">
        <v>2844</v>
      </c>
      <c r="E1809" s="4" t="s">
        <v>2845</v>
      </c>
      <c r="F1809" s="4" t="s">
        <v>51</v>
      </c>
      <c r="G1809" s="4" t="s">
        <v>35</v>
      </c>
      <c r="H1809" s="54" t="s">
        <v>36</v>
      </c>
      <c r="I1809" s="52"/>
      <c r="J1809" s="57">
        <v>10.83</v>
      </c>
      <c r="K1809" s="52"/>
      <c r="L1809" s="6">
        <v>9.9311100000000003</v>
      </c>
      <c r="M1809" s="6">
        <v>0.91700000000000004</v>
      </c>
      <c r="N1809" s="6">
        <v>10.72</v>
      </c>
      <c r="O1809" s="57">
        <v>9.8302399999999999</v>
      </c>
      <c r="P1809" s="52"/>
      <c r="Q1809" s="6">
        <v>0.91699999999999993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0.11</v>
      </c>
      <c r="AB1809" s="6">
        <v>0.10087</v>
      </c>
      <c r="AC1809" s="6">
        <v>0.91700000000000004</v>
      </c>
      <c r="AD1809" s="6">
        <v>-0.10999999999999943</v>
      </c>
      <c r="AE1809" s="6">
        <v>0.10999999999999943</v>
      </c>
    </row>
    <row r="1810" spans="2:31" ht="20" x14ac:dyDescent="0.25">
      <c r="B1810" s="55"/>
      <c r="C1810" s="55"/>
      <c r="D1810" s="4" t="s">
        <v>2846</v>
      </c>
      <c r="E1810" s="4" t="s">
        <v>2847</v>
      </c>
      <c r="F1810" s="4" t="s">
        <v>51</v>
      </c>
      <c r="G1810" s="4" t="s">
        <v>35</v>
      </c>
      <c r="H1810" s="54" t="s">
        <v>36</v>
      </c>
      <c r="I1810" s="52"/>
      <c r="J1810" s="57">
        <v>2.2599999999999998</v>
      </c>
      <c r="K1810" s="52"/>
      <c r="L1810" s="6">
        <v>2.0724200000000002</v>
      </c>
      <c r="M1810" s="6">
        <v>0.91700000000000015</v>
      </c>
      <c r="N1810" s="6">
        <v>2.12</v>
      </c>
      <c r="O1810" s="57">
        <v>1.94404</v>
      </c>
      <c r="P1810" s="52"/>
      <c r="Q1810" s="6">
        <v>0.91699999999999993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0.14000000000000001</v>
      </c>
      <c r="AB1810" s="6">
        <v>0.12837999999999999</v>
      </c>
      <c r="AC1810" s="6">
        <v>0.91699999999999982</v>
      </c>
      <c r="AD1810" s="6">
        <v>-0.13999999999999968</v>
      </c>
      <c r="AE1810" s="6">
        <v>0.13999999999999968</v>
      </c>
    </row>
    <row r="1811" spans="2:31" ht="20" x14ac:dyDescent="0.25">
      <c r="B1811" s="55"/>
      <c r="C1811" s="55"/>
      <c r="D1811" s="4" t="s">
        <v>2848</v>
      </c>
      <c r="E1811" s="4" t="s">
        <v>2849</v>
      </c>
      <c r="F1811" s="4" t="s">
        <v>51</v>
      </c>
      <c r="G1811" s="4" t="s">
        <v>35</v>
      </c>
      <c r="H1811" s="54" t="s">
        <v>48</v>
      </c>
      <c r="I1811" s="52"/>
      <c r="J1811" s="57">
        <v>2.79</v>
      </c>
      <c r="K1811" s="52"/>
      <c r="L1811" s="6">
        <v>2.0924999999999998</v>
      </c>
      <c r="M1811" s="6">
        <v>0.74999999999999989</v>
      </c>
      <c r="N1811" s="6">
        <v>2.65</v>
      </c>
      <c r="O1811" s="57">
        <v>1.9875</v>
      </c>
      <c r="P1811" s="52"/>
      <c r="Q1811" s="6">
        <v>0.75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0.14000000000000001</v>
      </c>
      <c r="AB1811" s="6">
        <v>0.105</v>
      </c>
      <c r="AC1811" s="6">
        <v>0.74999999999999989</v>
      </c>
      <c r="AD1811" s="6">
        <v>-0.14000000000000012</v>
      </c>
      <c r="AE1811" s="6">
        <v>0.14000000000000012</v>
      </c>
    </row>
    <row r="1812" spans="2:31" ht="20" x14ac:dyDescent="0.25">
      <c r="B1812" s="55"/>
      <c r="C1812" s="55"/>
      <c r="D1812" s="4" t="s">
        <v>2850</v>
      </c>
      <c r="E1812" s="4" t="s">
        <v>2851</v>
      </c>
      <c r="F1812" s="4" t="s">
        <v>51</v>
      </c>
      <c r="G1812" s="4" t="s">
        <v>35</v>
      </c>
      <c r="H1812" s="54" t="s">
        <v>36</v>
      </c>
      <c r="I1812" s="52"/>
      <c r="J1812" s="57">
        <v>9.83</v>
      </c>
      <c r="K1812" s="52"/>
      <c r="L1812" s="6">
        <v>9.0141100000000005</v>
      </c>
      <c r="M1812" s="6">
        <v>0.91700000000000004</v>
      </c>
      <c r="N1812" s="6">
        <v>9.15</v>
      </c>
      <c r="O1812" s="57">
        <v>8.3905499999999993</v>
      </c>
      <c r="P1812" s="52"/>
      <c r="Q1812" s="6">
        <v>0.91699999999999993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0.68</v>
      </c>
      <c r="AB1812" s="6">
        <v>0.62356</v>
      </c>
      <c r="AC1812" s="6">
        <v>0.91699999999999993</v>
      </c>
      <c r="AD1812" s="6">
        <v>-0.67999999999999972</v>
      </c>
      <c r="AE1812" s="6">
        <v>0.67999999999999972</v>
      </c>
    </row>
    <row r="1813" spans="2:31" ht="20" x14ac:dyDescent="0.25">
      <c r="B1813" s="55"/>
      <c r="C1813" s="55"/>
      <c r="D1813" s="4" t="s">
        <v>2852</v>
      </c>
      <c r="E1813" s="4" t="s">
        <v>2853</v>
      </c>
      <c r="F1813" s="4" t="s">
        <v>51</v>
      </c>
      <c r="G1813" s="4" t="s">
        <v>35</v>
      </c>
      <c r="H1813" s="54" t="s">
        <v>36</v>
      </c>
      <c r="I1813" s="52"/>
      <c r="J1813" s="57">
        <v>10.86</v>
      </c>
      <c r="K1813" s="52"/>
      <c r="L1813" s="6">
        <v>9.9586199999999998</v>
      </c>
      <c r="M1813" s="6">
        <v>0.91700000000000004</v>
      </c>
      <c r="N1813" s="6">
        <v>10.199999999999999</v>
      </c>
      <c r="O1813" s="57">
        <v>9.3534000000000006</v>
      </c>
      <c r="P1813" s="52"/>
      <c r="Q1813" s="6">
        <v>0.91700000000000015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0.66</v>
      </c>
      <c r="AB1813" s="6">
        <v>0.60521999999999998</v>
      </c>
      <c r="AC1813" s="6">
        <v>0.91699999999999993</v>
      </c>
      <c r="AD1813" s="6">
        <v>-0.66000000000000014</v>
      </c>
      <c r="AE1813" s="6">
        <v>0.66000000000000014</v>
      </c>
    </row>
    <row r="1814" spans="2:31" ht="20" x14ac:dyDescent="0.25">
      <c r="B1814" s="55"/>
      <c r="C1814" s="55"/>
      <c r="D1814" s="4" t="s">
        <v>2854</v>
      </c>
      <c r="E1814" s="4" t="s">
        <v>2855</v>
      </c>
      <c r="F1814" s="4" t="s">
        <v>51</v>
      </c>
      <c r="G1814" s="4" t="s">
        <v>35</v>
      </c>
      <c r="H1814" s="54" t="s">
        <v>36</v>
      </c>
      <c r="I1814" s="52"/>
      <c r="J1814" s="57">
        <v>23.02</v>
      </c>
      <c r="K1814" s="52"/>
      <c r="L1814" s="6">
        <v>21.10934</v>
      </c>
      <c r="M1814" s="6">
        <v>0.91700000000000004</v>
      </c>
      <c r="N1814" s="6">
        <v>22.26</v>
      </c>
      <c r="O1814" s="57">
        <v>20.412420000000001</v>
      </c>
      <c r="P1814" s="52"/>
      <c r="Q1814" s="6">
        <v>0.91699999999999993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0.76</v>
      </c>
      <c r="AB1814" s="6">
        <v>0.69691999999999998</v>
      </c>
      <c r="AC1814" s="6">
        <v>0.91699999999999993</v>
      </c>
      <c r="AD1814" s="6">
        <v>-0.75999999999999801</v>
      </c>
      <c r="AE1814" s="6">
        <v>0.75999999999999801</v>
      </c>
    </row>
    <row r="1815" spans="2:31" x14ac:dyDescent="0.25">
      <c r="B1815" s="55"/>
      <c r="C1815" s="55"/>
      <c r="D1815" s="54" t="s">
        <v>2856</v>
      </c>
      <c r="E1815" s="4" t="s">
        <v>2857</v>
      </c>
      <c r="F1815" s="4" t="s">
        <v>51</v>
      </c>
      <c r="G1815" s="4" t="s">
        <v>35</v>
      </c>
      <c r="H1815" s="54" t="s">
        <v>36</v>
      </c>
      <c r="I1815" s="52"/>
      <c r="J1815" s="57">
        <v>1.51</v>
      </c>
      <c r="K1815" s="52"/>
      <c r="L1815" s="6">
        <v>1.3846700000000001</v>
      </c>
      <c r="M1815" s="6">
        <v>0.91700000000000004</v>
      </c>
      <c r="N1815" s="6">
        <v>1.45</v>
      </c>
      <c r="O1815" s="57">
        <v>1.32965</v>
      </c>
      <c r="P1815" s="52"/>
      <c r="Q1815" s="6">
        <v>0.91700000000000004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0.06</v>
      </c>
      <c r="AB1815" s="6">
        <v>5.5019999999999999E-2</v>
      </c>
      <c r="AC1815" s="6">
        <v>0.91700000000000004</v>
      </c>
      <c r="AD1815" s="6">
        <v>-6.0000000000000053E-2</v>
      </c>
      <c r="AE1815" s="6">
        <v>6.0000000000000053E-2</v>
      </c>
    </row>
    <row r="1816" spans="2:31" x14ac:dyDescent="0.25">
      <c r="B1816" s="55"/>
      <c r="C1816" s="55"/>
      <c r="D1816" s="55"/>
      <c r="E1816" s="4" t="s">
        <v>2858</v>
      </c>
      <c r="F1816" s="4" t="s">
        <v>51</v>
      </c>
      <c r="G1816" s="4" t="s">
        <v>35</v>
      </c>
      <c r="H1816" s="54" t="s">
        <v>36</v>
      </c>
      <c r="I1816" s="52"/>
      <c r="J1816" s="57">
        <v>62.5</v>
      </c>
      <c r="K1816" s="52"/>
      <c r="L1816" s="6">
        <v>57.3125</v>
      </c>
      <c r="M1816" s="6">
        <v>0.91700000000000004</v>
      </c>
      <c r="N1816" s="6">
        <v>59.82</v>
      </c>
      <c r="O1816" s="57">
        <v>54.854939999999999</v>
      </c>
      <c r="P1816" s="52"/>
      <c r="Q1816" s="6">
        <v>0.91699999999999993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2.68</v>
      </c>
      <c r="AB1816" s="6">
        <v>2.45756</v>
      </c>
      <c r="AC1816" s="6">
        <v>0.91699999999999993</v>
      </c>
      <c r="AD1816" s="6">
        <v>-2.68</v>
      </c>
      <c r="AE1816" s="6">
        <v>2.68</v>
      </c>
    </row>
    <row r="1817" spans="2:31" x14ac:dyDescent="0.25">
      <c r="B1817" s="55"/>
      <c r="C1817" s="55"/>
      <c r="D1817" s="55"/>
      <c r="E1817" s="4" t="s">
        <v>2859</v>
      </c>
      <c r="F1817" s="4" t="s">
        <v>51</v>
      </c>
      <c r="G1817" s="4" t="s">
        <v>35</v>
      </c>
      <c r="H1817" s="54" t="s">
        <v>41</v>
      </c>
      <c r="I1817" s="52"/>
      <c r="J1817" s="57">
        <v>57.24</v>
      </c>
      <c r="K1817" s="52"/>
      <c r="L1817" s="6">
        <v>42.93</v>
      </c>
      <c r="M1817" s="6">
        <v>0.75</v>
      </c>
      <c r="N1817" s="6">
        <v>54.04</v>
      </c>
      <c r="O1817" s="57">
        <v>40.53</v>
      </c>
      <c r="P1817" s="52"/>
      <c r="Q1817" s="6">
        <v>0.75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3.2</v>
      </c>
      <c r="AB1817" s="6">
        <v>2.4</v>
      </c>
      <c r="AC1817" s="6">
        <v>0.74999999999999989</v>
      </c>
      <c r="AD1817" s="6">
        <v>-3.2000000000000028</v>
      </c>
      <c r="AE1817" s="6">
        <v>3.2000000000000028</v>
      </c>
    </row>
    <row r="1818" spans="2:31" x14ac:dyDescent="0.25">
      <c r="B1818" s="55"/>
      <c r="C1818" s="55"/>
      <c r="D1818" s="55"/>
      <c r="E1818" s="4" t="s">
        <v>2860</v>
      </c>
      <c r="F1818" s="4" t="s">
        <v>51</v>
      </c>
      <c r="G1818" s="4" t="s">
        <v>35</v>
      </c>
      <c r="H1818" s="54" t="s">
        <v>41</v>
      </c>
      <c r="I1818" s="52"/>
      <c r="J1818" s="57">
        <v>51.85</v>
      </c>
      <c r="K1818" s="52"/>
      <c r="L1818" s="6">
        <v>38.887500000000003</v>
      </c>
      <c r="M1818" s="6">
        <v>0.75</v>
      </c>
      <c r="N1818" s="6">
        <v>49.55</v>
      </c>
      <c r="O1818" s="57">
        <v>37.162500000000001</v>
      </c>
      <c r="P1818" s="52"/>
      <c r="Q1818" s="6">
        <v>0.75000000000000011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2.2999999999999998</v>
      </c>
      <c r="AB1818" s="6">
        <v>1.7250000000000001</v>
      </c>
      <c r="AC1818" s="6">
        <v>0.75000000000000011</v>
      </c>
      <c r="AD1818" s="6">
        <v>-2.3000000000000043</v>
      </c>
      <c r="AE1818" s="6">
        <v>2.3000000000000043</v>
      </c>
    </row>
    <row r="1819" spans="2:31" x14ac:dyDescent="0.25">
      <c r="B1819" s="55"/>
      <c r="C1819" s="55"/>
      <c r="D1819" s="55"/>
      <c r="E1819" s="4" t="s">
        <v>2861</v>
      </c>
      <c r="F1819" s="4" t="s">
        <v>51</v>
      </c>
      <c r="G1819" s="4" t="s">
        <v>35</v>
      </c>
      <c r="H1819" s="54" t="s">
        <v>36</v>
      </c>
      <c r="I1819" s="52"/>
      <c r="J1819" s="57">
        <v>11.77</v>
      </c>
      <c r="K1819" s="52"/>
      <c r="L1819" s="6">
        <v>10.793089999999999</v>
      </c>
      <c r="M1819" s="6">
        <v>0.91700000000000004</v>
      </c>
      <c r="N1819" s="6">
        <v>11.26</v>
      </c>
      <c r="O1819" s="57">
        <v>10.325419999999999</v>
      </c>
      <c r="P1819" s="52"/>
      <c r="Q1819" s="6">
        <v>0.91699999999999993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0.51</v>
      </c>
      <c r="AB1819" s="6">
        <v>0.46766999999999997</v>
      </c>
      <c r="AC1819" s="6">
        <v>0.91699999999999993</v>
      </c>
      <c r="AD1819" s="6">
        <v>-0.50999999999999979</v>
      </c>
      <c r="AE1819" s="6">
        <v>0.50999999999999979</v>
      </c>
    </row>
    <row r="1820" spans="2:31" x14ac:dyDescent="0.25">
      <c r="B1820" s="55"/>
      <c r="C1820" s="55"/>
      <c r="D1820" s="55"/>
      <c r="E1820" s="4" t="s">
        <v>2862</v>
      </c>
      <c r="F1820" s="4" t="s">
        <v>51</v>
      </c>
      <c r="G1820" s="4" t="s">
        <v>35</v>
      </c>
      <c r="H1820" s="54" t="s">
        <v>36</v>
      </c>
      <c r="I1820" s="52"/>
      <c r="J1820" s="57">
        <v>82.98</v>
      </c>
      <c r="K1820" s="52"/>
      <c r="L1820" s="6">
        <v>76.092659999999995</v>
      </c>
      <c r="M1820" s="6">
        <v>0.91699999999999993</v>
      </c>
      <c r="N1820" s="6">
        <v>78.56</v>
      </c>
      <c r="O1820" s="57">
        <v>72.039519999999996</v>
      </c>
      <c r="P1820" s="52"/>
      <c r="Q1820" s="6">
        <v>0.91699999999999993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4.42</v>
      </c>
      <c r="AB1820" s="6">
        <v>4.05314</v>
      </c>
      <c r="AC1820" s="6">
        <v>0.91700000000000004</v>
      </c>
      <c r="AD1820" s="6">
        <v>-4.4200000000000017</v>
      </c>
      <c r="AE1820" s="6">
        <v>4.4200000000000017</v>
      </c>
    </row>
    <row r="1821" spans="2:31" x14ac:dyDescent="0.25">
      <c r="B1821" s="55"/>
      <c r="C1821" s="55"/>
      <c r="D1821" s="56"/>
      <c r="E1821" s="4" t="s">
        <v>2863</v>
      </c>
      <c r="F1821" s="4" t="s">
        <v>51</v>
      </c>
      <c r="G1821" s="4" t="s">
        <v>35</v>
      </c>
      <c r="H1821" s="54" t="s">
        <v>41</v>
      </c>
      <c r="I1821" s="52"/>
      <c r="J1821" s="57">
        <v>28.97</v>
      </c>
      <c r="K1821" s="52"/>
      <c r="L1821" s="6">
        <v>21.727499999999999</v>
      </c>
      <c r="M1821" s="6">
        <v>0.75</v>
      </c>
      <c r="N1821" s="6">
        <v>27.74</v>
      </c>
      <c r="O1821" s="57">
        <v>20.805</v>
      </c>
      <c r="P1821" s="52"/>
      <c r="Q1821" s="6">
        <v>0.75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1.23</v>
      </c>
      <c r="AB1821" s="6">
        <v>0.92249999999999999</v>
      </c>
      <c r="AC1821" s="6">
        <v>0.75</v>
      </c>
      <c r="AD1821" s="6">
        <v>-1.2300000000000004</v>
      </c>
      <c r="AE1821" s="6">
        <v>1.2300000000000004</v>
      </c>
    </row>
    <row r="1822" spans="2:31" ht="20" x14ac:dyDescent="0.25">
      <c r="B1822" s="55"/>
      <c r="C1822" s="55"/>
      <c r="D1822" s="4" t="s">
        <v>2864</v>
      </c>
      <c r="E1822" s="4" t="s">
        <v>2865</v>
      </c>
      <c r="F1822" s="4" t="s">
        <v>51</v>
      </c>
      <c r="G1822" s="4" t="s">
        <v>35</v>
      </c>
      <c r="H1822" s="54" t="s">
        <v>48</v>
      </c>
      <c r="I1822" s="52"/>
      <c r="J1822" s="57">
        <v>24.62</v>
      </c>
      <c r="K1822" s="52"/>
      <c r="L1822" s="6">
        <v>18.465</v>
      </c>
      <c r="M1822" s="6">
        <v>0.75</v>
      </c>
      <c r="N1822" s="6">
        <v>23.39</v>
      </c>
      <c r="O1822" s="57">
        <v>17.5425</v>
      </c>
      <c r="P1822" s="52"/>
      <c r="Q1822" s="6">
        <v>0.75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1.23</v>
      </c>
      <c r="AB1822" s="6">
        <v>0.92249999999999999</v>
      </c>
      <c r="AC1822" s="6">
        <v>0.75</v>
      </c>
      <c r="AD1822" s="6">
        <v>-1.2300000000000004</v>
      </c>
      <c r="AE1822" s="6">
        <v>1.2300000000000004</v>
      </c>
    </row>
    <row r="1823" spans="2:31" x14ac:dyDescent="0.25">
      <c r="B1823" s="55"/>
      <c r="C1823" s="55"/>
      <c r="D1823" s="54" t="s">
        <v>2866</v>
      </c>
      <c r="E1823" s="4" t="s">
        <v>2867</v>
      </c>
      <c r="F1823" s="4" t="s">
        <v>51</v>
      </c>
      <c r="G1823" s="4" t="s">
        <v>35</v>
      </c>
      <c r="H1823" s="54" t="s">
        <v>36</v>
      </c>
      <c r="I1823" s="52"/>
      <c r="J1823" s="57">
        <v>11.33</v>
      </c>
      <c r="K1823" s="52"/>
      <c r="L1823" s="6">
        <v>10.389609999999999</v>
      </c>
      <c r="M1823" s="6">
        <v>0.91699999999999993</v>
      </c>
      <c r="N1823" s="6">
        <v>10.89</v>
      </c>
      <c r="O1823" s="57">
        <v>9.9861299999999993</v>
      </c>
      <c r="P1823" s="52"/>
      <c r="Q1823" s="6">
        <v>0.91699999999999993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0.44</v>
      </c>
      <c r="AB1823" s="6">
        <v>0.40348000000000001</v>
      </c>
      <c r="AC1823" s="6">
        <v>0.91700000000000004</v>
      </c>
      <c r="AD1823" s="6">
        <v>-0.4399999999999995</v>
      </c>
      <c r="AE1823" s="6">
        <v>0.4399999999999995</v>
      </c>
    </row>
    <row r="1824" spans="2:31" x14ac:dyDescent="0.25">
      <c r="B1824" s="55"/>
      <c r="C1824" s="55"/>
      <c r="D1824" s="55"/>
      <c r="E1824" s="4" t="s">
        <v>2868</v>
      </c>
      <c r="F1824" s="4" t="s">
        <v>51</v>
      </c>
      <c r="G1824" s="4" t="s">
        <v>35</v>
      </c>
      <c r="H1824" s="54" t="s">
        <v>36</v>
      </c>
      <c r="I1824" s="52"/>
      <c r="J1824" s="57">
        <v>11.39</v>
      </c>
      <c r="K1824" s="52"/>
      <c r="L1824" s="6">
        <v>10.44463</v>
      </c>
      <c r="M1824" s="6">
        <v>0.91699999999999993</v>
      </c>
      <c r="N1824" s="6">
        <v>10.98</v>
      </c>
      <c r="O1824" s="57">
        <v>10.068659999999999</v>
      </c>
      <c r="P1824" s="52"/>
      <c r="Q1824" s="6">
        <v>0.91699999999999993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0.41</v>
      </c>
      <c r="AB1824" s="6">
        <v>0.37597000000000003</v>
      </c>
      <c r="AC1824" s="6">
        <v>0.91700000000000015</v>
      </c>
      <c r="AD1824" s="6">
        <v>-0.41000000000000014</v>
      </c>
      <c r="AE1824" s="6">
        <v>0.41000000000000014</v>
      </c>
    </row>
    <row r="1825" spans="2:31" x14ac:dyDescent="0.25">
      <c r="B1825" s="55"/>
      <c r="C1825" s="55"/>
      <c r="D1825" s="55"/>
      <c r="E1825" s="4" t="s">
        <v>2869</v>
      </c>
      <c r="F1825" s="4" t="s">
        <v>51</v>
      </c>
      <c r="G1825" s="4" t="s">
        <v>35</v>
      </c>
      <c r="H1825" s="54" t="s">
        <v>41</v>
      </c>
      <c r="I1825" s="52"/>
      <c r="J1825" s="57">
        <v>45.11</v>
      </c>
      <c r="K1825" s="52"/>
      <c r="L1825" s="6">
        <v>33.832500000000003</v>
      </c>
      <c r="M1825" s="6">
        <v>0.75000000000000011</v>
      </c>
      <c r="N1825" s="6">
        <v>42.46</v>
      </c>
      <c r="O1825" s="57">
        <v>31.844999999999999</v>
      </c>
      <c r="P1825" s="52"/>
      <c r="Q1825" s="6">
        <v>0.75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2.65</v>
      </c>
      <c r="AB1825" s="6">
        <v>1.9875</v>
      </c>
      <c r="AC1825" s="6">
        <v>0.75</v>
      </c>
      <c r="AD1825" s="6">
        <v>-2.6499999999999986</v>
      </c>
      <c r="AE1825" s="6">
        <v>2.6499999999999986</v>
      </c>
    </row>
    <row r="1826" spans="2:31" x14ac:dyDescent="0.25">
      <c r="B1826" s="55"/>
      <c r="C1826" s="55"/>
      <c r="D1826" s="56"/>
      <c r="E1826" s="4" t="s">
        <v>2870</v>
      </c>
      <c r="F1826" s="4" t="s">
        <v>51</v>
      </c>
      <c r="G1826" s="4" t="s">
        <v>35</v>
      </c>
      <c r="H1826" s="54" t="s">
        <v>36</v>
      </c>
      <c r="I1826" s="52"/>
      <c r="J1826" s="57">
        <v>7.39</v>
      </c>
      <c r="K1826" s="52"/>
      <c r="L1826" s="6">
        <v>6.7766299999999999</v>
      </c>
      <c r="M1826" s="6">
        <v>0.91700000000000004</v>
      </c>
      <c r="N1826" s="6">
        <v>7.39</v>
      </c>
      <c r="O1826" s="57">
        <v>6.7766299999999999</v>
      </c>
      <c r="P1826" s="52"/>
      <c r="Q1826" s="6">
        <v>0.91700000000000004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</row>
    <row r="1827" spans="2:31" x14ac:dyDescent="0.25">
      <c r="B1827" s="55"/>
      <c r="C1827" s="55"/>
      <c r="D1827" s="54" t="s">
        <v>2871</v>
      </c>
      <c r="E1827" s="4" t="s">
        <v>2872</v>
      </c>
      <c r="F1827" s="4" t="s">
        <v>51</v>
      </c>
      <c r="G1827" s="4" t="s">
        <v>35</v>
      </c>
      <c r="H1827" s="54" t="s">
        <v>36</v>
      </c>
      <c r="I1827" s="52"/>
      <c r="J1827" s="57">
        <v>22.42</v>
      </c>
      <c r="K1827" s="52"/>
      <c r="L1827" s="6">
        <v>20.559139999999999</v>
      </c>
      <c r="M1827" s="6">
        <v>0.91699999999999993</v>
      </c>
      <c r="N1827" s="6">
        <v>21.41</v>
      </c>
      <c r="O1827" s="57">
        <v>19.63297</v>
      </c>
      <c r="P1827" s="52"/>
      <c r="Q1827" s="6">
        <v>0.91700000000000004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1.01</v>
      </c>
      <c r="AB1827" s="6">
        <v>0.92617000000000005</v>
      </c>
      <c r="AC1827" s="6">
        <v>0.91700000000000004</v>
      </c>
      <c r="AD1827" s="6">
        <v>-1.0100000000000016</v>
      </c>
      <c r="AE1827" s="6">
        <v>1.0100000000000016</v>
      </c>
    </row>
    <row r="1828" spans="2:31" x14ac:dyDescent="0.25">
      <c r="B1828" s="55"/>
      <c r="C1828" s="55"/>
      <c r="D1828" s="56"/>
      <c r="E1828" s="4" t="s">
        <v>2873</v>
      </c>
      <c r="F1828" s="4" t="s">
        <v>51</v>
      </c>
      <c r="G1828" s="4" t="s">
        <v>35</v>
      </c>
      <c r="H1828" s="54" t="s">
        <v>36</v>
      </c>
      <c r="I1828" s="52"/>
      <c r="J1828" s="57">
        <v>11.29</v>
      </c>
      <c r="K1828" s="52"/>
      <c r="L1828" s="6">
        <v>10.352930000000001</v>
      </c>
      <c r="M1828" s="6">
        <v>0.91700000000000015</v>
      </c>
      <c r="N1828" s="6">
        <v>10.46</v>
      </c>
      <c r="O1828" s="57">
        <v>9.5918200000000002</v>
      </c>
      <c r="P1828" s="52"/>
      <c r="Q1828" s="6">
        <v>0.91699999999999993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0.83</v>
      </c>
      <c r="AB1828" s="6">
        <v>0.76110999999999995</v>
      </c>
      <c r="AC1828" s="6">
        <v>0.91700000000000004</v>
      </c>
      <c r="AD1828" s="6">
        <v>-0.82999999999999829</v>
      </c>
      <c r="AE1828" s="6">
        <v>0.82999999999999829</v>
      </c>
    </row>
    <row r="1829" spans="2:31" x14ac:dyDescent="0.25">
      <c r="B1829" s="55"/>
      <c r="C1829" s="55"/>
      <c r="D1829" s="54" t="s">
        <v>2874</v>
      </c>
      <c r="E1829" s="4" t="s">
        <v>2171</v>
      </c>
      <c r="F1829" s="4" t="s">
        <v>51</v>
      </c>
      <c r="G1829" s="4" t="s">
        <v>35</v>
      </c>
      <c r="H1829" s="54" t="s">
        <v>36</v>
      </c>
      <c r="I1829" s="52"/>
      <c r="J1829" s="57">
        <v>3.36</v>
      </c>
      <c r="K1829" s="52"/>
      <c r="L1829" s="6">
        <v>3.0811199999999999</v>
      </c>
      <c r="M1829" s="6">
        <v>0.91700000000000004</v>
      </c>
      <c r="N1829" s="6">
        <v>3.27</v>
      </c>
      <c r="O1829" s="57">
        <v>2.9985900000000001</v>
      </c>
      <c r="P1829" s="52"/>
      <c r="Q1829" s="6">
        <v>0.91700000000000004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0.09</v>
      </c>
      <c r="AB1829" s="6">
        <v>8.2530000000000006E-2</v>
      </c>
      <c r="AC1829" s="6">
        <v>0.91700000000000015</v>
      </c>
      <c r="AD1829" s="6">
        <v>-8.9999999999999858E-2</v>
      </c>
      <c r="AE1829" s="6">
        <v>8.9999999999999858E-2</v>
      </c>
    </row>
    <row r="1830" spans="2:31" x14ac:dyDescent="0.25">
      <c r="B1830" s="55"/>
      <c r="C1830" s="55"/>
      <c r="D1830" s="55"/>
      <c r="E1830" s="4" t="s">
        <v>2875</v>
      </c>
      <c r="F1830" s="4" t="s">
        <v>51</v>
      </c>
      <c r="G1830" s="4" t="s">
        <v>35</v>
      </c>
      <c r="H1830" s="54" t="s">
        <v>36</v>
      </c>
      <c r="I1830" s="52"/>
      <c r="J1830" s="57">
        <v>117.69</v>
      </c>
      <c r="K1830" s="52"/>
      <c r="L1830" s="6">
        <v>107.92173</v>
      </c>
      <c r="M1830" s="6">
        <v>0.91700000000000004</v>
      </c>
      <c r="N1830" s="6">
        <v>112.86</v>
      </c>
      <c r="O1830" s="57">
        <v>103.49262</v>
      </c>
      <c r="P1830" s="52"/>
      <c r="Q1830" s="6">
        <v>0.91700000000000004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4.83</v>
      </c>
      <c r="AB1830" s="6">
        <v>4.4291099999999997</v>
      </c>
      <c r="AC1830" s="6">
        <v>0.91699999999999993</v>
      </c>
      <c r="AD1830" s="6">
        <v>-4.8299999999999983</v>
      </c>
      <c r="AE1830" s="6">
        <v>4.8299999999999983</v>
      </c>
    </row>
    <row r="1831" spans="2:31" x14ac:dyDescent="0.25">
      <c r="B1831" s="55"/>
      <c r="C1831" s="55"/>
      <c r="D1831" s="55"/>
      <c r="E1831" s="4" t="s">
        <v>2876</v>
      </c>
      <c r="F1831" s="4" t="s">
        <v>51</v>
      </c>
      <c r="G1831" s="4" t="s">
        <v>35</v>
      </c>
      <c r="H1831" s="54" t="s">
        <v>36</v>
      </c>
      <c r="I1831" s="52"/>
      <c r="J1831" s="57">
        <v>5.41</v>
      </c>
      <c r="K1831" s="52"/>
      <c r="L1831" s="6">
        <v>4.9609699999999997</v>
      </c>
      <c r="M1831" s="6">
        <v>0.91699999999999993</v>
      </c>
      <c r="N1831" s="6">
        <v>5.0599999999999996</v>
      </c>
      <c r="O1831" s="57">
        <v>4.6400199999999998</v>
      </c>
      <c r="P1831" s="52"/>
      <c r="Q1831" s="6">
        <v>0.91700000000000004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0.35</v>
      </c>
      <c r="AB1831" s="6">
        <v>0.32095000000000001</v>
      </c>
      <c r="AC1831" s="6">
        <v>0.91700000000000015</v>
      </c>
      <c r="AD1831" s="6">
        <v>-0.35000000000000053</v>
      </c>
      <c r="AE1831" s="6">
        <v>0.35000000000000053</v>
      </c>
    </row>
    <row r="1832" spans="2:31" x14ac:dyDescent="0.25">
      <c r="B1832" s="55"/>
      <c r="C1832" s="55"/>
      <c r="D1832" s="55"/>
      <c r="E1832" s="4" t="s">
        <v>2877</v>
      </c>
      <c r="F1832" s="4" t="s">
        <v>51</v>
      </c>
      <c r="G1832" s="4" t="s">
        <v>35</v>
      </c>
      <c r="H1832" s="54" t="s">
        <v>36</v>
      </c>
      <c r="I1832" s="52"/>
      <c r="J1832" s="57">
        <v>15.49</v>
      </c>
      <c r="K1832" s="52"/>
      <c r="L1832" s="6">
        <v>14.204330000000001</v>
      </c>
      <c r="M1832" s="6">
        <v>0.91700000000000004</v>
      </c>
      <c r="N1832" s="6">
        <v>14.73</v>
      </c>
      <c r="O1832" s="57">
        <v>13.50741</v>
      </c>
      <c r="P1832" s="52"/>
      <c r="Q1832" s="6">
        <v>0.91700000000000004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0.76</v>
      </c>
      <c r="AB1832" s="6">
        <v>0.69691999999999998</v>
      </c>
      <c r="AC1832" s="6">
        <v>0.91699999999999993</v>
      </c>
      <c r="AD1832" s="6">
        <v>-0.75999999999999979</v>
      </c>
      <c r="AE1832" s="6">
        <v>0.75999999999999979</v>
      </c>
    </row>
    <row r="1833" spans="2:31" x14ac:dyDescent="0.25">
      <c r="B1833" s="55"/>
      <c r="C1833" s="55"/>
      <c r="D1833" s="56"/>
      <c r="E1833" s="4" t="s">
        <v>2878</v>
      </c>
      <c r="F1833" s="4" t="s">
        <v>51</v>
      </c>
      <c r="G1833" s="4" t="s">
        <v>35</v>
      </c>
      <c r="H1833" s="54" t="s">
        <v>36</v>
      </c>
      <c r="I1833" s="52"/>
      <c r="J1833" s="57">
        <v>16.510000000000002</v>
      </c>
      <c r="K1833" s="52"/>
      <c r="L1833" s="6">
        <v>15.139670000000001</v>
      </c>
      <c r="M1833" s="6">
        <v>0.91699999999999993</v>
      </c>
      <c r="N1833" s="6">
        <v>15.66</v>
      </c>
      <c r="O1833" s="57">
        <v>14.36022</v>
      </c>
      <c r="P1833" s="52"/>
      <c r="Q1833" s="6">
        <v>0.91700000000000004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0.85</v>
      </c>
      <c r="AB1833" s="6">
        <v>0.77944999999999998</v>
      </c>
      <c r="AC1833" s="6">
        <v>0.91700000000000004</v>
      </c>
      <c r="AD1833" s="6">
        <v>-0.85000000000000142</v>
      </c>
      <c r="AE1833" s="6">
        <v>0.85000000000000142</v>
      </c>
    </row>
    <row r="1834" spans="2:31" x14ac:dyDescent="0.25">
      <c r="B1834" s="55"/>
      <c r="C1834" s="55"/>
      <c r="D1834" s="54" t="s">
        <v>2879</v>
      </c>
      <c r="E1834" s="4" t="s">
        <v>2173</v>
      </c>
      <c r="F1834" s="4" t="s">
        <v>51</v>
      </c>
      <c r="G1834" s="4" t="s">
        <v>35</v>
      </c>
      <c r="H1834" s="54" t="s">
        <v>36</v>
      </c>
      <c r="I1834" s="52"/>
      <c r="J1834" s="57">
        <v>3.49</v>
      </c>
      <c r="K1834" s="52"/>
      <c r="L1834" s="6">
        <v>3.2003300000000001</v>
      </c>
      <c r="M1834" s="6">
        <v>0.91699999999999993</v>
      </c>
      <c r="N1834" s="6">
        <v>3.3</v>
      </c>
      <c r="O1834" s="57">
        <v>3.0261</v>
      </c>
      <c r="P1834" s="52"/>
      <c r="Q1834" s="6">
        <v>0.91700000000000004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0.19</v>
      </c>
      <c r="AB1834" s="6">
        <v>0.17423</v>
      </c>
      <c r="AC1834" s="6">
        <v>0.91699999999999993</v>
      </c>
      <c r="AD1834" s="6">
        <v>-0.19000000000000039</v>
      </c>
      <c r="AE1834" s="6">
        <v>0.19000000000000039</v>
      </c>
    </row>
    <row r="1835" spans="2:31" x14ac:dyDescent="0.25">
      <c r="B1835" s="55"/>
      <c r="C1835" s="55"/>
      <c r="D1835" s="55"/>
      <c r="E1835" s="4" t="s">
        <v>2880</v>
      </c>
      <c r="F1835" s="4" t="s">
        <v>51</v>
      </c>
      <c r="G1835" s="4" t="s">
        <v>35</v>
      </c>
      <c r="H1835" s="54" t="s">
        <v>41</v>
      </c>
      <c r="I1835" s="52"/>
      <c r="J1835" s="57">
        <v>10.07</v>
      </c>
      <c r="K1835" s="52"/>
      <c r="L1835" s="6">
        <v>7.5525000000000002</v>
      </c>
      <c r="M1835" s="6">
        <v>0.75</v>
      </c>
      <c r="N1835" s="6">
        <v>9.64</v>
      </c>
      <c r="O1835" s="57">
        <v>7.23</v>
      </c>
      <c r="P1835" s="52"/>
      <c r="Q1835" s="6">
        <v>0.75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0.43</v>
      </c>
      <c r="AB1835" s="6">
        <v>0.32250000000000001</v>
      </c>
      <c r="AC1835" s="6">
        <v>0.75</v>
      </c>
      <c r="AD1835" s="6">
        <v>-0.42999999999999972</v>
      </c>
      <c r="AE1835" s="6">
        <v>0.42999999999999972</v>
      </c>
    </row>
    <row r="1836" spans="2:31" x14ac:dyDescent="0.25">
      <c r="B1836" s="55"/>
      <c r="C1836" s="55"/>
      <c r="D1836" s="55"/>
      <c r="E1836" s="4" t="s">
        <v>2881</v>
      </c>
      <c r="F1836" s="4" t="s">
        <v>51</v>
      </c>
      <c r="G1836" s="4" t="s">
        <v>35</v>
      </c>
      <c r="H1836" s="54" t="s">
        <v>41</v>
      </c>
      <c r="I1836" s="52"/>
      <c r="J1836" s="57">
        <v>41.27</v>
      </c>
      <c r="K1836" s="52"/>
      <c r="L1836" s="6">
        <v>30.952500000000001</v>
      </c>
      <c r="M1836" s="6">
        <v>0.75</v>
      </c>
      <c r="N1836" s="6">
        <v>35.770000000000003</v>
      </c>
      <c r="O1836" s="57">
        <v>26.827500000000001</v>
      </c>
      <c r="P1836" s="52"/>
      <c r="Q1836" s="6">
        <v>0.75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5.5</v>
      </c>
      <c r="AB1836" s="6">
        <v>4.125</v>
      </c>
      <c r="AC1836" s="6">
        <v>0.75</v>
      </c>
      <c r="AD1836" s="6">
        <v>-5.5</v>
      </c>
      <c r="AE1836" s="6">
        <v>5.5</v>
      </c>
    </row>
    <row r="1837" spans="2:31" x14ac:dyDescent="0.25">
      <c r="B1837" s="55"/>
      <c r="C1837" s="55"/>
      <c r="D1837" s="56"/>
      <c r="E1837" s="4" t="s">
        <v>2882</v>
      </c>
      <c r="F1837" s="4" t="s">
        <v>51</v>
      </c>
      <c r="G1837" s="4" t="s">
        <v>35</v>
      </c>
      <c r="H1837" s="54" t="s">
        <v>41</v>
      </c>
      <c r="I1837" s="52"/>
      <c r="J1837" s="57">
        <v>28</v>
      </c>
      <c r="K1837" s="52"/>
      <c r="L1837" s="6">
        <v>21</v>
      </c>
      <c r="M1837" s="6">
        <v>0.75</v>
      </c>
      <c r="N1837" s="6">
        <v>26.06</v>
      </c>
      <c r="O1837" s="57">
        <v>19.545000000000002</v>
      </c>
      <c r="P1837" s="52"/>
      <c r="Q1837" s="6">
        <v>0.75000000000000011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1.94</v>
      </c>
      <c r="AB1837" s="6">
        <v>1.4550000000000001</v>
      </c>
      <c r="AC1837" s="6">
        <v>0.75000000000000011</v>
      </c>
      <c r="AD1837" s="6">
        <v>-1.9400000000000013</v>
      </c>
      <c r="AE1837" s="6">
        <v>1.9400000000000013</v>
      </c>
    </row>
    <row r="1838" spans="2:31" ht="20" x14ac:dyDescent="0.25">
      <c r="B1838" s="55"/>
      <c r="C1838" s="55"/>
      <c r="D1838" s="4" t="s">
        <v>2883</v>
      </c>
      <c r="E1838" s="4" t="s">
        <v>2170</v>
      </c>
      <c r="F1838" s="4" t="s">
        <v>51</v>
      </c>
      <c r="G1838" s="4" t="s">
        <v>35</v>
      </c>
      <c r="H1838" s="54" t="s">
        <v>36</v>
      </c>
      <c r="I1838" s="52"/>
      <c r="J1838" s="57">
        <v>3.86</v>
      </c>
      <c r="K1838" s="52"/>
      <c r="L1838" s="6">
        <v>3.5396200000000002</v>
      </c>
      <c r="M1838" s="6">
        <v>0.91700000000000004</v>
      </c>
      <c r="N1838" s="6">
        <v>3.74</v>
      </c>
      <c r="O1838" s="57">
        <v>3.4295800000000001</v>
      </c>
      <c r="P1838" s="52"/>
      <c r="Q1838" s="6">
        <v>0.91699999999999993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0.12</v>
      </c>
      <c r="AB1838" s="6">
        <v>0.11004</v>
      </c>
      <c r="AC1838" s="6">
        <v>0.91700000000000004</v>
      </c>
      <c r="AD1838" s="6">
        <v>-0.11999999999999966</v>
      </c>
      <c r="AE1838" s="6">
        <v>0.11999999999999966</v>
      </c>
    </row>
    <row r="1839" spans="2:31" ht="20" x14ac:dyDescent="0.25">
      <c r="B1839" s="55"/>
      <c r="C1839" s="55"/>
      <c r="D1839" s="4" t="s">
        <v>2884</v>
      </c>
      <c r="E1839" s="4" t="s">
        <v>2835</v>
      </c>
      <c r="F1839" s="4" t="s">
        <v>51</v>
      </c>
      <c r="G1839" s="4" t="s">
        <v>35</v>
      </c>
      <c r="H1839" s="54" t="s">
        <v>36</v>
      </c>
      <c r="I1839" s="52"/>
      <c r="J1839" s="57">
        <v>35.78</v>
      </c>
      <c r="K1839" s="52"/>
      <c r="L1839" s="6">
        <v>32.81026</v>
      </c>
      <c r="M1839" s="6">
        <v>0.91699999999999993</v>
      </c>
      <c r="N1839" s="6">
        <v>35.72</v>
      </c>
      <c r="O1839" s="57">
        <v>32.755240000000001</v>
      </c>
      <c r="P1839" s="52"/>
      <c r="Q1839" s="6">
        <v>0.91700000000000004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  <c r="Z1839" s="6">
        <v>0</v>
      </c>
      <c r="AA1839" s="6">
        <v>0.06</v>
      </c>
      <c r="AB1839" s="6">
        <v>5.5019999999999999E-2</v>
      </c>
      <c r="AC1839" s="6">
        <v>0.91700000000000004</v>
      </c>
      <c r="AD1839" s="6">
        <v>-6.0000000000002274E-2</v>
      </c>
      <c r="AE1839" s="6">
        <v>6.0000000000002274E-2</v>
      </c>
    </row>
    <row r="1840" spans="2:31" ht="20" x14ac:dyDescent="0.25">
      <c r="B1840" s="55"/>
      <c r="C1840" s="55"/>
      <c r="D1840" s="4" t="s">
        <v>2885</v>
      </c>
      <c r="E1840" s="4" t="s">
        <v>2773</v>
      </c>
      <c r="F1840" s="4" t="s">
        <v>51</v>
      </c>
      <c r="G1840" s="4" t="s">
        <v>35</v>
      </c>
      <c r="H1840" s="54" t="s">
        <v>36</v>
      </c>
      <c r="I1840" s="52"/>
      <c r="J1840" s="57">
        <v>48.1</v>
      </c>
      <c r="K1840" s="52"/>
      <c r="L1840" s="6">
        <v>44.107700000000001</v>
      </c>
      <c r="M1840" s="6">
        <v>0.91700000000000004</v>
      </c>
      <c r="N1840" s="6">
        <v>47.81</v>
      </c>
      <c r="O1840" s="57">
        <v>43.841769999999997</v>
      </c>
      <c r="P1840" s="52"/>
      <c r="Q1840" s="6">
        <v>0.91699999999999993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0.28999999999999998</v>
      </c>
      <c r="AB1840" s="6">
        <v>0.26593</v>
      </c>
      <c r="AC1840" s="6">
        <v>0.91700000000000004</v>
      </c>
      <c r="AD1840" s="6">
        <v>-0.28999999999999915</v>
      </c>
      <c r="AE1840" s="6">
        <v>0.28999999999999915</v>
      </c>
    </row>
    <row r="1841" spans="2:31" x14ac:dyDescent="0.25">
      <c r="B1841" s="55"/>
      <c r="C1841" s="55"/>
      <c r="D1841" s="54" t="s">
        <v>2886</v>
      </c>
      <c r="E1841" s="4" t="s">
        <v>2887</v>
      </c>
      <c r="F1841" s="4" t="s">
        <v>51</v>
      </c>
      <c r="G1841" s="4" t="s">
        <v>35</v>
      </c>
      <c r="H1841" s="54" t="s">
        <v>48</v>
      </c>
      <c r="I1841" s="52"/>
      <c r="J1841" s="57">
        <v>49.91</v>
      </c>
      <c r="K1841" s="52"/>
      <c r="L1841" s="6">
        <v>37.432499999999997</v>
      </c>
      <c r="M1841" s="6">
        <v>0.75</v>
      </c>
      <c r="N1841" s="6">
        <v>45</v>
      </c>
      <c r="O1841" s="57">
        <v>33.75</v>
      </c>
      <c r="P1841" s="52"/>
      <c r="Q1841" s="6">
        <v>0.75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4.91</v>
      </c>
      <c r="AB1841" s="6">
        <v>3.6825000000000001</v>
      </c>
      <c r="AC1841" s="6">
        <v>0.75</v>
      </c>
      <c r="AD1841" s="6">
        <v>-4.9099999999999966</v>
      </c>
      <c r="AE1841" s="6">
        <v>4.9099999999999966</v>
      </c>
    </row>
    <row r="1842" spans="2:31" x14ac:dyDescent="0.25">
      <c r="B1842" s="55"/>
      <c r="C1842" s="55"/>
      <c r="D1842" s="55"/>
      <c r="E1842" s="4" t="s">
        <v>2888</v>
      </c>
      <c r="F1842" s="4" t="s">
        <v>51</v>
      </c>
      <c r="G1842" s="4" t="s">
        <v>35</v>
      </c>
      <c r="H1842" s="54" t="s">
        <v>41</v>
      </c>
      <c r="I1842" s="52"/>
      <c r="J1842" s="57">
        <v>10.97</v>
      </c>
      <c r="K1842" s="52"/>
      <c r="L1842" s="6">
        <v>8.2274999999999991</v>
      </c>
      <c r="M1842" s="6">
        <v>0.74999999999999989</v>
      </c>
      <c r="N1842" s="6">
        <v>10.42</v>
      </c>
      <c r="O1842" s="57">
        <v>7.8150000000000004</v>
      </c>
      <c r="P1842" s="52"/>
      <c r="Q1842" s="6">
        <v>0.75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0.55000000000000004</v>
      </c>
      <c r="AB1842" s="6">
        <v>0.41249999999999998</v>
      </c>
      <c r="AC1842" s="6">
        <v>0.74999999999999989</v>
      </c>
      <c r="AD1842" s="6">
        <v>-0.55000000000000071</v>
      </c>
      <c r="AE1842" s="6">
        <v>0.55000000000000071</v>
      </c>
    </row>
    <row r="1843" spans="2:31" x14ac:dyDescent="0.25">
      <c r="B1843" s="55"/>
      <c r="C1843" s="55"/>
      <c r="D1843" s="55"/>
      <c r="E1843" s="4" t="s">
        <v>2889</v>
      </c>
      <c r="F1843" s="4" t="s">
        <v>51</v>
      </c>
      <c r="G1843" s="4" t="s">
        <v>35</v>
      </c>
      <c r="H1843" s="54" t="s">
        <v>36</v>
      </c>
      <c r="I1843" s="52"/>
      <c r="J1843" s="57">
        <v>1.05</v>
      </c>
      <c r="K1843" s="52"/>
      <c r="L1843" s="6">
        <v>0.96284999999999998</v>
      </c>
      <c r="M1843" s="6">
        <v>0.91699999999999993</v>
      </c>
      <c r="N1843" s="6">
        <v>1</v>
      </c>
      <c r="O1843" s="57">
        <v>0.91700000000000004</v>
      </c>
      <c r="P1843" s="52"/>
      <c r="Q1843" s="6">
        <v>0.91700000000000004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0.05</v>
      </c>
      <c r="AB1843" s="6">
        <v>4.5850000000000002E-2</v>
      </c>
      <c r="AC1843" s="6">
        <v>0.91700000000000004</v>
      </c>
      <c r="AD1843" s="6">
        <v>-5.0000000000000044E-2</v>
      </c>
      <c r="AE1843" s="6">
        <v>5.0000000000000044E-2</v>
      </c>
    </row>
    <row r="1844" spans="2:31" x14ac:dyDescent="0.25">
      <c r="B1844" s="55"/>
      <c r="C1844" s="55"/>
      <c r="D1844" s="56"/>
      <c r="E1844" s="4" t="s">
        <v>2890</v>
      </c>
      <c r="F1844" s="4" t="s">
        <v>51</v>
      </c>
      <c r="G1844" s="4" t="s">
        <v>35</v>
      </c>
      <c r="H1844" s="54" t="s">
        <v>36</v>
      </c>
      <c r="I1844" s="52"/>
      <c r="J1844" s="57">
        <v>116.06</v>
      </c>
      <c r="K1844" s="52"/>
      <c r="L1844" s="6">
        <v>106.42702</v>
      </c>
      <c r="M1844" s="6">
        <v>0.91699999999999993</v>
      </c>
      <c r="N1844" s="6">
        <v>111.88</v>
      </c>
      <c r="O1844" s="57">
        <v>102.59396</v>
      </c>
      <c r="P1844" s="52"/>
      <c r="Q1844" s="6">
        <v>0.91700000000000004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4.18</v>
      </c>
      <c r="AB1844" s="6">
        <v>3.8330600000000001</v>
      </c>
      <c r="AC1844" s="6">
        <v>0.91700000000000015</v>
      </c>
      <c r="AD1844" s="6">
        <v>-4.1800000000000068</v>
      </c>
      <c r="AE1844" s="6">
        <v>4.1800000000000068</v>
      </c>
    </row>
    <row r="1845" spans="2:31" ht="20" x14ac:dyDescent="0.25">
      <c r="B1845" s="55"/>
      <c r="C1845" s="55"/>
      <c r="D1845" s="4" t="s">
        <v>2891</v>
      </c>
      <c r="E1845" s="4" t="s">
        <v>2729</v>
      </c>
      <c r="F1845" s="4" t="s">
        <v>51</v>
      </c>
      <c r="G1845" s="4" t="s">
        <v>35</v>
      </c>
      <c r="H1845" s="54" t="s">
        <v>36</v>
      </c>
      <c r="I1845" s="52"/>
      <c r="J1845" s="57">
        <v>16.88</v>
      </c>
      <c r="K1845" s="52"/>
      <c r="L1845" s="6">
        <v>15.478960000000001</v>
      </c>
      <c r="M1845" s="6">
        <v>0.91700000000000015</v>
      </c>
      <c r="N1845" s="6">
        <v>16.82</v>
      </c>
      <c r="O1845" s="57">
        <v>15.42394</v>
      </c>
      <c r="P1845" s="52"/>
      <c r="Q1845" s="6">
        <v>0.91700000000000004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0.06</v>
      </c>
      <c r="AB1845" s="6">
        <v>5.5019999999999999E-2</v>
      </c>
      <c r="AC1845" s="6">
        <v>0.91700000000000004</v>
      </c>
      <c r="AD1845" s="6">
        <v>-5.9999999999998721E-2</v>
      </c>
      <c r="AE1845" s="6">
        <v>5.9999999999998721E-2</v>
      </c>
    </row>
    <row r="1846" spans="2:31" x14ac:dyDescent="0.25">
      <c r="B1846" s="55"/>
      <c r="C1846" s="55"/>
      <c r="D1846" s="54" t="s">
        <v>2892</v>
      </c>
      <c r="E1846" s="4" t="s">
        <v>2893</v>
      </c>
      <c r="F1846" s="4" t="s">
        <v>51</v>
      </c>
      <c r="G1846" s="4" t="s">
        <v>35</v>
      </c>
      <c r="H1846" s="54" t="s">
        <v>36</v>
      </c>
      <c r="I1846" s="52"/>
      <c r="J1846" s="57">
        <v>7.32</v>
      </c>
      <c r="K1846" s="52"/>
      <c r="L1846" s="6">
        <v>6.71244</v>
      </c>
      <c r="M1846" s="6">
        <v>0.91699999999999993</v>
      </c>
      <c r="N1846" s="6">
        <v>6.6</v>
      </c>
      <c r="O1846" s="57">
        <v>6.0522</v>
      </c>
      <c r="P1846" s="52"/>
      <c r="Q1846" s="6">
        <v>0.91700000000000004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0.72</v>
      </c>
      <c r="AB1846" s="6">
        <v>0.66024000000000005</v>
      </c>
      <c r="AC1846" s="6">
        <v>0.91700000000000015</v>
      </c>
      <c r="AD1846" s="6">
        <v>-0.72000000000000064</v>
      </c>
      <c r="AE1846" s="6">
        <v>0.72000000000000064</v>
      </c>
    </row>
    <row r="1847" spans="2:31" x14ac:dyDescent="0.25">
      <c r="B1847" s="55"/>
      <c r="C1847" s="55"/>
      <c r="D1847" s="55"/>
      <c r="E1847" s="4" t="s">
        <v>2153</v>
      </c>
      <c r="F1847" s="4" t="s">
        <v>51</v>
      </c>
      <c r="G1847" s="4" t="s">
        <v>35</v>
      </c>
      <c r="H1847" s="54" t="s">
        <v>36</v>
      </c>
      <c r="I1847" s="52"/>
      <c r="J1847" s="57">
        <v>2.12</v>
      </c>
      <c r="K1847" s="52"/>
      <c r="L1847" s="6">
        <v>1.94404</v>
      </c>
      <c r="M1847" s="6">
        <v>0.91699999999999993</v>
      </c>
      <c r="N1847" s="6">
        <v>2.0099999999999998</v>
      </c>
      <c r="O1847" s="57">
        <v>1.84317</v>
      </c>
      <c r="P1847" s="52"/>
      <c r="Q1847" s="6">
        <v>0.91700000000000004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0.11</v>
      </c>
      <c r="AB1847" s="6">
        <v>0.10087</v>
      </c>
      <c r="AC1847" s="6">
        <v>0.91700000000000004</v>
      </c>
      <c r="AD1847" s="6">
        <v>-0.11000000000000032</v>
      </c>
      <c r="AE1847" s="6">
        <v>0.11000000000000032</v>
      </c>
    </row>
    <row r="1848" spans="2:31" x14ac:dyDescent="0.25">
      <c r="B1848" s="55"/>
      <c r="C1848" s="55"/>
      <c r="D1848" s="55"/>
      <c r="E1848" s="4" t="s">
        <v>2894</v>
      </c>
      <c r="F1848" s="4" t="s">
        <v>51</v>
      </c>
      <c r="G1848" s="4" t="s">
        <v>35</v>
      </c>
      <c r="H1848" s="54" t="s">
        <v>36</v>
      </c>
      <c r="I1848" s="52"/>
      <c r="J1848" s="57">
        <v>0.64</v>
      </c>
      <c r="K1848" s="52"/>
      <c r="L1848" s="6">
        <v>0.58687999999999996</v>
      </c>
      <c r="M1848" s="6">
        <v>0.91699999999999993</v>
      </c>
      <c r="N1848" s="6">
        <v>0.62</v>
      </c>
      <c r="O1848" s="57">
        <v>0.56854000000000005</v>
      </c>
      <c r="P1848" s="52"/>
      <c r="Q1848" s="6">
        <v>0.91700000000000004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0.02</v>
      </c>
      <c r="AB1848" s="6">
        <v>1.8339999999999999E-2</v>
      </c>
      <c r="AC1848" s="6">
        <v>0.91699999999999993</v>
      </c>
      <c r="AD1848" s="6">
        <v>-2.0000000000000018E-2</v>
      </c>
      <c r="AE1848" s="6">
        <v>2.0000000000000018E-2</v>
      </c>
    </row>
    <row r="1849" spans="2:31" x14ac:dyDescent="0.25">
      <c r="B1849" s="55"/>
      <c r="C1849" s="55"/>
      <c r="D1849" s="56"/>
      <c r="E1849" s="4" t="s">
        <v>2895</v>
      </c>
      <c r="F1849" s="4" t="s">
        <v>51</v>
      </c>
      <c r="G1849" s="4" t="s">
        <v>35</v>
      </c>
      <c r="H1849" s="54" t="s">
        <v>48</v>
      </c>
      <c r="I1849" s="52"/>
      <c r="J1849" s="57">
        <v>30.34</v>
      </c>
      <c r="K1849" s="52"/>
      <c r="L1849" s="6">
        <v>22.754999999999999</v>
      </c>
      <c r="M1849" s="6">
        <v>0.75</v>
      </c>
      <c r="N1849" s="6">
        <v>26.58</v>
      </c>
      <c r="O1849" s="57">
        <v>19.934999999999999</v>
      </c>
      <c r="P1849" s="52"/>
      <c r="Q1849" s="6">
        <v>0.75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3.76</v>
      </c>
      <c r="AB1849" s="6">
        <v>2.82</v>
      </c>
      <c r="AC1849" s="6">
        <v>0.75</v>
      </c>
      <c r="AD1849" s="6">
        <v>-3.7600000000000016</v>
      </c>
      <c r="AE1849" s="6">
        <v>3.7600000000000016</v>
      </c>
    </row>
    <row r="1850" spans="2:31" x14ac:dyDescent="0.25">
      <c r="B1850" s="55"/>
      <c r="C1850" s="55"/>
      <c r="D1850" s="54" t="s">
        <v>2896</v>
      </c>
      <c r="E1850" s="4" t="s">
        <v>2897</v>
      </c>
      <c r="F1850" s="4" t="s">
        <v>51</v>
      </c>
      <c r="G1850" s="4" t="s">
        <v>35</v>
      </c>
      <c r="H1850" s="54" t="s">
        <v>41</v>
      </c>
      <c r="I1850" s="52"/>
      <c r="J1850" s="57">
        <v>9.08</v>
      </c>
      <c r="K1850" s="52"/>
      <c r="L1850" s="6">
        <v>6.81</v>
      </c>
      <c r="M1850" s="6">
        <v>0.75</v>
      </c>
      <c r="N1850" s="6">
        <v>8.6999999999999993</v>
      </c>
      <c r="O1850" s="57">
        <v>6.5250000000000004</v>
      </c>
      <c r="P1850" s="52"/>
      <c r="Q1850" s="6">
        <v>0.75000000000000011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0.38</v>
      </c>
      <c r="AB1850" s="6">
        <v>0.28499999999999998</v>
      </c>
      <c r="AC1850" s="6">
        <v>0.74999999999999989</v>
      </c>
      <c r="AD1850" s="6">
        <v>-0.38000000000000078</v>
      </c>
      <c r="AE1850" s="6">
        <v>0.38000000000000078</v>
      </c>
    </row>
    <row r="1851" spans="2:31" x14ac:dyDescent="0.25">
      <c r="B1851" s="55"/>
      <c r="C1851" s="55"/>
      <c r="D1851" s="55"/>
      <c r="E1851" s="4" t="s">
        <v>2898</v>
      </c>
      <c r="F1851" s="4" t="s">
        <v>51</v>
      </c>
      <c r="G1851" s="4" t="s">
        <v>35</v>
      </c>
      <c r="H1851" s="54" t="s">
        <v>41</v>
      </c>
      <c r="I1851" s="52"/>
      <c r="J1851" s="57">
        <v>10.88</v>
      </c>
      <c r="K1851" s="52"/>
      <c r="L1851" s="6">
        <v>8.16</v>
      </c>
      <c r="M1851" s="6">
        <v>0.75</v>
      </c>
      <c r="N1851" s="6">
        <v>10.45</v>
      </c>
      <c r="O1851" s="57">
        <v>7.8375000000000004</v>
      </c>
      <c r="P1851" s="52"/>
      <c r="Q1851" s="6">
        <v>0.75000000000000011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0.43</v>
      </c>
      <c r="AB1851" s="6">
        <v>0.32250000000000001</v>
      </c>
      <c r="AC1851" s="6">
        <v>0.75</v>
      </c>
      <c r="AD1851" s="6">
        <v>-0.43000000000000149</v>
      </c>
      <c r="AE1851" s="6">
        <v>0.43000000000000149</v>
      </c>
    </row>
    <row r="1852" spans="2:31" x14ac:dyDescent="0.25">
      <c r="B1852" s="55"/>
      <c r="C1852" s="55"/>
      <c r="D1852" s="55"/>
      <c r="E1852" s="4" t="s">
        <v>2899</v>
      </c>
      <c r="F1852" s="4" t="s">
        <v>51</v>
      </c>
      <c r="G1852" s="4" t="s">
        <v>35</v>
      </c>
      <c r="H1852" s="54" t="s">
        <v>36</v>
      </c>
      <c r="I1852" s="52"/>
      <c r="J1852" s="57">
        <v>108.21</v>
      </c>
      <c r="K1852" s="52"/>
      <c r="L1852" s="6">
        <v>99.228570000000005</v>
      </c>
      <c r="M1852" s="6">
        <v>0.91700000000000015</v>
      </c>
      <c r="N1852" s="6">
        <v>103.25</v>
      </c>
      <c r="O1852" s="57">
        <v>94.680250000000001</v>
      </c>
      <c r="P1852" s="52"/>
      <c r="Q1852" s="6">
        <v>0.91700000000000004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4.96</v>
      </c>
      <c r="AB1852" s="6">
        <v>4.5483200000000004</v>
      </c>
      <c r="AC1852" s="6">
        <v>0.91700000000000004</v>
      </c>
      <c r="AD1852" s="6">
        <v>-4.9599999999999937</v>
      </c>
      <c r="AE1852" s="6">
        <v>4.9599999999999937</v>
      </c>
    </row>
    <row r="1853" spans="2:31" x14ac:dyDescent="0.25">
      <c r="B1853" s="55"/>
      <c r="C1853" s="55"/>
      <c r="D1853" s="55"/>
      <c r="E1853" s="4" t="s">
        <v>2900</v>
      </c>
      <c r="F1853" s="4" t="s">
        <v>51</v>
      </c>
      <c r="G1853" s="4" t="s">
        <v>35</v>
      </c>
      <c r="H1853" s="54" t="s">
        <v>36</v>
      </c>
      <c r="I1853" s="52"/>
      <c r="J1853" s="57">
        <v>10.71</v>
      </c>
      <c r="K1853" s="52"/>
      <c r="L1853" s="6">
        <v>9.8210700000000006</v>
      </c>
      <c r="M1853" s="6">
        <v>0.91700000000000004</v>
      </c>
      <c r="N1853" s="6">
        <v>9.9700000000000006</v>
      </c>
      <c r="O1853" s="57">
        <v>9.1424900000000004</v>
      </c>
      <c r="P1853" s="52"/>
      <c r="Q1853" s="6">
        <v>0.91700000000000004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0.74</v>
      </c>
      <c r="AB1853" s="6">
        <v>0.67857999999999996</v>
      </c>
      <c r="AC1853" s="6">
        <v>0.91699999999999993</v>
      </c>
      <c r="AD1853" s="6">
        <v>-0.74000000000000021</v>
      </c>
      <c r="AE1853" s="6">
        <v>0.74000000000000021</v>
      </c>
    </row>
    <row r="1854" spans="2:31" x14ac:dyDescent="0.25">
      <c r="B1854" s="55"/>
      <c r="C1854" s="55"/>
      <c r="D1854" s="56"/>
      <c r="E1854" s="4" t="s">
        <v>2901</v>
      </c>
      <c r="F1854" s="4" t="s">
        <v>51</v>
      </c>
      <c r="G1854" s="4" t="s">
        <v>35</v>
      </c>
      <c r="H1854" s="54" t="s">
        <v>36</v>
      </c>
      <c r="I1854" s="52"/>
      <c r="J1854" s="57">
        <v>48.58</v>
      </c>
      <c r="K1854" s="52"/>
      <c r="L1854" s="6">
        <v>44.54786</v>
      </c>
      <c r="M1854" s="6">
        <v>0.91700000000000004</v>
      </c>
      <c r="N1854" s="6">
        <v>48.58</v>
      </c>
      <c r="O1854" s="57">
        <v>44.54786</v>
      </c>
      <c r="P1854" s="52"/>
      <c r="Q1854" s="6">
        <v>0.91700000000000004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</row>
    <row r="1855" spans="2:31" x14ac:dyDescent="0.25">
      <c r="B1855" s="55"/>
      <c r="C1855" s="55"/>
      <c r="D1855" s="54" t="s">
        <v>2902</v>
      </c>
      <c r="E1855" s="4" t="s">
        <v>2789</v>
      </c>
      <c r="F1855" s="4" t="s">
        <v>51</v>
      </c>
      <c r="G1855" s="4" t="s">
        <v>35</v>
      </c>
      <c r="H1855" s="54" t="s">
        <v>36</v>
      </c>
      <c r="I1855" s="52"/>
      <c r="J1855" s="57">
        <v>4.1399999999999997</v>
      </c>
      <c r="K1855" s="52"/>
      <c r="L1855" s="6">
        <v>3.7963800000000001</v>
      </c>
      <c r="M1855" s="6">
        <v>0.91700000000000004</v>
      </c>
      <c r="N1855" s="6">
        <v>4.01</v>
      </c>
      <c r="O1855" s="57">
        <v>3.6771699999999998</v>
      </c>
      <c r="P1855" s="52"/>
      <c r="Q1855" s="6">
        <v>0.91700000000000004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0.13</v>
      </c>
      <c r="AB1855" s="6">
        <v>0.11921</v>
      </c>
      <c r="AC1855" s="6">
        <v>0.91699999999999993</v>
      </c>
      <c r="AD1855" s="6">
        <v>-0.12999999999999989</v>
      </c>
      <c r="AE1855" s="6">
        <v>0.12999999999999989</v>
      </c>
    </row>
    <row r="1856" spans="2:31" x14ac:dyDescent="0.25">
      <c r="B1856" s="55"/>
      <c r="C1856" s="55"/>
      <c r="D1856" s="55"/>
      <c r="E1856" s="4" t="s">
        <v>2793</v>
      </c>
      <c r="F1856" s="4" t="s">
        <v>51</v>
      </c>
      <c r="G1856" s="4" t="s">
        <v>35</v>
      </c>
      <c r="H1856" s="54" t="s">
        <v>36</v>
      </c>
      <c r="I1856" s="52"/>
      <c r="J1856" s="57">
        <v>3.75</v>
      </c>
      <c r="K1856" s="52"/>
      <c r="L1856" s="6">
        <v>3.4387500000000002</v>
      </c>
      <c r="M1856" s="6">
        <v>0.91700000000000004</v>
      </c>
      <c r="N1856" s="6">
        <v>3.66</v>
      </c>
      <c r="O1856" s="57">
        <v>3.35622</v>
      </c>
      <c r="P1856" s="52"/>
      <c r="Q1856" s="6">
        <v>0.91699999999999993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0.09</v>
      </c>
      <c r="AB1856" s="6">
        <v>8.2530000000000006E-2</v>
      </c>
      <c r="AC1856" s="6">
        <v>0.91700000000000015</v>
      </c>
      <c r="AD1856" s="6">
        <v>-8.9999999999999858E-2</v>
      </c>
      <c r="AE1856" s="6">
        <v>8.9999999999999858E-2</v>
      </c>
    </row>
    <row r="1857" spans="2:31" x14ac:dyDescent="0.25">
      <c r="B1857" s="55"/>
      <c r="C1857" s="55"/>
      <c r="D1857" s="55"/>
      <c r="E1857" s="4" t="s">
        <v>2849</v>
      </c>
      <c r="F1857" s="4" t="s">
        <v>51</v>
      </c>
      <c r="G1857" s="4" t="s">
        <v>35</v>
      </c>
      <c r="H1857" s="54" t="s">
        <v>48</v>
      </c>
      <c r="I1857" s="52"/>
      <c r="J1857" s="57">
        <v>2.64</v>
      </c>
      <c r="K1857" s="52"/>
      <c r="L1857" s="6">
        <v>1.98</v>
      </c>
      <c r="M1857" s="6">
        <v>0.75</v>
      </c>
      <c r="N1857" s="6">
        <v>2.64</v>
      </c>
      <c r="O1857" s="57">
        <v>1.98</v>
      </c>
      <c r="P1857" s="52"/>
      <c r="Q1857" s="6">
        <v>0.75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0</v>
      </c>
      <c r="AE1857" s="6">
        <v>0</v>
      </c>
    </row>
    <row r="1858" spans="2:31" x14ac:dyDescent="0.25">
      <c r="B1858" s="55"/>
      <c r="C1858" s="55"/>
      <c r="D1858" s="56"/>
      <c r="E1858" s="4" t="s">
        <v>2903</v>
      </c>
      <c r="F1858" s="4" t="s">
        <v>51</v>
      </c>
      <c r="G1858" s="4" t="s">
        <v>35</v>
      </c>
      <c r="H1858" s="54" t="s">
        <v>36</v>
      </c>
      <c r="I1858" s="52"/>
      <c r="J1858" s="57">
        <v>32.1</v>
      </c>
      <c r="K1858" s="52"/>
      <c r="L1858" s="6">
        <v>29.435700000000001</v>
      </c>
      <c r="M1858" s="6">
        <v>0.91699999999999993</v>
      </c>
      <c r="N1858" s="6">
        <v>32.020000000000003</v>
      </c>
      <c r="O1858" s="57">
        <v>29.36234</v>
      </c>
      <c r="P1858" s="52"/>
      <c r="Q1858" s="6">
        <v>0.91699999999999993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0.08</v>
      </c>
      <c r="AB1858" s="6">
        <v>7.3359999999999995E-2</v>
      </c>
      <c r="AC1858" s="6">
        <v>0.91699999999999993</v>
      </c>
      <c r="AD1858" s="6">
        <v>-7.9999999999998295E-2</v>
      </c>
      <c r="AE1858" s="6">
        <v>7.9999999999998295E-2</v>
      </c>
    </row>
    <row r="1859" spans="2:31" ht="20" x14ac:dyDescent="0.25">
      <c r="B1859" s="55"/>
      <c r="C1859" s="55"/>
      <c r="D1859" s="4" t="s">
        <v>2904</v>
      </c>
      <c r="E1859" s="4" t="s">
        <v>2905</v>
      </c>
      <c r="F1859" s="4" t="s">
        <v>51</v>
      </c>
      <c r="G1859" s="4" t="s">
        <v>35</v>
      </c>
      <c r="H1859" s="54" t="s">
        <v>48</v>
      </c>
      <c r="I1859" s="52"/>
      <c r="J1859" s="57">
        <v>29.58</v>
      </c>
      <c r="K1859" s="52"/>
      <c r="L1859" s="6">
        <v>22.184999999999999</v>
      </c>
      <c r="M1859" s="6">
        <v>0.75</v>
      </c>
      <c r="N1859" s="6">
        <v>26.74</v>
      </c>
      <c r="O1859" s="57">
        <v>20.055</v>
      </c>
      <c r="P1859" s="52"/>
      <c r="Q1859" s="6">
        <v>0.75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2.84</v>
      </c>
      <c r="AB1859" s="6">
        <v>2.13</v>
      </c>
      <c r="AC1859" s="6">
        <v>0.75</v>
      </c>
      <c r="AD1859" s="6">
        <v>-2.84</v>
      </c>
      <c r="AE1859" s="6">
        <v>2.84</v>
      </c>
    </row>
    <row r="1860" spans="2:31" ht="20" x14ac:dyDescent="0.25">
      <c r="B1860" s="55"/>
      <c r="C1860" s="55"/>
      <c r="D1860" s="4" t="s">
        <v>2906</v>
      </c>
      <c r="E1860" s="4" t="s">
        <v>2907</v>
      </c>
      <c r="F1860" s="4" t="s">
        <v>51</v>
      </c>
      <c r="G1860" s="4" t="s">
        <v>35</v>
      </c>
      <c r="H1860" s="54" t="s">
        <v>36</v>
      </c>
      <c r="I1860" s="52"/>
      <c r="J1860" s="57">
        <v>10.77</v>
      </c>
      <c r="K1860" s="52"/>
      <c r="L1860" s="6">
        <v>9.8760899999999996</v>
      </c>
      <c r="M1860" s="6">
        <v>0.91700000000000004</v>
      </c>
      <c r="N1860" s="6">
        <v>9.59</v>
      </c>
      <c r="O1860" s="57">
        <v>8.7940299999999993</v>
      </c>
      <c r="P1860" s="52"/>
      <c r="Q1860" s="6">
        <v>0.91699999999999993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1.18</v>
      </c>
      <c r="AB1860" s="6">
        <v>1.08206</v>
      </c>
      <c r="AC1860" s="6">
        <v>0.91700000000000004</v>
      </c>
      <c r="AD1860" s="6">
        <v>-1.1799999999999997</v>
      </c>
      <c r="AE1860" s="6">
        <v>1.1799999999999997</v>
      </c>
    </row>
    <row r="1861" spans="2:31" ht="20" x14ac:dyDescent="0.25">
      <c r="B1861" s="55"/>
      <c r="C1861" s="55"/>
      <c r="D1861" s="4" t="s">
        <v>2908</v>
      </c>
      <c r="E1861" s="4" t="s">
        <v>2909</v>
      </c>
      <c r="F1861" s="4" t="s">
        <v>51</v>
      </c>
      <c r="G1861" s="4" t="s">
        <v>35</v>
      </c>
      <c r="H1861" s="54" t="s">
        <v>36</v>
      </c>
      <c r="I1861" s="52"/>
      <c r="J1861" s="57">
        <v>33.380000000000003</v>
      </c>
      <c r="K1861" s="52"/>
      <c r="L1861" s="6">
        <v>30.609459999999999</v>
      </c>
      <c r="M1861" s="6">
        <v>0.91699999999999993</v>
      </c>
      <c r="N1861" s="6">
        <v>30.61</v>
      </c>
      <c r="O1861" s="57">
        <v>28.069369999999999</v>
      </c>
      <c r="P1861" s="52"/>
      <c r="Q1861" s="6">
        <v>0.91700000000000004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2.77</v>
      </c>
      <c r="AB1861" s="6">
        <v>2.5400900000000002</v>
      </c>
      <c r="AC1861" s="6">
        <v>0.91700000000000004</v>
      </c>
      <c r="AD1861" s="6">
        <v>-2.7700000000000031</v>
      </c>
      <c r="AE1861" s="6">
        <v>2.7700000000000031</v>
      </c>
    </row>
    <row r="1862" spans="2:31" ht="20" x14ac:dyDescent="0.25">
      <c r="B1862" s="55"/>
      <c r="C1862" s="55"/>
      <c r="D1862" s="4" t="s">
        <v>2910</v>
      </c>
      <c r="E1862" s="4" t="s">
        <v>2911</v>
      </c>
      <c r="F1862" s="4" t="s">
        <v>51</v>
      </c>
      <c r="G1862" s="4" t="s">
        <v>35</v>
      </c>
      <c r="H1862" s="54" t="s">
        <v>48</v>
      </c>
      <c r="I1862" s="52"/>
      <c r="J1862" s="57">
        <v>49.28</v>
      </c>
      <c r="K1862" s="52"/>
      <c r="L1862" s="6">
        <v>36.96</v>
      </c>
      <c r="M1862" s="6">
        <v>0.75</v>
      </c>
      <c r="N1862" s="6">
        <v>47.14</v>
      </c>
      <c r="O1862" s="57">
        <v>35.354999999999997</v>
      </c>
      <c r="P1862" s="52"/>
      <c r="Q1862" s="6">
        <v>0.74999999999999989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2.14</v>
      </c>
      <c r="AB1862" s="6">
        <v>1.605</v>
      </c>
      <c r="AC1862" s="6">
        <v>0.75</v>
      </c>
      <c r="AD1862" s="6">
        <v>-2.1400000000000006</v>
      </c>
      <c r="AE1862" s="6">
        <v>2.1400000000000006</v>
      </c>
    </row>
    <row r="1863" spans="2:31" ht="20" x14ac:dyDescent="0.25">
      <c r="B1863" s="55"/>
      <c r="C1863" s="55"/>
      <c r="D1863" s="4" t="s">
        <v>2912</v>
      </c>
      <c r="E1863" s="4" t="s">
        <v>2913</v>
      </c>
      <c r="F1863" s="4" t="s">
        <v>51</v>
      </c>
      <c r="G1863" s="4" t="s">
        <v>35</v>
      </c>
      <c r="H1863" s="54" t="s">
        <v>41</v>
      </c>
      <c r="I1863" s="52"/>
      <c r="J1863" s="57">
        <v>8.2100000000000009</v>
      </c>
      <c r="K1863" s="52"/>
      <c r="L1863" s="6">
        <v>6.1574999999999998</v>
      </c>
      <c r="M1863" s="6">
        <v>0.74999999999999989</v>
      </c>
      <c r="N1863" s="6">
        <v>7.65</v>
      </c>
      <c r="O1863" s="57">
        <v>5.7374999999999998</v>
      </c>
      <c r="P1863" s="52"/>
      <c r="Q1863" s="6">
        <v>0.74999999999999989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0.56000000000000005</v>
      </c>
      <c r="AB1863" s="6">
        <v>0.42</v>
      </c>
      <c r="AC1863" s="6">
        <v>0.74999999999999989</v>
      </c>
      <c r="AD1863" s="6">
        <v>-0.5600000000000005</v>
      </c>
      <c r="AE1863" s="6">
        <v>0.5600000000000005</v>
      </c>
    </row>
    <row r="1864" spans="2:31" ht="20" x14ac:dyDescent="0.25">
      <c r="B1864" s="55"/>
      <c r="C1864" s="55"/>
      <c r="D1864" s="4" t="s">
        <v>2914</v>
      </c>
      <c r="E1864" s="4" t="s">
        <v>2915</v>
      </c>
      <c r="F1864" s="4" t="s">
        <v>51</v>
      </c>
      <c r="G1864" s="4" t="s">
        <v>35</v>
      </c>
      <c r="H1864" s="54" t="s">
        <v>36</v>
      </c>
      <c r="I1864" s="52"/>
      <c r="J1864" s="57">
        <v>7.09</v>
      </c>
      <c r="K1864" s="52"/>
      <c r="L1864" s="6">
        <v>6.5015299999999998</v>
      </c>
      <c r="M1864" s="6">
        <v>0.91700000000000004</v>
      </c>
      <c r="N1864" s="6">
        <v>6.32</v>
      </c>
      <c r="O1864" s="57">
        <v>5.7954400000000001</v>
      </c>
      <c r="P1864" s="52"/>
      <c r="Q1864" s="6">
        <v>0.91700000000000004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0.77</v>
      </c>
      <c r="AB1864" s="6">
        <v>0.70609</v>
      </c>
      <c r="AC1864" s="6">
        <v>0.91699999999999993</v>
      </c>
      <c r="AD1864" s="6">
        <v>-0.76999999999999957</v>
      </c>
      <c r="AE1864" s="6">
        <v>0.76999999999999957</v>
      </c>
    </row>
    <row r="1865" spans="2:31" ht="20" x14ac:dyDescent="0.25">
      <c r="B1865" s="55"/>
      <c r="C1865" s="55"/>
      <c r="D1865" s="4" t="s">
        <v>2916</v>
      </c>
      <c r="E1865" s="4" t="s">
        <v>2917</v>
      </c>
      <c r="F1865" s="4" t="s">
        <v>51</v>
      </c>
      <c r="G1865" s="4" t="s">
        <v>35</v>
      </c>
      <c r="H1865" s="54" t="s">
        <v>36</v>
      </c>
      <c r="I1865" s="52"/>
      <c r="J1865" s="57">
        <v>1.034</v>
      </c>
      <c r="K1865" s="52"/>
      <c r="L1865" s="6">
        <v>0.94817799999999997</v>
      </c>
      <c r="M1865" s="6">
        <v>0.91699999999999993</v>
      </c>
      <c r="N1865" s="6">
        <v>0.98399999999999999</v>
      </c>
      <c r="O1865" s="57">
        <v>0.90232800000000002</v>
      </c>
      <c r="P1865" s="52"/>
      <c r="Q1865" s="6">
        <v>0.91700000000000004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0.05</v>
      </c>
      <c r="AB1865" s="6">
        <v>4.5850000000000002E-2</v>
      </c>
      <c r="AC1865" s="6">
        <v>0.91700000000000004</v>
      </c>
      <c r="AD1865" s="6">
        <v>-5.0000000000000044E-2</v>
      </c>
      <c r="AE1865" s="6">
        <v>5.0000000000000044E-2</v>
      </c>
    </row>
    <row r="1866" spans="2:31" ht="20" x14ac:dyDescent="0.25">
      <c r="B1866" s="55"/>
      <c r="C1866" s="55"/>
      <c r="D1866" s="4" t="s">
        <v>2918</v>
      </c>
      <c r="E1866" s="4" t="s">
        <v>2919</v>
      </c>
      <c r="F1866" s="4" t="s">
        <v>51</v>
      </c>
      <c r="G1866" s="4" t="s">
        <v>35</v>
      </c>
      <c r="H1866" s="54" t="s">
        <v>41</v>
      </c>
      <c r="I1866" s="52"/>
      <c r="J1866" s="57">
        <v>10.19</v>
      </c>
      <c r="K1866" s="52"/>
      <c r="L1866" s="6">
        <v>7.6425000000000001</v>
      </c>
      <c r="M1866" s="6">
        <v>0.75</v>
      </c>
      <c r="N1866" s="6">
        <v>9.92</v>
      </c>
      <c r="O1866" s="57">
        <v>7.44</v>
      </c>
      <c r="P1866" s="52"/>
      <c r="Q1866" s="6">
        <v>0.75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0.27</v>
      </c>
      <c r="AB1866" s="6">
        <v>0.20250000000000001</v>
      </c>
      <c r="AC1866" s="6">
        <v>0.75</v>
      </c>
      <c r="AD1866" s="6">
        <v>-0.26999999999999957</v>
      </c>
      <c r="AE1866" s="6">
        <v>0.26999999999999957</v>
      </c>
    </row>
    <row r="1867" spans="2:31" ht="20" x14ac:dyDescent="0.25">
      <c r="B1867" s="55"/>
      <c r="C1867" s="55"/>
      <c r="D1867" s="4" t="s">
        <v>2920</v>
      </c>
      <c r="E1867" s="4" t="s">
        <v>2921</v>
      </c>
      <c r="F1867" s="4" t="s">
        <v>51</v>
      </c>
      <c r="G1867" s="4" t="s">
        <v>35</v>
      </c>
      <c r="H1867" s="54" t="s">
        <v>36</v>
      </c>
      <c r="I1867" s="52"/>
      <c r="J1867" s="57">
        <v>31.84</v>
      </c>
      <c r="K1867" s="52"/>
      <c r="L1867" s="6">
        <v>29.197279999999999</v>
      </c>
      <c r="M1867" s="6">
        <v>0.91699999999999993</v>
      </c>
      <c r="N1867" s="6">
        <v>31.22</v>
      </c>
      <c r="O1867" s="57">
        <v>28.628740000000001</v>
      </c>
      <c r="P1867" s="52"/>
      <c r="Q1867" s="6">
        <v>0.91700000000000004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0.62</v>
      </c>
      <c r="AB1867" s="6">
        <v>0.56854000000000005</v>
      </c>
      <c r="AC1867" s="6">
        <v>0.91700000000000004</v>
      </c>
      <c r="AD1867" s="6">
        <v>-0.62000000000000099</v>
      </c>
      <c r="AE1867" s="6">
        <v>0.62000000000000099</v>
      </c>
    </row>
    <row r="1868" spans="2:31" ht="20" x14ac:dyDescent="0.25">
      <c r="B1868" s="55"/>
      <c r="C1868" s="55"/>
      <c r="D1868" s="4" t="s">
        <v>2922</v>
      </c>
      <c r="E1868" s="4" t="s">
        <v>2923</v>
      </c>
      <c r="F1868" s="4" t="s">
        <v>51</v>
      </c>
      <c r="G1868" s="4" t="s">
        <v>35</v>
      </c>
      <c r="H1868" s="54" t="s">
        <v>36</v>
      </c>
      <c r="I1868" s="52"/>
      <c r="J1868" s="57">
        <v>8.11</v>
      </c>
      <c r="K1868" s="52"/>
      <c r="L1868" s="6">
        <v>7.4368699999999999</v>
      </c>
      <c r="M1868" s="6">
        <v>0.91700000000000004</v>
      </c>
      <c r="N1868" s="6">
        <v>7.31</v>
      </c>
      <c r="O1868" s="57">
        <v>6.7032699999999998</v>
      </c>
      <c r="P1868" s="52"/>
      <c r="Q1868" s="6">
        <v>0.91700000000000004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0.8</v>
      </c>
      <c r="AB1868" s="6">
        <v>0.73360000000000003</v>
      </c>
      <c r="AC1868" s="6">
        <v>0.91700000000000004</v>
      </c>
      <c r="AD1868" s="6">
        <v>-0.79999999999999982</v>
      </c>
      <c r="AE1868" s="6">
        <v>0.79999999999999982</v>
      </c>
    </row>
    <row r="1869" spans="2:31" ht="20" x14ac:dyDescent="0.25">
      <c r="B1869" s="55"/>
      <c r="C1869" s="55"/>
      <c r="D1869" s="4" t="s">
        <v>2924</v>
      </c>
      <c r="E1869" s="4" t="s">
        <v>2925</v>
      </c>
      <c r="F1869" s="4" t="s">
        <v>51</v>
      </c>
      <c r="G1869" s="4" t="s">
        <v>35</v>
      </c>
      <c r="H1869" s="54" t="s">
        <v>41</v>
      </c>
      <c r="I1869" s="52"/>
      <c r="J1869" s="57">
        <v>24.9</v>
      </c>
      <c r="K1869" s="52"/>
      <c r="L1869" s="6">
        <v>18.675000000000001</v>
      </c>
      <c r="M1869" s="6">
        <v>0.75000000000000011</v>
      </c>
      <c r="N1869" s="6">
        <v>23.55</v>
      </c>
      <c r="O1869" s="57">
        <v>17.662500000000001</v>
      </c>
      <c r="P1869" s="52"/>
      <c r="Q1869" s="6">
        <v>0.75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1.35</v>
      </c>
      <c r="AB1869" s="6">
        <v>1.0125</v>
      </c>
      <c r="AC1869" s="6">
        <v>0.74999999999999989</v>
      </c>
      <c r="AD1869" s="6">
        <v>-1.3499999999999979</v>
      </c>
      <c r="AE1869" s="6">
        <v>1.3499999999999979</v>
      </c>
    </row>
    <row r="1870" spans="2:31" ht="20" x14ac:dyDescent="0.25">
      <c r="B1870" s="55"/>
      <c r="C1870" s="55"/>
      <c r="D1870" s="4" t="s">
        <v>2926</v>
      </c>
      <c r="E1870" s="4" t="s">
        <v>2927</v>
      </c>
      <c r="F1870" s="4" t="s">
        <v>51</v>
      </c>
      <c r="G1870" s="4" t="s">
        <v>35</v>
      </c>
      <c r="H1870" s="54" t="s">
        <v>41</v>
      </c>
      <c r="I1870" s="52"/>
      <c r="J1870" s="57">
        <v>10.34</v>
      </c>
      <c r="K1870" s="52"/>
      <c r="L1870" s="6">
        <v>7.7549999999999999</v>
      </c>
      <c r="M1870" s="6">
        <v>0.75</v>
      </c>
      <c r="N1870" s="6">
        <v>9.7799999999999994</v>
      </c>
      <c r="O1870" s="57">
        <v>7.335</v>
      </c>
      <c r="P1870" s="52"/>
      <c r="Q1870" s="6">
        <v>0.75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0.56000000000000005</v>
      </c>
      <c r="AB1870" s="6">
        <v>0.42</v>
      </c>
      <c r="AC1870" s="6">
        <v>0.74999999999999989</v>
      </c>
      <c r="AD1870" s="6">
        <v>-0.5600000000000005</v>
      </c>
      <c r="AE1870" s="6">
        <v>0.5600000000000005</v>
      </c>
    </row>
    <row r="1871" spans="2:31" ht="20" x14ac:dyDescent="0.25">
      <c r="B1871" s="55"/>
      <c r="C1871" s="55"/>
      <c r="D1871" s="4" t="s">
        <v>2928</v>
      </c>
      <c r="E1871" s="4" t="s">
        <v>2929</v>
      </c>
      <c r="F1871" s="4" t="s">
        <v>51</v>
      </c>
      <c r="G1871" s="4" t="s">
        <v>35</v>
      </c>
      <c r="H1871" s="54" t="s">
        <v>41</v>
      </c>
      <c r="I1871" s="52"/>
      <c r="J1871" s="57">
        <v>18.739999999999998</v>
      </c>
      <c r="K1871" s="52"/>
      <c r="L1871" s="6">
        <v>14.055</v>
      </c>
      <c r="M1871" s="6">
        <v>0.75</v>
      </c>
      <c r="N1871" s="6">
        <v>17.78</v>
      </c>
      <c r="O1871" s="57">
        <v>13.335000000000001</v>
      </c>
      <c r="P1871" s="52"/>
      <c r="Q1871" s="6">
        <v>0.75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0.96</v>
      </c>
      <c r="AB1871" s="6">
        <v>0.72</v>
      </c>
      <c r="AC1871" s="6">
        <v>0.75</v>
      </c>
      <c r="AD1871" s="6">
        <v>-0.9599999999999973</v>
      </c>
      <c r="AE1871" s="6">
        <v>0.9599999999999973</v>
      </c>
    </row>
    <row r="1872" spans="2:31" ht="20" x14ac:dyDescent="0.25">
      <c r="B1872" s="55"/>
      <c r="C1872" s="55"/>
      <c r="D1872" s="4" t="s">
        <v>2930</v>
      </c>
      <c r="E1872" s="4" t="s">
        <v>2931</v>
      </c>
      <c r="F1872" s="4" t="s">
        <v>51</v>
      </c>
      <c r="G1872" s="4" t="s">
        <v>35</v>
      </c>
      <c r="H1872" s="54" t="s">
        <v>36</v>
      </c>
      <c r="I1872" s="52"/>
      <c r="J1872" s="57">
        <v>8.0299999999999994</v>
      </c>
      <c r="K1872" s="52"/>
      <c r="L1872" s="6">
        <v>7.3635099999999998</v>
      </c>
      <c r="M1872" s="6">
        <v>0.91700000000000004</v>
      </c>
      <c r="N1872" s="6">
        <v>7.57</v>
      </c>
      <c r="O1872" s="57">
        <v>6.9416900000000004</v>
      </c>
      <c r="P1872" s="52"/>
      <c r="Q1872" s="6">
        <v>0.91700000000000004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0.46</v>
      </c>
      <c r="AB1872" s="6">
        <v>0.42181999999999997</v>
      </c>
      <c r="AC1872" s="6">
        <v>0.91699999999999993</v>
      </c>
      <c r="AD1872" s="6">
        <v>-0.45999999999999908</v>
      </c>
      <c r="AE1872" s="6">
        <v>0.45999999999999908</v>
      </c>
    </row>
    <row r="1873" spans="2:31" ht="20" x14ac:dyDescent="0.25">
      <c r="B1873" s="55"/>
      <c r="C1873" s="55"/>
      <c r="D1873" s="4" t="s">
        <v>2932</v>
      </c>
      <c r="E1873" s="4" t="s">
        <v>2800</v>
      </c>
      <c r="F1873" s="4" t="s">
        <v>51</v>
      </c>
      <c r="G1873" s="4" t="s">
        <v>35</v>
      </c>
      <c r="H1873" s="54" t="s">
        <v>36</v>
      </c>
      <c r="I1873" s="52"/>
      <c r="J1873" s="57">
        <v>131.83000000000001</v>
      </c>
      <c r="K1873" s="52"/>
      <c r="L1873" s="6">
        <v>120.88811</v>
      </c>
      <c r="M1873" s="6">
        <v>0.91699999999999993</v>
      </c>
      <c r="N1873" s="6">
        <v>130.76</v>
      </c>
      <c r="O1873" s="57">
        <v>119.90692</v>
      </c>
      <c r="P1873" s="52"/>
      <c r="Q1873" s="6">
        <v>0.91700000000000004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1.07</v>
      </c>
      <c r="AB1873" s="6">
        <v>0.98119000000000001</v>
      </c>
      <c r="AC1873" s="6">
        <v>0.91699999999999993</v>
      </c>
      <c r="AD1873" s="6">
        <v>-1.0700000000000216</v>
      </c>
      <c r="AE1873" s="6">
        <v>1.0700000000000216</v>
      </c>
    </row>
    <row r="1874" spans="2:31" ht="20" x14ac:dyDescent="0.25">
      <c r="B1874" s="55"/>
      <c r="C1874" s="55"/>
      <c r="D1874" s="4" t="s">
        <v>2933</v>
      </c>
      <c r="E1874" s="4" t="s">
        <v>2934</v>
      </c>
      <c r="F1874" s="4" t="s">
        <v>51</v>
      </c>
      <c r="G1874" s="4" t="s">
        <v>35</v>
      </c>
      <c r="H1874" s="54" t="s">
        <v>36</v>
      </c>
      <c r="I1874" s="52"/>
      <c r="J1874" s="57">
        <v>11.45</v>
      </c>
      <c r="K1874" s="52"/>
      <c r="L1874" s="6">
        <v>10.499650000000001</v>
      </c>
      <c r="M1874" s="6">
        <v>0.91700000000000015</v>
      </c>
      <c r="N1874" s="6">
        <v>10.78</v>
      </c>
      <c r="O1874" s="57">
        <v>9.8852600000000006</v>
      </c>
      <c r="P1874" s="52"/>
      <c r="Q1874" s="6">
        <v>0.91700000000000015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0.67</v>
      </c>
      <c r="AB1874" s="6">
        <v>0.61438999999999999</v>
      </c>
      <c r="AC1874" s="6">
        <v>0.91699999999999993</v>
      </c>
      <c r="AD1874" s="6">
        <v>-0.67</v>
      </c>
      <c r="AE1874" s="6">
        <v>0.67</v>
      </c>
    </row>
    <row r="1875" spans="2:31" x14ac:dyDescent="0.25">
      <c r="B1875" s="55"/>
      <c r="C1875" s="55"/>
      <c r="D1875" s="54" t="s">
        <v>2935</v>
      </c>
      <c r="E1875" s="4" t="s">
        <v>2936</v>
      </c>
      <c r="F1875" s="4" t="s">
        <v>51</v>
      </c>
      <c r="G1875" s="4" t="s">
        <v>35</v>
      </c>
      <c r="H1875" s="54" t="s">
        <v>36</v>
      </c>
      <c r="I1875" s="52"/>
      <c r="J1875" s="57">
        <v>8.8000000000000007</v>
      </c>
      <c r="K1875" s="52"/>
      <c r="L1875" s="6">
        <v>8.0695999999999994</v>
      </c>
      <c r="M1875" s="6">
        <v>0.91699999999999982</v>
      </c>
      <c r="N1875" s="6">
        <v>8.02</v>
      </c>
      <c r="O1875" s="57">
        <v>7.3543399999999997</v>
      </c>
      <c r="P1875" s="52"/>
      <c r="Q1875" s="6">
        <v>0.91700000000000004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0.78</v>
      </c>
      <c r="AB1875" s="6">
        <v>0.71526000000000001</v>
      </c>
      <c r="AC1875" s="6">
        <v>0.91699999999999993</v>
      </c>
      <c r="AD1875" s="6">
        <v>-0.78000000000000114</v>
      </c>
      <c r="AE1875" s="6">
        <v>0.78000000000000114</v>
      </c>
    </row>
    <row r="1876" spans="2:31" x14ac:dyDescent="0.25">
      <c r="B1876" s="55"/>
      <c r="C1876" s="55"/>
      <c r="D1876" s="55"/>
      <c r="E1876" s="4" t="s">
        <v>2937</v>
      </c>
      <c r="F1876" s="4" t="s">
        <v>51</v>
      </c>
      <c r="G1876" s="4" t="s">
        <v>35</v>
      </c>
      <c r="H1876" s="54" t="s">
        <v>36</v>
      </c>
      <c r="I1876" s="52"/>
      <c r="J1876" s="57">
        <v>20.079999999999998</v>
      </c>
      <c r="K1876" s="52"/>
      <c r="L1876" s="6">
        <v>18.413360000000001</v>
      </c>
      <c r="M1876" s="6">
        <v>0.91700000000000015</v>
      </c>
      <c r="N1876" s="6">
        <v>19.27</v>
      </c>
      <c r="O1876" s="57">
        <v>17.670590000000001</v>
      </c>
      <c r="P1876" s="52"/>
      <c r="Q1876" s="6">
        <v>0.91700000000000004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0.81</v>
      </c>
      <c r="AB1876" s="6">
        <v>0.74277000000000004</v>
      </c>
      <c r="AC1876" s="6">
        <v>0.91700000000000004</v>
      </c>
      <c r="AD1876" s="6">
        <v>-0.80999999999999872</v>
      </c>
      <c r="AE1876" s="6">
        <v>0.80999999999999872</v>
      </c>
    </row>
    <row r="1877" spans="2:31" x14ac:dyDescent="0.25">
      <c r="B1877" s="55"/>
      <c r="C1877" s="55"/>
      <c r="D1877" s="56"/>
      <c r="E1877" s="4" t="s">
        <v>2938</v>
      </c>
      <c r="F1877" s="4" t="s">
        <v>51</v>
      </c>
      <c r="G1877" s="4" t="s">
        <v>35</v>
      </c>
      <c r="H1877" s="54" t="s">
        <v>41</v>
      </c>
      <c r="I1877" s="52"/>
      <c r="J1877" s="57">
        <v>0.86</v>
      </c>
      <c r="K1877" s="52"/>
      <c r="L1877" s="6">
        <v>0.64500000000000002</v>
      </c>
      <c r="M1877" s="6">
        <v>0.75</v>
      </c>
      <c r="N1877" s="6">
        <v>0.82</v>
      </c>
      <c r="O1877" s="57">
        <v>0.61499999999999999</v>
      </c>
      <c r="P1877" s="52"/>
      <c r="Q1877" s="6">
        <v>0.75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0.04</v>
      </c>
      <c r="AB1877" s="6">
        <v>0.03</v>
      </c>
      <c r="AC1877" s="6">
        <v>0.75</v>
      </c>
      <c r="AD1877" s="6">
        <v>-4.0000000000000036E-2</v>
      </c>
      <c r="AE1877" s="6">
        <v>4.0000000000000036E-2</v>
      </c>
    </row>
    <row r="1878" spans="2:31" ht="20" x14ac:dyDescent="0.25">
      <c r="B1878" s="55"/>
      <c r="C1878" s="55"/>
      <c r="D1878" s="4" t="s">
        <v>2939</v>
      </c>
      <c r="E1878" s="4" t="s">
        <v>2940</v>
      </c>
      <c r="F1878" s="4" t="s">
        <v>51</v>
      </c>
      <c r="G1878" s="4" t="s">
        <v>35</v>
      </c>
      <c r="H1878" s="54" t="s">
        <v>36</v>
      </c>
      <c r="I1878" s="52"/>
      <c r="J1878" s="57">
        <v>2.5950000000000002</v>
      </c>
      <c r="K1878" s="52"/>
      <c r="L1878" s="6">
        <v>2.3796149999999998</v>
      </c>
      <c r="M1878" s="6">
        <v>0.91699999999999982</v>
      </c>
      <c r="N1878" s="6">
        <v>2.4849999999999999</v>
      </c>
      <c r="O1878" s="57">
        <v>2.2787449999999998</v>
      </c>
      <c r="P1878" s="52"/>
      <c r="Q1878" s="6">
        <v>0.91699999999999993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0.11</v>
      </c>
      <c r="AB1878" s="6">
        <v>0.10087</v>
      </c>
      <c r="AC1878" s="6">
        <v>0.91700000000000004</v>
      </c>
      <c r="AD1878" s="6">
        <v>-0.11000000000000032</v>
      </c>
      <c r="AE1878" s="6">
        <v>0.11000000000000032</v>
      </c>
    </row>
    <row r="1879" spans="2:31" ht="20" x14ac:dyDescent="0.25">
      <c r="B1879" s="55"/>
      <c r="C1879" s="55"/>
      <c r="D1879" s="4" t="s">
        <v>2941</v>
      </c>
      <c r="E1879" s="4" t="s">
        <v>1945</v>
      </c>
      <c r="F1879" s="4" t="s">
        <v>51</v>
      </c>
      <c r="G1879" s="4" t="s">
        <v>35</v>
      </c>
      <c r="H1879" s="54" t="s">
        <v>48</v>
      </c>
      <c r="I1879" s="52"/>
      <c r="J1879" s="57">
        <v>22.56</v>
      </c>
      <c r="K1879" s="52"/>
      <c r="L1879" s="6">
        <v>16.920000000000002</v>
      </c>
      <c r="M1879" s="6">
        <v>0.75000000000000011</v>
      </c>
      <c r="N1879" s="6">
        <v>21.75</v>
      </c>
      <c r="O1879" s="57">
        <v>16.3125</v>
      </c>
      <c r="P1879" s="52"/>
      <c r="Q1879" s="6">
        <v>0.75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>
        <v>0.81</v>
      </c>
      <c r="AB1879" s="6">
        <v>0.60750000000000004</v>
      </c>
      <c r="AC1879" s="6">
        <v>0.75</v>
      </c>
      <c r="AD1879" s="6">
        <v>-0.80999999999999872</v>
      </c>
      <c r="AE1879" s="6">
        <v>0.80999999999999872</v>
      </c>
    </row>
    <row r="1880" spans="2:31" x14ac:dyDescent="0.25">
      <c r="B1880" s="55"/>
      <c r="C1880" s="55"/>
      <c r="D1880" s="54" t="s">
        <v>2942</v>
      </c>
      <c r="E1880" s="4" t="s">
        <v>2943</v>
      </c>
      <c r="F1880" s="4" t="s">
        <v>51</v>
      </c>
      <c r="G1880" s="4" t="s">
        <v>35</v>
      </c>
      <c r="H1880" s="54" t="s">
        <v>41</v>
      </c>
      <c r="I1880" s="52"/>
      <c r="J1880" s="57">
        <v>7.56</v>
      </c>
      <c r="K1880" s="52"/>
      <c r="L1880" s="6">
        <v>5.67</v>
      </c>
      <c r="M1880" s="6">
        <v>0.75</v>
      </c>
      <c r="N1880" s="6">
        <v>6.87</v>
      </c>
      <c r="O1880" s="57">
        <v>5.1524999999999999</v>
      </c>
      <c r="P1880" s="52"/>
      <c r="Q1880" s="6">
        <v>0.75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0.69</v>
      </c>
      <c r="AB1880" s="6">
        <v>0.51749999999999996</v>
      </c>
      <c r="AC1880" s="6">
        <v>0.75</v>
      </c>
      <c r="AD1880" s="6">
        <v>-0.6899999999999995</v>
      </c>
      <c r="AE1880" s="6">
        <v>0.6899999999999995</v>
      </c>
    </row>
    <row r="1881" spans="2:31" x14ac:dyDescent="0.25">
      <c r="B1881" s="55"/>
      <c r="C1881" s="55"/>
      <c r="D1881" s="56"/>
      <c r="E1881" s="4" t="s">
        <v>2944</v>
      </c>
      <c r="F1881" s="4" t="s">
        <v>51</v>
      </c>
      <c r="G1881" s="4" t="s">
        <v>35</v>
      </c>
      <c r="H1881" s="54" t="s">
        <v>36</v>
      </c>
      <c r="I1881" s="52"/>
      <c r="J1881" s="57">
        <v>1.518</v>
      </c>
      <c r="K1881" s="52"/>
      <c r="L1881" s="6">
        <v>1.3920060000000001</v>
      </c>
      <c r="M1881" s="6">
        <v>0.91700000000000004</v>
      </c>
      <c r="N1881" s="6">
        <v>1.4279999999999999</v>
      </c>
      <c r="O1881" s="57">
        <v>1.3094760000000001</v>
      </c>
      <c r="P1881" s="52"/>
      <c r="Q1881" s="6">
        <v>0.91700000000000015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0.09</v>
      </c>
      <c r="AB1881" s="6">
        <v>8.2530000000000006E-2</v>
      </c>
      <c r="AC1881" s="6">
        <v>0.91700000000000015</v>
      </c>
      <c r="AD1881" s="6">
        <v>-9.000000000000008E-2</v>
      </c>
      <c r="AE1881" s="6">
        <v>9.000000000000008E-2</v>
      </c>
    </row>
    <row r="1882" spans="2:31" ht="20" x14ac:dyDescent="0.25">
      <c r="B1882" s="55"/>
      <c r="C1882" s="55"/>
      <c r="D1882" s="4" t="s">
        <v>2945</v>
      </c>
      <c r="E1882" s="4" t="s">
        <v>2835</v>
      </c>
      <c r="F1882" s="4" t="s">
        <v>51</v>
      </c>
      <c r="G1882" s="4" t="s">
        <v>35</v>
      </c>
      <c r="H1882" s="54" t="s">
        <v>36</v>
      </c>
      <c r="I1882" s="52"/>
      <c r="J1882" s="57">
        <v>17.97</v>
      </c>
      <c r="K1882" s="52"/>
      <c r="L1882" s="6">
        <v>16.478490000000001</v>
      </c>
      <c r="M1882" s="6">
        <v>0.91700000000000015</v>
      </c>
      <c r="N1882" s="6">
        <v>17.73</v>
      </c>
      <c r="O1882" s="57">
        <v>16.258410000000001</v>
      </c>
      <c r="P1882" s="52"/>
      <c r="Q1882" s="6">
        <v>0.91700000000000004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0.24</v>
      </c>
      <c r="AB1882" s="6">
        <v>0.22008</v>
      </c>
      <c r="AC1882" s="6">
        <v>0.91700000000000004</v>
      </c>
      <c r="AD1882" s="6">
        <v>-0.23999999999999844</v>
      </c>
      <c r="AE1882" s="6">
        <v>0.23999999999999844</v>
      </c>
    </row>
    <row r="1883" spans="2:31" ht="20" x14ac:dyDescent="0.25">
      <c r="B1883" s="55"/>
      <c r="C1883" s="56"/>
      <c r="D1883" s="4" t="s">
        <v>2946</v>
      </c>
      <c r="E1883" s="4" t="s">
        <v>2805</v>
      </c>
      <c r="F1883" s="4" t="s">
        <v>51</v>
      </c>
      <c r="G1883" s="4" t="s">
        <v>35</v>
      </c>
      <c r="H1883" s="54" t="s">
        <v>36</v>
      </c>
      <c r="I1883" s="52"/>
      <c r="J1883" s="57">
        <v>152.91999999999999</v>
      </c>
      <c r="K1883" s="52"/>
      <c r="L1883" s="6">
        <v>140.22764000000001</v>
      </c>
      <c r="M1883" s="6">
        <v>0.91700000000000015</v>
      </c>
      <c r="N1883" s="6">
        <v>151.97</v>
      </c>
      <c r="O1883" s="57">
        <v>139.35649000000001</v>
      </c>
      <c r="P1883" s="52"/>
      <c r="Q1883" s="6">
        <v>0.91700000000000004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0.95</v>
      </c>
      <c r="AB1883" s="6">
        <v>0.87114999999999998</v>
      </c>
      <c r="AC1883" s="6">
        <v>0.91700000000000004</v>
      </c>
      <c r="AD1883" s="6">
        <v>-0.94999999999998863</v>
      </c>
      <c r="AE1883" s="6">
        <v>0.94999999999998863</v>
      </c>
    </row>
    <row r="1884" spans="2:31" x14ac:dyDescent="0.25">
      <c r="B1884" s="55"/>
      <c r="C1884" s="58">
        <v>46202</v>
      </c>
      <c r="D1884" s="4" t="s">
        <v>2947</v>
      </c>
      <c r="E1884" s="4" t="s">
        <v>2948</v>
      </c>
      <c r="F1884" s="4" t="s">
        <v>34</v>
      </c>
      <c r="G1884" s="4" t="s">
        <v>35</v>
      </c>
      <c r="H1884" s="54" t="s">
        <v>48</v>
      </c>
      <c r="I1884" s="52"/>
      <c r="J1884" s="57">
        <v>16.13</v>
      </c>
      <c r="K1884" s="52"/>
      <c r="L1884" s="6">
        <v>12.0975</v>
      </c>
      <c r="M1884" s="6">
        <v>0.75</v>
      </c>
      <c r="N1884" s="6">
        <v>14.19</v>
      </c>
      <c r="O1884" s="57">
        <v>10.6425</v>
      </c>
      <c r="P1884" s="52"/>
      <c r="Q1884" s="6">
        <v>0.75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1.94</v>
      </c>
      <c r="AB1884" s="6">
        <v>1.4550000000000001</v>
      </c>
      <c r="AC1884" s="6">
        <v>0.75000000000000011</v>
      </c>
      <c r="AD1884" s="6">
        <v>-1.9399999999999995</v>
      </c>
      <c r="AE1884" s="6">
        <v>1.9399999999999995</v>
      </c>
    </row>
    <row r="1885" spans="2:31" x14ac:dyDescent="0.25">
      <c r="B1885" s="55"/>
      <c r="C1885" s="55"/>
      <c r="D1885" s="4" t="s">
        <v>2949</v>
      </c>
      <c r="E1885" s="4" t="s">
        <v>2815</v>
      </c>
      <c r="F1885" s="4" t="s">
        <v>34</v>
      </c>
      <c r="G1885" s="4" t="s">
        <v>35</v>
      </c>
      <c r="H1885" s="54" t="s">
        <v>36</v>
      </c>
      <c r="I1885" s="52"/>
      <c r="J1885" s="57">
        <v>154.81</v>
      </c>
      <c r="K1885" s="52"/>
      <c r="L1885" s="6">
        <v>141.96077</v>
      </c>
      <c r="M1885" s="6">
        <v>0.91699999999999993</v>
      </c>
      <c r="N1885" s="6">
        <v>154.68</v>
      </c>
      <c r="O1885" s="57">
        <v>141.84155999999999</v>
      </c>
      <c r="P1885" s="52"/>
      <c r="Q1885" s="6">
        <v>0.91699999999999993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0.13</v>
      </c>
      <c r="AB1885" s="6">
        <v>0.11921</v>
      </c>
      <c r="AC1885" s="6">
        <v>0.91699999999999993</v>
      </c>
      <c r="AD1885" s="6">
        <v>-0.12999999999999545</v>
      </c>
      <c r="AE1885" s="6">
        <v>0.12999999999999545</v>
      </c>
    </row>
    <row r="1886" spans="2:31" x14ac:dyDescent="0.25">
      <c r="B1886" s="55"/>
      <c r="C1886" s="55"/>
      <c r="D1886" s="4" t="s">
        <v>2950</v>
      </c>
      <c r="E1886" s="4" t="s">
        <v>2951</v>
      </c>
      <c r="F1886" s="4" t="s">
        <v>34</v>
      </c>
      <c r="G1886" s="4" t="s">
        <v>35</v>
      </c>
      <c r="H1886" s="54" t="s">
        <v>36</v>
      </c>
      <c r="I1886" s="52"/>
      <c r="J1886" s="57">
        <v>275.66000000000003</v>
      </c>
      <c r="K1886" s="52"/>
      <c r="L1886" s="6">
        <v>252.78022000000001</v>
      </c>
      <c r="M1886" s="6">
        <v>0.91699999999999993</v>
      </c>
      <c r="N1886" s="6">
        <v>258.27999999999997</v>
      </c>
      <c r="O1886" s="57">
        <v>236.84276</v>
      </c>
      <c r="P1886" s="52"/>
      <c r="Q1886" s="6">
        <v>0.91700000000000004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17.38</v>
      </c>
      <c r="AB1886" s="6">
        <v>15.93746</v>
      </c>
      <c r="AC1886" s="6">
        <v>0.91700000000000004</v>
      </c>
      <c r="AD1886" s="6">
        <v>-17.380000000000052</v>
      </c>
      <c r="AE1886" s="6">
        <v>17.380000000000052</v>
      </c>
    </row>
    <row r="1887" spans="2:31" x14ac:dyDescent="0.25">
      <c r="B1887" s="55"/>
      <c r="C1887" s="55"/>
      <c r="D1887" s="4" t="s">
        <v>2952</v>
      </c>
      <c r="E1887" s="4" t="s">
        <v>2953</v>
      </c>
      <c r="F1887" s="4" t="s">
        <v>34</v>
      </c>
      <c r="G1887" s="4" t="s">
        <v>35</v>
      </c>
      <c r="H1887" s="54" t="s">
        <v>36</v>
      </c>
      <c r="I1887" s="52"/>
      <c r="J1887" s="57">
        <v>216.67</v>
      </c>
      <c r="K1887" s="52"/>
      <c r="L1887" s="6">
        <v>198.68638999999999</v>
      </c>
      <c r="M1887" s="6">
        <v>0.91700000000000004</v>
      </c>
      <c r="N1887" s="6">
        <v>201.6</v>
      </c>
      <c r="O1887" s="57">
        <v>184.8672</v>
      </c>
      <c r="P1887" s="52"/>
      <c r="Q1887" s="6">
        <v>0.91700000000000004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15.07</v>
      </c>
      <c r="AB1887" s="6">
        <v>13.819190000000001</v>
      </c>
      <c r="AC1887" s="6">
        <v>0.91700000000000004</v>
      </c>
      <c r="AD1887" s="6">
        <v>-15.069999999999993</v>
      </c>
      <c r="AE1887" s="6">
        <v>15.069999999999993</v>
      </c>
    </row>
    <row r="1888" spans="2:31" x14ac:dyDescent="0.25">
      <c r="B1888" s="55"/>
      <c r="C1888" s="55"/>
      <c r="D1888" s="4" t="s">
        <v>2954</v>
      </c>
      <c r="E1888" s="4" t="s">
        <v>2955</v>
      </c>
      <c r="F1888" s="4" t="s">
        <v>34</v>
      </c>
      <c r="G1888" s="4" t="s">
        <v>35</v>
      </c>
      <c r="H1888" s="54" t="s">
        <v>36</v>
      </c>
      <c r="I1888" s="52"/>
      <c r="J1888" s="57">
        <v>67.680000000000007</v>
      </c>
      <c r="K1888" s="52"/>
      <c r="L1888" s="6">
        <v>62.062559999999998</v>
      </c>
      <c r="M1888" s="6">
        <v>0.91699999999999993</v>
      </c>
      <c r="N1888" s="6">
        <v>64.239999999999995</v>
      </c>
      <c r="O1888" s="57">
        <v>58.908079999999998</v>
      </c>
      <c r="P1888" s="52"/>
      <c r="Q1888" s="6">
        <v>0.91700000000000004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3.44</v>
      </c>
      <c r="AB1888" s="6">
        <v>3.15448</v>
      </c>
      <c r="AC1888" s="6">
        <v>0.91700000000000004</v>
      </c>
      <c r="AD1888" s="6">
        <v>-3.4400000000000119</v>
      </c>
      <c r="AE1888" s="6">
        <v>3.4400000000000119</v>
      </c>
    </row>
    <row r="1889" spans="2:31" x14ac:dyDescent="0.25">
      <c r="B1889" s="55"/>
      <c r="C1889" s="55"/>
      <c r="D1889" s="4" t="s">
        <v>2956</v>
      </c>
      <c r="E1889" s="4" t="s">
        <v>2957</v>
      </c>
      <c r="F1889" s="4" t="s">
        <v>34</v>
      </c>
      <c r="G1889" s="4" t="s">
        <v>35</v>
      </c>
      <c r="H1889" s="54" t="s">
        <v>48</v>
      </c>
      <c r="I1889" s="52"/>
      <c r="J1889" s="57">
        <v>77.28</v>
      </c>
      <c r="K1889" s="52"/>
      <c r="L1889" s="6">
        <v>57.96</v>
      </c>
      <c r="M1889" s="6">
        <v>0.75</v>
      </c>
      <c r="N1889" s="6">
        <v>70.06</v>
      </c>
      <c r="O1889" s="57">
        <v>52.545000000000002</v>
      </c>
      <c r="P1889" s="52"/>
      <c r="Q1889" s="6">
        <v>0.75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7.22</v>
      </c>
      <c r="AB1889" s="6">
        <v>5.415</v>
      </c>
      <c r="AC1889" s="6">
        <v>0.75</v>
      </c>
      <c r="AD1889" s="6">
        <v>-7.2199999999999989</v>
      </c>
      <c r="AE1889" s="6">
        <v>7.2199999999999989</v>
      </c>
    </row>
    <row r="1890" spans="2:31" x14ac:dyDescent="0.25">
      <c r="B1890" s="55"/>
      <c r="C1890" s="55"/>
      <c r="D1890" s="4" t="s">
        <v>2958</v>
      </c>
      <c r="E1890" s="4" t="s">
        <v>2959</v>
      </c>
      <c r="F1890" s="4" t="s">
        <v>34</v>
      </c>
      <c r="G1890" s="4" t="s">
        <v>35</v>
      </c>
      <c r="H1890" s="54" t="s">
        <v>48</v>
      </c>
      <c r="I1890" s="52"/>
      <c r="J1890" s="57">
        <v>74.569999999999993</v>
      </c>
      <c r="K1890" s="52"/>
      <c r="L1890" s="6">
        <v>55.927500000000002</v>
      </c>
      <c r="M1890" s="6">
        <v>0.75000000000000011</v>
      </c>
      <c r="N1890" s="6">
        <v>69.55</v>
      </c>
      <c r="O1890" s="57">
        <v>52.162500000000001</v>
      </c>
      <c r="P1890" s="52"/>
      <c r="Q1890" s="6">
        <v>0.75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5.0199999999999996</v>
      </c>
      <c r="AB1890" s="6">
        <v>3.7650000000000001</v>
      </c>
      <c r="AC1890" s="6">
        <v>0.75000000000000011</v>
      </c>
      <c r="AD1890" s="6">
        <v>-5.019999999999996</v>
      </c>
      <c r="AE1890" s="6">
        <v>5.019999999999996</v>
      </c>
    </row>
    <row r="1891" spans="2:31" x14ac:dyDescent="0.25">
      <c r="B1891" s="55"/>
      <c r="C1891" s="55"/>
      <c r="D1891" s="4" t="s">
        <v>2960</v>
      </c>
      <c r="E1891" s="4" t="s">
        <v>2961</v>
      </c>
      <c r="F1891" s="4" t="s">
        <v>34</v>
      </c>
      <c r="G1891" s="4" t="s">
        <v>35</v>
      </c>
      <c r="H1891" s="54" t="s">
        <v>36</v>
      </c>
      <c r="I1891" s="52"/>
      <c r="J1891" s="57">
        <v>180.8</v>
      </c>
      <c r="K1891" s="52"/>
      <c r="L1891" s="6">
        <v>165.7936</v>
      </c>
      <c r="M1891" s="6">
        <v>0.91699999999999993</v>
      </c>
      <c r="N1891" s="6">
        <v>174.22</v>
      </c>
      <c r="O1891" s="57">
        <v>159.75973999999999</v>
      </c>
      <c r="P1891" s="52"/>
      <c r="Q1891" s="6">
        <v>0.91699999999999993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  <c r="AA1891" s="6">
        <v>6.58</v>
      </c>
      <c r="AB1891" s="6">
        <v>6.0338599999999998</v>
      </c>
      <c r="AC1891" s="6">
        <v>0.91699999999999993</v>
      </c>
      <c r="AD1891" s="6">
        <v>-6.5800000000000125</v>
      </c>
      <c r="AE1891" s="6">
        <v>6.5800000000000125</v>
      </c>
    </row>
    <row r="1892" spans="2:31" x14ac:dyDescent="0.25">
      <c r="B1892" s="55"/>
      <c r="C1892" s="55"/>
      <c r="D1892" s="4" t="s">
        <v>2962</v>
      </c>
      <c r="E1892" s="4" t="s">
        <v>2963</v>
      </c>
      <c r="F1892" s="4" t="s">
        <v>34</v>
      </c>
      <c r="G1892" s="4" t="s">
        <v>35</v>
      </c>
      <c r="H1892" s="54" t="s">
        <v>36</v>
      </c>
      <c r="I1892" s="52"/>
      <c r="J1892" s="57">
        <v>70.69</v>
      </c>
      <c r="K1892" s="52"/>
      <c r="L1892" s="6">
        <v>64.822730000000007</v>
      </c>
      <c r="M1892" s="6">
        <v>0.91700000000000015</v>
      </c>
      <c r="N1892" s="6">
        <v>69.650000000000006</v>
      </c>
      <c r="O1892" s="57">
        <v>63.869050000000001</v>
      </c>
      <c r="P1892" s="52"/>
      <c r="Q1892" s="6">
        <v>0.91699999999999993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1.04</v>
      </c>
      <c r="AB1892" s="6">
        <v>0.95367999999999997</v>
      </c>
      <c r="AC1892" s="6">
        <v>0.91699999999999993</v>
      </c>
      <c r="AD1892" s="6">
        <v>-1.039999999999992</v>
      </c>
      <c r="AE1892" s="6">
        <v>1.039999999999992</v>
      </c>
    </row>
    <row r="1893" spans="2:31" x14ac:dyDescent="0.25">
      <c r="B1893" s="55"/>
      <c r="C1893" s="55"/>
      <c r="D1893" s="4" t="s">
        <v>2964</v>
      </c>
      <c r="E1893" s="4" t="s">
        <v>2965</v>
      </c>
      <c r="F1893" s="4" t="s">
        <v>34</v>
      </c>
      <c r="G1893" s="4" t="s">
        <v>35</v>
      </c>
      <c r="H1893" s="54" t="s">
        <v>48</v>
      </c>
      <c r="I1893" s="52"/>
      <c r="J1893" s="57">
        <v>92.48</v>
      </c>
      <c r="K1893" s="52"/>
      <c r="L1893" s="6">
        <v>69.36</v>
      </c>
      <c r="M1893" s="6">
        <v>0.75</v>
      </c>
      <c r="N1893" s="6">
        <v>81.64</v>
      </c>
      <c r="O1893" s="57">
        <v>61.23</v>
      </c>
      <c r="P1893" s="52"/>
      <c r="Q1893" s="6">
        <v>0.75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10.84</v>
      </c>
      <c r="AB1893" s="6">
        <v>8.1300000000000008</v>
      </c>
      <c r="AC1893" s="6">
        <v>0.75000000000000011</v>
      </c>
      <c r="AD1893" s="6">
        <v>-10.840000000000003</v>
      </c>
      <c r="AE1893" s="6">
        <v>10.840000000000003</v>
      </c>
    </row>
    <row r="1894" spans="2:31" x14ac:dyDescent="0.25">
      <c r="B1894" s="55"/>
      <c r="C1894" s="55"/>
      <c r="D1894" s="4" t="s">
        <v>2966</v>
      </c>
      <c r="E1894" s="4" t="s">
        <v>2967</v>
      </c>
      <c r="F1894" s="4" t="s">
        <v>34</v>
      </c>
      <c r="G1894" s="4" t="s">
        <v>35</v>
      </c>
      <c r="H1894" s="54" t="s">
        <v>48</v>
      </c>
      <c r="I1894" s="52"/>
      <c r="J1894" s="57">
        <v>95.2</v>
      </c>
      <c r="K1894" s="52"/>
      <c r="L1894" s="6">
        <v>71.400000000000006</v>
      </c>
      <c r="M1894" s="6">
        <v>0.75</v>
      </c>
      <c r="N1894" s="6">
        <v>84.81</v>
      </c>
      <c r="O1894" s="57">
        <v>63.607500000000002</v>
      </c>
      <c r="P1894" s="52"/>
      <c r="Q1894" s="6">
        <v>0.75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10.39</v>
      </c>
      <c r="AB1894" s="6">
        <v>7.7925000000000004</v>
      </c>
      <c r="AC1894" s="6">
        <v>0.75</v>
      </c>
      <c r="AD1894" s="6">
        <v>-10.39</v>
      </c>
      <c r="AE1894" s="6">
        <v>10.39</v>
      </c>
    </row>
    <row r="1895" spans="2:31" x14ac:dyDescent="0.25">
      <c r="B1895" s="55"/>
      <c r="C1895" s="55"/>
      <c r="D1895" s="4" t="s">
        <v>2968</v>
      </c>
      <c r="E1895" s="4" t="s">
        <v>2969</v>
      </c>
      <c r="F1895" s="4" t="s">
        <v>34</v>
      </c>
      <c r="G1895" s="4" t="s">
        <v>35</v>
      </c>
      <c r="H1895" s="54" t="s">
        <v>36</v>
      </c>
      <c r="I1895" s="52"/>
      <c r="J1895" s="57">
        <v>80.209999999999994</v>
      </c>
      <c r="K1895" s="52"/>
      <c r="L1895" s="6">
        <v>73.552570000000003</v>
      </c>
      <c r="M1895" s="6">
        <v>0.91700000000000015</v>
      </c>
      <c r="N1895" s="6">
        <v>71.3</v>
      </c>
      <c r="O1895" s="57">
        <v>65.382099999999994</v>
      </c>
      <c r="P1895" s="52"/>
      <c r="Q1895" s="6">
        <v>0.91699999999999993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  <c r="Z1895" s="6">
        <v>0</v>
      </c>
      <c r="AA1895" s="6">
        <v>8.91</v>
      </c>
      <c r="AB1895" s="6">
        <v>8.1704699999999999</v>
      </c>
      <c r="AC1895" s="6">
        <v>0.91699999999999993</v>
      </c>
      <c r="AD1895" s="6">
        <v>-8.9099999999999966</v>
      </c>
      <c r="AE1895" s="6">
        <v>8.9099999999999966</v>
      </c>
    </row>
    <row r="1896" spans="2:31" x14ac:dyDescent="0.25">
      <c r="B1896" s="55"/>
      <c r="C1896" s="55"/>
      <c r="D1896" s="4" t="s">
        <v>2970</v>
      </c>
      <c r="E1896" s="4" t="s">
        <v>2971</v>
      </c>
      <c r="F1896" s="4" t="s">
        <v>34</v>
      </c>
      <c r="G1896" s="4" t="s">
        <v>35</v>
      </c>
      <c r="H1896" s="54" t="s">
        <v>36</v>
      </c>
      <c r="I1896" s="52"/>
      <c r="J1896" s="57">
        <v>137.93</v>
      </c>
      <c r="K1896" s="52"/>
      <c r="L1896" s="6">
        <v>126.48181</v>
      </c>
      <c r="M1896" s="6">
        <v>0.91699999999999993</v>
      </c>
      <c r="N1896" s="6">
        <v>128.30000000000001</v>
      </c>
      <c r="O1896" s="57">
        <v>117.6511</v>
      </c>
      <c r="P1896" s="52"/>
      <c r="Q1896" s="6">
        <v>0.91699999999999993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9.6300000000000008</v>
      </c>
      <c r="AB1896" s="6">
        <v>8.8307099999999998</v>
      </c>
      <c r="AC1896" s="6">
        <v>0.91699999999999993</v>
      </c>
      <c r="AD1896" s="6">
        <v>-9.6299999999999955</v>
      </c>
      <c r="AE1896" s="6">
        <v>9.6299999999999955</v>
      </c>
    </row>
    <row r="1897" spans="2:31" ht="20" x14ac:dyDescent="0.25">
      <c r="B1897" s="55"/>
      <c r="C1897" s="55"/>
      <c r="D1897" s="4" t="s">
        <v>2972</v>
      </c>
      <c r="E1897" s="4" t="s">
        <v>2973</v>
      </c>
      <c r="F1897" s="4" t="s">
        <v>51</v>
      </c>
      <c r="G1897" s="4" t="s">
        <v>35</v>
      </c>
      <c r="H1897" s="54" t="s">
        <v>36</v>
      </c>
      <c r="I1897" s="52"/>
      <c r="J1897" s="57">
        <v>120</v>
      </c>
      <c r="K1897" s="52"/>
      <c r="L1897" s="6">
        <v>110.04</v>
      </c>
      <c r="M1897" s="6">
        <v>0.91700000000000004</v>
      </c>
      <c r="N1897" s="6">
        <v>107.32</v>
      </c>
      <c r="O1897" s="57">
        <v>98.412440000000004</v>
      </c>
      <c r="P1897" s="52"/>
      <c r="Q1897" s="6">
        <v>0.91700000000000004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12.68</v>
      </c>
      <c r="AB1897" s="6">
        <v>11.627560000000001</v>
      </c>
      <c r="AC1897" s="6">
        <v>0.91700000000000004</v>
      </c>
      <c r="AD1897" s="6">
        <v>-12.680000000000007</v>
      </c>
      <c r="AE1897" s="6">
        <v>12.680000000000007</v>
      </c>
    </row>
    <row r="1898" spans="2:31" ht="20" x14ac:dyDescent="0.25">
      <c r="B1898" s="55"/>
      <c r="C1898" s="55"/>
      <c r="D1898" s="4" t="s">
        <v>2974</v>
      </c>
      <c r="E1898" s="4" t="s">
        <v>2975</v>
      </c>
      <c r="F1898" s="4" t="s">
        <v>51</v>
      </c>
      <c r="G1898" s="4" t="s">
        <v>35</v>
      </c>
      <c r="H1898" s="54" t="s">
        <v>48</v>
      </c>
      <c r="I1898" s="52"/>
      <c r="J1898" s="57">
        <v>17.579999999999998</v>
      </c>
      <c r="K1898" s="52"/>
      <c r="L1898" s="6">
        <v>13.185</v>
      </c>
      <c r="M1898" s="6">
        <v>0.75000000000000011</v>
      </c>
      <c r="N1898" s="6">
        <v>16.8</v>
      </c>
      <c r="O1898" s="57">
        <v>12.6</v>
      </c>
      <c r="P1898" s="52"/>
      <c r="Q1898" s="6">
        <v>0.75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  <c r="Z1898" s="6">
        <v>0</v>
      </c>
      <c r="AA1898" s="6">
        <v>0.78</v>
      </c>
      <c r="AB1898" s="6">
        <v>0.58499999999999996</v>
      </c>
      <c r="AC1898" s="6">
        <v>0.74999999999999989</v>
      </c>
      <c r="AD1898" s="6">
        <v>-0.77999999999999758</v>
      </c>
      <c r="AE1898" s="6">
        <v>0.77999999999999758</v>
      </c>
    </row>
    <row r="1899" spans="2:31" ht="20" x14ac:dyDescent="0.25">
      <c r="B1899" s="55"/>
      <c r="C1899" s="55"/>
      <c r="D1899" s="4" t="s">
        <v>2976</v>
      </c>
      <c r="E1899" s="4" t="s">
        <v>2977</v>
      </c>
      <c r="F1899" s="4" t="s">
        <v>51</v>
      </c>
      <c r="G1899" s="4" t="s">
        <v>35</v>
      </c>
      <c r="H1899" s="54" t="s">
        <v>36</v>
      </c>
      <c r="I1899" s="52"/>
      <c r="J1899" s="57">
        <v>11.11</v>
      </c>
      <c r="K1899" s="52"/>
      <c r="L1899" s="6">
        <v>10.18787</v>
      </c>
      <c r="M1899" s="6">
        <v>0.91700000000000004</v>
      </c>
      <c r="N1899" s="6">
        <v>10.17</v>
      </c>
      <c r="O1899" s="57">
        <v>9.3258899999999993</v>
      </c>
      <c r="P1899" s="52"/>
      <c r="Q1899" s="6">
        <v>0.91699999999999993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0</v>
      </c>
      <c r="AA1899" s="6">
        <v>0.94</v>
      </c>
      <c r="AB1899" s="6">
        <v>0.86197999999999997</v>
      </c>
      <c r="AC1899" s="6">
        <v>0.91700000000000004</v>
      </c>
      <c r="AD1899" s="6">
        <v>-0.9399999999999995</v>
      </c>
      <c r="AE1899" s="6">
        <v>0.9399999999999995</v>
      </c>
    </row>
    <row r="1900" spans="2:31" ht="20" x14ac:dyDescent="0.25">
      <c r="B1900" s="55"/>
      <c r="C1900" s="55"/>
      <c r="D1900" s="4" t="s">
        <v>2978</v>
      </c>
      <c r="E1900" s="4" t="s">
        <v>2979</v>
      </c>
      <c r="F1900" s="4" t="s">
        <v>51</v>
      </c>
      <c r="G1900" s="4" t="s">
        <v>35</v>
      </c>
      <c r="H1900" s="54" t="s">
        <v>36</v>
      </c>
      <c r="I1900" s="52"/>
      <c r="J1900" s="57">
        <v>37.81</v>
      </c>
      <c r="K1900" s="52"/>
      <c r="L1900" s="6">
        <v>34.671770000000002</v>
      </c>
      <c r="M1900" s="6">
        <v>0.91700000000000004</v>
      </c>
      <c r="N1900" s="6">
        <v>33.5</v>
      </c>
      <c r="O1900" s="57">
        <v>30.7195</v>
      </c>
      <c r="P1900" s="52"/>
      <c r="Q1900" s="6">
        <v>0.91700000000000004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0</v>
      </c>
      <c r="AA1900" s="6">
        <v>4.3099999999999996</v>
      </c>
      <c r="AB1900" s="6">
        <v>3.9522699999999999</v>
      </c>
      <c r="AC1900" s="6">
        <v>0.91700000000000004</v>
      </c>
      <c r="AD1900" s="6">
        <v>-4.3100000000000023</v>
      </c>
      <c r="AE1900" s="6">
        <v>4.3100000000000023</v>
      </c>
    </row>
    <row r="1901" spans="2:31" ht="20" x14ac:dyDescent="0.25">
      <c r="B1901" s="55"/>
      <c r="C1901" s="55"/>
      <c r="D1901" s="4" t="s">
        <v>2980</v>
      </c>
      <c r="E1901" s="4" t="s">
        <v>2981</v>
      </c>
      <c r="F1901" s="4" t="s">
        <v>51</v>
      </c>
      <c r="G1901" s="4" t="s">
        <v>35</v>
      </c>
      <c r="H1901" s="54" t="s">
        <v>36</v>
      </c>
      <c r="I1901" s="52"/>
      <c r="J1901" s="57">
        <v>9.35</v>
      </c>
      <c r="K1901" s="52"/>
      <c r="L1901" s="6">
        <v>8.57395</v>
      </c>
      <c r="M1901" s="6">
        <v>0.91700000000000004</v>
      </c>
      <c r="N1901" s="6">
        <v>8.19</v>
      </c>
      <c r="O1901" s="57">
        <v>7.51023</v>
      </c>
      <c r="P1901" s="52"/>
      <c r="Q1901" s="6">
        <v>0.91700000000000004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  <c r="AA1901" s="6">
        <v>1.1599999999999999</v>
      </c>
      <c r="AB1901" s="6">
        <v>1.06372</v>
      </c>
      <c r="AC1901" s="6">
        <v>0.91700000000000004</v>
      </c>
      <c r="AD1901" s="6">
        <v>-1.1600000000000001</v>
      </c>
      <c r="AE1901" s="6">
        <v>1.1600000000000001</v>
      </c>
    </row>
    <row r="1902" spans="2:31" ht="20" x14ac:dyDescent="0.25">
      <c r="B1902" s="55"/>
      <c r="C1902" s="55"/>
      <c r="D1902" s="4" t="s">
        <v>2982</v>
      </c>
      <c r="E1902" s="4" t="s">
        <v>2983</v>
      </c>
      <c r="F1902" s="4" t="s">
        <v>51</v>
      </c>
      <c r="G1902" s="4" t="s">
        <v>35</v>
      </c>
      <c r="H1902" s="54" t="s">
        <v>41</v>
      </c>
      <c r="I1902" s="52"/>
      <c r="J1902" s="57">
        <v>12.06</v>
      </c>
      <c r="K1902" s="52"/>
      <c r="L1902" s="6">
        <v>9.0449999999999999</v>
      </c>
      <c r="M1902" s="6">
        <v>0.75</v>
      </c>
      <c r="N1902" s="6">
        <v>11.01</v>
      </c>
      <c r="O1902" s="57">
        <v>8.2575000000000003</v>
      </c>
      <c r="P1902" s="52"/>
      <c r="Q1902" s="6">
        <v>0.75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1.05</v>
      </c>
      <c r="AB1902" s="6">
        <v>0.78749999999999998</v>
      </c>
      <c r="AC1902" s="6">
        <v>0.75</v>
      </c>
      <c r="AD1902" s="6">
        <v>-1.0500000000000007</v>
      </c>
      <c r="AE1902" s="6">
        <v>1.0500000000000007</v>
      </c>
    </row>
    <row r="1903" spans="2:31" x14ac:dyDescent="0.25">
      <c r="B1903" s="55"/>
      <c r="C1903" s="55"/>
      <c r="D1903" s="54" t="s">
        <v>2984</v>
      </c>
      <c r="E1903" s="4" t="s">
        <v>2985</v>
      </c>
      <c r="F1903" s="4" t="s">
        <v>51</v>
      </c>
      <c r="G1903" s="4" t="s">
        <v>35</v>
      </c>
      <c r="H1903" s="54" t="s">
        <v>36</v>
      </c>
      <c r="I1903" s="52"/>
      <c r="J1903" s="57">
        <v>9.2100000000000009</v>
      </c>
      <c r="K1903" s="52"/>
      <c r="L1903" s="6">
        <v>8.44557</v>
      </c>
      <c r="M1903" s="6">
        <v>0.91699999999999993</v>
      </c>
      <c r="N1903" s="6">
        <v>8.5</v>
      </c>
      <c r="O1903" s="57">
        <v>7.7945000000000002</v>
      </c>
      <c r="P1903" s="52"/>
      <c r="Q1903" s="6">
        <v>0.91700000000000004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0.71</v>
      </c>
      <c r="AB1903" s="6">
        <v>0.65107000000000004</v>
      </c>
      <c r="AC1903" s="6">
        <v>0.91700000000000015</v>
      </c>
      <c r="AD1903" s="6">
        <v>-0.71000000000000085</v>
      </c>
      <c r="AE1903" s="6">
        <v>0.71000000000000085</v>
      </c>
    </row>
    <row r="1904" spans="2:31" x14ac:dyDescent="0.25">
      <c r="B1904" s="55"/>
      <c r="C1904" s="55"/>
      <c r="D1904" s="56"/>
      <c r="E1904" s="4" t="s">
        <v>2986</v>
      </c>
      <c r="F1904" s="4" t="s">
        <v>51</v>
      </c>
      <c r="G1904" s="4" t="s">
        <v>35</v>
      </c>
      <c r="H1904" s="54" t="s">
        <v>36</v>
      </c>
      <c r="I1904" s="52"/>
      <c r="J1904" s="57">
        <v>49.42</v>
      </c>
      <c r="K1904" s="52"/>
      <c r="L1904" s="6">
        <v>45.31814</v>
      </c>
      <c r="M1904" s="6">
        <v>0.91699999999999993</v>
      </c>
      <c r="N1904" s="6">
        <v>46.97</v>
      </c>
      <c r="O1904" s="57">
        <v>43.071489999999997</v>
      </c>
      <c r="P1904" s="52"/>
      <c r="Q1904" s="6">
        <v>0.91699999999999993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2.4500000000000002</v>
      </c>
      <c r="AB1904" s="6">
        <v>2.2466499999999998</v>
      </c>
      <c r="AC1904" s="6">
        <v>0.91699999999999982</v>
      </c>
      <c r="AD1904" s="6">
        <v>-2.4500000000000028</v>
      </c>
      <c r="AE1904" s="6">
        <v>2.4500000000000028</v>
      </c>
    </row>
    <row r="1905" spans="2:31" ht="20" x14ac:dyDescent="0.25">
      <c r="B1905" s="55"/>
      <c r="C1905" s="55"/>
      <c r="D1905" s="4" t="s">
        <v>2987</v>
      </c>
      <c r="E1905" s="4" t="s">
        <v>2988</v>
      </c>
      <c r="F1905" s="4" t="s">
        <v>51</v>
      </c>
      <c r="G1905" s="4" t="s">
        <v>35</v>
      </c>
      <c r="H1905" s="54" t="s">
        <v>36</v>
      </c>
      <c r="I1905" s="52"/>
      <c r="J1905" s="57">
        <v>74.11</v>
      </c>
      <c r="K1905" s="52"/>
      <c r="L1905" s="6">
        <v>67.958870000000005</v>
      </c>
      <c r="M1905" s="6">
        <v>0.91700000000000004</v>
      </c>
      <c r="N1905" s="6">
        <v>69.3</v>
      </c>
      <c r="O1905" s="57">
        <v>63.548099999999998</v>
      </c>
      <c r="P1905" s="52"/>
      <c r="Q1905" s="6">
        <v>0.91700000000000004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4.8099999999999996</v>
      </c>
      <c r="AB1905" s="6">
        <v>4.4107700000000003</v>
      </c>
      <c r="AC1905" s="6">
        <v>0.91700000000000015</v>
      </c>
      <c r="AD1905" s="6">
        <v>-4.8100000000000023</v>
      </c>
      <c r="AE1905" s="6">
        <v>4.8100000000000023</v>
      </c>
    </row>
    <row r="1906" spans="2:31" ht="20" x14ac:dyDescent="0.25">
      <c r="B1906" s="55"/>
      <c r="C1906" s="55"/>
      <c r="D1906" s="4" t="s">
        <v>2989</v>
      </c>
      <c r="E1906" s="4" t="s">
        <v>2988</v>
      </c>
      <c r="F1906" s="4" t="s">
        <v>51</v>
      </c>
      <c r="G1906" s="4" t="s">
        <v>35</v>
      </c>
      <c r="H1906" s="54" t="s">
        <v>36</v>
      </c>
      <c r="I1906" s="52"/>
      <c r="J1906" s="57">
        <v>69.3</v>
      </c>
      <c r="K1906" s="52"/>
      <c r="L1906" s="6">
        <v>63.548099999999998</v>
      </c>
      <c r="M1906" s="6">
        <v>0.91700000000000004</v>
      </c>
      <c r="N1906" s="6">
        <v>69.3</v>
      </c>
      <c r="O1906" s="57">
        <v>63.548099999999998</v>
      </c>
      <c r="P1906" s="52"/>
      <c r="Q1906" s="6">
        <v>0.91700000000000004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0</v>
      </c>
    </row>
    <row r="1907" spans="2:31" ht="20" x14ac:dyDescent="0.25">
      <c r="B1907" s="55"/>
      <c r="C1907" s="55"/>
      <c r="D1907" s="4" t="s">
        <v>2990</v>
      </c>
      <c r="E1907" s="4" t="s">
        <v>2991</v>
      </c>
      <c r="F1907" s="4" t="s">
        <v>51</v>
      </c>
      <c r="G1907" s="4" t="s">
        <v>35</v>
      </c>
      <c r="H1907" s="54" t="s">
        <v>36</v>
      </c>
      <c r="I1907" s="52"/>
      <c r="J1907" s="57">
        <v>10.34</v>
      </c>
      <c r="K1907" s="52"/>
      <c r="L1907" s="6">
        <v>9.4817800000000005</v>
      </c>
      <c r="M1907" s="6">
        <v>0.91700000000000004</v>
      </c>
      <c r="N1907" s="6">
        <v>9.48</v>
      </c>
      <c r="O1907" s="57">
        <v>8.6931600000000007</v>
      </c>
      <c r="P1907" s="52"/>
      <c r="Q1907" s="6">
        <v>0.91700000000000004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0.86</v>
      </c>
      <c r="AB1907" s="6">
        <v>0.78861999999999999</v>
      </c>
      <c r="AC1907" s="6">
        <v>0.91700000000000004</v>
      </c>
      <c r="AD1907" s="6">
        <v>-0.85999999999999943</v>
      </c>
      <c r="AE1907" s="6">
        <v>0.85999999999999943</v>
      </c>
    </row>
    <row r="1908" spans="2:31" x14ac:dyDescent="0.25">
      <c r="B1908" s="55"/>
      <c r="C1908" s="55"/>
      <c r="D1908" s="54" t="s">
        <v>2992</v>
      </c>
      <c r="E1908" s="4" t="s">
        <v>231</v>
      </c>
      <c r="F1908" s="4" t="s">
        <v>51</v>
      </c>
      <c r="G1908" s="4" t="s">
        <v>35</v>
      </c>
      <c r="H1908" s="54" t="s">
        <v>36</v>
      </c>
      <c r="I1908" s="52"/>
      <c r="J1908" s="57">
        <v>13.64</v>
      </c>
      <c r="K1908" s="52"/>
      <c r="L1908" s="6">
        <v>12.50788</v>
      </c>
      <c r="M1908" s="6">
        <v>0.91699999999999993</v>
      </c>
      <c r="N1908" s="6">
        <v>12.92</v>
      </c>
      <c r="O1908" s="57">
        <v>11.84764</v>
      </c>
      <c r="P1908" s="52"/>
      <c r="Q1908" s="6">
        <v>0.91700000000000004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0.72</v>
      </c>
      <c r="AB1908" s="6">
        <v>0.66024000000000005</v>
      </c>
      <c r="AC1908" s="6">
        <v>0.91700000000000015</v>
      </c>
      <c r="AD1908" s="6">
        <v>-0.72000000000000064</v>
      </c>
      <c r="AE1908" s="6">
        <v>0.72000000000000064</v>
      </c>
    </row>
    <row r="1909" spans="2:31" x14ac:dyDescent="0.25">
      <c r="B1909" s="55"/>
      <c r="C1909" s="55"/>
      <c r="D1909" s="56"/>
      <c r="E1909" s="4" t="s">
        <v>2993</v>
      </c>
      <c r="F1909" s="4" t="s">
        <v>51</v>
      </c>
      <c r="G1909" s="4" t="s">
        <v>35</v>
      </c>
      <c r="H1909" s="54" t="s">
        <v>36</v>
      </c>
      <c r="I1909" s="52"/>
      <c r="J1909" s="57">
        <v>9.48</v>
      </c>
      <c r="K1909" s="52"/>
      <c r="L1909" s="6">
        <v>8.6931600000000007</v>
      </c>
      <c r="M1909" s="6">
        <v>0.91700000000000004</v>
      </c>
      <c r="N1909" s="6">
        <v>8.82</v>
      </c>
      <c r="O1909" s="57">
        <v>8.0879399999999997</v>
      </c>
      <c r="P1909" s="52"/>
      <c r="Q1909" s="6">
        <v>0.91699999999999993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0.66</v>
      </c>
      <c r="AB1909" s="6">
        <v>0.60521999999999998</v>
      </c>
      <c r="AC1909" s="6">
        <v>0.91699999999999993</v>
      </c>
      <c r="AD1909" s="6">
        <v>-0.66000000000000014</v>
      </c>
      <c r="AE1909" s="6">
        <v>0.66000000000000014</v>
      </c>
    </row>
    <row r="1910" spans="2:31" x14ac:dyDescent="0.25">
      <c r="B1910" s="55"/>
      <c r="C1910" s="55"/>
      <c r="D1910" s="54" t="s">
        <v>2994</v>
      </c>
      <c r="E1910" s="4" t="s">
        <v>2995</v>
      </c>
      <c r="F1910" s="4" t="s">
        <v>51</v>
      </c>
      <c r="G1910" s="4" t="s">
        <v>35</v>
      </c>
      <c r="H1910" s="54" t="s">
        <v>36</v>
      </c>
      <c r="I1910" s="52"/>
      <c r="J1910" s="57">
        <v>28.89</v>
      </c>
      <c r="K1910" s="52"/>
      <c r="L1910" s="6">
        <v>26.49213</v>
      </c>
      <c r="M1910" s="6">
        <v>0.91699999999999993</v>
      </c>
      <c r="N1910" s="6">
        <v>28</v>
      </c>
      <c r="O1910" s="57">
        <v>25.675999999999998</v>
      </c>
      <c r="P1910" s="52"/>
      <c r="Q1910" s="6">
        <v>0.91699999999999993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0.89</v>
      </c>
      <c r="AB1910" s="6">
        <v>0.81613000000000002</v>
      </c>
      <c r="AC1910" s="6">
        <v>0.91700000000000004</v>
      </c>
      <c r="AD1910" s="6">
        <v>-0.89000000000000057</v>
      </c>
      <c r="AE1910" s="6">
        <v>0.89000000000000057</v>
      </c>
    </row>
    <row r="1911" spans="2:31" x14ac:dyDescent="0.25">
      <c r="B1911" s="55"/>
      <c r="C1911" s="55"/>
      <c r="D1911" s="56"/>
      <c r="E1911" s="4" t="s">
        <v>2996</v>
      </c>
      <c r="F1911" s="4" t="s">
        <v>51</v>
      </c>
      <c r="G1911" s="4" t="s">
        <v>35</v>
      </c>
      <c r="H1911" s="54" t="s">
        <v>48</v>
      </c>
      <c r="I1911" s="52"/>
      <c r="J1911" s="57">
        <v>5.79</v>
      </c>
      <c r="K1911" s="52"/>
      <c r="L1911" s="6">
        <v>4.3425000000000002</v>
      </c>
      <c r="M1911" s="6">
        <v>0.75</v>
      </c>
      <c r="N1911" s="6">
        <v>5.29</v>
      </c>
      <c r="O1911" s="57">
        <v>3.9674999999999998</v>
      </c>
      <c r="P1911" s="52"/>
      <c r="Q1911" s="6">
        <v>0.75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0.5</v>
      </c>
      <c r="AB1911" s="6">
        <v>0.375</v>
      </c>
      <c r="AC1911" s="6">
        <v>0.75</v>
      </c>
      <c r="AD1911" s="6">
        <v>-0.5</v>
      </c>
      <c r="AE1911" s="6">
        <v>0.5</v>
      </c>
    </row>
    <row r="1912" spans="2:31" ht="20" x14ac:dyDescent="0.25">
      <c r="B1912" s="55"/>
      <c r="C1912" s="55"/>
      <c r="D1912" s="4" t="s">
        <v>2997</v>
      </c>
      <c r="E1912" s="4" t="s">
        <v>260</v>
      </c>
      <c r="F1912" s="4" t="s">
        <v>51</v>
      </c>
      <c r="G1912" s="4" t="s">
        <v>35</v>
      </c>
      <c r="H1912" s="54" t="s">
        <v>36</v>
      </c>
      <c r="I1912" s="52"/>
      <c r="J1912" s="57">
        <v>18.02</v>
      </c>
      <c r="K1912" s="52"/>
      <c r="L1912" s="6">
        <v>16.524339999999999</v>
      </c>
      <c r="M1912" s="6">
        <v>0.91699999999999993</v>
      </c>
      <c r="N1912" s="6">
        <v>17.27</v>
      </c>
      <c r="O1912" s="57">
        <v>15.836589999999999</v>
      </c>
      <c r="P1912" s="52"/>
      <c r="Q1912" s="6">
        <v>0.91699999999999993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0.75</v>
      </c>
      <c r="AB1912" s="6">
        <v>0.68774999999999997</v>
      </c>
      <c r="AC1912" s="6">
        <v>0.91699999999999993</v>
      </c>
      <c r="AD1912" s="6">
        <v>-0.75</v>
      </c>
      <c r="AE1912" s="6">
        <v>0.75</v>
      </c>
    </row>
    <row r="1913" spans="2:31" ht="20" x14ac:dyDescent="0.25">
      <c r="B1913" s="55"/>
      <c r="C1913" s="55"/>
      <c r="D1913" s="4" t="s">
        <v>2998</v>
      </c>
      <c r="E1913" s="4" t="s">
        <v>2773</v>
      </c>
      <c r="F1913" s="4" t="s">
        <v>51</v>
      </c>
      <c r="G1913" s="4" t="s">
        <v>35</v>
      </c>
      <c r="H1913" s="54" t="s">
        <v>36</v>
      </c>
      <c r="I1913" s="52"/>
      <c r="J1913" s="57">
        <v>26.31</v>
      </c>
      <c r="K1913" s="52"/>
      <c r="L1913" s="6">
        <v>24.126270000000002</v>
      </c>
      <c r="M1913" s="6">
        <v>0.91700000000000015</v>
      </c>
      <c r="N1913" s="6">
        <v>26.05</v>
      </c>
      <c r="O1913" s="57">
        <v>23.88785</v>
      </c>
      <c r="P1913" s="52"/>
      <c r="Q1913" s="6">
        <v>0.91700000000000004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0.26</v>
      </c>
      <c r="AB1913" s="6">
        <v>0.23841999999999999</v>
      </c>
      <c r="AC1913" s="6">
        <v>0.91699999999999993</v>
      </c>
      <c r="AD1913" s="6">
        <v>-0.25999999999999801</v>
      </c>
      <c r="AE1913" s="6">
        <v>0.25999999999999801</v>
      </c>
    </row>
    <row r="1914" spans="2:31" ht="20" x14ac:dyDescent="0.25">
      <c r="B1914" s="55"/>
      <c r="C1914" s="55"/>
      <c r="D1914" s="4" t="s">
        <v>2999</v>
      </c>
      <c r="E1914" s="4" t="s">
        <v>3000</v>
      </c>
      <c r="F1914" s="4" t="s">
        <v>51</v>
      </c>
      <c r="G1914" s="4" t="s">
        <v>35</v>
      </c>
      <c r="H1914" s="54" t="s">
        <v>48</v>
      </c>
      <c r="I1914" s="52"/>
      <c r="J1914" s="57">
        <v>21.93</v>
      </c>
      <c r="K1914" s="52"/>
      <c r="L1914" s="6">
        <v>16.447500000000002</v>
      </c>
      <c r="M1914" s="6">
        <v>0.75000000000000011</v>
      </c>
      <c r="N1914" s="6">
        <v>20.65</v>
      </c>
      <c r="O1914" s="57">
        <v>15.487500000000001</v>
      </c>
      <c r="P1914" s="52"/>
      <c r="Q1914" s="6">
        <v>0.75000000000000011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1.28</v>
      </c>
      <c r="AB1914" s="6">
        <v>0.96</v>
      </c>
      <c r="AC1914" s="6">
        <v>0.75</v>
      </c>
      <c r="AD1914" s="6">
        <v>-1.2800000000000011</v>
      </c>
      <c r="AE1914" s="6">
        <v>1.2800000000000011</v>
      </c>
    </row>
    <row r="1915" spans="2:31" ht="20" x14ac:dyDescent="0.25">
      <c r="B1915" s="55"/>
      <c r="C1915" s="55"/>
      <c r="D1915" s="4" t="s">
        <v>3001</v>
      </c>
      <c r="E1915" s="4" t="s">
        <v>3002</v>
      </c>
      <c r="F1915" s="4" t="s">
        <v>51</v>
      </c>
      <c r="G1915" s="4" t="s">
        <v>35</v>
      </c>
      <c r="H1915" s="54" t="s">
        <v>36</v>
      </c>
      <c r="I1915" s="52"/>
      <c r="J1915" s="57">
        <v>22.86</v>
      </c>
      <c r="K1915" s="52"/>
      <c r="L1915" s="6">
        <v>20.962620000000001</v>
      </c>
      <c r="M1915" s="6">
        <v>0.91700000000000004</v>
      </c>
      <c r="N1915" s="6">
        <v>20.8</v>
      </c>
      <c r="O1915" s="57">
        <v>19.073599999999999</v>
      </c>
      <c r="P1915" s="52"/>
      <c r="Q1915" s="6">
        <v>0.91699999999999993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2.06</v>
      </c>
      <c r="AB1915" s="6">
        <v>1.8890199999999999</v>
      </c>
      <c r="AC1915" s="6">
        <v>0.91699999999999993</v>
      </c>
      <c r="AD1915" s="6">
        <v>-2.0599999999999987</v>
      </c>
      <c r="AE1915" s="6">
        <v>2.0599999999999987</v>
      </c>
    </row>
    <row r="1916" spans="2:31" ht="20" x14ac:dyDescent="0.25">
      <c r="B1916" s="55"/>
      <c r="C1916" s="55"/>
      <c r="D1916" s="4" t="s">
        <v>3003</v>
      </c>
      <c r="E1916" s="4" t="s">
        <v>2881</v>
      </c>
      <c r="F1916" s="4" t="s">
        <v>51</v>
      </c>
      <c r="G1916" s="4" t="s">
        <v>35</v>
      </c>
      <c r="H1916" s="54" t="s">
        <v>41</v>
      </c>
      <c r="I1916" s="52"/>
      <c r="J1916" s="57">
        <v>35.54</v>
      </c>
      <c r="K1916" s="52"/>
      <c r="L1916" s="6">
        <v>26.655000000000001</v>
      </c>
      <c r="M1916" s="6">
        <v>0.75</v>
      </c>
      <c r="N1916" s="6">
        <v>34.22</v>
      </c>
      <c r="O1916" s="57">
        <v>25.664999999999999</v>
      </c>
      <c r="P1916" s="52"/>
      <c r="Q1916" s="6">
        <v>0.75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1.32</v>
      </c>
      <c r="AB1916" s="6">
        <v>0.99</v>
      </c>
      <c r="AC1916" s="6">
        <v>0.75</v>
      </c>
      <c r="AD1916" s="6">
        <v>-1.3200000000000003</v>
      </c>
      <c r="AE1916" s="6">
        <v>1.3200000000000003</v>
      </c>
    </row>
    <row r="1917" spans="2:31" ht="20" x14ac:dyDescent="0.25">
      <c r="B1917" s="55"/>
      <c r="C1917" s="55"/>
      <c r="D1917" s="4" t="s">
        <v>3004</v>
      </c>
      <c r="E1917" s="4" t="s">
        <v>3005</v>
      </c>
      <c r="F1917" s="4" t="s">
        <v>51</v>
      </c>
      <c r="G1917" s="4" t="s">
        <v>35</v>
      </c>
      <c r="H1917" s="54" t="s">
        <v>41</v>
      </c>
      <c r="I1917" s="52"/>
      <c r="J1917" s="57">
        <v>30.75</v>
      </c>
      <c r="K1917" s="52"/>
      <c r="L1917" s="6">
        <v>23.0625</v>
      </c>
      <c r="M1917" s="6">
        <v>0.75</v>
      </c>
      <c r="N1917" s="6">
        <v>28.15</v>
      </c>
      <c r="O1917" s="57">
        <v>21.112500000000001</v>
      </c>
      <c r="P1917" s="52"/>
      <c r="Q1917" s="6">
        <v>0.75000000000000011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2.6</v>
      </c>
      <c r="AB1917" s="6">
        <v>1.95</v>
      </c>
      <c r="AC1917" s="6">
        <v>0.75</v>
      </c>
      <c r="AD1917" s="6">
        <v>-2.6000000000000014</v>
      </c>
      <c r="AE1917" s="6">
        <v>2.6000000000000014</v>
      </c>
    </row>
    <row r="1918" spans="2:31" ht="20" x14ac:dyDescent="0.25">
      <c r="B1918" s="55"/>
      <c r="C1918" s="55"/>
      <c r="D1918" s="4" t="s">
        <v>3006</v>
      </c>
      <c r="E1918" s="4" t="s">
        <v>3007</v>
      </c>
      <c r="F1918" s="4" t="s">
        <v>51</v>
      </c>
      <c r="G1918" s="4" t="s">
        <v>35</v>
      </c>
      <c r="H1918" s="54" t="s">
        <v>36</v>
      </c>
      <c r="I1918" s="52"/>
      <c r="J1918" s="57">
        <v>19.010000000000002</v>
      </c>
      <c r="K1918" s="52"/>
      <c r="L1918" s="6">
        <v>17.432169999999999</v>
      </c>
      <c r="M1918" s="6">
        <v>0.91699999999999993</v>
      </c>
      <c r="N1918" s="6">
        <v>16.3</v>
      </c>
      <c r="O1918" s="57">
        <v>14.947100000000001</v>
      </c>
      <c r="P1918" s="52"/>
      <c r="Q1918" s="6">
        <v>0.91700000000000004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2.71</v>
      </c>
      <c r="AB1918" s="6">
        <v>2.4850699999999999</v>
      </c>
      <c r="AC1918" s="6">
        <v>0.91699999999999993</v>
      </c>
      <c r="AD1918" s="6">
        <v>-2.7100000000000009</v>
      </c>
      <c r="AE1918" s="6">
        <v>2.7100000000000009</v>
      </c>
    </row>
    <row r="1919" spans="2:31" ht="20" x14ac:dyDescent="0.25">
      <c r="B1919" s="55"/>
      <c r="C1919" s="55"/>
      <c r="D1919" s="4" t="s">
        <v>3008</v>
      </c>
      <c r="E1919" s="4" t="s">
        <v>3009</v>
      </c>
      <c r="F1919" s="4" t="s">
        <v>51</v>
      </c>
      <c r="G1919" s="4" t="s">
        <v>35</v>
      </c>
      <c r="H1919" s="54" t="s">
        <v>36</v>
      </c>
      <c r="I1919" s="52"/>
      <c r="J1919" s="57">
        <v>25.6</v>
      </c>
      <c r="K1919" s="52"/>
      <c r="L1919" s="6">
        <v>23.475200000000001</v>
      </c>
      <c r="M1919" s="6">
        <v>0.91700000000000004</v>
      </c>
      <c r="N1919" s="6">
        <v>23.35</v>
      </c>
      <c r="O1919" s="57">
        <v>21.411950000000001</v>
      </c>
      <c r="P1919" s="52"/>
      <c r="Q1919" s="6">
        <v>0.91700000000000004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2.25</v>
      </c>
      <c r="AB1919" s="6">
        <v>2.06325</v>
      </c>
      <c r="AC1919" s="6">
        <v>0.91700000000000004</v>
      </c>
      <c r="AD1919" s="6">
        <v>-2.25</v>
      </c>
      <c r="AE1919" s="6">
        <v>2.25</v>
      </c>
    </row>
    <row r="1920" spans="2:31" ht="20" x14ac:dyDescent="0.25">
      <c r="B1920" s="55"/>
      <c r="C1920" s="55"/>
      <c r="D1920" s="4" t="s">
        <v>3010</v>
      </c>
      <c r="E1920" s="4" t="s">
        <v>3011</v>
      </c>
      <c r="F1920" s="4" t="s">
        <v>51</v>
      </c>
      <c r="G1920" s="4" t="s">
        <v>35</v>
      </c>
      <c r="H1920" s="54" t="s">
        <v>48</v>
      </c>
      <c r="I1920" s="52"/>
      <c r="J1920" s="57">
        <v>116.74</v>
      </c>
      <c r="K1920" s="52"/>
      <c r="L1920" s="6">
        <v>87.555000000000007</v>
      </c>
      <c r="M1920" s="6">
        <v>0.75000000000000011</v>
      </c>
      <c r="N1920" s="6">
        <v>112.35</v>
      </c>
      <c r="O1920" s="57">
        <v>84.262500000000003</v>
      </c>
      <c r="P1920" s="52"/>
      <c r="Q1920" s="6">
        <v>0.75000000000000011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4.3899999999999997</v>
      </c>
      <c r="AB1920" s="6">
        <v>3.2925</v>
      </c>
      <c r="AC1920" s="6">
        <v>0.75</v>
      </c>
      <c r="AD1920" s="6">
        <v>-4.3900000000000006</v>
      </c>
      <c r="AE1920" s="6">
        <v>4.3900000000000006</v>
      </c>
    </row>
    <row r="1921" spans="2:31" x14ac:dyDescent="0.25">
      <c r="B1921" s="55"/>
      <c r="C1921" s="55"/>
      <c r="D1921" s="54" t="s">
        <v>3012</v>
      </c>
      <c r="E1921" s="4" t="s">
        <v>3013</v>
      </c>
      <c r="F1921" s="4" t="s">
        <v>51</v>
      </c>
      <c r="G1921" s="4" t="s">
        <v>35</v>
      </c>
      <c r="H1921" s="54" t="s">
        <v>48</v>
      </c>
      <c r="I1921" s="52"/>
      <c r="J1921" s="57">
        <v>27.68</v>
      </c>
      <c r="K1921" s="52"/>
      <c r="L1921" s="6">
        <v>20.76</v>
      </c>
      <c r="M1921" s="6">
        <v>0.75000000000000011</v>
      </c>
      <c r="N1921" s="6">
        <v>26.44</v>
      </c>
      <c r="O1921" s="57">
        <v>19.829999999999998</v>
      </c>
      <c r="P1921" s="52"/>
      <c r="Q1921" s="6">
        <v>0.74999999999999989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0</v>
      </c>
      <c r="AA1921" s="6">
        <v>1.24</v>
      </c>
      <c r="AB1921" s="6">
        <v>0.93</v>
      </c>
      <c r="AC1921" s="6">
        <v>0.75</v>
      </c>
      <c r="AD1921" s="6">
        <v>-1.2399999999999984</v>
      </c>
      <c r="AE1921" s="6">
        <v>1.2399999999999984</v>
      </c>
    </row>
    <row r="1922" spans="2:31" x14ac:dyDescent="0.25">
      <c r="B1922" s="55"/>
      <c r="C1922" s="55"/>
      <c r="D1922" s="55"/>
      <c r="E1922" s="4" t="s">
        <v>3014</v>
      </c>
      <c r="F1922" s="4" t="s">
        <v>51</v>
      </c>
      <c r="G1922" s="4" t="s">
        <v>35</v>
      </c>
      <c r="H1922" s="54" t="s">
        <v>36</v>
      </c>
      <c r="I1922" s="52"/>
      <c r="J1922" s="57">
        <v>57.8</v>
      </c>
      <c r="K1922" s="52"/>
      <c r="L1922" s="6">
        <v>53.002600000000001</v>
      </c>
      <c r="M1922" s="6">
        <v>0.91700000000000004</v>
      </c>
      <c r="N1922" s="6">
        <v>54</v>
      </c>
      <c r="O1922" s="57">
        <v>49.518000000000001</v>
      </c>
      <c r="P1922" s="52"/>
      <c r="Q1922" s="6">
        <v>0.91700000000000004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3.8</v>
      </c>
      <c r="AB1922" s="6">
        <v>3.4845999999999999</v>
      </c>
      <c r="AC1922" s="6">
        <v>0.91700000000000004</v>
      </c>
      <c r="AD1922" s="6">
        <v>-3.7999999999999972</v>
      </c>
      <c r="AE1922" s="6">
        <v>3.7999999999999972</v>
      </c>
    </row>
    <row r="1923" spans="2:31" x14ac:dyDescent="0.25">
      <c r="B1923" s="55"/>
      <c r="C1923" s="55"/>
      <c r="D1923" s="56"/>
      <c r="E1923" s="4" t="s">
        <v>3015</v>
      </c>
      <c r="F1923" s="4" t="s">
        <v>51</v>
      </c>
      <c r="G1923" s="4" t="s">
        <v>35</v>
      </c>
      <c r="H1923" s="54" t="s">
        <v>36</v>
      </c>
      <c r="I1923" s="52"/>
      <c r="J1923" s="57">
        <v>21.05</v>
      </c>
      <c r="K1923" s="52"/>
      <c r="L1923" s="6">
        <v>19.302849999999999</v>
      </c>
      <c r="M1923" s="6">
        <v>0.91699999999999993</v>
      </c>
      <c r="N1923" s="6">
        <v>17.600000000000001</v>
      </c>
      <c r="O1923" s="57">
        <v>16.139199999999999</v>
      </c>
      <c r="P1923" s="52"/>
      <c r="Q1923" s="6">
        <v>0.91699999999999982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3.45</v>
      </c>
      <c r="AB1923" s="6">
        <v>3.1636500000000001</v>
      </c>
      <c r="AC1923" s="6">
        <v>0.91699999999999993</v>
      </c>
      <c r="AD1923" s="6">
        <v>-3.4499999999999993</v>
      </c>
      <c r="AE1923" s="6">
        <v>3.4499999999999993</v>
      </c>
    </row>
    <row r="1924" spans="2:31" ht="20" x14ac:dyDescent="0.25">
      <c r="B1924" s="55"/>
      <c r="C1924" s="55"/>
      <c r="D1924" s="4" t="s">
        <v>3016</v>
      </c>
      <c r="E1924" s="4" t="s">
        <v>3017</v>
      </c>
      <c r="F1924" s="4" t="s">
        <v>51</v>
      </c>
      <c r="G1924" s="4" t="s">
        <v>35</v>
      </c>
      <c r="H1924" s="54" t="s">
        <v>36</v>
      </c>
      <c r="I1924" s="52"/>
      <c r="J1924" s="57">
        <v>2.82</v>
      </c>
      <c r="K1924" s="52"/>
      <c r="L1924" s="6">
        <v>2.5859399999999999</v>
      </c>
      <c r="M1924" s="6">
        <v>0.91700000000000004</v>
      </c>
      <c r="N1924" s="6">
        <v>2.82</v>
      </c>
      <c r="O1924" s="57">
        <v>2.5859399999999999</v>
      </c>
      <c r="P1924" s="52"/>
      <c r="Q1924" s="6">
        <v>0.91700000000000004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0</v>
      </c>
      <c r="AD1924" s="6">
        <v>0</v>
      </c>
      <c r="AE1924" s="6">
        <v>0</v>
      </c>
    </row>
    <row r="1925" spans="2:31" ht="20" x14ac:dyDescent="0.25">
      <c r="B1925" s="55"/>
      <c r="C1925" s="55"/>
      <c r="D1925" s="4" t="s">
        <v>3018</v>
      </c>
      <c r="E1925" s="4" t="s">
        <v>3019</v>
      </c>
      <c r="F1925" s="4" t="s">
        <v>51</v>
      </c>
      <c r="G1925" s="4" t="s">
        <v>35</v>
      </c>
      <c r="H1925" s="54" t="s">
        <v>36</v>
      </c>
      <c r="I1925" s="52"/>
      <c r="J1925" s="57">
        <v>32.93</v>
      </c>
      <c r="K1925" s="52"/>
      <c r="L1925" s="6">
        <v>30.196809999999999</v>
      </c>
      <c r="M1925" s="6">
        <v>0.91700000000000004</v>
      </c>
      <c r="N1925" s="6">
        <v>32.93</v>
      </c>
      <c r="O1925" s="57">
        <v>30.196809999999999</v>
      </c>
      <c r="P1925" s="52"/>
      <c r="Q1925" s="6">
        <v>0.91700000000000004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</row>
    <row r="1926" spans="2:31" ht="20" x14ac:dyDescent="0.25">
      <c r="B1926" s="55"/>
      <c r="C1926" s="55"/>
      <c r="D1926" s="4" t="s">
        <v>3020</v>
      </c>
      <c r="E1926" s="4" t="s">
        <v>3021</v>
      </c>
      <c r="F1926" s="4" t="s">
        <v>51</v>
      </c>
      <c r="G1926" s="4" t="s">
        <v>35</v>
      </c>
      <c r="H1926" s="54" t="s">
        <v>36</v>
      </c>
      <c r="I1926" s="52"/>
      <c r="J1926" s="57">
        <v>93.23</v>
      </c>
      <c r="K1926" s="52"/>
      <c r="L1926" s="6">
        <v>85.491910000000004</v>
      </c>
      <c r="M1926" s="6">
        <v>0.91700000000000004</v>
      </c>
      <c r="N1926" s="6">
        <v>87.5</v>
      </c>
      <c r="O1926" s="57">
        <v>80.237499999999997</v>
      </c>
      <c r="P1926" s="52"/>
      <c r="Q1926" s="6">
        <v>0.91699999999999993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5.73</v>
      </c>
      <c r="AB1926" s="6">
        <v>5.25441</v>
      </c>
      <c r="AC1926" s="6">
        <v>0.91699999999999993</v>
      </c>
      <c r="AD1926" s="6">
        <v>-5.730000000000004</v>
      </c>
      <c r="AE1926" s="6">
        <v>5.730000000000004</v>
      </c>
    </row>
    <row r="1927" spans="2:31" ht="20" x14ac:dyDescent="0.25">
      <c r="B1927" s="55"/>
      <c r="C1927" s="55"/>
      <c r="D1927" s="4" t="s">
        <v>3022</v>
      </c>
      <c r="E1927" s="4" t="s">
        <v>3017</v>
      </c>
      <c r="F1927" s="4" t="s">
        <v>51</v>
      </c>
      <c r="G1927" s="4" t="s">
        <v>35</v>
      </c>
      <c r="H1927" s="54" t="s">
        <v>36</v>
      </c>
      <c r="I1927" s="52"/>
      <c r="J1927" s="57">
        <v>5.09</v>
      </c>
      <c r="K1927" s="52"/>
      <c r="L1927" s="6">
        <v>4.6675300000000002</v>
      </c>
      <c r="M1927" s="6">
        <v>0.91700000000000004</v>
      </c>
      <c r="N1927" s="6">
        <v>4.7298999999999998</v>
      </c>
      <c r="O1927" s="57">
        <v>4.3373182999999997</v>
      </c>
      <c r="P1927" s="52"/>
      <c r="Q1927" s="6">
        <v>0.91700000000000004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0.36009999999999998</v>
      </c>
      <c r="AB1927" s="6">
        <v>0.3302117</v>
      </c>
      <c r="AC1927" s="6">
        <v>0.91700000000000004</v>
      </c>
      <c r="AD1927" s="6">
        <v>-0.36010000000000009</v>
      </c>
      <c r="AE1927" s="6">
        <v>0.36010000000000009</v>
      </c>
    </row>
    <row r="1928" spans="2:31" ht="20" x14ac:dyDescent="0.25">
      <c r="B1928" s="55"/>
      <c r="C1928" s="55"/>
      <c r="D1928" s="4" t="s">
        <v>3023</v>
      </c>
      <c r="E1928" s="4" t="s">
        <v>2988</v>
      </c>
      <c r="F1928" s="4" t="s">
        <v>51</v>
      </c>
      <c r="G1928" s="4" t="s">
        <v>35</v>
      </c>
      <c r="H1928" s="54" t="s">
        <v>36</v>
      </c>
      <c r="I1928" s="52"/>
      <c r="J1928" s="57">
        <v>68.510000000000005</v>
      </c>
      <c r="K1928" s="52"/>
      <c r="L1928" s="6">
        <v>62.82367</v>
      </c>
      <c r="M1928" s="6">
        <v>0.91699999999999993</v>
      </c>
      <c r="N1928" s="6">
        <v>68.510000000000005</v>
      </c>
      <c r="O1928" s="57">
        <v>62.82367</v>
      </c>
      <c r="P1928" s="52"/>
      <c r="Q1928" s="6">
        <v>0.91699999999999993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</row>
    <row r="1929" spans="2:31" ht="20" x14ac:dyDescent="0.25">
      <c r="B1929" s="55"/>
      <c r="C1929" s="55"/>
      <c r="D1929" s="4" t="s">
        <v>3024</v>
      </c>
      <c r="E1929" s="4" t="s">
        <v>2938</v>
      </c>
      <c r="F1929" s="4" t="s">
        <v>51</v>
      </c>
      <c r="G1929" s="4" t="s">
        <v>35</v>
      </c>
      <c r="H1929" s="54" t="s">
        <v>41</v>
      </c>
      <c r="I1929" s="52"/>
      <c r="J1929" s="57">
        <v>1.44</v>
      </c>
      <c r="K1929" s="52"/>
      <c r="L1929" s="6">
        <v>1.08</v>
      </c>
      <c r="M1929" s="6">
        <v>0.75000000000000011</v>
      </c>
      <c r="N1929" s="6">
        <v>1.44</v>
      </c>
      <c r="O1929" s="57">
        <v>1.08</v>
      </c>
      <c r="P1929" s="52"/>
      <c r="Q1929" s="6">
        <v>0.75000000000000011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  <c r="AC1929" s="6">
        <v>0</v>
      </c>
      <c r="AD1929" s="6">
        <v>0</v>
      </c>
      <c r="AE1929" s="6">
        <v>0</v>
      </c>
    </row>
    <row r="1930" spans="2:31" ht="20" x14ac:dyDescent="0.25">
      <c r="B1930" s="55"/>
      <c r="C1930" s="55"/>
      <c r="D1930" s="4" t="s">
        <v>3025</v>
      </c>
      <c r="E1930" s="4" t="s">
        <v>2870</v>
      </c>
      <c r="F1930" s="4" t="s">
        <v>51</v>
      </c>
      <c r="G1930" s="4" t="s">
        <v>35</v>
      </c>
      <c r="H1930" s="54" t="s">
        <v>36</v>
      </c>
      <c r="I1930" s="52"/>
      <c r="J1930" s="57">
        <v>11.52</v>
      </c>
      <c r="K1930" s="52"/>
      <c r="L1930" s="6">
        <v>10.563840000000001</v>
      </c>
      <c r="M1930" s="6">
        <v>0.91700000000000015</v>
      </c>
      <c r="N1930" s="6">
        <v>10.68</v>
      </c>
      <c r="O1930" s="57">
        <v>9.7935599999999994</v>
      </c>
      <c r="P1930" s="52"/>
      <c r="Q1930" s="6">
        <v>0.91699999999999993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0.84</v>
      </c>
      <c r="AB1930" s="6">
        <v>0.77027999999999996</v>
      </c>
      <c r="AC1930" s="6">
        <v>0.91700000000000004</v>
      </c>
      <c r="AD1930" s="6">
        <v>-0.83999999999999986</v>
      </c>
      <c r="AE1930" s="6">
        <v>0.83999999999999986</v>
      </c>
    </row>
    <row r="1931" spans="2:31" x14ac:dyDescent="0.25">
      <c r="B1931" s="55"/>
      <c r="C1931" s="55"/>
      <c r="D1931" s="54" t="s">
        <v>3026</v>
      </c>
      <c r="E1931" s="4" t="s">
        <v>3027</v>
      </c>
      <c r="F1931" s="4" t="s">
        <v>51</v>
      </c>
      <c r="G1931" s="4" t="s">
        <v>35</v>
      </c>
      <c r="H1931" s="54" t="s">
        <v>36</v>
      </c>
      <c r="I1931" s="52"/>
      <c r="J1931" s="57">
        <v>169.57</v>
      </c>
      <c r="K1931" s="52"/>
      <c r="L1931" s="6">
        <v>155.49569</v>
      </c>
      <c r="M1931" s="6">
        <v>0.91700000000000004</v>
      </c>
      <c r="N1931" s="6">
        <v>163.04</v>
      </c>
      <c r="O1931" s="57">
        <v>149.50767999999999</v>
      </c>
      <c r="P1931" s="52"/>
      <c r="Q1931" s="6">
        <v>0.91700000000000004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0</v>
      </c>
      <c r="AA1931" s="6">
        <v>6.53</v>
      </c>
      <c r="AB1931" s="6">
        <v>5.9880100000000001</v>
      </c>
      <c r="AC1931" s="6">
        <v>0.91699999999999993</v>
      </c>
      <c r="AD1931" s="6">
        <v>-6.5300000000000011</v>
      </c>
      <c r="AE1931" s="6">
        <v>6.5300000000000011</v>
      </c>
    </row>
    <row r="1932" spans="2:31" x14ac:dyDescent="0.25">
      <c r="B1932" s="55"/>
      <c r="C1932" s="55"/>
      <c r="D1932" s="55"/>
      <c r="E1932" s="4" t="s">
        <v>3028</v>
      </c>
      <c r="F1932" s="4" t="s">
        <v>51</v>
      </c>
      <c r="G1932" s="4" t="s">
        <v>35</v>
      </c>
      <c r="H1932" s="54" t="s">
        <v>36</v>
      </c>
      <c r="I1932" s="52"/>
      <c r="J1932" s="57">
        <v>13.56</v>
      </c>
      <c r="K1932" s="52"/>
      <c r="L1932" s="6">
        <v>12.434519999999999</v>
      </c>
      <c r="M1932" s="6">
        <v>0.91699999999999993</v>
      </c>
      <c r="N1932" s="6">
        <v>12.45</v>
      </c>
      <c r="O1932" s="57">
        <v>11.416650000000001</v>
      </c>
      <c r="P1932" s="52"/>
      <c r="Q1932" s="6">
        <v>0.91700000000000015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1.1100000000000001</v>
      </c>
      <c r="AB1932" s="6">
        <v>1.0178700000000001</v>
      </c>
      <c r="AC1932" s="6">
        <v>0.91699999999999993</v>
      </c>
      <c r="AD1932" s="6">
        <v>-1.1100000000000012</v>
      </c>
      <c r="AE1932" s="6">
        <v>1.1100000000000012</v>
      </c>
    </row>
    <row r="1933" spans="2:31" x14ac:dyDescent="0.25">
      <c r="B1933" s="55"/>
      <c r="C1933" s="55"/>
      <c r="D1933" s="56"/>
      <c r="E1933" s="4" t="s">
        <v>3029</v>
      </c>
      <c r="F1933" s="4" t="s">
        <v>51</v>
      </c>
      <c r="G1933" s="4" t="s">
        <v>35</v>
      </c>
      <c r="H1933" s="54" t="s">
        <v>36</v>
      </c>
      <c r="I1933" s="52"/>
      <c r="J1933" s="57">
        <v>1.75</v>
      </c>
      <c r="K1933" s="52"/>
      <c r="L1933" s="6">
        <v>1.6047499999999999</v>
      </c>
      <c r="M1933" s="6">
        <v>0.91699999999999993</v>
      </c>
      <c r="N1933" s="6">
        <v>1.55</v>
      </c>
      <c r="O1933" s="57">
        <v>1.4213499999999999</v>
      </c>
      <c r="P1933" s="52"/>
      <c r="Q1933" s="6">
        <v>0.91699999999999993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0.2</v>
      </c>
      <c r="AB1933" s="6">
        <v>0.18340000000000001</v>
      </c>
      <c r="AC1933" s="6">
        <v>0.91700000000000004</v>
      </c>
      <c r="AD1933" s="6">
        <v>-0.19999999999999996</v>
      </c>
      <c r="AE1933" s="6">
        <v>0.19999999999999996</v>
      </c>
    </row>
    <row r="1934" spans="2:31" x14ac:dyDescent="0.25">
      <c r="B1934" s="55"/>
      <c r="C1934" s="55"/>
      <c r="D1934" s="54" t="s">
        <v>3030</v>
      </c>
      <c r="E1934" s="4" t="s">
        <v>3031</v>
      </c>
      <c r="F1934" s="4" t="s">
        <v>51</v>
      </c>
      <c r="G1934" s="4" t="s">
        <v>35</v>
      </c>
      <c r="H1934" s="54" t="s">
        <v>36</v>
      </c>
      <c r="I1934" s="52"/>
      <c r="J1934" s="57">
        <v>24.33</v>
      </c>
      <c r="K1934" s="52"/>
      <c r="L1934" s="6">
        <v>22.31061</v>
      </c>
      <c r="M1934" s="6">
        <v>0.91700000000000004</v>
      </c>
      <c r="N1934" s="6">
        <v>21.34</v>
      </c>
      <c r="O1934" s="57">
        <v>19.56878</v>
      </c>
      <c r="P1934" s="52"/>
      <c r="Q1934" s="6">
        <v>0.91700000000000004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2.99</v>
      </c>
      <c r="AB1934" s="6">
        <v>2.7418300000000002</v>
      </c>
      <c r="AC1934" s="6">
        <v>0.91700000000000004</v>
      </c>
      <c r="AD1934" s="6">
        <v>-2.9899999999999984</v>
      </c>
      <c r="AE1934" s="6">
        <v>2.9899999999999984</v>
      </c>
    </row>
    <row r="1935" spans="2:31" x14ac:dyDescent="0.25">
      <c r="B1935" s="55"/>
      <c r="C1935" s="55"/>
      <c r="D1935" s="56"/>
      <c r="E1935" s="4" t="s">
        <v>3032</v>
      </c>
      <c r="F1935" s="4" t="s">
        <v>51</v>
      </c>
      <c r="G1935" s="4" t="s">
        <v>35</v>
      </c>
      <c r="H1935" s="54" t="s">
        <v>36</v>
      </c>
      <c r="I1935" s="52"/>
      <c r="J1935" s="57">
        <v>2.96</v>
      </c>
      <c r="K1935" s="52"/>
      <c r="L1935" s="6">
        <v>2.7143199999999998</v>
      </c>
      <c r="M1935" s="6">
        <v>0.91699999999999993</v>
      </c>
      <c r="N1935" s="6">
        <v>2.74</v>
      </c>
      <c r="O1935" s="57">
        <v>2.5125799999999998</v>
      </c>
      <c r="P1935" s="52"/>
      <c r="Q1935" s="6">
        <v>0.91699999999999982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0.22</v>
      </c>
      <c r="AB1935" s="6">
        <v>0.20174</v>
      </c>
      <c r="AC1935" s="6">
        <v>0.91700000000000004</v>
      </c>
      <c r="AD1935" s="6">
        <v>-0.21999999999999975</v>
      </c>
      <c r="AE1935" s="6">
        <v>0.21999999999999975</v>
      </c>
    </row>
    <row r="1936" spans="2:31" ht="20" x14ac:dyDescent="0.25">
      <c r="B1936" s="55"/>
      <c r="C1936" s="55"/>
      <c r="D1936" s="4" t="s">
        <v>3033</v>
      </c>
      <c r="E1936" s="4" t="s">
        <v>3011</v>
      </c>
      <c r="F1936" s="4" t="s">
        <v>51</v>
      </c>
      <c r="G1936" s="4" t="s">
        <v>35</v>
      </c>
      <c r="H1936" s="54" t="s">
        <v>48</v>
      </c>
      <c r="I1936" s="52"/>
      <c r="J1936" s="57">
        <v>105.71</v>
      </c>
      <c r="K1936" s="52"/>
      <c r="L1936" s="6">
        <v>79.282499999999999</v>
      </c>
      <c r="M1936" s="6">
        <v>0.75</v>
      </c>
      <c r="N1936" s="6">
        <v>105.71</v>
      </c>
      <c r="O1936" s="57">
        <v>79.282499999999999</v>
      </c>
      <c r="P1936" s="52"/>
      <c r="Q1936" s="6">
        <v>0.75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0</v>
      </c>
      <c r="AB1936" s="6">
        <v>0</v>
      </c>
      <c r="AC1936" s="6">
        <v>0</v>
      </c>
      <c r="AD1936" s="6">
        <v>0</v>
      </c>
      <c r="AE1936" s="6">
        <v>0</v>
      </c>
    </row>
    <row r="1937" spans="2:31" x14ac:dyDescent="0.25">
      <c r="B1937" s="55"/>
      <c r="C1937" s="55"/>
      <c r="D1937" s="54" t="s">
        <v>3034</v>
      </c>
      <c r="E1937" s="4" t="s">
        <v>3035</v>
      </c>
      <c r="F1937" s="4" t="s">
        <v>51</v>
      </c>
      <c r="G1937" s="4" t="s">
        <v>35</v>
      </c>
      <c r="H1937" s="54" t="s">
        <v>48</v>
      </c>
      <c r="I1937" s="52"/>
      <c r="J1937" s="57">
        <v>40.83</v>
      </c>
      <c r="K1937" s="52"/>
      <c r="L1937" s="6">
        <v>30.622499999999999</v>
      </c>
      <c r="M1937" s="6">
        <v>0.75</v>
      </c>
      <c r="N1937" s="6">
        <v>36.5</v>
      </c>
      <c r="O1937" s="57">
        <v>27.375</v>
      </c>
      <c r="P1937" s="52"/>
      <c r="Q1937" s="6">
        <v>0.75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0</v>
      </c>
      <c r="AA1937" s="6">
        <v>4.33</v>
      </c>
      <c r="AB1937" s="6">
        <v>3.2475000000000001</v>
      </c>
      <c r="AC1937" s="6">
        <v>0.75</v>
      </c>
      <c r="AD1937" s="6">
        <v>-4.3299999999999983</v>
      </c>
      <c r="AE1937" s="6">
        <v>4.3299999999999983</v>
      </c>
    </row>
    <row r="1938" spans="2:31" x14ac:dyDescent="0.25">
      <c r="B1938" s="55"/>
      <c r="C1938" s="55"/>
      <c r="D1938" s="55"/>
      <c r="E1938" s="4" t="s">
        <v>3036</v>
      </c>
      <c r="F1938" s="4" t="s">
        <v>51</v>
      </c>
      <c r="G1938" s="4" t="s">
        <v>35</v>
      </c>
      <c r="H1938" s="54" t="s">
        <v>36</v>
      </c>
      <c r="I1938" s="52"/>
      <c r="J1938" s="57">
        <v>110.32</v>
      </c>
      <c r="K1938" s="52"/>
      <c r="L1938" s="6">
        <v>101.16343999999999</v>
      </c>
      <c r="M1938" s="6">
        <v>0.91700000000000004</v>
      </c>
      <c r="N1938" s="6">
        <v>106.42</v>
      </c>
      <c r="O1938" s="57">
        <v>97.587140000000005</v>
      </c>
      <c r="P1938" s="52"/>
      <c r="Q1938" s="6">
        <v>0.91700000000000004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3.9</v>
      </c>
      <c r="AB1938" s="6">
        <v>3.5762999999999998</v>
      </c>
      <c r="AC1938" s="6">
        <v>0.91699999999999993</v>
      </c>
      <c r="AD1938" s="6">
        <v>-3.8999999999999915</v>
      </c>
      <c r="AE1938" s="6">
        <v>3.8999999999999915</v>
      </c>
    </row>
    <row r="1939" spans="2:31" x14ac:dyDescent="0.25">
      <c r="B1939" s="55"/>
      <c r="C1939" s="55"/>
      <c r="D1939" s="55"/>
      <c r="E1939" s="4" t="s">
        <v>3037</v>
      </c>
      <c r="F1939" s="4" t="s">
        <v>51</v>
      </c>
      <c r="G1939" s="4" t="s">
        <v>35</v>
      </c>
      <c r="H1939" s="54" t="s">
        <v>36</v>
      </c>
      <c r="I1939" s="52"/>
      <c r="J1939" s="57">
        <v>125.44</v>
      </c>
      <c r="K1939" s="52"/>
      <c r="L1939" s="6">
        <v>115.02848</v>
      </c>
      <c r="M1939" s="6">
        <v>0.91700000000000004</v>
      </c>
      <c r="N1939" s="6">
        <v>118.7</v>
      </c>
      <c r="O1939" s="57">
        <v>108.8479</v>
      </c>
      <c r="P1939" s="52"/>
      <c r="Q1939" s="6">
        <v>0.91699999999999993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6.74</v>
      </c>
      <c r="AB1939" s="6">
        <v>6.18058</v>
      </c>
      <c r="AC1939" s="6">
        <v>0.91699999999999993</v>
      </c>
      <c r="AD1939" s="6">
        <v>-6.7399999999999949</v>
      </c>
      <c r="AE1939" s="6">
        <v>6.7399999999999949</v>
      </c>
    </row>
    <row r="1940" spans="2:31" x14ac:dyDescent="0.25">
      <c r="B1940" s="55"/>
      <c r="C1940" s="55"/>
      <c r="D1940" s="55"/>
      <c r="E1940" s="4" t="s">
        <v>3007</v>
      </c>
      <c r="F1940" s="4" t="s">
        <v>51</v>
      </c>
      <c r="G1940" s="4" t="s">
        <v>35</v>
      </c>
      <c r="H1940" s="54" t="s">
        <v>36</v>
      </c>
      <c r="I1940" s="52"/>
      <c r="J1940" s="57">
        <v>16.440000000000001</v>
      </c>
      <c r="K1940" s="52"/>
      <c r="L1940" s="6">
        <v>15.075480000000001</v>
      </c>
      <c r="M1940" s="6">
        <v>0.91699999999999993</v>
      </c>
      <c r="N1940" s="6">
        <v>16.22</v>
      </c>
      <c r="O1940" s="57">
        <v>14.87374</v>
      </c>
      <c r="P1940" s="52"/>
      <c r="Q1940" s="6">
        <v>0.91700000000000004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  <c r="Z1940" s="6">
        <v>0</v>
      </c>
      <c r="AA1940" s="6">
        <v>0.22</v>
      </c>
      <c r="AB1940" s="6">
        <v>0.20174</v>
      </c>
      <c r="AC1940" s="6">
        <v>0.91700000000000004</v>
      </c>
      <c r="AD1940" s="6">
        <v>-0.22000000000000242</v>
      </c>
      <c r="AE1940" s="6">
        <v>0.22000000000000242</v>
      </c>
    </row>
    <row r="1941" spans="2:31" x14ac:dyDescent="0.25">
      <c r="B1941" s="55"/>
      <c r="C1941" s="55"/>
      <c r="D1941" s="56"/>
      <c r="E1941" s="4" t="s">
        <v>3038</v>
      </c>
      <c r="F1941" s="4" t="s">
        <v>51</v>
      </c>
      <c r="G1941" s="4" t="s">
        <v>35</v>
      </c>
      <c r="H1941" s="54" t="s">
        <v>36</v>
      </c>
      <c r="I1941" s="52"/>
      <c r="J1941" s="57">
        <v>23.98</v>
      </c>
      <c r="K1941" s="52"/>
      <c r="L1941" s="6">
        <v>21.989660000000001</v>
      </c>
      <c r="M1941" s="6">
        <v>0.91700000000000004</v>
      </c>
      <c r="N1941" s="6">
        <v>23.23</v>
      </c>
      <c r="O1941" s="57">
        <v>21.301909999999999</v>
      </c>
      <c r="P1941" s="52"/>
      <c r="Q1941" s="6">
        <v>0.91699999999999993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  <c r="Z1941" s="6">
        <v>0</v>
      </c>
      <c r="AA1941" s="6">
        <v>0.75</v>
      </c>
      <c r="AB1941" s="6">
        <v>0.68774999999999997</v>
      </c>
      <c r="AC1941" s="6">
        <v>0.91699999999999993</v>
      </c>
      <c r="AD1941" s="6">
        <v>-0.75</v>
      </c>
      <c r="AE1941" s="6">
        <v>0.75</v>
      </c>
    </row>
    <row r="1942" spans="2:31" ht="20" x14ac:dyDescent="0.25">
      <c r="B1942" s="55"/>
      <c r="C1942" s="55"/>
      <c r="D1942" s="4" t="s">
        <v>3039</v>
      </c>
      <c r="E1942" s="4" t="s">
        <v>2901</v>
      </c>
      <c r="F1942" s="4" t="s">
        <v>51</v>
      </c>
      <c r="G1942" s="4" t="s">
        <v>35</v>
      </c>
      <c r="H1942" s="54" t="s">
        <v>36</v>
      </c>
      <c r="I1942" s="52"/>
      <c r="J1942" s="57">
        <v>48.56</v>
      </c>
      <c r="K1942" s="52"/>
      <c r="L1942" s="6">
        <v>44.529519999999998</v>
      </c>
      <c r="M1942" s="6">
        <v>0.91699999999999993</v>
      </c>
      <c r="N1942" s="6">
        <v>46.59</v>
      </c>
      <c r="O1942" s="57">
        <v>42.723030000000001</v>
      </c>
      <c r="P1942" s="52"/>
      <c r="Q1942" s="6">
        <v>0.91699999999999993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1.97</v>
      </c>
      <c r="AB1942" s="6">
        <v>1.8064899999999999</v>
      </c>
      <c r="AC1942" s="6">
        <v>0.91699999999999993</v>
      </c>
      <c r="AD1942" s="6">
        <v>-1.9699999999999989</v>
      </c>
      <c r="AE1942" s="6">
        <v>1.9699999999999989</v>
      </c>
    </row>
    <row r="1943" spans="2:31" ht="20" x14ac:dyDescent="0.25">
      <c r="B1943" s="55"/>
      <c r="C1943" s="55"/>
      <c r="D1943" s="4" t="s">
        <v>3040</v>
      </c>
      <c r="E1943" s="4" t="s">
        <v>3041</v>
      </c>
      <c r="F1943" s="4" t="s">
        <v>51</v>
      </c>
      <c r="G1943" s="4" t="s">
        <v>35</v>
      </c>
      <c r="H1943" s="54" t="s">
        <v>41</v>
      </c>
      <c r="I1943" s="52"/>
      <c r="J1943" s="57">
        <v>91.66</v>
      </c>
      <c r="K1943" s="52"/>
      <c r="L1943" s="6">
        <v>68.745000000000005</v>
      </c>
      <c r="M1943" s="6">
        <v>0.75000000000000011</v>
      </c>
      <c r="N1943" s="6">
        <v>85.15</v>
      </c>
      <c r="O1943" s="57">
        <v>63.862499999999997</v>
      </c>
      <c r="P1943" s="52"/>
      <c r="Q1943" s="6">
        <v>0.74999999999999989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  <c r="Z1943" s="6">
        <v>0</v>
      </c>
      <c r="AA1943" s="6">
        <v>6.51</v>
      </c>
      <c r="AB1943" s="6">
        <v>4.8825000000000003</v>
      </c>
      <c r="AC1943" s="6">
        <v>0.75000000000000011</v>
      </c>
      <c r="AD1943" s="6">
        <v>-6.5099999999999909</v>
      </c>
      <c r="AE1943" s="6">
        <v>6.5099999999999909</v>
      </c>
    </row>
    <row r="1944" spans="2:31" ht="20" x14ac:dyDescent="0.25">
      <c r="B1944" s="55"/>
      <c r="C1944" s="55"/>
      <c r="D1944" s="4" t="s">
        <v>3042</v>
      </c>
      <c r="E1944" s="4" t="s">
        <v>3043</v>
      </c>
      <c r="F1944" s="4" t="s">
        <v>51</v>
      </c>
      <c r="G1944" s="4" t="s">
        <v>35</v>
      </c>
      <c r="H1944" s="54" t="s">
        <v>36</v>
      </c>
      <c r="I1944" s="52"/>
      <c r="J1944" s="57">
        <v>58.56</v>
      </c>
      <c r="K1944" s="52"/>
      <c r="L1944" s="6">
        <v>53.69952</v>
      </c>
      <c r="M1944" s="6">
        <v>0.91699999999999993</v>
      </c>
      <c r="N1944" s="6">
        <v>55.35</v>
      </c>
      <c r="O1944" s="57">
        <v>50.755949999999999</v>
      </c>
      <c r="P1944" s="52"/>
      <c r="Q1944" s="6">
        <v>0.91699999999999993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3.21</v>
      </c>
      <c r="AB1944" s="6">
        <v>2.9435699999999998</v>
      </c>
      <c r="AC1944" s="6">
        <v>0.91699999999999993</v>
      </c>
      <c r="AD1944" s="6">
        <v>-3.2100000000000009</v>
      </c>
      <c r="AE1944" s="6">
        <v>3.2100000000000009</v>
      </c>
    </row>
    <row r="1945" spans="2:31" ht="20" x14ac:dyDescent="0.25">
      <c r="B1945" s="55"/>
      <c r="C1945" s="55"/>
      <c r="D1945" s="4" t="s">
        <v>3044</v>
      </c>
      <c r="E1945" s="4" t="s">
        <v>3045</v>
      </c>
      <c r="F1945" s="4" t="s">
        <v>51</v>
      </c>
      <c r="G1945" s="4" t="s">
        <v>35</v>
      </c>
      <c r="H1945" s="54" t="s">
        <v>36</v>
      </c>
      <c r="I1945" s="52"/>
      <c r="J1945" s="57">
        <v>12.09</v>
      </c>
      <c r="K1945" s="52"/>
      <c r="L1945" s="6">
        <v>11.08653</v>
      </c>
      <c r="M1945" s="6">
        <v>0.91700000000000004</v>
      </c>
      <c r="N1945" s="6">
        <v>10.55</v>
      </c>
      <c r="O1945" s="57">
        <v>9.6743500000000004</v>
      </c>
      <c r="P1945" s="52"/>
      <c r="Q1945" s="6">
        <v>0.91699999999999993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1.54</v>
      </c>
      <c r="AB1945" s="6">
        <v>1.41218</v>
      </c>
      <c r="AC1945" s="6">
        <v>0.91699999999999993</v>
      </c>
      <c r="AD1945" s="6">
        <v>-1.5399999999999991</v>
      </c>
      <c r="AE1945" s="6">
        <v>1.5399999999999991</v>
      </c>
    </row>
    <row r="1946" spans="2:31" x14ac:dyDescent="0.25">
      <c r="B1946" s="55"/>
      <c r="C1946" s="55"/>
      <c r="D1946" s="54" t="s">
        <v>3046</v>
      </c>
      <c r="E1946" s="54" t="s">
        <v>3047</v>
      </c>
      <c r="F1946" s="54" t="s">
        <v>51</v>
      </c>
      <c r="G1946" s="54" t="s">
        <v>35</v>
      </c>
      <c r="H1946" s="54" t="s">
        <v>48</v>
      </c>
      <c r="I1946" s="52"/>
      <c r="J1946" s="57">
        <v>4.915</v>
      </c>
      <c r="K1946" s="52"/>
      <c r="L1946" s="6">
        <v>3.6862499999999998</v>
      </c>
      <c r="M1946" s="6">
        <v>0.75</v>
      </c>
      <c r="N1946" s="6">
        <v>4.915</v>
      </c>
      <c r="O1946" s="57">
        <v>3.6862499999999998</v>
      </c>
      <c r="P1946" s="52"/>
      <c r="Q1946" s="6">
        <v>0.75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0</v>
      </c>
      <c r="AE1946" s="6">
        <v>0</v>
      </c>
    </row>
    <row r="1947" spans="2:31" x14ac:dyDescent="0.25">
      <c r="B1947" s="55"/>
      <c r="C1947" s="55"/>
      <c r="D1947" s="56"/>
      <c r="E1947" s="56"/>
      <c r="F1947" s="56"/>
      <c r="G1947" s="56"/>
      <c r="H1947" s="54" t="s">
        <v>481</v>
      </c>
      <c r="I1947" s="52"/>
      <c r="J1947" s="57">
        <v>0.55000000000000004</v>
      </c>
      <c r="K1947" s="52"/>
      <c r="L1947" s="6">
        <v>0.41249999999999998</v>
      </c>
      <c r="M1947" s="6">
        <v>0.74999999999999989</v>
      </c>
      <c r="N1947" s="6">
        <v>0.55000000000000004</v>
      </c>
      <c r="O1947" s="57">
        <v>0.41249999999999998</v>
      </c>
      <c r="P1947" s="52"/>
      <c r="Q1947" s="6">
        <v>0.74999999999999989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0</v>
      </c>
      <c r="AE1947" s="6">
        <v>0</v>
      </c>
    </row>
    <row r="1948" spans="2:31" ht="20" x14ac:dyDescent="0.25">
      <c r="B1948" s="55"/>
      <c r="C1948" s="55"/>
      <c r="D1948" s="4" t="s">
        <v>3048</v>
      </c>
      <c r="E1948" s="4" t="s">
        <v>3049</v>
      </c>
      <c r="F1948" s="4" t="s">
        <v>51</v>
      </c>
      <c r="G1948" s="4" t="s">
        <v>35</v>
      </c>
      <c r="H1948" s="54" t="s">
        <v>36</v>
      </c>
      <c r="I1948" s="52"/>
      <c r="J1948" s="57">
        <v>9.61</v>
      </c>
      <c r="K1948" s="52"/>
      <c r="L1948" s="6">
        <v>8.8123699999999996</v>
      </c>
      <c r="M1948" s="6">
        <v>0.91700000000000004</v>
      </c>
      <c r="N1948" s="6">
        <v>9.15</v>
      </c>
      <c r="O1948" s="57">
        <v>8.3905499999999993</v>
      </c>
      <c r="P1948" s="52"/>
      <c r="Q1948" s="6">
        <v>0.91699999999999993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0.46</v>
      </c>
      <c r="AB1948" s="6">
        <v>0.42181999999999997</v>
      </c>
      <c r="AC1948" s="6">
        <v>0.91699999999999993</v>
      </c>
      <c r="AD1948" s="6">
        <v>-0.45999999999999908</v>
      </c>
      <c r="AE1948" s="6">
        <v>0.45999999999999908</v>
      </c>
    </row>
    <row r="1949" spans="2:31" ht="20" x14ac:dyDescent="0.25">
      <c r="B1949" s="55"/>
      <c r="C1949" s="55"/>
      <c r="D1949" s="4" t="s">
        <v>3050</v>
      </c>
      <c r="E1949" s="4" t="s">
        <v>3051</v>
      </c>
      <c r="F1949" s="4" t="s">
        <v>51</v>
      </c>
      <c r="G1949" s="4" t="s">
        <v>35</v>
      </c>
      <c r="H1949" s="54" t="s">
        <v>36</v>
      </c>
      <c r="I1949" s="52"/>
      <c r="J1949" s="57">
        <v>11.85</v>
      </c>
      <c r="K1949" s="52"/>
      <c r="L1949" s="6">
        <v>10.86645</v>
      </c>
      <c r="M1949" s="6">
        <v>0.91700000000000004</v>
      </c>
      <c r="N1949" s="6">
        <v>11.28</v>
      </c>
      <c r="O1949" s="57">
        <v>10.34376</v>
      </c>
      <c r="P1949" s="52"/>
      <c r="Q1949" s="6">
        <v>0.91700000000000004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0.56999999999999995</v>
      </c>
      <c r="AB1949" s="6">
        <v>0.52268999999999999</v>
      </c>
      <c r="AC1949" s="6">
        <v>0.91700000000000004</v>
      </c>
      <c r="AD1949" s="6">
        <v>-0.57000000000000028</v>
      </c>
      <c r="AE1949" s="6">
        <v>0.57000000000000028</v>
      </c>
    </row>
    <row r="1950" spans="2:31" x14ac:dyDescent="0.25">
      <c r="B1950" s="55"/>
      <c r="C1950" s="55"/>
      <c r="D1950" s="54" t="s">
        <v>3052</v>
      </c>
      <c r="E1950" s="4" t="s">
        <v>3053</v>
      </c>
      <c r="F1950" s="4" t="s">
        <v>51</v>
      </c>
      <c r="G1950" s="4" t="s">
        <v>35</v>
      </c>
      <c r="H1950" s="54" t="s">
        <v>36</v>
      </c>
      <c r="I1950" s="52"/>
      <c r="J1950" s="57">
        <v>8.11</v>
      </c>
      <c r="K1950" s="52"/>
      <c r="L1950" s="6">
        <v>7.4368699999999999</v>
      </c>
      <c r="M1950" s="6">
        <v>0.91700000000000004</v>
      </c>
      <c r="N1950" s="6">
        <v>7.81</v>
      </c>
      <c r="O1950" s="57">
        <v>7.1617699999999997</v>
      </c>
      <c r="P1950" s="52"/>
      <c r="Q1950" s="6">
        <v>0.91700000000000004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0.3</v>
      </c>
      <c r="AB1950" s="6">
        <v>0.27510000000000001</v>
      </c>
      <c r="AC1950" s="6">
        <v>0.91700000000000004</v>
      </c>
      <c r="AD1950" s="6">
        <v>-0.29999999999999982</v>
      </c>
      <c r="AE1950" s="6">
        <v>0.29999999999999982</v>
      </c>
    </row>
    <row r="1951" spans="2:31" x14ac:dyDescent="0.25">
      <c r="B1951" s="55"/>
      <c r="C1951" s="55"/>
      <c r="D1951" s="55"/>
      <c r="E1951" s="4" t="s">
        <v>3054</v>
      </c>
      <c r="F1951" s="4" t="s">
        <v>51</v>
      </c>
      <c r="G1951" s="4" t="s">
        <v>35</v>
      </c>
      <c r="H1951" s="54" t="s">
        <v>36</v>
      </c>
      <c r="I1951" s="52"/>
      <c r="J1951" s="57">
        <v>10.88</v>
      </c>
      <c r="K1951" s="52"/>
      <c r="L1951" s="6">
        <v>9.9769600000000001</v>
      </c>
      <c r="M1951" s="6">
        <v>0.91699999999999993</v>
      </c>
      <c r="N1951" s="6">
        <v>10.18</v>
      </c>
      <c r="O1951" s="57">
        <v>9.3350600000000004</v>
      </c>
      <c r="P1951" s="52"/>
      <c r="Q1951" s="6">
        <v>0.91700000000000004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0.7</v>
      </c>
      <c r="AB1951" s="6">
        <v>0.64190000000000003</v>
      </c>
      <c r="AC1951" s="6">
        <v>0.91700000000000015</v>
      </c>
      <c r="AD1951" s="6">
        <v>-0.70000000000000107</v>
      </c>
      <c r="AE1951" s="6">
        <v>0.70000000000000107</v>
      </c>
    </row>
    <row r="1952" spans="2:31" x14ac:dyDescent="0.25">
      <c r="B1952" s="55"/>
      <c r="C1952" s="55"/>
      <c r="D1952" s="55"/>
      <c r="E1952" s="4" t="s">
        <v>3055</v>
      </c>
      <c r="F1952" s="4" t="s">
        <v>51</v>
      </c>
      <c r="G1952" s="4" t="s">
        <v>35</v>
      </c>
      <c r="H1952" s="54" t="s">
        <v>36</v>
      </c>
      <c r="I1952" s="52"/>
      <c r="J1952" s="57">
        <v>93.09</v>
      </c>
      <c r="K1952" s="52"/>
      <c r="L1952" s="6">
        <v>85.363529999999997</v>
      </c>
      <c r="M1952" s="6">
        <v>0.91699999999999993</v>
      </c>
      <c r="N1952" s="6">
        <v>89.67</v>
      </c>
      <c r="O1952" s="57">
        <v>82.22739</v>
      </c>
      <c r="P1952" s="52"/>
      <c r="Q1952" s="6">
        <v>0.91699999999999993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3.42</v>
      </c>
      <c r="AB1952" s="6">
        <v>3.1361400000000001</v>
      </c>
      <c r="AC1952" s="6">
        <v>0.91700000000000004</v>
      </c>
      <c r="AD1952" s="6">
        <v>-3.4200000000000017</v>
      </c>
      <c r="AE1952" s="6">
        <v>3.4200000000000017</v>
      </c>
    </row>
    <row r="1953" spans="2:31" x14ac:dyDescent="0.25">
      <c r="B1953" s="55"/>
      <c r="C1953" s="55"/>
      <c r="D1953" s="55"/>
      <c r="E1953" s="4" t="s">
        <v>3056</v>
      </c>
      <c r="F1953" s="4" t="s">
        <v>51</v>
      </c>
      <c r="G1953" s="4" t="s">
        <v>35</v>
      </c>
      <c r="H1953" s="54" t="s">
        <v>36</v>
      </c>
      <c r="I1953" s="52"/>
      <c r="J1953" s="57">
        <v>22.68</v>
      </c>
      <c r="K1953" s="52"/>
      <c r="L1953" s="6">
        <v>20.797560000000001</v>
      </c>
      <c r="M1953" s="6">
        <v>0.91700000000000004</v>
      </c>
      <c r="N1953" s="6">
        <v>21.64</v>
      </c>
      <c r="O1953" s="57">
        <v>19.843879999999999</v>
      </c>
      <c r="P1953" s="52"/>
      <c r="Q1953" s="6">
        <v>0.91699999999999993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1.04</v>
      </c>
      <c r="AB1953" s="6">
        <v>0.95367999999999997</v>
      </c>
      <c r="AC1953" s="6">
        <v>0.91699999999999993</v>
      </c>
      <c r="AD1953" s="6">
        <v>-1.0399999999999991</v>
      </c>
      <c r="AE1953" s="6">
        <v>1.0399999999999991</v>
      </c>
    </row>
    <row r="1954" spans="2:31" x14ac:dyDescent="0.25">
      <c r="B1954" s="55"/>
      <c r="C1954" s="55"/>
      <c r="D1954" s="55"/>
      <c r="E1954" s="4" t="s">
        <v>3057</v>
      </c>
      <c r="F1954" s="4" t="s">
        <v>51</v>
      </c>
      <c r="G1954" s="4" t="s">
        <v>35</v>
      </c>
      <c r="H1954" s="54" t="s">
        <v>36</v>
      </c>
      <c r="I1954" s="52"/>
      <c r="J1954" s="57">
        <v>24.06</v>
      </c>
      <c r="K1954" s="52"/>
      <c r="L1954" s="6">
        <v>22.063020000000002</v>
      </c>
      <c r="M1954" s="6">
        <v>0.91700000000000015</v>
      </c>
      <c r="N1954" s="6">
        <v>22.64</v>
      </c>
      <c r="O1954" s="57">
        <v>20.76088</v>
      </c>
      <c r="P1954" s="52"/>
      <c r="Q1954" s="6">
        <v>0.91700000000000004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1.42</v>
      </c>
      <c r="AB1954" s="6">
        <v>1.3021400000000001</v>
      </c>
      <c r="AC1954" s="6">
        <v>0.91700000000000015</v>
      </c>
      <c r="AD1954" s="6">
        <v>-1.4199999999999982</v>
      </c>
      <c r="AE1954" s="6">
        <v>1.4199999999999982</v>
      </c>
    </row>
    <row r="1955" spans="2:31" x14ac:dyDescent="0.25">
      <c r="B1955" s="55"/>
      <c r="C1955" s="55"/>
      <c r="D1955" s="55"/>
      <c r="E1955" s="4" t="s">
        <v>3058</v>
      </c>
      <c r="F1955" s="4" t="s">
        <v>51</v>
      </c>
      <c r="G1955" s="4" t="s">
        <v>35</v>
      </c>
      <c r="H1955" s="54" t="s">
        <v>36</v>
      </c>
      <c r="I1955" s="52"/>
      <c r="J1955" s="57">
        <v>22.23</v>
      </c>
      <c r="K1955" s="52"/>
      <c r="L1955" s="6">
        <v>20.384910000000001</v>
      </c>
      <c r="M1955" s="6">
        <v>0.91700000000000004</v>
      </c>
      <c r="N1955" s="6">
        <v>21.08</v>
      </c>
      <c r="O1955" s="57">
        <v>19.330359999999999</v>
      </c>
      <c r="P1955" s="52"/>
      <c r="Q1955" s="6">
        <v>0.91700000000000004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1.1499999999999999</v>
      </c>
      <c r="AB1955" s="6">
        <v>1.0545500000000001</v>
      </c>
      <c r="AC1955" s="6">
        <v>0.91700000000000015</v>
      </c>
      <c r="AD1955" s="6">
        <v>-1.1500000000000021</v>
      </c>
      <c r="AE1955" s="6">
        <v>1.1500000000000021</v>
      </c>
    </row>
    <row r="1956" spans="2:31" x14ac:dyDescent="0.25">
      <c r="B1956" s="55"/>
      <c r="C1956" s="55"/>
      <c r="D1956" s="56"/>
      <c r="E1956" s="4" t="s">
        <v>3059</v>
      </c>
      <c r="F1956" s="4" t="s">
        <v>51</v>
      </c>
      <c r="G1956" s="4" t="s">
        <v>35</v>
      </c>
      <c r="H1956" s="54" t="s">
        <v>36</v>
      </c>
      <c r="I1956" s="52"/>
      <c r="J1956" s="57">
        <v>25.33</v>
      </c>
      <c r="K1956" s="52"/>
      <c r="L1956" s="6">
        <v>23.227609999999999</v>
      </c>
      <c r="M1956" s="6">
        <v>0.91700000000000004</v>
      </c>
      <c r="N1956" s="6">
        <v>24.17</v>
      </c>
      <c r="O1956" s="57">
        <v>22.163889999999999</v>
      </c>
      <c r="P1956" s="52"/>
      <c r="Q1956" s="6">
        <v>0.91699999999999993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1.1599999999999999</v>
      </c>
      <c r="AB1956" s="6">
        <v>1.06372</v>
      </c>
      <c r="AC1956" s="6">
        <v>0.91700000000000004</v>
      </c>
      <c r="AD1956" s="6">
        <v>-1.1599999999999966</v>
      </c>
      <c r="AE1956" s="6">
        <v>1.1599999999999966</v>
      </c>
    </row>
    <row r="1957" spans="2:31" ht="20" x14ac:dyDescent="0.25">
      <c r="B1957" s="55"/>
      <c r="C1957" s="55"/>
      <c r="D1957" s="4" t="s">
        <v>3060</v>
      </c>
      <c r="E1957" s="4" t="s">
        <v>3061</v>
      </c>
      <c r="F1957" s="4" t="s">
        <v>51</v>
      </c>
      <c r="G1957" s="4" t="s">
        <v>35</v>
      </c>
      <c r="H1957" s="54" t="s">
        <v>36</v>
      </c>
      <c r="I1957" s="52"/>
      <c r="J1957" s="57">
        <v>9</v>
      </c>
      <c r="K1957" s="52"/>
      <c r="L1957" s="6">
        <v>8.2530000000000001</v>
      </c>
      <c r="M1957" s="6">
        <v>0.91700000000000004</v>
      </c>
      <c r="N1957" s="6">
        <v>8.51</v>
      </c>
      <c r="O1957" s="57">
        <v>7.8036700000000003</v>
      </c>
      <c r="P1957" s="52"/>
      <c r="Q1957" s="6">
        <v>0.91700000000000004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0.49</v>
      </c>
      <c r="AB1957" s="6">
        <v>0.44933000000000001</v>
      </c>
      <c r="AC1957" s="6">
        <v>0.91700000000000004</v>
      </c>
      <c r="AD1957" s="6">
        <v>-0.49000000000000021</v>
      </c>
      <c r="AE1957" s="6">
        <v>0.49000000000000021</v>
      </c>
    </row>
    <row r="1958" spans="2:31" ht="20" x14ac:dyDescent="0.25">
      <c r="B1958" s="55"/>
      <c r="C1958" s="55"/>
      <c r="D1958" s="4" t="s">
        <v>3062</v>
      </c>
      <c r="E1958" s="4" t="s">
        <v>3063</v>
      </c>
      <c r="F1958" s="4" t="s">
        <v>51</v>
      </c>
      <c r="G1958" s="4" t="s">
        <v>35</v>
      </c>
      <c r="H1958" s="54" t="s">
        <v>36</v>
      </c>
      <c r="I1958" s="52"/>
      <c r="J1958" s="57">
        <v>65.069999999999993</v>
      </c>
      <c r="K1958" s="52"/>
      <c r="L1958" s="6">
        <v>59.66919</v>
      </c>
      <c r="M1958" s="6">
        <v>0.91700000000000015</v>
      </c>
      <c r="N1958" s="6">
        <v>60.14</v>
      </c>
      <c r="O1958" s="57">
        <v>55.148380000000003</v>
      </c>
      <c r="P1958" s="52"/>
      <c r="Q1958" s="6">
        <v>0.91700000000000004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4.93</v>
      </c>
      <c r="AB1958" s="6">
        <v>4.52081</v>
      </c>
      <c r="AC1958" s="6">
        <v>0.91700000000000004</v>
      </c>
      <c r="AD1958" s="6">
        <v>-4.9299999999999926</v>
      </c>
      <c r="AE1958" s="6">
        <v>4.9299999999999926</v>
      </c>
    </row>
    <row r="1959" spans="2:31" x14ac:dyDescent="0.25">
      <c r="B1959" s="55"/>
      <c r="C1959" s="55"/>
      <c r="D1959" s="54" t="s">
        <v>3064</v>
      </c>
      <c r="E1959" s="4" t="s">
        <v>3065</v>
      </c>
      <c r="F1959" s="4" t="s">
        <v>51</v>
      </c>
      <c r="G1959" s="4" t="s">
        <v>35</v>
      </c>
      <c r="H1959" s="54" t="s">
        <v>36</v>
      </c>
      <c r="I1959" s="52"/>
      <c r="J1959" s="57">
        <v>106.08</v>
      </c>
      <c r="K1959" s="52"/>
      <c r="L1959" s="6">
        <v>97.275360000000006</v>
      </c>
      <c r="M1959" s="6">
        <v>0.91700000000000004</v>
      </c>
      <c r="N1959" s="6">
        <v>100.72</v>
      </c>
      <c r="O1959" s="57">
        <v>92.360240000000005</v>
      </c>
      <c r="P1959" s="52"/>
      <c r="Q1959" s="6">
        <v>0.91700000000000004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5.36</v>
      </c>
      <c r="AB1959" s="6">
        <v>4.9151199999999999</v>
      </c>
      <c r="AC1959" s="6">
        <v>0.91699999999999993</v>
      </c>
      <c r="AD1959" s="6">
        <v>-5.36</v>
      </c>
      <c r="AE1959" s="6">
        <v>5.36</v>
      </c>
    </row>
    <row r="1960" spans="2:31" x14ac:dyDescent="0.25">
      <c r="B1960" s="55"/>
      <c r="C1960" s="55"/>
      <c r="D1960" s="56"/>
      <c r="E1960" s="4" t="s">
        <v>3066</v>
      </c>
      <c r="F1960" s="4" t="s">
        <v>51</v>
      </c>
      <c r="G1960" s="4" t="s">
        <v>35</v>
      </c>
      <c r="H1960" s="54" t="s">
        <v>36</v>
      </c>
      <c r="I1960" s="52"/>
      <c r="J1960" s="57">
        <v>10.35</v>
      </c>
      <c r="K1960" s="52"/>
      <c r="L1960" s="6">
        <v>9.4909499999999998</v>
      </c>
      <c r="M1960" s="6">
        <v>0.91700000000000004</v>
      </c>
      <c r="N1960" s="6">
        <v>9.3800000000000008</v>
      </c>
      <c r="O1960" s="57">
        <v>8.6014599999999994</v>
      </c>
      <c r="P1960" s="52"/>
      <c r="Q1960" s="6">
        <v>0.91699999999999982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0.97</v>
      </c>
      <c r="AB1960" s="6">
        <v>0.88949</v>
      </c>
      <c r="AC1960" s="6">
        <v>0.91700000000000004</v>
      </c>
      <c r="AD1960" s="6">
        <v>-0.96999999999999886</v>
      </c>
      <c r="AE1960" s="6">
        <v>0.96999999999999886</v>
      </c>
    </row>
    <row r="1961" spans="2:31" ht="20" x14ac:dyDescent="0.25">
      <c r="B1961" s="55"/>
      <c r="C1961" s="55"/>
      <c r="D1961" s="4" t="s">
        <v>3067</v>
      </c>
      <c r="E1961" s="4" t="s">
        <v>3068</v>
      </c>
      <c r="F1961" s="4" t="s">
        <v>51</v>
      </c>
      <c r="G1961" s="4" t="s">
        <v>35</v>
      </c>
      <c r="H1961" s="54" t="s">
        <v>36</v>
      </c>
      <c r="I1961" s="52"/>
      <c r="J1961" s="57">
        <v>67.040000000000006</v>
      </c>
      <c r="K1961" s="52"/>
      <c r="L1961" s="6">
        <v>61.475679999999997</v>
      </c>
      <c r="M1961" s="6">
        <v>0.91699999999999982</v>
      </c>
      <c r="N1961" s="6">
        <v>63.6</v>
      </c>
      <c r="O1961" s="57">
        <v>58.321199999999997</v>
      </c>
      <c r="P1961" s="52"/>
      <c r="Q1961" s="6">
        <v>0.91699999999999993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3.44</v>
      </c>
      <c r="AB1961" s="6">
        <v>3.15448</v>
      </c>
      <c r="AC1961" s="6">
        <v>0.91700000000000004</v>
      </c>
      <c r="AD1961" s="6">
        <v>-3.4400000000000048</v>
      </c>
      <c r="AE1961" s="6">
        <v>3.4400000000000048</v>
      </c>
    </row>
    <row r="1962" spans="2:31" ht="20" x14ac:dyDescent="0.25">
      <c r="B1962" s="55"/>
      <c r="C1962" s="55"/>
      <c r="D1962" s="4" t="s">
        <v>3069</v>
      </c>
      <c r="E1962" s="4" t="s">
        <v>3070</v>
      </c>
      <c r="F1962" s="4" t="s">
        <v>51</v>
      </c>
      <c r="G1962" s="4" t="s">
        <v>35</v>
      </c>
      <c r="H1962" s="54" t="s">
        <v>36</v>
      </c>
      <c r="I1962" s="52"/>
      <c r="J1962" s="57">
        <v>25.07</v>
      </c>
      <c r="K1962" s="52"/>
      <c r="L1962" s="6">
        <v>22.989190000000001</v>
      </c>
      <c r="M1962" s="6">
        <v>0.91700000000000004</v>
      </c>
      <c r="N1962" s="6">
        <v>24.25</v>
      </c>
      <c r="O1962" s="57">
        <v>22.23725</v>
      </c>
      <c r="P1962" s="52"/>
      <c r="Q1962" s="6">
        <v>0.91699999999999993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0.82</v>
      </c>
      <c r="AB1962" s="6">
        <v>0.75194000000000005</v>
      </c>
      <c r="AC1962" s="6">
        <v>0.91700000000000015</v>
      </c>
      <c r="AD1962" s="6">
        <v>-0.82000000000000028</v>
      </c>
      <c r="AE1962" s="6">
        <v>0.82000000000000028</v>
      </c>
    </row>
    <row r="1963" spans="2:31" ht="20" x14ac:dyDescent="0.25">
      <c r="B1963" s="55"/>
      <c r="C1963" s="55"/>
      <c r="D1963" s="4" t="s">
        <v>3071</v>
      </c>
      <c r="E1963" s="4" t="s">
        <v>3072</v>
      </c>
      <c r="F1963" s="4" t="s">
        <v>51</v>
      </c>
      <c r="G1963" s="4" t="s">
        <v>35</v>
      </c>
      <c r="H1963" s="54" t="s">
        <v>36</v>
      </c>
      <c r="I1963" s="52"/>
      <c r="J1963" s="57">
        <v>15.03</v>
      </c>
      <c r="K1963" s="52"/>
      <c r="L1963" s="6">
        <v>13.78251</v>
      </c>
      <c r="M1963" s="6">
        <v>0.91700000000000004</v>
      </c>
      <c r="N1963" s="6">
        <v>14.21</v>
      </c>
      <c r="O1963" s="57">
        <v>13.030570000000001</v>
      </c>
      <c r="P1963" s="52"/>
      <c r="Q1963" s="6">
        <v>0.91700000000000004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0.82</v>
      </c>
      <c r="AB1963" s="6">
        <v>0.75194000000000005</v>
      </c>
      <c r="AC1963" s="6">
        <v>0.91700000000000015</v>
      </c>
      <c r="AD1963" s="6">
        <v>-0.81999999999999851</v>
      </c>
      <c r="AE1963" s="6">
        <v>0.81999999999999851</v>
      </c>
    </row>
    <row r="1964" spans="2:31" ht="20" x14ac:dyDescent="0.25">
      <c r="B1964" s="55"/>
      <c r="C1964" s="56"/>
      <c r="D1964" s="4" t="s">
        <v>3073</v>
      </c>
      <c r="E1964" s="4" t="s">
        <v>3019</v>
      </c>
      <c r="F1964" s="4" t="s">
        <v>51</v>
      </c>
      <c r="G1964" s="4" t="s">
        <v>35</v>
      </c>
      <c r="H1964" s="54" t="s">
        <v>36</v>
      </c>
      <c r="I1964" s="52"/>
      <c r="J1964" s="57">
        <v>32.92</v>
      </c>
      <c r="K1964" s="52"/>
      <c r="L1964" s="6">
        <v>30.187639999999998</v>
      </c>
      <c r="M1964" s="6">
        <v>0.91699999999999993</v>
      </c>
      <c r="N1964" s="6">
        <v>31.35</v>
      </c>
      <c r="O1964" s="57">
        <v>28.747949999999999</v>
      </c>
      <c r="P1964" s="52"/>
      <c r="Q1964" s="6">
        <v>0.91699999999999993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1.57</v>
      </c>
      <c r="AB1964" s="6">
        <v>1.4396899999999999</v>
      </c>
      <c r="AC1964" s="6">
        <v>0.91699999999999993</v>
      </c>
      <c r="AD1964" s="6">
        <v>-1.5700000000000003</v>
      </c>
      <c r="AE1964" s="6">
        <v>1.5700000000000003</v>
      </c>
    </row>
    <row r="1965" spans="2:31" x14ac:dyDescent="0.25">
      <c r="B1965" s="55"/>
      <c r="C1965" s="58">
        <v>46203</v>
      </c>
      <c r="D1965" s="4" t="s">
        <v>3074</v>
      </c>
      <c r="E1965" s="4" t="s">
        <v>3075</v>
      </c>
      <c r="F1965" s="4" t="s">
        <v>34</v>
      </c>
      <c r="G1965" s="4" t="s">
        <v>35</v>
      </c>
      <c r="H1965" s="54" t="s">
        <v>36</v>
      </c>
      <c r="I1965" s="52"/>
      <c r="J1965" s="57">
        <v>173.04</v>
      </c>
      <c r="K1965" s="52"/>
      <c r="L1965" s="6">
        <v>158.67768000000001</v>
      </c>
      <c r="M1965" s="6">
        <v>0.91700000000000015</v>
      </c>
      <c r="N1965" s="6">
        <v>157.69</v>
      </c>
      <c r="O1965" s="57">
        <v>144.60173</v>
      </c>
      <c r="P1965" s="52"/>
      <c r="Q1965" s="6">
        <v>0.91700000000000004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15.35</v>
      </c>
      <c r="AB1965" s="6">
        <v>14.075950000000001</v>
      </c>
      <c r="AC1965" s="6">
        <v>0.91700000000000004</v>
      </c>
      <c r="AD1965" s="6">
        <v>-15.349999999999994</v>
      </c>
      <c r="AE1965" s="6">
        <v>15.349999999999994</v>
      </c>
    </row>
    <row r="1966" spans="2:31" x14ac:dyDescent="0.25">
      <c r="B1966" s="55"/>
      <c r="C1966" s="55"/>
      <c r="D1966" s="4" t="s">
        <v>3076</v>
      </c>
      <c r="E1966" s="4" t="s">
        <v>3077</v>
      </c>
      <c r="F1966" s="4" t="s">
        <v>34</v>
      </c>
      <c r="G1966" s="4" t="s">
        <v>35</v>
      </c>
      <c r="H1966" s="54" t="s">
        <v>36</v>
      </c>
      <c r="I1966" s="52"/>
      <c r="J1966" s="57">
        <v>108.55</v>
      </c>
      <c r="K1966" s="52"/>
      <c r="L1966" s="6">
        <v>99.540350000000004</v>
      </c>
      <c r="M1966" s="6">
        <v>0.91700000000000004</v>
      </c>
      <c r="N1966" s="6">
        <v>108.55</v>
      </c>
      <c r="O1966" s="57">
        <v>99.540350000000004</v>
      </c>
      <c r="P1966" s="52"/>
      <c r="Q1966" s="6">
        <v>0.91700000000000004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  <c r="AC1966" s="6">
        <v>0</v>
      </c>
      <c r="AD1966" s="6">
        <v>0</v>
      </c>
      <c r="AE1966" s="6">
        <v>0</v>
      </c>
    </row>
    <row r="1967" spans="2:31" x14ac:dyDescent="0.25">
      <c r="B1967" s="55"/>
      <c r="C1967" s="55"/>
      <c r="D1967" s="4" t="s">
        <v>3078</v>
      </c>
      <c r="E1967" s="4" t="s">
        <v>2963</v>
      </c>
      <c r="F1967" s="4" t="s">
        <v>34</v>
      </c>
      <c r="G1967" s="4" t="s">
        <v>35</v>
      </c>
      <c r="H1967" s="54" t="s">
        <v>36</v>
      </c>
      <c r="I1967" s="52"/>
      <c r="J1967" s="57">
        <v>69.67</v>
      </c>
      <c r="K1967" s="52"/>
      <c r="L1967" s="6">
        <v>63.887390000000003</v>
      </c>
      <c r="M1967" s="6">
        <v>0.91700000000000004</v>
      </c>
      <c r="N1967" s="6">
        <v>67.010000000000005</v>
      </c>
      <c r="O1967" s="57">
        <v>61.448169999999998</v>
      </c>
      <c r="P1967" s="52"/>
      <c r="Q1967" s="6">
        <v>0.91699999999999993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2.66</v>
      </c>
      <c r="AB1967" s="6">
        <v>2.4392200000000002</v>
      </c>
      <c r="AC1967" s="6">
        <v>0.91700000000000004</v>
      </c>
      <c r="AD1967" s="6">
        <v>-2.6599999999999966</v>
      </c>
      <c r="AE1967" s="6">
        <v>2.6599999999999966</v>
      </c>
    </row>
    <row r="1968" spans="2:31" x14ac:dyDescent="0.25">
      <c r="B1968" s="55"/>
      <c r="C1968" s="55"/>
      <c r="D1968" s="4" t="s">
        <v>3079</v>
      </c>
      <c r="E1968" s="4" t="s">
        <v>3080</v>
      </c>
      <c r="F1968" s="4" t="s">
        <v>34</v>
      </c>
      <c r="G1968" s="4" t="s">
        <v>35</v>
      </c>
      <c r="H1968" s="54" t="s">
        <v>36</v>
      </c>
      <c r="I1968" s="52"/>
      <c r="J1968" s="57">
        <v>63.26</v>
      </c>
      <c r="K1968" s="52"/>
      <c r="L1968" s="6">
        <v>58.009419999999999</v>
      </c>
      <c r="M1968" s="6">
        <v>0.91700000000000004</v>
      </c>
      <c r="N1968" s="6">
        <v>59.82</v>
      </c>
      <c r="O1968" s="57">
        <v>54.854939999999999</v>
      </c>
      <c r="P1968" s="52"/>
      <c r="Q1968" s="6">
        <v>0.91699999999999993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3.44</v>
      </c>
      <c r="AB1968" s="6">
        <v>3.15448</v>
      </c>
      <c r="AC1968" s="6">
        <v>0.91700000000000004</v>
      </c>
      <c r="AD1968" s="6">
        <v>-3.4399999999999977</v>
      </c>
      <c r="AE1968" s="6">
        <v>3.4399999999999977</v>
      </c>
    </row>
    <row r="1969" spans="2:31" ht="20" x14ac:dyDescent="0.25">
      <c r="B1969" s="55"/>
      <c r="C1969" s="55"/>
      <c r="D1969" s="4" t="s">
        <v>3081</v>
      </c>
      <c r="E1969" s="4" t="s">
        <v>338</v>
      </c>
      <c r="F1969" s="4"/>
      <c r="G1969" s="4" t="s">
        <v>35</v>
      </c>
      <c r="H1969" s="54" t="s">
        <v>36</v>
      </c>
      <c r="I1969" s="52"/>
      <c r="J1969" s="57">
        <v>9.01</v>
      </c>
      <c r="K1969" s="52"/>
      <c r="L1969" s="6">
        <v>8.2621699999999993</v>
      </c>
      <c r="M1969" s="6">
        <v>0.91699999999999993</v>
      </c>
      <c r="N1969" s="6">
        <v>0</v>
      </c>
      <c r="O1969" s="57">
        <v>0</v>
      </c>
      <c r="P1969" s="52"/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9.01</v>
      </c>
      <c r="AB1969" s="6">
        <v>8.2621699999999993</v>
      </c>
      <c r="AC1969" s="6">
        <v>0.91699999999999993</v>
      </c>
      <c r="AD1969" s="6">
        <v>-9.01</v>
      </c>
      <c r="AE1969" s="6">
        <v>9.01</v>
      </c>
    </row>
    <row r="1970" spans="2:31" x14ac:dyDescent="0.25">
      <c r="B1970" s="55"/>
      <c r="C1970" s="55"/>
      <c r="D1970" s="54" t="s">
        <v>3082</v>
      </c>
      <c r="E1970" s="54" t="s">
        <v>338</v>
      </c>
      <c r="F1970" s="54"/>
      <c r="G1970" s="54" t="s">
        <v>35</v>
      </c>
      <c r="H1970" s="54" t="s">
        <v>48</v>
      </c>
      <c r="I1970" s="52"/>
      <c r="J1970" s="57">
        <v>1.1000000000000001</v>
      </c>
      <c r="K1970" s="52"/>
      <c r="L1970" s="6">
        <v>0.82499999999999996</v>
      </c>
      <c r="M1970" s="6">
        <v>0.74999999999999989</v>
      </c>
      <c r="N1970" s="6">
        <v>1.1000000000000001</v>
      </c>
      <c r="O1970" s="57">
        <v>0.82499999999999996</v>
      </c>
      <c r="P1970" s="52"/>
      <c r="Q1970" s="6">
        <v>0.74999999999999989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  <c r="AC1970" s="6">
        <v>0</v>
      </c>
      <c r="AD1970" s="6">
        <v>0</v>
      </c>
      <c r="AE1970" s="6">
        <v>0</v>
      </c>
    </row>
    <row r="1971" spans="2:31" x14ac:dyDescent="0.25">
      <c r="B1971" s="55"/>
      <c r="C1971" s="55"/>
      <c r="D1971" s="56"/>
      <c r="E1971" s="56"/>
      <c r="F1971" s="56"/>
      <c r="G1971" s="56"/>
      <c r="H1971" s="54" t="s">
        <v>41</v>
      </c>
      <c r="I1971" s="52"/>
      <c r="J1971" s="57">
        <v>12.67</v>
      </c>
      <c r="K1971" s="52"/>
      <c r="L1971" s="6">
        <v>9.5024999999999995</v>
      </c>
      <c r="M1971" s="6">
        <v>0.75</v>
      </c>
      <c r="N1971" s="6">
        <v>11.8</v>
      </c>
      <c r="O1971" s="57">
        <v>8.85</v>
      </c>
      <c r="P1971" s="52"/>
      <c r="Q1971" s="6">
        <v>0.74999999999999989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  <c r="Z1971" s="6">
        <v>0</v>
      </c>
      <c r="AA1971" s="6">
        <v>0.87</v>
      </c>
      <c r="AB1971" s="6">
        <v>0.65249999999999997</v>
      </c>
      <c r="AC1971" s="6">
        <v>0.75</v>
      </c>
      <c r="AD1971" s="6">
        <v>-0.86999999999999922</v>
      </c>
      <c r="AE1971" s="6">
        <v>0.86999999999999922</v>
      </c>
    </row>
    <row r="1972" spans="2:31" ht="20" x14ac:dyDescent="0.25">
      <c r="B1972" s="55"/>
      <c r="C1972" s="55"/>
      <c r="D1972" s="4" t="s">
        <v>3083</v>
      </c>
      <c r="E1972" s="4" t="s">
        <v>3084</v>
      </c>
      <c r="F1972" s="4" t="s">
        <v>51</v>
      </c>
      <c r="G1972" s="4" t="s">
        <v>35</v>
      </c>
      <c r="H1972" s="54" t="s">
        <v>36</v>
      </c>
      <c r="I1972" s="52"/>
      <c r="J1972" s="57">
        <v>116.42</v>
      </c>
      <c r="K1972" s="52"/>
      <c r="L1972" s="6">
        <v>106.75714000000001</v>
      </c>
      <c r="M1972" s="6">
        <v>0.91700000000000004</v>
      </c>
      <c r="N1972" s="6">
        <v>110.72</v>
      </c>
      <c r="O1972" s="57">
        <v>101.53024000000001</v>
      </c>
      <c r="P1972" s="52"/>
      <c r="Q1972" s="6">
        <v>0.91700000000000004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5.7</v>
      </c>
      <c r="AB1972" s="6">
        <v>5.2268999999999997</v>
      </c>
      <c r="AC1972" s="6">
        <v>0.91699999999999993</v>
      </c>
      <c r="AD1972" s="6">
        <v>-5.7000000000000028</v>
      </c>
      <c r="AE1972" s="6">
        <v>5.7000000000000028</v>
      </c>
    </row>
    <row r="1973" spans="2:31" ht="20" x14ac:dyDescent="0.25">
      <c r="B1973" s="55"/>
      <c r="C1973" s="55"/>
      <c r="D1973" s="4" t="s">
        <v>3085</v>
      </c>
      <c r="E1973" s="4" t="s">
        <v>3086</v>
      </c>
      <c r="F1973" s="4" t="s">
        <v>51</v>
      </c>
      <c r="G1973" s="4" t="s">
        <v>35</v>
      </c>
      <c r="H1973" s="54" t="s">
        <v>36</v>
      </c>
      <c r="I1973" s="52"/>
      <c r="J1973" s="57">
        <v>21.45</v>
      </c>
      <c r="K1973" s="52"/>
      <c r="L1973" s="6">
        <v>19.669650000000001</v>
      </c>
      <c r="M1973" s="6">
        <v>0.91700000000000004</v>
      </c>
      <c r="N1973" s="6">
        <v>19.559999999999999</v>
      </c>
      <c r="O1973" s="57">
        <v>17.936520000000002</v>
      </c>
      <c r="P1973" s="52"/>
      <c r="Q1973" s="6">
        <v>0.91700000000000015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1.89</v>
      </c>
      <c r="AB1973" s="6">
        <v>1.7331300000000001</v>
      </c>
      <c r="AC1973" s="6">
        <v>0.91700000000000004</v>
      </c>
      <c r="AD1973" s="6">
        <v>-1.8900000000000006</v>
      </c>
      <c r="AE1973" s="6">
        <v>1.8900000000000006</v>
      </c>
    </row>
    <row r="1974" spans="2:31" ht="20" x14ac:dyDescent="0.25">
      <c r="B1974" s="55"/>
      <c r="C1974" s="55"/>
      <c r="D1974" s="4" t="s">
        <v>3087</v>
      </c>
      <c r="E1974" s="4" t="s">
        <v>3088</v>
      </c>
      <c r="F1974" s="4" t="s">
        <v>51</v>
      </c>
      <c r="G1974" s="4" t="s">
        <v>35</v>
      </c>
      <c r="H1974" s="54" t="s">
        <v>41</v>
      </c>
      <c r="I1974" s="52"/>
      <c r="J1974" s="57">
        <v>21.63</v>
      </c>
      <c r="K1974" s="52"/>
      <c r="L1974" s="6">
        <v>16.2225</v>
      </c>
      <c r="M1974" s="6">
        <v>0.75</v>
      </c>
      <c r="N1974" s="6">
        <v>20.22</v>
      </c>
      <c r="O1974" s="57">
        <v>15.164999999999999</v>
      </c>
      <c r="P1974" s="52"/>
      <c r="Q1974" s="6">
        <v>0.75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1.41</v>
      </c>
      <c r="AB1974" s="6">
        <v>1.0575000000000001</v>
      </c>
      <c r="AC1974" s="6">
        <v>0.75000000000000011</v>
      </c>
      <c r="AD1974" s="6">
        <v>-1.41</v>
      </c>
      <c r="AE1974" s="6">
        <v>1.41</v>
      </c>
    </row>
    <row r="1975" spans="2:31" ht="20" x14ac:dyDescent="0.25">
      <c r="B1975" s="55"/>
      <c r="C1975" s="55"/>
      <c r="D1975" s="4" t="s">
        <v>3089</v>
      </c>
      <c r="E1975" s="4" t="s">
        <v>3090</v>
      </c>
      <c r="F1975" s="4" t="s">
        <v>51</v>
      </c>
      <c r="G1975" s="4" t="s">
        <v>35</v>
      </c>
      <c r="H1975" s="54" t="s">
        <v>36</v>
      </c>
      <c r="I1975" s="52"/>
      <c r="J1975" s="57">
        <v>24.19</v>
      </c>
      <c r="K1975" s="52"/>
      <c r="L1975" s="6">
        <v>22.182230000000001</v>
      </c>
      <c r="M1975" s="6">
        <v>0.91699999999999993</v>
      </c>
      <c r="N1975" s="6">
        <v>22.9</v>
      </c>
      <c r="O1975" s="57">
        <v>20.999300000000002</v>
      </c>
      <c r="P1975" s="52"/>
      <c r="Q1975" s="6">
        <v>0.91700000000000015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1.29</v>
      </c>
      <c r="AB1975" s="6">
        <v>1.18293</v>
      </c>
      <c r="AC1975" s="6">
        <v>0.91700000000000004</v>
      </c>
      <c r="AD1975" s="6">
        <v>-1.2900000000000027</v>
      </c>
      <c r="AE1975" s="6">
        <v>1.2900000000000027</v>
      </c>
    </row>
    <row r="1976" spans="2:31" ht="20" x14ac:dyDescent="0.25">
      <c r="B1976" s="55"/>
      <c r="C1976" s="55"/>
      <c r="D1976" s="4" t="s">
        <v>3091</v>
      </c>
      <c r="E1976" s="4" t="s">
        <v>3092</v>
      </c>
      <c r="F1976" s="4" t="s">
        <v>51</v>
      </c>
      <c r="G1976" s="4" t="s">
        <v>35</v>
      </c>
      <c r="H1976" s="54" t="s">
        <v>36</v>
      </c>
      <c r="I1976" s="52"/>
      <c r="J1976" s="57">
        <v>31.28</v>
      </c>
      <c r="K1976" s="52"/>
      <c r="L1976" s="6">
        <v>28.683759999999999</v>
      </c>
      <c r="M1976" s="6">
        <v>0.91699999999999993</v>
      </c>
      <c r="N1976" s="6">
        <v>29.21</v>
      </c>
      <c r="O1976" s="57">
        <v>26.78557</v>
      </c>
      <c r="P1976" s="52"/>
      <c r="Q1976" s="6">
        <v>0.91699999999999993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2.0699999999999998</v>
      </c>
      <c r="AB1976" s="6">
        <v>1.89819</v>
      </c>
      <c r="AC1976" s="6">
        <v>0.91700000000000004</v>
      </c>
      <c r="AD1976" s="6">
        <v>-2.0700000000000003</v>
      </c>
      <c r="AE1976" s="6">
        <v>2.0700000000000003</v>
      </c>
    </row>
    <row r="1977" spans="2:31" ht="20" x14ac:dyDescent="0.25">
      <c r="B1977" s="55"/>
      <c r="C1977" s="55"/>
      <c r="D1977" s="4" t="s">
        <v>3093</v>
      </c>
      <c r="E1977" s="4" t="s">
        <v>3051</v>
      </c>
      <c r="F1977" s="4" t="s">
        <v>51</v>
      </c>
      <c r="G1977" s="4" t="s">
        <v>35</v>
      </c>
      <c r="H1977" s="54" t="s">
        <v>36</v>
      </c>
      <c r="I1977" s="52"/>
      <c r="J1977" s="57">
        <v>10.69</v>
      </c>
      <c r="K1977" s="52"/>
      <c r="L1977" s="6">
        <v>9.8027300000000004</v>
      </c>
      <c r="M1977" s="6">
        <v>0.91700000000000004</v>
      </c>
      <c r="N1977" s="6">
        <v>10.69</v>
      </c>
      <c r="O1977" s="57">
        <v>9.8027300000000004</v>
      </c>
      <c r="P1977" s="52"/>
      <c r="Q1977" s="6">
        <v>0.91700000000000004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</row>
    <row r="1978" spans="2:31" ht="20" x14ac:dyDescent="0.25">
      <c r="B1978" s="55"/>
      <c r="C1978" s="55"/>
      <c r="D1978" s="4" t="s">
        <v>3094</v>
      </c>
      <c r="E1978" s="4" t="s">
        <v>3049</v>
      </c>
      <c r="F1978" s="4" t="s">
        <v>51</v>
      </c>
      <c r="G1978" s="4" t="s">
        <v>35</v>
      </c>
      <c r="H1978" s="54" t="s">
        <v>36</v>
      </c>
      <c r="I1978" s="52"/>
      <c r="J1978" s="57">
        <v>8.6199999999999992</v>
      </c>
      <c r="K1978" s="52"/>
      <c r="L1978" s="6">
        <v>7.9045399999999999</v>
      </c>
      <c r="M1978" s="6">
        <v>0.91700000000000004</v>
      </c>
      <c r="N1978" s="6">
        <v>8.6199999999999992</v>
      </c>
      <c r="O1978" s="57">
        <v>7.9045399999999999</v>
      </c>
      <c r="P1978" s="52"/>
      <c r="Q1978" s="6">
        <v>0.91700000000000004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0</v>
      </c>
      <c r="AD1978" s="6">
        <v>0</v>
      </c>
      <c r="AE1978" s="6">
        <v>0</v>
      </c>
    </row>
    <row r="1979" spans="2:31" ht="20" x14ac:dyDescent="0.25">
      <c r="B1979" s="55"/>
      <c r="C1979" s="55"/>
      <c r="D1979" s="4" t="s">
        <v>3095</v>
      </c>
      <c r="E1979" s="4" t="s">
        <v>3096</v>
      </c>
      <c r="F1979" s="4" t="s">
        <v>51</v>
      </c>
      <c r="G1979" s="4" t="s">
        <v>35</v>
      </c>
      <c r="H1979" s="54" t="s">
        <v>36</v>
      </c>
      <c r="I1979" s="52"/>
      <c r="J1979" s="57">
        <v>6.03</v>
      </c>
      <c r="K1979" s="52"/>
      <c r="L1979" s="6">
        <v>5.5295100000000001</v>
      </c>
      <c r="M1979" s="6">
        <v>0.91700000000000004</v>
      </c>
      <c r="N1979" s="6">
        <v>5.77</v>
      </c>
      <c r="O1979" s="57">
        <v>5.2910899999999996</v>
      </c>
      <c r="P1979" s="52"/>
      <c r="Q1979" s="6">
        <v>0.91700000000000004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0.26</v>
      </c>
      <c r="AB1979" s="6">
        <v>0.23841999999999999</v>
      </c>
      <c r="AC1979" s="6">
        <v>0.91699999999999993</v>
      </c>
      <c r="AD1979" s="6">
        <v>-0.26000000000000068</v>
      </c>
      <c r="AE1979" s="6">
        <v>0.26000000000000068</v>
      </c>
    </row>
    <row r="1980" spans="2:31" ht="20" x14ac:dyDescent="0.25">
      <c r="B1980" s="55"/>
      <c r="C1980" s="55"/>
      <c r="D1980" s="4" t="s">
        <v>3097</v>
      </c>
      <c r="E1980" s="4" t="s">
        <v>3098</v>
      </c>
      <c r="F1980" s="4" t="s">
        <v>51</v>
      </c>
      <c r="G1980" s="4" t="s">
        <v>35</v>
      </c>
      <c r="H1980" s="54" t="s">
        <v>36</v>
      </c>
      <c r="I1980" s="52"/>
      <c r="J1980" s="57">
        <v>69.459999999999994</v>
      </c>
      <c r="K1980" s="52"/>
      <c r="L1980" s="6">
        <v>63.69482</v>
      </c>
      <c r="M1980" s="6">
        <v>0.91700000000000004</v>
      </c>
      <c r="N1980" s="6">
        <v>65.67</v>
      </c>
      <c r="O1980" s="57">
        <v>60.219389999999997</v>
      </c>
      <c r="P1980" s="52"/>
      <c r="Q1980" s="6">
        <v>0.91699999999999993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3.79</v>
      </c>
      <c r="AB1980" s="6">
        <v>3.4754299999999998</v>
      </c>
      <c r="AC1980" s="6">
        <v>0.91699999999999993</v>
      </c>
      <c r="AD1980" s="6">
        <v>-3.789999999999992</v>
      </c>
      <c r="AE1980" s="6">
        <v>3.789999999999992</v>
      </c>
    </row>
    <row r="1981" spans="2:31" ht="20" x14ac:dyDescent="0.25">
      <c r="B1981" s="55"/>
      <c r="C1981" s="55"/>
      <c r="D1981" s="4" t="s">
        <v>3099</v>
      </c>
      <c r="E1981" s="4" t="s">
        <v>3100</v>
      </c>
      <c r="F1981" s="4" t="s">
        <v>51</v>
      </c>
      <c r="G1981" s="4" t="s">
        <v>35</v>
      </c>
      <c r="H1981" s="54" t="s">
        <v>48</v>
      </c>
      <c r="I1981" s="52"/>
      <c r="J1981" s="57">
        <v>22.84</v>
      </c>
      <c r="K1981" s="52"/>
      <c r="L1981" s="6">
        <v>17.13</v>
      </c>
      <c r="M1981" s="6">
        <v>0.75</v>
      </c>
      <c r="N1981" s="6">
        <v>19.940000000000001</v>
      </c>
      <c r="O1981" s="57">
        <v>14.955</v>
      </c>
      <c r="P1981" s="52"/>
      <c r="Q1981" s="6">
        <v>0.75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2.9</v>
      </c>
      <c r="AB1981" s="6">
        <v>2.1749999999999998</v>
      </c>
      <c r="AC1981" s="6">
        <v>0.75</v>
      </c>
      <c r="AD1981" s="6">
        <v>-2.8999999999999986</v>
      </c>
      <c r="AE1981" s="6">
        <v>2.8999999999999986</v>
      </c>
    </row>
    <row r="1982" spans="2:31" ht="20" x14ac:dyDescent="0.25">
      <c r="B1982" s="55"/>
      <c r="C1982" s="55"/>
      <c r="D1982" s="4" t="s">
        <v>3101</v>
      </c>
      <c r="E1982" s="4" t="s">
        <v>3102</v>
      </c>
      <c r="F1982" s="4" t="s">
        <v>51</v>
      </c>
      <c r="G1982" s="4" t="s">
        <v>35</v>
      </c>
      <c r="H1982" s="54" t="s">
        <v>36</v>
      </c>
      <c r="I1982" s="52"/>
      <c r="J1982" s="57">
        <v>7.1879999999999997</v>
      </c>
      <c r="K1982" s="52"/>
      <c r="L1982" s="6">
        <v>6.5913959999999996</v>
      </c>
      <c r="M1982" s="6">
        <v>0.91699999999999993</v>
      </c>
      <c r="N1982" s="6">
        <v>6.9980000000000002</v>
      </c>
      <c r="O1982" s="57">
        <v>6.4171659999999999</v>
      </c>
      <c r="P1982" s="52"/>
      <c r="Q1982" s="6">
        <v>0.91699999999999993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0.19</v>
      </c>
      <c r="AB1982" s="6">
        <v>0.17423</v>
      </c>
      <c r="AC1982" s="6">
        <v>0.91699999999999993</v>
      </c>
      <c r="AD1982" s="6">
        <v>-0.1899999999999995</v>
      </c>
      <c r="AE1982" s="6">
        <v>0.1899999999999995</v>
      </c>
    </row>
    <row r="1983" spans="2:31" ht="20" x14ac:dyDescent="0.25">
      <c r="B1983" s="55"/>
      <c r="C1983" s="55"/>
      <c r="D1983" s="4" t="s">
        <v>3103</v>
      </c>
      <c r="E1983" s="4" t="s">
        <v>3104</v>
      </c>
      <c r="F1983" s="4" t="s">
        <v>51</v>
      </c>
      <c r="G1983" s="4" t="s">
        <v>35</v>
      </c>
      <c r="H1983" s="54" t="s">
        <v>48</v>
      </c>
      <c r="I1983" s="52"/>
      <c r="J1983" s="57">
        <v>31.17</v>
      </c>
      <c r="K1983" s="52"/>
      <c r="L1983" s="6">
        <v>23.377500000000001</v>
      </c>
      <c r="M1983" s="6">
        <v>0.75</v>
      </c>
      <c r="N1983" s="6">
        <v>29.6</v>
      </c>
      <c r="O1983" s="57">
        <v>22.2</v>
      </c>
      <c r="P1983" s="52"/>
      <c r="Q1983" s="6">
        <v>0.74999999999999989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1.57</v>
      </c>
      <c r="AB1983" s="6">
        <v>1.1775</v>
      </c>
      <c r="AC1983" s="6">
        <v>0.75</v>
      </c>
      <c r="AD1983" s="6">
        <v>-1.5700000000000003</v>
      </c>
      <c r="AE1983" s="6">
        <v>1.5700000000000003</v>
      </c>
    </row>
    <row r="1984" spans="2:31" ht="20" x14ac:dyDescent="0.25">
      <c r="B1984" s="55"/>
      <c r="C1984" s="55"/>
      <c r="D1984" s="4" t="s">
        <v>3105</v>
      </c>
      <c r="E1984" s="4" t="s">
        <v>3106</v>
      </c>
      <c r="F1984" s="4" t="s">
        <v>51</v>
      </c>
      <c r="G1984" s="4" t="s">
        <v>35</v>
      </c>
      <c r="H1984" s="54" t="s">
        <v>36</v>
      </c>
      <c r="I1984" s="52"/>
      <c r="J1984" s="57">
        <v>17.64</v>
      </c>
      <c r="K1984" s="52"/>
      <c r="L1984" s="6">
        <v>16.175879999999999</v>
      </c>
      <c r="M1984" s="6">
        <v>0.91699999999999993</v>
      </c>
      <c r="N1984" s="6">
        <v>16.190000000000001</v>
      </c>
      <c r="O1984" s="57">
        <v>14.84623</v>
      </c>
      <c r="P1984" s="52"/>
      <c r="Q1984" s="6">
        <v>0.91699999999999993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1.45</v>
      </c>
      <c r="AB1984" s="6">
        <v>1.32965</v>
      </c>
      <c r="AC1984" s="6">
        <v>0.91700000000000004</v>
      </c>
      <c r="AD1984" s="6">
        <v>-1.4499999999999993</v>
      </c>
      <c r="AE1984" s="6">
        <v>1.4499999999999993</v>
      </c>
    </row>
    <row r="1985" spans="2:31" ht="20" x14ac:dyDescent="0.25">
      <c r="B1985" s="55"/>
      <c r="C1985" s="55"/>
      <c r="D1985" s="4" t="s">
        <v>3107</v>
      </c>
      <c r="E1985" s="4" t="s">
        <v>3108</v>
      </c>
      <c r="F1985" s="4" t="s">
        <v>51</v>
      </c>
      <c r="G1985" s="4" t="s">
        <v>35</v>
      </c>
      <c r="H1985" s="54" t="s">
        <v>36</v>
      </c>
      <c r="I1985" s="52"/>
      <c r="J1985" s="57">
        <v>69.739999999999995</v>
      </c>
      <c r="K1985" s="52"/>
      <c r="L1985" s="6">
        <v>63.95158</v>
      </c>
      <c r="M1985" s="6">
        <v>0.91700000000000004</v>
      </c>
      <c r="N1985" s="6">
        <v>65.63</v>
      </c>
      <c r="O1985" s="57">
        <v>60.18271</v>
      </c>
      <c r="P1985" s="52"/>
      <c r="Q1985" s="6">
        <v>0.91700000000000004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4.1100000000000003</v>
      </c>
      <c r="AB1985" s="6">
        <v>3.7688700000000002</v>
      </c>
      <c r="AC1985" s="6">
        <v>0.91699999999999993</v>
      </c>
      <c r="AD1985" s="6">
        <v>-4.1099999999999994</v>
      </c>
      <c r="AE1985" s="6">
        <v>4.1099999999999994</v>
      </c>
    </row>
    <row r="1986" spans="2:31" x14ac:dyDescent="0.25">
      <c r="B1986" s="55"/>
      <c r="C1986" s="55"/>
      <c r="D1986" s="54" t="s">
        <v>3109</v>
      </c>
      <c r="E1986" s="4" t="s">
        <v>3061</v>
      </c>
      <c r="F1986" s="4" t="s">
        <v>51</v>
      </c>
      <c r="G1986" s="4" t="s">
        <v>35</v>
      </c>
      <c r="H1986" s="54" t="s">
        <v>36</v>
      </c>
      <c r="I1986" s="52"/>
      <c r="J1986" s="57">
        <v>7.95</v>
      </c>
      <c r="K1986" s="52"/>
      <c r="L1986" s="6">
        <v>7.2901499999999997</v>
      </c>
      <c r="M1986" s="6">
        <v>0.91699999999999993</v>
      </c>
      <c r="N1986" s="6">
        <v>7.95</v>
      </c>
      <c r="O1986" s="57">
        <v>7.2901499999999997</v>
      </c>
      <c r="P1986" s="52"/>
      <c r="Q1986" s="6">
        <v>0.91699999999999993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0</v>
      </c>
      <c r="AD1986" s="6">
        <v>0</v>
      </c>
      <c r="AE1986" s="6">
        <v>0</v>
      </c>
    </row>
    <row r="1987" spans="2:31" x14ac:dyDescent="0.25">
      <c r="B1987" s="55"/>
      <c r="C1987" s="55"/>
      <c r="D1987" s="55"/>
      <c r="E1987" s="4" t="s">
        <v>3110</v>
      </c>
      <c r="F1987" s="4" t="s">
        <v>51</v>
      </c>
      <c r="G1987" s="4" t="s">
        <v>35</v>
      </c>
      <c r="H1987" s="54" t="s">
        <v>41</v>
      </c>
      <c r="I1987" s="52"/>
      <c r="J1987" s="57">
        <v>62.96</v>
      </c>
      <c r="K1987" s="52"/>
      <c r="L1987" s="6">
        <v>47.22</v>
      </c>
      <c r="M1987" s="6">
        <v>0.75</v>
      </c>
      <c r="N1987" s="6">
        <v>62.96</v>
      </c>
      <c r="O1987" s="57">
        <v>47.22</v>
      </c>
      <c r="P1987" s="52"/>
      <c r="Q1987" s="6">
        <v>0.75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0</v>
      </c>
      <c r="AE1987" s="6">
        <v>0</v>
      </c>
    </row>
    <row r="1988" spans="2:31" x14ac:dyDescent="0.25">
      <c r="B1988" s="55"/>
      <c r="C1988" s="55"/>
      <c r="D1988" s="56"/>
      <c r="E1988" s="4" t="s">
        <v>3111</v>
      </c>
      <c r="F1988" s="4" t="s">
        <v>51</v>
      </c>
      <c r="G1988" s="4" t="s">
        <v>35</v>
      </c>
      <c r="H1988" s="54" t="s">
        <v>48</v>
      </c>
      <c r="I1988" s="52"/>
      <c r="J1988" s="57">
        <v>21.33</v>
      </c>
      <c r="K1988" s="52"/>
      <c r="L1988" s="6">
        <v>15.9975</v>
      </c>
      <c r="M1988" s="6">
        <v>0.75000000000000011</v>
      </c>
      <c r="N1988" s="6">
        <v>21.33</v>
      </c>
      <c r="O1988" s="57">
        <v>15.9975</v>
      </c>
      <c r="P1988" s="52"/>
      <c r="Q1988" s="6">
        <v>0.75000000000000011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6">
        <v>0</v>
      </c>
      <c r="AE1988" s="6">
        <v>0</v>
      </c>
    </row>
    <row r="1989" spans="2:31" x14ac:dyDescent="0.25">
      <c r="B1989" s="55"/>
      <c r="C1989" s="55"/>
      <c r="D1989" s="54" t="s">
        <v>3112</v>
      </c>
      <c r="E1989" s="4" t="s">
        <v>3113</v>
      </c>
      <c r="F1989" s="4" t="s">
        <v>51</v>
      </c>
      <c r="G1989" s="4" t="s">
        <v>35</v>
      </c>
      <c r="H1989" s="54" t="s">
        <v>41</v>
      </c>
      <c r="I1989" s="52"/>
      <c r="J1989" s="57">
        <v>29.69</v>
      </c>
      <c r="K1989" s="52"/>
      <c r="L1989" s="6">
        <v>22.267499999999998</v>
      </c>
      <c r="M1989" s="6">
        <v>0.74999999999999989</v>
      </c>
      <c r="N1989" s="6">
        <v>28.03</v>
      </c>
      <c r="O1989" s="57">
        <v>21.022500000000001</v>
      </c>
      <c r="P1989" s="52"/>
      <c r="Q1989" s="6">
        <v>0.75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0</v>
      </c>
      <c r="AA1989" s="6">
        <v>1.66</v>
      </c>
      <c r="AB1989" s="6">
        <v>1.2450000000000001</v>
      </c>
      <c r="AC1989" s="6">
        <v>0.75000000000000011</v>
      </c>
      <c r="AD1989" s="6">
        <v>-1.66</v>
      </c>
      <c r="AE1989" s="6">
        <v>1.66</v>
      </c>
    </row>
    <row r="1990" spans="2:31" x14ac:dyDescent="0.25">
      <c r="B1990" s="55"/>
      <c r="C1990" s="55"/>
      <c r="D1990" s="55"/>
      <c r="E1990" s="4" t="s">
        <v>3114</v>
      </c>
      <c r="F1990" s="4" t="s">
        <v>51</v>
      </c>
      <c r="G1990" s="4" t="s">
        <v>35</v>
      </c>
      <c r="H1990" s="54" t="s">
        <v>36</v>
      </c>
      <c r="I1990" s="52"/>
      <c r="J1990" s="57">
        <v>21.550999999999998</v>
      </c>
      <c r="K1990" s="52"/>
      <c r="L1990" s="6">
        <v>19.762267000000001</v>
      </c>
      <c r="M1990" s="6">
        <v>0.91700000000000015</v>
      </c>
      <c r="N1990" s="6">
        <v>21.541</v>
      </c>
      <c r="O1990" s="57">
        <v>19.753097</v>
      </c>
      <c r="P1990" s="52"/>
      <c r="Q1990" s="6">
        <v>0.91700000000000004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0.01</v>
      </c>
      <c r="AB1990" s="6">
        <v>9.1699999999999993E-3</v>
      </c>
      <c r="AC1990" s="6">
        <v>0.91699999999999993</v>
      </c>
      <c r="AD1990" s="6">
        <v>-9.9999999999980105E-3</v>
      </c>
      <c r="AE1990" s="6">
        <v>9.9999999999980105E-3</v>
      </c>
    </row>
    <row r="1991" spans="2:31" x14ac:dyDescent="0.25">
      <c r="B1991" s="55"/>
      <c r="C1991" s="55"/>
      <c r="D1991" s="55"/>
      <c r="E1991" s="4" t="s">
        <v>3115</v>
      </c>
      <c r="F1991" s="4" t="s">
        <v>51</v>
      </c>
      <c r="G1991" s="4" t="s">
        <v>35</v>
      </c>
      <c r="H1991" s="54" t="s">
        <v>48</v>
      </c>
      <c r="I1991" s="52"/>
      <c r="J1991" s="57">
        <v>15.26</v>
      </c>
      <c r="K1991" s="52"/>
      <c r="L1991" s="6">
        <v>11.445</v>
      </c>
      <c r="M1991" s="6">
        <v>0.75</v>
      </c>
      <c r="N1991" s="6">
        <v>15.26</v>
      </c>
      <c r="O1991" s="57">
        <v>11.445</v>
      </c>
      <c r="P1991" s="52"/>
      <c r="Q1991" s="6">
        <v>0.75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0</v>
      </c>
      <c r="AD1991" s="6">
        <v>0</v>
      </c>
      <c r="AE1991" s="6">
        <v>0</v>
      </c>
    </row>
    <row r="1992" spans="2:31" x14ac:dyDescent="0.25">
      <c r="B1992" s="55"/>
      <c r="C1992" s="55"/>
      <c r="D1992" s="55"/>
      <c r="E1992" s="4" t="s">
        <v>3116</v>
      </c>
      <c r="F1992" s="4" t="s">
        <v>51</v>
      </c>
      <c r="G1992" s="4" t="s">
        <v>35</v>
      </c>
      <c r="H1992" s="54" t="s">
        <v>48</v>
      </c>
      <c r="I1992" s="52"/>
      <c r="J1992" s="57">
        <v>21.37</v>
      </c>
      <c r="K1992" s="52"/>
      <c r="L1992" s="6">
        <v>16.0275</v>
      </c>
      <c r="M1992" s="6">
        <v>0.75</v>
      </c>
      <c r="N1992" s="6">
        <v>21.37</v>
      </c>
      <c r="O1992" s="57">
        <v>16.0275</v>
      </c>
      <c r="P1992" s="52"/>
      <c r="Q1992" s="6">
        <v>0.75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</row>
    <row r="1993" spans="2:31" x14ac:dyDescent="0.25">
      <c r="B1993" s="55"/>
      <c r="C1993" s="55"/>
      <c r="D1993" s="56"/>
      <c r="E1993" s="4" t="s">
        <v>3117</v>
      </c>
      <c r="F1993" s="4" t="s">
        <v>51</v>
      </c>
      <c r="G1993" s="4" t="s">
        <v>35</v>
      </c>
      <c r="H1993" s="54" t="s">
        <v>48</v>
      </c>
      <c r="I1993" s="52"/>
      <c r="J1993" s="57">
        <v>15.23</v>
      </c>
      <c r="K1993" s="52"/>
      <c r="L1993" s="6">
        <v>11.422499999999999</v>
      </c>
      <c r="M1993" s="6">
        <v>0.74999999999999989</v>
      </c>
      <c r="N1993" s="6">
        <v>15.23</v>
      </c>
      <c r="O1993" s="57">
        <v>11.422499999999999</v>
      </c>
      <c r="P1993" s="52"/>
      <c r="Q1993" s="6">
        <v>0.74999999999999989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0</v>
      </c>
      <c r="AE1993" s="6">
        <v>0</v>
      </c>
    </row>
    <row r="1994" spans="2:31" ht="20" x14ac:dyDescent="0.25">
      <c r="B1994" s="55"/>
      <c r="C1994" s="55"/>
      <c r="D1994" s="4" t="s">
        <v>3118</v>
      </c>
      <c r="E1994" s="4" t="s">
        <v>3119</v>
      </c>
      <c r="F1994" s="4" t="s">
        <v>51</v>
      </c>
      <c r="G1994" s="4" t="s">
        <v>35</v>
      </c>
      <c r="H1994" s="54" t="s">
        <v>36</v>
      </c>
      <c r="I1994" s="52"/>
      <c r="J1994" s="57">
        <v>102.27</v>
      </c>
      <c r="K1994" s="52"/>
      <c r="L1994" s="6">
        <v>93.781589999999994</v>
      </c>
      <c r="M1994" s="6">
        <v>0.91699999999999993</v>
      </c>
      <c r="N1994" s="6">
        <v>96.79</v>
      </c>
      <c r="O1994" s="57">
        <v>88.756429999999995</v>
      </c>
      <c r="P1994" s="52"/>
      <c r="Q1994" s="6">
        <v>0.91699999999999993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5.48</v>
      </c>
      <c r="AB1994" s="6">
        <v>5.0251599999999996</v>
      </c>
      <c r="AC1994" s="6">
        <v>0.91699999999999982</v>
      </c>
      <c r="AD1994" s="6">
        <v>-5.4799999999999898</v>
      </c>
      <c r="AE1994" s="6">
        <v>5.4799999999999898</v>
      </c>
    </row>
    <row r="1995" spans="2:31" ht="20" x14ac:dyDescent="0.25">
      <c r="B1995" s="55"/>
      <c r="C1995" s="55"/>
      <c r="D1995" s="4" t="s">
        <v>3120</v>
      </c>
      <c r="E1995" s="4" t="s">
        <v>3121</v>
      </c>
      <c r="F1995" s="4" t="s">
        <v>51</v>
      </c>
      <c r="G1995" s="4" t="s">
        <v>35</v>
      </c>
      <c r="H1995" s="54" t="s">
        <v>36</v>
      </c>
      <c r="I1995" s="52"/>
      <c r="J1995" s="57">
        <v>8.99</v>
      </c>
      <c r="K1995" s="52"/>
      <c r="L1995" s="6">
        <v>8.2438300000000009</v>
      </c>
      <c r="M1995" s="6">
        <v>0.91700000000000004</v>
      </c>
      <c r="N1995" s="6">
        <v>8.2899999999999991</v>
      </c>
      <c r="O1995" s="57">
        <v>7.6019300000000003</v>
      </c>
      <c r="P1995" s="52"/>
      <c r="Q1995" s="6">
        <v>0.91700000000000015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  <c r="X1995" s="6">
        <v>0</v>
      </c>
      <c r="Y1995" s="6">
        <v>0</v>
      </c>
      <c r="Z1995" s="6">
        <v>0</v>
      </c>
      <c r="AA1995" s="6">
        <v>0.7</v>
      </c>
      <c r="AB1995" s="6">
        <v>0.64190000000000003</v>
      </c>
      <c r="AC1995" s="6">
        <v>0.91700000000000015</v>
      </c>
      <c r="AD1995" s="6">
        <v>-0.70000000000000107</v>
      </c>
      <c r="AE1995" s="6">
        <v>0.70000000000000107</v>
      </c>
    </row>
    <row r="1996" spans="2:31" ht="20" x14ac:dyDescent="0.25">
      <c r="B1996" s="55"/>
      <c r="C1996" s="55"/>
      <c r="D1996" s="4" t="s">
        <v>3122</v>
      </c>
      <c r="E1996" s="4" t="s">
        <v>3123</v>
      </c>
      <c r="F1996" s="4" t="s">
        <v>51</v>
      </c>
      <c r="G1996" s="4" t="s">
        <v>35</v>
      </c>
      <c r="H1996" s="54" t="s">
        <v>41</v>
      </c>
      <c r="I1996" s="52"/>
      <c r="J1996" s="57">
        <v>20.55</v>
      </c>
      <c r="K1996" s="52"/>
      <c r="L1996" s="6">
        <v>15.4125</v>
      </c>
      <c r="M1996" s="6">
        <v>0.75</v>
      </c>
      <c r="N1996" s="6">
        <v>19.350000000000001</v>
      </c>
      <c r="O1996" s="57">
        <v>14.512499999999999</v>
      </c>
      <c r="P1996" s="52"/>
      <c r="Q1996" s="6">
        <v>0.74999999999999989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1.2</v>
      </c>
      <c r="AB1996" s="6">
        <v>0.9</v>
      </c>
      <c r="AC1996" s="6">
        <v>0.75</v>
      </c>
      <c r="AD1996" s="6">
        <v>-1.1999999999999993</v>
      </c>
      <c r="AE1996" s="6">
        <v>1.1999999999999993</v>
      </c>
    </row>
    <row r="1997" spans="2:31" ht="20" x14ac:dyDescent="0.25">
      <c r="B1997" s="55"/>
      <c r="C1997" s="55"/>
      <c r="D1997" s="4" t="s">
        <v>3124</v>
      </c>
      <c r="E1997" s="4" t="s">
        <v>3125</v>
      </c>
      <c r="F1997" s="4" t="s">
        <v>51</v>
      </c>
      <c r="G1997" s="4" t="s">
        <v>35</v>
      </c>
      <c r="H1997" s="54" t="s">
        <v>36</v>
      </c>
      <c r="I1997" s="52"/>
      <c r="J1997" s="57">
        <v>25.16</v>
      </c>
      <c r="K1997" s="52"/>
      <c r="L1997" s="6">
        <v>23.071719999999999</v>
      </c>
      <c r="M1997" s="6">
        <v>0.91699999999999993</v>
      </c>
      <c r="N1997" s="6">
        <v>23.17</v>
      </c>
      <c r="O1997" s="57">
        <v>21.24689</v>
      </c>
      <c r="P1997" s="52"/>
      <c r="Q1997" s="6">
        <v>0.91699999999999993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1.99</v>
      </c>
      <c r="AB1997" s="6">
        <v>1.82483</v>
      </c>
      <c r="AC1997" s="6">
        <v>0.91699999999999993</v>
      </c>
      <c r="AD1997" s="6">
        <v>-1.9899999999999984</v>
      </c>
      <c r="AE1997" s="6">
        <v>1.9899999999999984</v>
      </c>
    </row>
    <row r="1998" spans="2:31" ht="20" x14ac:dyDescent="0.25">
      <c r="B1998" s="56"/>
      <c r="C1998" s="56"/>
      <c r="D1998" s="4" t="s">
        <v>3126</v>
      </c>
      <c r="E1998" s="4" t="s">
        <v>338</v>
      </c>
      <c r="F1998" s="4" t="s">
        <v>51</v>
      </c>
      <c r="G1998" s="4" t="s">
        <v>35</v>
      </c>
      <c r="H1998" s="54" t="s">
        <v>36</v>
      </c>
      <c r="I1998" s="52"/>
      <c r="J1998" s="57">
        <v>13.53</v>
      </c>
      <c r="K1998" s="52"/>
      <c r="L1998" s="6">
        <v>12.40701</v>
      </c>
      <c r="M1998" s="6">
        <v>0.91700000000000004</v>
      </c>
      <c r="N1998" s="6">
        <v>12.31</v>
      </c>
      <c r="O1998" s="57">
        <v>11.288270000000001</v>
      </c>
      <c r="P1998" s="52"/>
      <c r="Q1998" s="6">
        <v>0.91700000000000004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1.22</v>
      </c>
      <c r="AB1998" s="6">
        <v>1.1187400000000001</v>
      </c>
      <c r="AC1998" s="6">
        <v>0.91700000000000004</v>
      </c>
      <c r="AD1998" s="6">
        <v>-1.2199999999999989</v>
      </c>
      <c r="AE1998" s="6">
        <v>1.2199999999999989</v>
      </c>
    </row>
    <row r="1999" spans="2:31" ht="20" x14ac:dyDescent="0.25">
      <c r="B1999" s="54" t="s">
        <v>3127</v>
      </c>
      <c r="C1999" s="5">
        <v>46179</v>
      </c>
      <c r="D1999" s="4" t="s">
        <v>3128</v>
      </c>
      <c r="E1999" s="4" t="s">
        <v>3129</v>
      </c>
      <c r="F1999" s="4" t="s">
        <v>51</v>
      </c>
      <c r="G1999" s="4" t="s">
        <v>133</v>
      </c>
      <c r="H1999" s="54" t="s">
        <v>36</v>
      </c>
      <c r="I1999" s="52"/>
      <c r="J1999" s="57">
        <v>125.59</v>
      </c>
      <c r="K1999" s="52"/>
      <c r="L1999" s="6">
        <v>115.16603000000001</v>
      </c>
      <c r="M1999" s="6">
        <v>0.91700000000000004</v>
      </c>
      <c r="N1999" s="6">
        <v>125.48</v>
      </c>
      <c r="O1999" s="57">
        <v>115.06516000000001</v>
      </c>
      <c r="P1999" s="52"/>
      <c r="Q1999" s="6">
        <v>0.91700000000000004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0.11</v>
      </c>
      <c r="AB1999" s="6">
        <v>0.10087</v>
      </c>
      <c r="AC1999" s="6">
        <v>0.91700000000000004</v>
      </c>
      <c r="AD1999" s="6">
        <v>-0.10999999999999943</v>
      </c>
      <c r="AE1999" s="6">
        <v>0.10999999999999943</v>
      </c>
    </row>
    <row r="2000" spans="2:31" ht="30" x14ac:dyDescent="0.25">
      <c r="B2000" s="55"/>
      <c r="C2000" s="58">
        <v>46185</v>
      </c>
      <c r="D2000" s="4" t="s">
        <v>3130</v>
      </c>
      <c r="E2000" s="4" t="s">
        <v>3131</v>
      </c>
      <c r="F2000" s="4" t="s">
        <v>51</v>
      </c>
      <c r="G2000" s="4" t="s">
        <v>35</v>
      </c>
      <c r="H2000" s="54" t="s">
        <v>41</v>
      </c>
      <c r="I2000" s="52"/>
      <c r="J2000" s="57">
        <v>8.08</v>
      </c>
      <c r="K2000" s="52"/>
      <c r="L2000" s="6">
        <v>6.06</v>
      </c>
      <c r="M2000" s="6">
        <v>0.75</v>
      </c>
      <c r="N2000" s="6">
        <v>8.08</v>
      </c>
      <c r="O2000" s="57">
        <v>6.06</v>
      </c>
      <c r="P2000" s="52"/>
      <c r="Q2000" s="6">
        <v>0.75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0</v>
      </c>
      <c r="AE2000" s="6">
        <v>0</v>
      </c>
    </row>
    <row r="2001" spans="2:31" ht="30" x14ac:dyDescent="0.25">
      <c r="B2001" s="56"/>
      <c r="C2001" s="56"/>
      <c r="D2001" s="4" t="s">
        <v>3132</v>
      </c>
      <c r="E2001" s="4" t="s">
        <v>3133</v>
      </c>
      <c r="F2001" s="4" t="s">
        <v>51</v>
      </c>
      <c r="G2001" s="4" t="s">
        <v>35</v>
      </c>
      <c r="H2001" s="54" t="s">
        <v>41</v>
      </c>
      <c r="I2001" s="52"/>
      <c r="J2001" s="57">
        <v>0.73</v>
      </c>
      <c r="K2001" s="52"/>
      <c r="L2001" s="6">
        <v>0.54749999999999999</v>
      </c>
      <c r="M2001" s="6">
        <v>0.75</v>
      </c>
      <c r="N2001" s="6">
        <v>0.73</v>
      </c>
      <c r="O2001" s="57">
        <v>0.54749999999999999</v>
      </c>
      <c r="P2001" s="52"/>
      <c r="Q2001" s="6">
        <v>0.75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0</v>
      </c>
      <c r="AE2001" s="6">
        <v>0</v>
      </c>
    </row>
    <row r="2002" spans="2:31" x14ac:dyDescent="0.25">
      <c r="B2002" s="3" t="s">
        <v>3134</v>
      </c>
      <c r="C2002" s="3"/>
      <c r="D2002" s="3"/>
      <c r="E2002" s="3"/>
      <c r="F2002" s="3"/>
      <c r="G2002" s="3"/>
      <c r="H2002" s="51"/>
      <c r="I2002" s="52"/>
      <c r="J2002" s="53">
        <v>92649.257800000123</v>
      </c>
      <c r="K2002" s="52"/>
      <c r="L2002" s="7">
        <v>79133.555535999898</v>
      </c>
      <c r="M2002" s="7">
        <v>0.85411969199822124</v>
      </c>
      <c r="N2002" s="7">
        <v>87926.72359999991</v>
      </c>
      <c r="O2002" s="53">
        <v>75158.414793700009</v>
      </c>
      <c r="P2002" s="52"/>
      <c r="Q2002" s="7">
        <v>0.85478466291561084</v>
      </c>
      <c r="R2002" s="7">
        <v>12.26</v>
      </c>
      <c r="S2002" s="7">
        <v>10.85164</v>
      </c>
      <c r="T2002" s="7">
        <v>0.88512561174551385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4710.2742000000053</v>
      </c>
      <c r="AB2002" s="7">
        <v>3964.2891022999929</v>
      </c>
      <c r="AC2002" s="7">
        <v>0.84162597207185696</v>
      </c>
      <c r="AD2002" s="7">
        <v>-4734.7942000002131</v>
      </c>
      <c r="AE2002" s="7">
        <v>4710.2742000002127</v>
      </c>
    </row>
    <row r="2003" spans="2:31" ht="409.6" hidden="1" customHeight="1" x14ac:dyDescent="0.25"/>
    <row r="2004" spans="2:31" ht="85.75" customHeight="1" x14ac:dyDescent="0.25"/>
  </sheetData>
  <mergeCells count="6311">
    <mergeCell ref="B2:O2"/>
    <mergeCell ref="B4:O4"/>
    <mergeCell ref="B6:O6"/>
    <mergeCell ref="B9:J9"/>
    <mergeCell ref="H12:I12"/>
    <mergeCell ref="J12:AE12"/>
    <mergeCell ref="H13:I13"/>
    <mergeCell ref="J13:K13"/>
    <mergeCell ref="O13:P13"/>
    <mergeCell ref="B14:B1998"/>
    <mergeCell ref="C14:C98"/>
    <mergeCell ref="H14:I14"/>
    <mergeCell ref="J14:K14"/>
    <mergeCell ref="O14:P14"/>
    <mergeCell ref="H15:I15"/>
    <mergeCell ref="J15:K15"/>
    <mergeCell ref="O15:P15"/>
    <mergeCell ref="H16:I16"/>
    <mergeCell ref="J16:K16"/>
    <mergeCell ref="O16:P16"/>
    <mergeCell ref="H17:I17"/>
    <mergeCell ref="J17:K17"/>
    <mergeCell ref="O17:P17"/>
    <mergeCell ref="H18:I18"/>
    <mergeCell ref="J18:K18"/>
    <mergeCell ref="O18:P18"/>
    <mergeCell ref="H19:I19"/>
    <mergeCell ref="J19:K19"/>
    <mergeCell ref="O19:P19"/>
    <mergeCell ref="D20:D25"/>
    <mergeCell ref="H20:I20"/>
    <mergeCell ref="J20:K20"/>
    <mergeCell ref="O20:P20"/>
    <mergeCell ref="H21:I21"/>
    <mergeCell ref="J21:K21"/>
    <mergeCell ref="O21:P21"/>
    <mergeCell ref="H22:I22"/>
    <mergeCell ref="J22:K22"/>
    <mergeCell ref="O22:P22"/>
    <mergeCell ref="H23:I23"/>
    <mergeCell ref="J23:K23"/>
    <mergeCell ref="O23:P23"/>
    <mergeCell ref="H24:I24"/>
    <mergeCell ref="J24:K24"/>
    <mergeCell ref="O24:P24"/>
    <mergeCell ref="H25:I25"/>
    <mergeCell ref="J25:K25"/>
    <mergeCell ref="O25:P25"/>
    <mergeCell ref="D26:D35"/>
    <mergeCell ref="H26:I26"/>
    <mergeCell ref="J26:K26"/>
    <mergeCell ref="O26:P26"/>
    <mergeCell ref="H27:I27"/>
    <mergeCell ref="J27:K27"/>
    <mergeCell ref="O27:P27"/>
    <mergeCell ref="H28:I28"/>
    <mergeCell ref="J28:K28"/>
    <mergeCell ref="O28:P28"/>
    <mergeCell ref="H29:I29"/>
    <mergeCell ref="J29:K29"/>
    <mergeCell ref="O29:P29"/>
    <mergeCell ref="H30:I30"/>
    <mergeCell ref="J30:K30"/>
    <mergeCell ref="O30:P30"/>
    <mergeCell ref="H31:I31"/>
    <mergeCell ref="J31:K31"/>
    <mergeCell ref="O31:P31"/>
    <mergeCell ref="H32:I32"/>
    <mergeCell ref="J32:K32"/>
    <mergeCell ref="O32:P32"/>
    <mergeCell ref="H33:I33"/>
    <mergeCell ref="J33:K33"/>
    <mergeCell ref="O33:P33"/>
    <mergeCell ref="H34:I34"/>
    <mergeCell ref="J34:K34"/>
    <mergeCell ref="O34:P34"/>
    <mergeCell ref="H35:I35"/>
    <mergeCell ref="J35:K35"/>
    <mergeCell ref="O35:P35"/>
    <mergeCell ref="H36:I36"/>
    <mergeCell ref="J36:K36"/>
    <mergeCell ref="O36:P36"/>
    <mergeCell ref="D37:D40"/>
    <mergeCell ref="H37:I37"/>
    <mergeCell ref="J37:K37"/>
    <mergeCell ref="O37:P37"/>
    <mergeCell ref="H38:I38"/>
    <mergeCell ref="J38:K38"/>
    <mergeCell ref="O38:P38"/>
    <mergeCell ref="H39:I39"/>
    <mergeCell ref="J39:K39"/>
    <mergeCell ref="O39:P39"/>
    <mergeCell ref="H40:I40"/>
    <mergeCell ref="J40:K40"/>
    <mergeCell ref="O40:P40"/>
    <mergeCell ref="H41:I41"/>
    <mergeCell ref="J41:K41"/>
    <mergeCell ref="O41:P41"/>
    <mergeCell ref="H42:I42"/>
    <mergeCell ref="J42:K42"/>
    <mergeCell ref="O42:P42"/>
    <mergeCell ref="H43:I43"/>
    <mergeCell ref="J43:K43"/>
    <mergeCell ref="O43:P43"/>
    <mergeCell ref="H44:I44"/>
    <mergeCell ref="J44:K44"/>
    <mergeCell ref="O44:P44"/>
    <mergeCell ref="H45:I45"/>
    <mergeCell ref="J45:K45"/>
    <mergeCell ref="O45:P45"/>
    <mergeCell ref="H46:I46"/>
    <mergeCell ref="J46:K46"/>
    <mergeCell ref="O46:P46"/>
    <mergeCell ref="H47:I47"/>
    <mergeCell ref="J47:K47"/>
    <mergeCell ref="O47:P47"/>
    <mergeCell ref="H48:I48"/>
    <mergeCell ref="J48:K48"/>
    <mergeCell ref="O48:P48"/>
    <mergeCell ref="H49:I49"/>
    <mergeCell ref="J49:K49"/>
    <mergeCell ref="O49:P49"/>
    <mergeCell ref="H50:I50"/>
    <mergeCell ref="J50:K50"/>
    <mergeCell ref="O50:P50"/>
    <mergeCell ref="H51:I51"/>
    <mergeCell ref="J51:K51"/>
    <mergeCell ref="O51:P51"/>
    <mergeCell ref="D52:D53"/>
    <mergeCell ref="H52:I52"/>
    <mergeCell ref="J52:K52"/>
    <mergeCell ref="O52:P52"/>
    <mergeCell ref="H53:I53"/>
    <mergeCell ref="J53:K53"/>
    <mergeCell ref="O53:P53"/>
    <mergeCell ref="H54:I54"/>
    <mergeCell ref="J54:K54"/>
    <mergeCell ref="O54:P54"/>
    <mergeCell ref="H55:I55"/>
    <mergeCell ref="J55:K55"/>
    <mergeCell ref="O55:P55"/>
    <mergeCell ref="H56:I56"/>
    <mergeCell ref="J56:K56"/>
    <mergeCell ref="O56:P56"/>
    <mergeCell ref="D57:D58"/>
    <mergeCell ref="H57:I57"/>
    <mergeCell ref="J57:K57"/>
    <mergeCell ref="O57:P57"/>
    <mergeCell ref="H58:I58"/>
    <mergeCell ref="J58:K58"/>
    <mergeCell ref="O58:P58"/>
    <mergeCell ref="H59:I59"/>
    <mergeCell ref="J59:K59"/>
    <mergeCell ref="O59:P59"/>
    <mergeCell ref="H60:I60"/>
    <mergeCell ref="J60:K60"/>
    <mergeCell ref="O60:P60"/>
    <mergeCell ref="H61:I61"/>
    <mergeCell ref="J61:K61"/>
    <mergeCell ref="O61:P61"/>
    <mergeCell ref="H62:I62"/>
    <mergeCell ref="J62:K62"/>
    <mergeCell ref="O62:P62"/>
    <mergeCell ref="H63:I63"/>
    <mergeCell ref="J63:K63"/>
    <mergeCell ref="O63:P63"/>
    <mergeCell ref="H64:I64"/>
    <mergeCell ref="J64:K64"/>
    <mergeCell ref="O64:P64"/>
    <mergeCell ref="H65:I65"/>
    <mergeCell ref="J65:K65"/>
    <mergeCell ref="O65:P65"/>
    <mergeCell ref="H66:I66"/>
    <mergeCell ref="J66:K66"/>
    <mergeCell ref="O66:P66"/>
    <mergeCell ref="H67:I67"/>
    <mergeCell ref="J67:K67"/>
    <mergeCell ref="O67:P67"/>
    <mergeCell ref="H68:I68"/>
    <mergeCell ref="J68:K68"/>
    <mergeCell ref="O68:P68"/>
    <mergeCell ref="H69:I69"/>
    <mergeCell ref="J69:K69"/>
    <mergeCell ref="O69:P69"/>
    <mergeCell ref="H70:I70"/>
    <mergeCell ref="J70:K70"/>
    <mergeCell ref="O70:P70"/>
    <mergeCell ref="H71:I71"/>
    <mergeCell ref="J71:K71"/>
    <mergeCell ref="O71:P71"/>
    <mergeCell ref="H72:I72"/>
    <mergeCell ref="J72:K72"/>
    <mergeCell ref="O72:P72"/>
    <mergeCell ref="H73:I73"/>
    <mergeCell ref="J73:K73"/>
    <mergeCell ref="O73:P73"/>
    <mergeCell ref="H74:I74"/>
    <mergeCell ref="J74:K74"/>
    <mergeCell ref="O74:P74"/>
    <mergeCell ref="H75:I75"/>
    <mergeCell ref="J75:K75"/>
    <mergeCell ref="O75:P75"/>
    <mergeCell ref="H76:I76"/>
    <mergeCell ref="J76:K76"/>
    <mergeCell ref="O76:P76"/>
    <mergeCell ref="H77:I77"/>
    <mergeCell ref="J77:K77"/>
    <mergeCell ref="O77:P77"/>
    <mergeCell ref="H78:I78"/>
    <mergeCell ref="J78:K78"/>
    <mergeCell ref="O78:P78"/>
    <mergeCell ref="H79:I79"/>
    <mergeCell ref="J79:K79"/>
    <mergeCell ref="O79:P79"/>
    <mergeCell ref="H80:I80"/>
    <mergeCell ref="J80:K80"/>
    <mergeCell ref="O80:P80"/>
    <mergeCell ref="H81:I81"/>
    <mergeCell ref="J81:K81"/>
    <mergeCell ref="O81:P81"/>
    <mergeCell ref="H82:I82"/>
    <mergeCell ref="J82:K82"/>
    <mergeCell ref="O82:P82"/>
    <mergeCell ref="D83:D91"/>
    <mergeCell ref="H83:I83"/>
    <mergeCell ref="J83:K83"/>
    <mergeCell ref="O83:P83"/>
    <mergeCell ref="H84:I84"/>
    <mergeCell ref="J84:K84"/>
    <mergeCell ref="O84:P84"/>
    <mergeCell ref="H85:I85"/>
    <mergeCell ref="J85:K85"/>
    <mergeCell ref="O85:P85"/>
    <mergeCell ref="H86:I86"/>
    <mergeCell ref="J86:K86"/>
    <mergeCell ref="O86:P86"/>
    <mergeCell ref="H87:I87"/>
    <mergeCell ref="J87:K87"/>
    <mergeCell ref="O87:P87"/>
    <mergeCell ref="H88:I88"/>
    <mergeCell ref="J88:K88"/>
    <mergeCell ref="O88:P88"/>
    <mergeCell ref="H89:I89"/>
    <mergeCell ref="J89:K89"/>
    <mergeCell ref="O89:P89"/>
    <mergeCell ref="H90:I90"/>
    <mergeCell ref="J90:K90"/>
    <mergeCell ref="O90:P90"/>
    <mergeCell ref="H91:I91"/>
    <mergeCell ref="J91:K91"/>
    <mergeCell ref="O91:P91"/>
    <mergeCell ref="H92:I92"/>
    <mergeCell ref="J92:K92"/>
    <mergeCell ref="O92:P92"/>
    <mergeCell ref="D93:D96"/>
    <mergeCell ref="H93:I93"/>
    <mergeCell ref="J93:K93"/>
    <mergeCell ref="O93:P93"/>
    <mergeCell ref="H94:I94"/>
    <mergeCell ref="J94:K94"/>
    <mergeCell ref="O94:P94"/>
    <mergeCell ref="H95:I95"/>
    <mergeCell ref="J95:K95"/>
    <mergeCell ref="O95:P95"/>
    <mergeCell ref="H96:I96"/>
    <mergeCell ref="J96:K96"/>
    <mergeCell ref="O96:P96"/>
    <mergeCell ref="H97:I97"/>
    <mergeCell ref="J97:K97"/>
    <mergeCell ref="O97:P97"/>
    <mergeCell ref="H98:I98"/>
    <mergeCell ref="J98:K98"/>
    <mergeCell ref="O98:P98"/>
    <mergeCell ref="C99:C196"/>
    <mergeCell ref="H99:I99"/>
    <mergeCell ref="J99:K99"/>
    <mergeCell ref="O99:P99"/>
    <mergeCell ref="H100:I100"/>
    <mergeCell ref="J100:K100"/>
    <mergeCell ref="O100:P100"/>
    <mergeCell ref="H101:I101"/>
    <mergeCell ref="J101:K101"/>
    <mergeCell ref="O101:P101"/>
    <mergeCell ref="H102:I102"/>
    <mergeCell ref="J102:K102"/>
    <mergeCell ref="O102:P102"/>
    <mergeCell ref="H103:I103"/>
    <mergeCell ref="J103:K103"/>
    <mergeCell ref="O103:P103"/>
    <mergeCell ref="H104:I104"/>
    <mergeCell ref="J104:K104"/>
    <mergeCell ref="O104:P104"/>
    <mergeCell ref="H105:I105"/>
    <mergeCell ref="J105:K105"/>
    <mergeCell ref="O105:P105"/>
    <mergeCell ref="H106:I106"/>
    <mergeCell ref="J106:K106"/>
    <mergeCell ref="O106:P106"/>
    <mergeCell ref="H107:I107"/>
    <mergeCell ref="J107:K107"/>
    <mergeCell ref="O107:P107"/>
    <mergeCell ref="H108:I108"/>
    <mergeCell ref="J108:K108"/>
    <mergeCell ref="O108:P108"/>
    <mergeCell ref="H109:I109"/>
    <mergeCell ref="J109:K109"/>
    <mergeCell ref="O109:P109"/>
    <mergeCell ref="H110:I110"/>
    <mergeCell ref="J110:K110"/>
    <mergeCell ref="O110:P110"/>
    <mergeCell ref="H111:I111"/>
    <mergeCell ref="J111:K111"/>
    <mergeCell ref="O111:P111"/>
    <mergeCell ref="H112:I112"/>
    <mergeCell ref="J112:K112"/>
    <mergeCell ref="O112:P112"/>
    <mergeCell ref="H113:I113"/>
    <mergeCell ref="J113:K113"/>
    <mergeCell ref="O113:P113"/>
    <mergeCell ref="H114:I114"/>
    <mergeCell ref="J114:K114"/>
    <mergeCell ref="O114:P114"/>
    <mergeCell ref="D115:D117"/>
    <mergeCell ref="H115:I115"/>
    <mergeCell ref="J115:K115"/>
    <mergeCell ref="O115:P115"/>
    <mergeCell ref="H116:I116"/>
    <mergeCell ref="J116:K116"/>
    <mergeCell ref="O116:P116"/>
    <mergeCell ref="H117:I117"/>
    <mergeCell ref="J117:K117"/>
    <mergeCell ref="O117:P117"/>
    <mergeCell ref="D118:D119"/>
    <mergeCell ref="H118:I118"/>
    <mergeCell ref="J118:K118"/>
    <mergeCell ref="O118:P118"/>
    <mergeCell ref="H119:I119"/>
    <mergeCell ref="J119:K119"/>
    <mergeCell ref="O119:P119"/>
    <mergeCell ref="H120:I120"/>
    <mergeCell ref="J120:K120"/>
    <mergeCell ref="O120:P120"/>
    <mergeCell ref="H121:I121"/>
    <mergeCell ref="J121:K121"/>
    <mergeCell ref="O121:P121"/>
    <mergeCell ref="H122:I122"/>
    <mergeCell ref="J122:K122"/>
    <mergeCell ref="O122:P122"/>
    <mergeCell ref="H123:I123"/>
    <mergeCell ref="J123:K123"/>
    <mergeCell ref="O123:P123"/>
    <mergeCell ref="H124:I124"/>
    <mergeCell ref="J124:K124"/>
    <mergeCell ref="O124:P124"/>
    <mergeCell ref="H125:I125"/>
    <mergeCell ref="J125:K125"/>
    <mergeCell ref="O125:P125"/>
    <mergeCell ref="D126:D128"/>
    <mergeCell ref="H126:I126"/>
    <mergeCell ref="J126:K126"/>
    <mergeCell ref="O126:P126"/>
    <mergeCell ref="H127:I127"/>
    <mergeCell ref="J127:K127"/>
    <mergeCell ref="O127:P127"/>
    <mergeCell ref="H128:I128"/>
    <mergeCell ref="J128:K128"/>
    <mergeCell ref="O128:P128"/>
    <mergeCell ref="D129:D131"/>
    <mergeCell ref="H129:I129"/>
    <mergeCell ref="J129:K129"/>
    <mergeCell ref="O129:P129"/>
    <mergeCell ref="H130:I130"/>
    <mergeCell ref="J130:K130"/>
    <mergeCell ref="O130:P130"/>
    <mergeCell ref="H131:I131"/>
    <mergeCell ref="J131:K131"/>
    <mergeCell ref="O131:P131"/>
    <mergeCell ref="D132:D135"/>
    <mergeCell ref="H132:I132"/>
    <mergeCell ref="J132:K132"/>
    <mergeCell ref="O132:P132"/>
    <mergeCell ref="H133:I133"/>
    <mergeCell ref="J133:K133"/>
    <mergeCell ref="O133:P133"/>
    <mergeCell ref="H134:I134"/>
    <mergeCell ref="J134:K134"/>
    <mergeCell ref="O134:P134"/>
    <mergeCell ref="H135:I135"/>
    <mergeCell ref="J135:K135"/>
    <mergeCell ref="O135:P135"/>
    <mergeCell ref="H136:I136"/>
    <mergeCell ref="J136:K136"/>
    <mergeCell ref="O136:P136"/>
    <mergeCell ref="H137:I137"/>
    <mergeCell ref="J137:K137"/>
    <mergeCell ref="O137:P137"/>
    <mergeCell ref="H138:I138"/>
    <mergeCell ref="J138:K138"/>
    <mergeCell ref="O138:P138"/>
    <mergeCell ref="H139:I139"/>
    <mergeCell ref="J139:K139"/>
    <mergeCell ref="O139:P139"/>
    <mergeCell ref="H140:I140"/>
    <mergeCell ref="J140:K140"/>
    <mergeCell ref="O140:P140"/>
    <mergeCell ref="H141:I141"/>
    <mergeCell ref="J141:K141"/>
    <mergeCell ref="O141:P141"/>
    <mergeCell ref="H142:I142"/>
    <mergeCell ref="J142:K142"/>
    <mergeCell ref="O142:P142"/>
    <mergeCell ref="H143:I143"/>
    <mergeCell ref="J143:K143"/>
    <mergeCell ref="O143:P143"/>
    <mergeCell ref="D144:D148"/>
    <mergeCell ref="H144:I144"/>
    <mergeCell ref="J144:K144"/>
    <mergeCell ref="O144:P144"/>
    <mergeCell ref="H145:I145"/>
    <mergeCell ref="J145:K145"/>
    <mergeCell ref="O145:P145"/>
    <mergeCell ref="H146:I146"/>
    <mergeCell ref="J146:K146"/>
    <mergeCell ref="O146:P146"/>
    <mergeCell ref="H147:I147"/>
    <mergeCell ref="J147:K147"/>
    <mergeCell ref="O147:P147"/>
    <mergeCell ref="H148:I148"/>
    <mergeCell ref="J148:K148"/>
    <mergeCell ref="O148:P148"/>
    <mergeCell ref="H149:I149"/>
    <mergeCell ref="J149:K149"/>
    <mergeCell ref="O149:P149"/>
    <mergeCell ref="D150:D151"/>
    <mergeCell ref="H150:I150"/>
    <mergeCell ref="J150:K150"/>
    <mergeCell ref="O150:P150"/>
    <mergeCell ref="H151:I151"/>
    <mergeCell ref="J151:K151"/>
    <mergeCell ref="O151:P151"/>
    <mergeCell ref="H152:I152"/>
    <mergeCell ref="J152:K152"/>
    <mergeCell ref="O152:P152"/>
    <mergeCell ref="D153:D155"/>
    <mergeCell ref="H153:I153"/>
    <mergeCell ref="J153:K153"/>
    <mergeCell ref="O153:P153"/>
    <mergeCell ref="H154:I154"/>
    <mergeCell ref="J154:K154"/>
    <mergeCell ref="O154:P154"/>
    <mergeCell ref="H155:I155"/>
    <mergeCell ref="J155:K155"/>
    <mergeCell ref="O155:P155"/>
    <mergeCell ref="D156:D160"/>
    <mergeCell ref="H156:I156"/>
    <mergeCell ref="J156:K156"/>
    <mergeCell ref="O156:P156"/>
    <mergeCell ref="H157:I157"/>
    <mergeCell ref="J157:K157"/>
    <mergeCell ref="O157:P157"/>
    <mergeCell ref="H158:I158"/>
    <mergeCell ref="J158:K158"/>
    <mergeCell ref="O158:P158"/>
    <mergeCell ref="H159:I159"/>
    <mergeCell ref="J159:K159"/>
    <mergeCell ref="O159:P159"/>
    <mergeCell ref="H160:I160"/>
    <mergeCell ref="J160:K160"/>
    <mergeCell ref="O160:P160"/>
    <mergeCell ref="D161:D163"/>
    <mergeCell ref="H161:I161"/>
    <mergeCell ref="J161:K161"/>
    <mergeCell ref="O161:P161"/>
    <mergeCell ref="H162:I162"/>
    <mergeCell ref="J162:K162"/>
    <mergeCell ref="O162:P162"/>
    <mergeCell ref="H163:I163"/>
    <mergeCell ref="J163:K163"/>
    <mergeCell ref="O163:P163"/>
    <mergeCell ref="H164:I164"/>
    <mergeCell ref="J164:K164"/>
    <mergeCell ref="O164:P164"/>
    <mergeCell ref="D165:D167"/>
    <mergeCell ref="H165:I165"/>
    <mergeCell ref="J165:K165"/>
    <mergeCell ref="O165:P165"/>
    <mergeCell ref="H166:I166"/>
    <mergeCell ref="J166:K166"/>
    <mergeCell ref="O166:P166"/>
    <mergeCell ref="H167:I167"/>
    <mergeCell ref="J167:K167"/>
    <mergeCell ref="O167:P167"/>
    <mergeCell ref="D168:D171"/>
    <mergeCell ref="H168:I168"/>
    <mergeCell ref="J168:K168"/>
    <mergeCell ref="O168:P168"/>
    <mergeCell ref="H169:I169"/>
    <mergeCell ref="J169:K169"/>
    <mergeCell ref="O169:P169"/>
    <mergeCell ref="H170:I170"/>
    <mergeCell ref="J170:K170"/>
    <mergeCell ref="O170:P170"/>
    <mergeCell ref="H171:I171"/>
    <mergeCell ref="J171:K171"/>
    <mergeCell ref="O171:P171"/>
    <mergeCell ref="H172:I172"/>
    <mergeCell ref="J172:K172"/>
    <mergeCell ref="O172:P172"/>
    <mergeCell ref="H173:I173"/>
    <mergeCell ref="J173:K173"/>
    <mergeCell ref="O173:P173"/>
    <mergeCell ref="H174:I174"/>
    <mergeCell ref="J174:K174"/>
    <mergeCell ref="O174:P174"/>
    <mergeCell ref="H175:I175"/>
    <mergeCell ref="J175:K175"/>
    <mergeCell ref="O175:P175"/>
    <mergeCell ref="H176:I176"/>
    <mergeCell ref="J176:K176"/>
    <mergeCell ref="O176:P176"/>
    <mergeCell ref="H177:I177"/>
    <mergeCell ref="J177:K177"/>
    <mergeCell ref="O177:P177"/>
    <mergeCell ref="H178:I178"/>
    <mergeCell ref="J178:K178"/>
    <mergeCell ref="O178:P178"/>
    <mergeCell ref="H179:I179"/>
    <mergeCell ref="J179:K179"/>
    <mergeCell ref="O179:P179"/>
    <mergeCell ref="H180:I180"/>
    <mergeCell ref="J180:K180"/>
    <mergeCell ref="O180:P180"/>
    <mergeCell ref="H181:I181"/>
    <mergeCell ref="J181:K181"/>
    <mergeCell ref="O181:P181"/>
    <mergeCell ref="H182:I182"/>
    <mergeCell ref="J182:K182"/>
    <mergeCell ref="O182:P182"/>
    <mergeCell ref="H183:I183"/>
    <mergeCell ref="J183:K183"/>
    <mergeCell ref="O183:P183"/>
    <mergeCell ref="H184:I184"/>
    <mergeCell ref="J184:K184"/>
    <mergeCell ref="O184:P184"/>
    <mergeCell ref="H185:I185"/>
    <mergeCell ref="J185:K185"/>
    <mergeCell ref="O185:P185"/>
    <mergeCell ref="H186:I186"/>
    <mergeCell ref="J186:K186"/>
    <mergeCell ref="O186:P186"/>
    <mergeCell ref="H187:I187"/>
    <mergeCell ref="J187:K187"/>
    <mergeCell ref="O187:P187"/>
    <mergeCell ref="H188:I188"/>
    <mergeCell ref="J188:K188"/>
    <mergeCell ref="O188:P188"/>
    <mergeCell ref="H189:I189"/>
    <mergeCell ref="J189:K189"/>
    <mergeCell ref="O189:P189"/>
    <mergeCell ref="H190:I190"/>
    <mergeCell ref="J190:K190"/>
    <mergeCell ref="O190:P190"/>
    <mergeCell ref="H191:I191"/>
    <mergeCell ref="J191:K191"/>
    <mergeCell ref="O191:P191"/>
    <mergeCell ref="H192:I192"/>
    <mergeCell ref="J192:K192"/>
    <mergeCell ref="O192:P192"/>
    <mergeCell ref="H193:I193"/>
    <mergeCell ref="J193:K193"/>
    <mergeCell ref="O193:P193"/>
    <mergeCell ref="D194:D196"/>
    <mergeCell ref="E194:E196"/>
    <mergeCell ref="F194:F196"/>
    <mergeCell ref="G194:G196"/>
    <mergeCell ref="H194:I194"/>
    <mergeCell ref="J194:K194"/>
    <mergeCell ref="O194:P194"/>
    <mergeCell ref="H195:I195"/>
    <mergeCell ref="J195:K195"/>
    <mergeCell ref="O195:P195"/>
    <mergeCell ref="H196:I196"/>
    <mergeCell ref="J196:K196"/>
    <mergeCell ref="O196:P196"/>
    <mergeCell ref="C197:C289"/>
    <mergeCell ref="H197:I197"/>
    <mergeCell ref="J197:K197"/>
    <mergeCell ref="O197:P197"/>
    <mergeCell ref="H198:I198"/>
    <mergeCell ref="J198:K198"/>
    <mergeCell ref="O198:P198"/>
    <mergeCell ref="H199:I199"/>
    <mergeCell ref="J199:K199"/>
    <mergeCell ref="O199:P199"/>
    <mergeCell ref="H200:I200"/>
    <mergeCell ref="J200:K200"/>
    <mergeCell ref="O200:P200"/>
    <mergeCell ref="H201:I201"/>
    <mergeCell ref="J201:K201"/>
    <mergeCell ref="O201:P201"/>
    <mergeCell ref="H202:I202"/>
    <mergeCell ref="J202:K202"/>
    <mergeCell ref="O202:P202"/>
    <mergeCell ref="H203:I203"/>
    <mergeCell ref="J203:K203"/>
    <mergeCell ref="O203:P203"/>
    <mergeCell ref="H204:I204"/>
    <mergeCell ref="J204:K204"/>
    <mergeCell ref="O204:P204"/>
    <mergeCell ref="H205:I205"/>
    <mergeCell ref="J205:K205"/>
    <mergeCell ref="O205:P205"/>
    <mergeCell ref="H206:I206"/>
    <mergeCell ref="J206:K206"/>
    <mergeCell ref="O206:P206"/>
    <mergeCell ref="H207:I207"/>
    <mergeCell ref="J207:K207"/>
    <mergeCell ref="O207:P207"/>
    <mergeCell ref="H208:I208"/>
    <mergeCell ref="J208:K208"/>
    <mergeCell ref="O208:P208"/>
    <mergeCell ref="H209:I209"/>
    <mergeCell ref="J209:K209"/>
    <mergeCell ref="O209:P209"/>
    <mergeCell ref="H210:I210"/>
    <mergeCell ref="J210:K210"/>
    <mergeCell ref="O210:P210"/>
    <mergeCell ref="H211:I211"/>
    <mergeCell ref="J211:K211"/>
    <mergeCell ref="O211:P211"/>
    <mergeCell ref="H212:I212"/>
    <mergeCell ref="J212:K212"/>
    <mergeCell ref="O212:P212"/>
    <mergeCell ref="H213:I213"/>
    <mergeCell ref="J213:K213"/>
    <mergeCell ref="O213:P213"/>
    <mergeCell ref="H214:I214"/>
    <mergeCell ref="J214:K214"/>
    <mergeCell ref="O214:P214"/>
    <mergeCell ref="H215:I215"/>
    <mergeCell ref="J215:K215"/>
    <mergeCell ref="O215:P215"/>
    <mergeCell ref="H216:I216"/>
    <mergeCell ref="J216:K216"/>
    <mergeCell ref="O216:P216"/>
    <mergeCell ref="H217:I217"/>
    <mergeCell ref="J217:K217"/>
    <mergeCell ref="O217:P217"/>
    <mergeCell ref="H218:I218"/>
    <mergeCell ref="J218:K218"/>
    <mergeCell ref="O218:P218"/>
    <mergeCell ref="H219:I219"/>
    <mergeCell ref="J219:K219"/>
    <mergeCell ref="O219:P219"/>
    <mergeCell ref="D220:D221"/>
    <mergeCell ref="H220:I220"/>
    <mergeCell ref="J220:K220"/>
    <mergeCell ref="O220:P220"/>
    <mergeCell ref="H221:I221"/>
    <mergeCell ref="J221:K221"/>
    <mergeCell ref="O221:P221"/>
    <mergeCell ref="H222:I222"/>
    <mergeCell ref="J222:K222"/>
    <mergeCell ref="O222:P222"/>
    <mergeCell ref="D223:D225"/>
    <mergeCell ref="H223:I223"/>
    <mergeCell ref="J223:K223"/>
    <mergeCell ref="O223:P223"/>
    <mergeCell ref="H224:I224"/>
    <mergeCell ref="J224:K224"/>
    <mergeCell ref="O224:P224"/>
    <mergeCell ref="H225:I225"/>
    <mergeCell ref="J225:K225"/>
    <mergeCell ref="O225:P225"/>
    <mergeCell ref="H226:I226"/>
    <mergeCell ref="J226:K226"/>
    <mergeCell ref="O226:P226"/>
    <mergeCell ref="H227:I227"/>
    <mergeCell ref="J227:K227"/>
    <mergeCell ref="O227:P227"/>
    <mergeCell ref="H228:I228"/>
    <mergeCell ref="J228:K228"/>
    <mergeCell ref="O228:P228"/>
    <mergeCell ref="H229:I229"/>
    <mergeCell ref="J229:K229"/>
    <mergeCell ref="O229:P229"/>
    <mergeCell ref="D230:D235"/>
    <mergeCell ref="H230:I230"/>
    <mergeCell ref="J230:K230"/>
    <mergeCell ref="O230:P230"/>
    <mergeCell ref="H231:I231"/>
    <mergeCell ref="J231:K231"/>
    <mergeCell ref="O231:P231"/>
    <mergeCell ref="H232:I232"/>
    <mergeCell ref="J232:K232"/>
    <mergeCell ref="O232:P232"/>
    <mergeCell ref="H233:I233"/>
    <mergeCell ref="J233:K233"/>
    <mergeCell ref="O233:P233"/>
    <mergeCell ref="H234:I234"/>
    <mergeCell ref="J234:K234"/>
    <mergeCell ref="O234:P234"/>
    <mergeCell ref="H235:I235"/>
    <mergeCell ref="J235:K235"/>
    <mergeCell ref="O235:P235"/>
    <mergeCell ref="H236:I236"/>
    <mergeCell ref="J236:K236"/>
    <mergeCell ref="O236:P236"/>
    <mergeCell ref="H237:I237"/>
    <mergeCell ref="J237:K237"/>
    <mergeCell ref="O237:P237"/>
    <mergeCell ref="D238:D239"/>
    <mergeCell ref="H238:I238"/>
    <mergeCell ref="J238:K238"/>
    <mergeCell ref="O238:P238"/>
    <mergeCell ref="H239:I239"/>
    <mergeCell ref="J239:K239"/>
    <mergeCell ref="O239:P239"/>
    <mergeCell ref="D240:D241"/>
    <mergeCell ref="H240:I240"/>
    <mergeCell ref="J240:K240"/>
    <mergeCell ref="O240:P240"/>
    <mergeCell ref="H241:I241"/>
    <mergeCell ref="J241:K241"/>
    <mergeCell ref="O241:P241"/>
    <mergeCell ref="D242:D243"/>
    <mergeCell ref="H242:I242"/>
    <mergeCell ref="J242:K242"/>
    <mergeCell ref="O242:P242"/>
    <mergeCell ref="H243:I243"/>
    <mergeCell ref="J243:K243"/>
    <mergeCell ref="O243:P243"/>
    <mergeCell ref="H244:I244"/>
    <mergeCell ref="J244:K244"/>
    <mergeCell ref="O244:P244"/>
    <mergeCell ref="H245:I245"/>
    <mergeCell ref="J245:K245"/>
    <mergeCell ref="O245:P245"/>
    <mergeCell ref="D246:D252"/>
    <mergeCell ref="H246:I246"/>
    <mergeCell ref="J246:K246"/>
    <mergeCell ref="O246:P246"/>
    <mergeCell ref="H247:I247"/>
    <mergeCell ref="J247:K247"/>
    <mergeCell ref="O247:P247"/>
    <mergeCell ref="H248:I248"/>
    <mergeCell ref="J248:K248"/>
    <mergeCell ref="O248:P248"/>
    <mergeCell ref="H249:I249"/>
    <mergeCell ref="J249:K249"/>
    <mergeCell ref="O249:P249"/>
    <mergeCell ref="H250:I250"/>
    <mergeCell ref="J250:K250"/>
    <mergeCell ref="O250:P250"/>
    <mergeCell ref="H251:I251"/>
    <mergeCell ref="J251:K251"/>
    <mergeCell ref="O251:P251"/>
    <mergeCell ref="H252:I252"/>
    <mergeCell ref="J252:K252"/>
    <mergeCell ref="O252:P252"/>
    <mergeCell ref="H253:I253"/>
    <mergeCell ref="J253:K253"/>
    <mergeCell ref="O253:P253"/>
    <mergeCell ref="D254:D256"/>
    <mergeCell ref="H254:I254"/>
    <mergeCell ref="J254:K254"/>
    <mergeCell ref="O254:P254"/>
    <mergeCell ref="H255:I255"/>
    <mergeCell ref="J255:K255"/>
    <mergeCell ref="O255:P255"/>
    <mergeCell ref="H256:I256"/>
    <mergeCell ref="J256:K256"/>
    <mergeCell ref="O256:P256"/>
    <mergeCell ref="H257:I257"/>
    <mergeCell ref="J257:K257"/>
    <mergeCell ref="O257:P257"/>
    <mergeCell ref="H258:I258"/>
    <mergeCell ref="J258:K258"/>
    <mergeCell ref="O258:P258"/>
    <mergeCell ref="H259:I259"/>
    <mergeCell ref="J259:K259"/>
    <mergeCell ref="O259:P259"/>
    <mergeCell ref="H260:I260"/>
    <mergeCell ref="J260:K260"/>
    <mergeCell ref="O260:P260"/>
    <mergeCell ref="H261:I261"/>
    <mergeCell ref="J261:K261"/>
    <mergeCell ref="O261:P261"/>
    <mergeCell ref="H262:I262"/>
    <mergeCell ref="J262:K262"/>
    <mergeCell ref="O262:P262"/>
    <mergeCell ref="H263:I263"/>
    <mergeCell ref="J263:K263"/>
    <mergeCell ref="O263:P263"/>
    <mergeCell ref="H264:I264"/>
    <mergeCell ref="J264:K264"/>
    <mergeCell ref="O264:P264"/>
    <mergeCell ref="H265:I265"/>
    <mergeCell ref="J265:K265"/>
    <mergeCell ref="O265:P265"/>
    <mergeCell ref="H266:I266"/>
    <mergeCell ref="J266:K266"/>
    <mergeCell ref="O266:P266"/>
    <mergeCell ref="D267:D270"/>
    <mergeCell ref="H267:I267"/>
    <mergeCell ref="J267:K267"/>
    <mergeCell ref="O267:P267"/>
    <mergeCell ref="H268:I268"/>
    <mergeCell ref="J268:K268"/>
    <mergeCell ref="O268:P268"/>
    <mergeCell ref="H269:I269"/>
    <mergeCell ref="J269:K269"/>
    <mergeCell ref="O269:P269"/>
    <mergeCell ref="H270:I270"/>
    <mergeCell ref="J270:K270"/>
    <mergeCell ref="O270:P270"/>
    <mergeCell ref="H271:I271"/>
    <mergeCell ref="J271:K271"/>
    <mergeCell ref="O271:P271"/>
    <mergeCell ref="H272:I272"/>
    <mergeCell ref="J272:K272"/>
    <mergeCell ref="O272:P272"/>
    <mergeCell ref="D273:D274"/>
    <mergeCell ref="H273:I273"/>
    <mergeCell ref="J273:K273"/>
    <mergeCell ref="O273:P273"/>
    <mergeCell ref="H274:I274"/>
    <mergeCell ref="J274:K274"/>
    <mergeCell ref="O274:P274"/>
    <mergeCell ref="H275:I275"/>
    <mergeCell ref="J275:K275"/>
    <mergeCell ref="O275:P275"/>
    <mergeCell ref="H276:I276"/>
    <mergeCell ref="J276:K276"/>
    <mergeCell ref="O276:P276"/>
    <mergeCell ref="H277:I277"/>
    <mergeCell ref="J277:K277"/>
    <mergeCell ref="O277:P277"/>
    <mergeCell ref="H278:I278"/>
    <mergeCell ref="J278:K278"/>
    <mergeCell ref="O278:P278"/>
    <mergeCell ref="H279:I279"/>
    <mergeCell ref="J279:K279"/>
    <mergeCell ref="O279:P279"/>
    <mergeCell ref="H280:I280"/>
    <mergeCell ref="J280:K280"/>
    <mergeCell ref="O280:P280"/>
    <mergeCell ref="H281:I281"/>
    <mergeCell ref="J281:K281"/>
    <mergeCell ref="O281:P281"/>
    <mergeCell ref="H282:I282"/>
    <mergeCell ref="J282:K282"/>
    <mergeCell ref="O282:P282"/>
    <mergeCell ref="H283:I283"/>
    <mergeCell ref="J283:K283"/>
    <mergeCell ref="O283:P283"/>
    <mergeCell ref="H284:I284"/>
    <mergeCell ref="J284:K284"/>
    <mergeCell ref="O284:P284"/>
    <mergeCell ref="H285:I285"/>
    <mergeCell ref="J285:K285"/>
    <mergeCell ref="O285:P285"/>
    <mergeCell ref="D286:D289"/>
    <mergeCell ref="E286:E289"/>
    <mergeCell ref="F286:F289"/>
    <mergeCell ref="G286:G289"/>
    <mergeCell ref="H286:I286"/>
    <mergeCell ref="J286:K286"/>
    <mergeCell ref="O286:P286"/>
    <mergeCell ref="H287:I287"/>
    <mergeCell ref="J287:K287"/>
    <mergeCell ref="O287:P287"/>
    <mergeCell ref="H288:I288"/>
    <mergeCell ref="J288:K288"/>
    <mergeCell ref="O288:P288"/>
    <mergeCell ref="H289:I289"/>
    <mergeCell ref="J289:K289"/>
    <mergeCell ref="O289:P289"/>
    <mergeCell ref="C290:C386"/>
    <mergeCell ref="H290:I290"/>
    <mergeCell ref="J290:K290"/>
    <mergeCell ref="O290:P290"/>
    <mergeCell ref="H291:I291"/>
    <mergeCell ref="J291:K291"/>
    <mergeCell ref="O291:P291"/>
    <mergeCell ref="H292:I292"/>
    <mergeCell ref="J292:K292"/>
    <mergeCell ref="O292:P292"/>
    <mergeCell ref="H293:I293"/>
    <mergeCell ref="J293:K293"/>
    <mergeCell ref="O293:P293"/>
    <mergeCell ref="D294:D303"/>
    <mergeCell ref="H294:I294"/>
    <mergeCell ref="J294:K294"/>
    <mergeCell ref="O294:P294"/>
    <mergeCell ref="H295:I295"/>
    <mergeCell ref="J295:K295"/>
    <mergeCell ref="O295:P295"/>
    <mergeCell ref="H296:I296"/>
    <mergeCell ref="J296:K296"/>
    <mergeCell ref="O296:P296"/>
    <mergeCell ref="H297:I297"/>
    <mergeCell ref="J297:K297"/>
    <mergeCell ref="O297:P297"/>
    <mergeCell ref="H298:I298"/>
    <mergeCell ref="J298:K298"/>
    <mergeCell ref="O298:P298"/>
    <mergeCell ref="H299:I299"/>
    <mergeCell ref="J299:K299"/>
    <mergeCell ref="O299:P299"/>
    <mergeCell ref="H300:I300"/>
    <mergeCell ref="J300:K300"/>
    <mergeCell ref="O300:P300"/>
    <mergeCell ref="H301:I301"/>
    <mergeCell ref="J301:K301"/>
    <mergeCell ref="O301:P301"/>
    <mergeCell ref="H302:I302"/>
    <mergeCell ref="J302:K302"/>
    <mergeCell ref="O302:P302"/>
    <mergeCell ref="H303:I303"/>
    <mergeCell ref="J303:K303"/>
    <mergeCell ref="O303:P303"/>
    <mergeCell ref="H304:I304"/>
    <mergeCell ref="J304:K304"/>
    <mergeCell ref="O304:P304"/>
    <mergeCell ref="H305:I305"/>
    <mergeCell ref="J305:K305"/>
    <mergeCell ref="O305:P305"/>
    <mergeCell ref="H306:I306"/>
    <mergeCell ref="J306:K306"/>
    <mergeCell ref="O306:P306"/>
    <mergeCell ref="H307:I307"/>
    <mergeCell ref="J307:K307"/>
    <mergeCell ref="O307:P307"/>
    <mergeCell ref="H308:I308"/>
    <mergeCell ref="J308:K308"/>
    <mergeCell ref="O308:P308"/>
    <mergeCell ref="H309:I309"/>
    <mergeCell ref="J309:K309"/>
    <mergeCell ref="O309:P309"/>
    <mergeCell ref="H310:I310"/>
    <mergeCell ref="J310:K310"/>
    <mergeCell ref="O310:P310"/>
    <mergeCell ref="H311:I311"/>
    <mergeCell ref="J311:K311"/>
    <mergeCell ref="O311:P311"/>
    <mergeCell ref="H312:I312"/>
    <mergeCell ref="J312:K312"/>
    <mergeCell ref="O312:P312"/>
    <mergeCell ref="H313:I313"/>
    <mergeCell ref="J313:K313"/>
    <mergeCell ref="O313:P313"/>
    <mergeCell ref="D314:D317"/>
    <mergeCell ref="H314:I314"/>
    <mergeCell ref="J314:K314"/>
    <mergeCell ref="O314:P314"/>
    <mergeCell ref="H315:I315"/>
    <mergeCell ref="J315:K315"/>
    <mergeCell ref="O315:P315"/>
    <mergeCell ref="H316:I316"/>
    <mergeCell ref="J316:K316"/>
    <mergeCell ref="O316:P316"/>
    <mergeCell ref="H317:I317"/>
    <mergeCell ref="J317:K317"/>
    <mergeCell ref="O317:P317"/>
    <mergeCell ref="H318:I318"/>
    <mergeCell ref="J318:K318"/>
    <mergeCell ref="O318:P318"/>
    <mergeCell ref="H319:I319"/>
    <mergeCell ref="J319:K319"/>
    <mergeCell ref="O319:P319"/>
    <mergeCell ref="D320:D321"/>
    <mergeCell ref="H320:I320"/>
    <mergeCell ref="J320:K320"/>
    <mergeCell ref="O320:P320"/>
    <mergeCell ref="H321:I321"/>
    <mergeCell ref="J321:K321"/>
    <mergeCell ref="O321:P321"/>
    <mergeCell ref="H322:I322"/>
    <mergeCell ref="J322:K322"/>
    <mergeCell ref="O322:P322"/>
    <mergeCell ref="H323:I323"/>
    <mergeCell ref="J323:K323"/>
    <mergeCell ref="O323:P323"/>
    <mergeCell ref="H324:I324"/>
    <mergeCell ref="J324:K324"/>
    <mergeCell ref="O324:P324"/>
    <mergeCell ref="H325:I325"/>
    <mergeCell ref="J325:K325"/>
    <mergeCell ref="O325:P325"/>
    <mergeCell ref="H326:I326"/>
    <mergeCell ref="J326:K326"/>
    <mergeCell ref="O326:P326"/>
    <mergeCell ref="H327:I327"/>
    <mergeCell ref="J327:K327"/>
    <mergeCell ref="O327:P327"/>
    <mergeCell ref="H328:I328"/>
    <mergeCell ref="J328:K328"/>
    <mergeCell ref="O328:P328"/>
    <mergeCell ref="H329:I329"/>
    <mergeCell ref="J329:K329"/>
    <mergeCell ref="O329:P329"/>
    <mergeCell ref="D330:D331"/>
    <mergeCell ref="H330:I330"/>
    <mergeCell ref="J330:K330"/>
    <mergeCell ref="O330:P330"/>
    <mergeCell ref="H331:I331"/>
    <mergeCell ref="J331:K331"/>
    <mergeCell ref="O331:P331"/>
    <mergeCell ref="D332:D333"/>
    <mergeCell ref="H332:I332"/>
    <mergeCell ref="J332:K332"/>
    <mergeCell ref="O332:P332"/>
    <mergeCell ref="H333:I333"/>
    <mergeCell ref="J333:K333"/>
    <mergeCell ref="O333:P333"/>
    <mergeCell ref="D334:D336"/>
    <mergeCell ref="H334:I334"/>
    <mergeCell ref="J334:K334"/>
    <mergeCell ref="O334:P334"/>
    <mergeCell ref="H335:I335"/>
    <mergeCell ref="J335:K335"/>
    <mergeCell ref="O335:P335"/>
    <mergeCell ref="H336:I336"/>
    <mergeCell ref="J336:K336"/>
    <mergeCell ref="O336:P336"/>
    <mergeCell ref="D337:D339"/>
    <mergeCell ref="H337:I337"/>
    <mergeCell ref="J337:K337"/>
    <mergeCell ref="O337:P337"/>
    <mergeCell ref="H338:I338"/>
    <mergeCell ref="J338:K338"/>
    <mergeCell ref="O338:P338"/>
    <mergeCell ref="H339:I339"/>
    <mergeCell ref="J339:K339"/>
    <mergeCell ref="O339:P339"/>
    <mergeCell ref="H340:I340"/>
    <mergeCell ref="J340:K340"/>
    <mergeCell ref="O340:P340"/>
    <mergeCell ref="H341:I341"/>
    <mergeCell ref="J341:K341"/>
    <mergeCell ref="O341:P341"/>
    <mergeCell ref="H342:I342"/>
    <mergeCell ref="J342:K342"/>
    <mergeCell ref="O342:P342"/>
    <mergeCell ref="H343:I343"/>
    <mergeCell ref="J343:K343"/>
    <mergeCell ref="O343:P343"/>
    <mergeCell ref="H344:I344"/>
    <mergeCell ref="J344:K344"/>
    <mergeCell ref="O344:P344"/>
    <mergeCell ref="H345:I345"/>
    <mergeCell ref="J345:K345"/>
    <mergeCell ref="O345:P345"/>
    <mergeCell ref="H346:I346"/>
    <mergeCell ref="J346:K346"/>
    <mergeCell ref="O346:P346"/>
    <mergeCell ref="H347:I347"/>
    <mergeCell ref="J347:K347"/>
    <mergeCell ref="O347:P347"/>
    <mergeCell ref="H348:I348"/>
    <mergeCell ref="J348:K348"/>
    <mergeCell ref="O348:P348"/>
    <mergeCell ref="H349:I349"/>
    <mergeCell ref="J349:K349"/>
    <mergeCell ref="O349:P349"/>
    <mergeCell ref="H350:I350"/>
    <mergeCell ref="J350:K350"/>
    <mergeCell ref="O350:P350"/>
    <mergeCell ref="H351:I351"/>
    <mergeCell ref="J351:K351"/>
    <mergeCell ref="O351:P351"/>
    <mergeCell ref="H352:I352"/>
    <mergeCell ref="J352:K352"/>
    <mergeCell ref="O352:P352"/>
    <mergeCell ref="H353:I353"/>
    <mergeCell ref="J353:K353"/>
    <mergeCell ref="O353:P353"/>
    <mergeCell ref="H354:I354"/>
    <mergeCell ref="J354:K354"/>
    <mergeCell ref="O354:P354"/>
    <mergeCell ref="H355:I355"/>
    <mergeCell ref="J355:K355"/>
    <mergeCell ref="O355:P355"/>
    <mergeCell ref="H356:I356"/>
    <mergeCell ref="J356:K356"/>
    <mergeCell ref="O356:P356"/>
    <mergeCell ref="H357:I357"/>
    <mergeCell ref="J357:K357"/>
    <mergeCell ref="O357:P357"/>
    <mergeCell ref="H358:I358"/>
    <mergeCell ref="J358:K358"/>
    <mergeCell ref="O358:P358"/>
    <mergeCell ref="H359:I359"/>
    <mergeCell ref="J359:K359"/>
    <mergeCell ref="O359:P359"/>
    <mergeCell ref="H360:I360"/>
    <mergeCell ref="J360:K360"/>
    <mergeCell ref="O360:P360"/>
    <mergeCell ref="H361:I361"/>
    <mergeCell ref="J361:K361"/>
    <mergeCell ref="O361:P361"/>
    <mergeCell ref="H362:I362"/>
    <mergeCell ref="J362:K362"/>
    <mergeCell ref="O362:P362"/>
    <mergeCell ref="H363:I363"/>
    <mergeCell ref="J363:K363"/>
    <mergeCell ref="O363:P363"/>
    <mergeCell ref="H364:I364"/>
    <mergeCell ref="J364:K364"/>
    <mergeCell ref="O364:P364"/>
    <mergeCell ref="D365:D369"/>
    <mergeCell ref="H365:I365"/>
    <mergeCell ref="J365:K365"/>
    <mergeCell ref="O365:P365"/>
    <mergeCell ref="H366:I366"/>
    <mergeCell ref="J366:K366"/>
    <mergeCell ref="O366:P366"/>
    <mergeCell ref="H367:I367"/>
    <mergeCell ref="J367:K367"/>
    <mergeCell ref="O367:P367"/>
    <mergeCell ref="H368:I368"/>
    <mergeCell ref="J368:K368"/>
    <mergeCell ref="O368:P368"/>
    <mergeCell ref="H369:I369"/>
    <mergeCell ref="J369:K369"/>
    <mergeCell ref="O369:P369"/>
    <mergeCell ref="D370:D373"/>
    <mergeCell ref="H370:I370"/>
    <mergeCell ref="J370:K370"/>
    <mergeCell ref="O370:P370"/>
    <mergeCell ref="H371:I371"/>
    <mergeCell ref="J371:K371"/>
    <mergeCell ref="O371:P371"/>
    <mergeCell ref="H372:I372"/>
    <mergeCell ref="J372:K372"/>
    <mergeCell ref="O372:P372"/>
    <mergeCell ref="H373:I373"/>
    <mergeCell ref="J373:K373"/>
    <mergeCell ref="O373:P373"/>
    <mergeCell ref="H374:I374"/>
    <mergeCell ref="J374:K374"/>
    <mergeCell ref="O374:P374"/>
    <mergeCell ref="H375:I375"/>
    <mergeCell ref="J375:K375"/>
    <mergeCell ref="O375:P375"/>
    <mergeCell ref="H376:I376"/>
    <mergeCell ref="J376:K376"/>
    <mergeCell ref="O376:P376"/>
    <mergeCell ref="H377:I377"/>
    <mergeCell ref="J377:K377"/>
    <mergeCell ref="O377:P377"/>
    <mergeCell ref="H378:I378"/>
    <mergeCell ref="J378:K378"/>
    <mergeCell ref="O378:P378"/>
    <mergeCell ref="H379:I379"/>
    <mergeCell ref="J379:K379"/>
    <mergeCell ref="O379:P379"/>
    <mergeCell ref="H380:I380"/>
    <mergeCell ref="J380:K380"/>
    <mergeCell ref="O380:P380"/>
    <mergeCell ref="H381:I381"/>
    <mergeCell ref="J381:K381"/>
    <mergeCell ref="O381:P381"/>
    <mergeCell ref="D382:D383"/>
    <mergeCell ref="H382:I382"/>
    <mergeCell ref="J382:K382"/>
    <mergeCell ref="O382:P382"/>
    <mergeCell ref="H383:I383"/>
    <mergeCell ref="J383:K383"/>
    <mergeCell ref="O383:P383"/>
    <mergeCell ref="H384:I384"/>
    <mergeCell ref="J384:K384"/>
    <mergeCell ref="O384:P384"/>
    <mergeCell ref="H385:I385"/>
    <mergeCell ref="J385:K385"/>
    <mergeCell ref="O385:P385"/>
    <mergeCell ref="H386:I386"/>
    <mergeCell ref="J386:K386"/>
    <mergeCell ref="O386:P386"/>
    <mergeCell ref="C387:C478"/>
    <mergeCell ref="H387:I387"/>
    <mergeCell ref="J387:K387"/>
    <mergeCell ref="O387:P387"/>
    <mergeCell ref="H388:I388"/>
    <mergeCell ref="J388:K388"/>
    <mergeCell ref="O388:P388"/>
    <mergeCell ref="H389:I389"/>
    <mergeCell ref="J389:K389"/>
    <mergeCell ref="O389:P389"/>
    <mergeCell ref="H390:I390"/>
    <mergeCell ref="J390:K390"/>
    <mergeCell ref="O390:P390"/>
    <mergeCell ref="H391:I391"/>
    <mergeCell ref="J391:K391"/>
    <mergeCell ref="O391:P391"/>
    <mergeCell ref="H392:I392"/>
    <mergeCell ref="J392:K392"/>
    <mergeCell ref="O392:P392"/>
    <mergeCell ref="H393:I393"/>
    <mergeCell ref="J393:K393"/>
    <mergeCell ref="O393:P393"/>
    <mergeCell ref="H394:I394"/>
    <mergeCell ref="J394:K394"/>
    <mergeCell ref="O394:P394"/>
    <mergeCell ref="H395:I395"/>
    <mergeCell ref="J395:K395"/>
    <mergeCell ref="O395:P395"/>
    <mergeCell ref="H396:I396"/>
    <mergeCell ref="J396:K396"/>
    <mergeCell ref="O396:P396"/>
    <mergeCell ref="H397:I397"/>
    <mergeCell ref="J397:K397"/>
    <mergeCell ref="O397:P397"/>
    <mergeCell ref="H398:I398"/>
    <mergeCell ref="J398:K398"/>
    <mergeCell ref="O398:P398"/>
    <mergeCell ref="H399:I399"/>
    <mergeCell ref="J399:K399"/>
    <mergeCell ref="O399:P399"/>
    <mergeCell ref="H400:I400"/>
    <mergeCell ref="J400:K400"/>
    <mergeCell ref="O400:P400"/>
    <mergeCell ref="H401:I401"/>
    <mergeCell ref="J401:K401"/>
    <mergeCell ref="O401:P401"/>
    <mergeCell ref="H402:I402"/>
    <mergeCell ref="J402:K402"/>
    <mergeCell ref="O402:P402"/>
    <mergeCell ref="H403:I403"/>
    <mergeCell ref="J403:K403"/>
    <mergeCell ref="O403:P403"/>
    <mergeCell ref="H404:I404"/>
    <mergeCell ref="J404:K404"/>
    <mergeCell ref="O404:P404"/>
    <mergeCell ref="D405:D408"/>
    <mergeCell ref="H405:I405"/>
    <mergeCell ref="J405:K405"/>
    <mergeCell ref="O405:P405"/>
    <mergeCell ref="H406:I406"/>
    <mergeCell ref="J406:K406"/>
    <mergeCell ref="O406:P406"/>
    <mergeCell ref="H407:I407"/>
    <mergeCell ref="J407:K407"/>
    <mergeCell ref="O407:P407"/>
    <mergeCell ref="H408:I408"/>
    <mergeCell ref="J408:K408"/>
    <mergeCell ref="O408:P408"/>
    <mergeCell ref="H409:I409"/>
    <mergeCell ref="J409:K409"/>
    <mergeCell ref="O409:P409"/>
    <mergeCell ref="D410:D413"/>
    <mergeCell ref="H410:I410"/>
    <mergeCell ref="J410:K410"/>
    <mergeCell ref="O410:P410"/>
    <mergeCell ref="H411:I411"/>
    <mergeCell ref="J411:K411"/>
    <mergeCell ref="O411:P411"/>
    <mergeCell ref="H412:I412"/>
    <mergeCell ref="J412:K412"/>
    <mergeCell ref="O412:P412"/>
    <mergeCell ref="H413:I413"/>
    <mergeCell ref="J413:K413"/>
    <mergeCell ref="O413:P413"/>
    <mergeCell ref="H414:I414"/>
    <mergeCell ref="J414:K414"/>
    <mergeCell ref="O414:P414"/>
    <mergeCell ref="H415:I415"/>
    <mergeCell ref="J415:K415"/>
    <mergeCell ref="O415:P415"/>
    <mergeCell ref="H416:I416"/>
    <mergeCell ref="J416:K416"/>
    <mergeCell ref="O416:P416"/>
    <mergeCell ref="D417:D421"/>
    <mergeCell ref="H417:I417"/>
    <mergeCell ref="J417:K417"/>
    <mergeCell ref="O417:P417"/>
    <mergeCell ref="H418:I418"/>
    <mergeCell ref="J418:K418"/>
    <mergeCell ref="O418:P418"/>
    <mergeCell ref="H419:I419"/>
    <mergeCell ref="J419:K419"/>
    <mergeCell ref="O419:P419"/>
    <mergeCell ref="H420:I420"/>
    <mergeCell ref="J420:K420"/>
    <mergeCell ref="O420:P420"/>
    <mergeCell ref="H421:I421"/>
    <mergeCell ref="J421:K421"/>
    <mergeCell ref="O421:P421"/>
    <mergeCell ref="D422:D423"/>
    <mergeCell ref="H422:I422"/>
    <mergeCell ref="J422:K422"/>
    <mergeCell ref="O422:P422"/>
    <mergeCell ref="H423:I423"/>
    <mergeCell ref="J423:K423"/>
    <mergeCell ref="O423:P423"/>
    <mergeCell ref="H424:I424"/>
    <mergeCell ref="J424:K424"/>
    <mergeCell ref="O424:P424"/>
    <mergeCell ref="H425:I425"/>
    <mergeCell ref="J425:K425"/>
    <mergeCell ref="O425:P425"/>
    <mergeCell ref="H426:I426"/>
    <mergeCell ref="J426:K426"/>
    <mergeCell ref="O426:P426"/>
    <mergeCell ref="H427:I427"/>
    <mergeCell ref="J427:K427"/>
    <mergeCell ref="O427:P427"/>
    <mergeCell ref="H428:I428"/>
    <mergeCell ref="J428:K428"/>
    <mergeCell ref="O428:P428"/>
    <mergeCell ref="H429:I429"/>
    <mergeCell ref="J429:K429"/>
    <mergeCell ref="O429:P429"/>
    <mergeCell ref="H430:I430"/>
    <mergeCell ref="J430:K430"/>
    <mergeCell ref="O430:P430"/>
    <mergeCell ref="H431:I431"/>
    <mergeCell ref="J431:K431"/>
    <mergeCell ref="O431:P431"/>
    <mergeCell ref="H432:I432"/>
    <mergeCell ref="J432:K432"/>
    <mergeCell ref="O432:P432"/>
    <mergeCell ref="H433:I433"/>
    <mergeCell ref="J433:K433"/>
    <mergeCell ref="O433:P433"/>
    <mergeCell ref="H434:I434"/>
    <mergeCell ref="J434:K434"/>
    <mergeCell ref="O434:P434"/>
    <mergeCell ref="H435:I435"/>
    <mergeCell ref="J435:K435"/>
    <mergeCell ref="O435:P435"/>
    <mergeCell ref="H436:I436"/>
    <mergeCell ref="J436:K436"/>
    <mergeCell ref="O436:P436"/>
    <mergeCell ref="D437:D438"/>
    <mergeCell ref="H437:I437"/>
    <mergeCell ref="J437:K437"/>
    <mergeCell ref="O437:P437"/>
    <mergeCell ref="H438:I438"/>
    <mergeCell ref="J438:K438"/>
    <mergeCell ref="O438:P438"/>
    <mergeCell ref="D439:D440"/>
    <mergeCell ref="H439:I439"/>
    <mergeCell ref="J439:K439"/>
    <mergeCell ref="O439:P439"/>
    <mergeCell ref="H440:I440"/>
    <mergeCell ref="J440:K440"/>
    <mergeCell ref="O440:P440"/>
    <mergeCell ref="D441:D442"/>
    <mergeCell ref="H441:I441"/>
    <mergeCell ref="J441:K441"/>
    <mergeCell ref="O441:P441"/>
    <mergeCell ref="H442:I442"/>
    <mergeCell ref="J442:K442"/>
    <mergeCell ref="O442:P442"/>
    <mergeCell ref="H443:I443"/>
    <mergeCell ref="J443:K443"/>
    <mergeCell ref="O443:P443"/>
    <mergeCell ref="H444:I444"/>
    <mergeCell ref="J444:K444"/>
    <mergeCell ref="O444:P444"/>
    <mergeCell ref="H445:I445"/>
    <mergeCell ref="J445:K445"/>
    <mergeCell ref="O445:P445"/>
    <mergeCell ref="H446:I446"/>
    <mergeCell ref="J446:K446"/>
    <mergeCell ref="O446:P446"/>
    <mergeCell ref="H447:I447"/>
    <mergeCell ref="J447:K447"/>
    <mergeCell ref="O447:P447"/>
    <mergeCell ref="H448:I448"/>
    <mergeCell ref="J448:K448"/>
    <mergeCell ref="O448:P448"/>
    <mergeCell ref="H449:I449"/>
    <mergeCell ref="J449:K449"/>
    <mergeCell ref="O449:P449"/>
    <mergeCell ref="H450:I450"/>
    <mergeCell ref="J450:K450"/>
    <mergeCell ref="O450:P450"/>
    <mergeCell ref="H451:I451"/>
    <mergeCell ref="J451:K451"/>
    <mergeCell ref="O451:P451"/>
    <mergeCell ref="H452:I452"/>
    <mergeCell ref="J452:K452"/>
    <mergeCell ref="O452:P452"/>
    <mergeCell ref="H453:I453"/>
    <mergeCell ref="J453:K453"/>
    <mergeCell ref="O453:P453"/>
    <mergeCell ref="H454:I454"/>
    <mergeCell ref="J454:K454"/>
    <mergeCell ref="O454:P454"/>
    <mergeCell ref="D455:D459"/>
    <mergeCell ref="H455:I455"/>
    <mergeCell ref="J455:K455"/>
    <mergeCell ref="O455:P455"/>
    <mergeCell ref="H456:I456"/>
    <mergeCell ref="J456:K456"/>
    <mergeCell ref="O456:P456"/>
    <mergeCell ref="H457:I457"/>
    <mergeCell ref="J457:K457"/>
    <mergeCell ref="O457:P457"/>
    <mergeCell ref="H458:I458"/>
    <mergeCell ref="J458:K458"/>
    <mergeCell ref="O458:P458"/>
    <mergeCell ref="H459:I459"/>
    <mergeCell ref="J459:K459"/>
    <mergeCell ref="O459:P459"/>
    <mergeCell ref="H460:I460"/>
    <mergeCell ref="J460:K460"/>
    <mergeCell ref="O460:P460"/>
    <mergeCell ref="H461:I461"/>
    <mergeCell ref="J461:K461"/>
    <mergeCell ref="O461:P461"/>
    <mergeCell ref="H462:I462"/>
    <mergeCell ref="J462:K462"/>
    <mergeCell ref="O462:P462"/>
    <mergeCell ref="D463:D464"/>
    <mergeCell ref="H463:I463"/>
    <mergeCell ref="J463:K463"/>
    <mergeCell ref="O463:P463"/>
    <mergeCell ref="H464:I464"/>
    <mergeCell ref="J464:K464"/>
    <mergeCell ref="O464:P464"/>
    <mergeCell ref="H465:I465"/>
    <mergeCell ref="J465:K465"/>
    <mergeCell ref="O465:P465"/>
    <mergeCell ref="H466:I466"/>
    <mergeCell ref="J466:K466"/>
    <mergeCell ref="O466:P466"/>
    <mergeCell ref="D467:D468"/>
    <mergeCell ref="H467:I467"/>
    <mergeCell ref="J467:K467"/>
    <mergeCell ref="O467:P467"/>
    <mergeCell ref="H468:I468"/>
    <mergeCell ref="J468:K468"/>
    <mergeCell ref="O468:P468"/>
    <mergeCell ref="D469:D473"/>
    <mergeCell ref="H469:I469"/>
    <mergeCell ref="J469:K469"/>
    <mergeCell ref="O469:P469"/>
    <mergeCell ref="H470:I470"/>
    <mergeCell ref="J470:K470"/>
    <mergeCell ref="O470:P470"/>
    <mergeCell ref="H471:I471"/>
    <mergeCell ref="J471:K471"/>
    <mergeCell ref="O471:P471"/>
    <mergeCell ref="H472:I472"/>
    <mergeCell ref="J472:K472"/>
    <mergeCell ref="O472:P472"/>
    <mergeCell ref="H473:I473"/>
    <mergeCell ref="J473:K473"/>
    <mergeCell ref="O473:P473"/>
    <mergeCell ref="D474:D476"/>
    <mergeCell ref="H474:I474"/>
    <mergeCell ref="J474:K474"/>
    <mergeCell ref="O474:P474"/>
    <mergeCell ref="H475:I475"/>
    <mergeCell ref="J475:K475"/>
    <mergeCell ref="O475:P475"/>
    <mergeCell ref="H476:I476"/>
    <mergeCell ref="J476:K476"/>
    <mergeCell ref="O476:P476"/>
    <mergeCell ref="D477:D478"/>
    <mergeCell ref="E477:E478"/>
    <mergeCell ref="F477:F478"/>
    <mergeCell ref="G477:G478"/>
    <mergeCell ref="H477:I477"/>
    <mergeCell ref="J477:K477"/>
    <mergeCell ref="O477:P477"/>
    <mergeCell ref="H478:I478"/>
    <mergeCell ref="J478:K478"/>
    <mergeCell ref="O478:P478"/>
    <mergeCell ref="C479:C584"/>
    <mergeCell ref="H479:I479"/>
    <mergeCell ref="J479:K479"/>
    <mergeCell ref="O479:P479"/>
    <mergeCell ref="H480:I480"/>
    <mergeCell ref="J480:K480"/>
    <mergeCell ref="O480:P480"/>
    <mergeCell ref="H481:I481"/>
    <mergeCell ref="J481:K481"/>
    <mergeCell ref="O481:P481"/>
    <mergeCell ref="H482:I482"/>
    <mergeCell ref="J482:K482"/>
    <mergeCell ref="O482:P482"/>
    <mergeCell ref="H483:I483"/>
    <mergeCell ref="J483:K483"/>
    <mergeCell ref="O483:P483"/>
    <mergeCell ref="H484:I484"/>
    <mergeCell ref="J484:K484"/>
    <mergeCell ref="O484:P484"/>
    <mergeCell ref="H485:I485"/>
    <mergeCell ref="J485:K485"/>
    <mergeCell ref="O485:P485"/>
    <mergeCell ref="H486:I486"/>
    <mergeCell ref="J486:K486"/>
    <mergeCell ref="O486:P486"/>
    <mergeCell ref="H487:I487"/>
    <mergeCell ref="J487:K487"/>
    <mergeCell ref="O487:P487"/>
    <mergeCell ref="H488:I488"/>
    <mergeCell ref="J488:K488"/>
    <mergeCell ref="O488:P488"/>
    <mergeCell ref="H489:I489"/>
    <mergeCell ref="J489:K489"/>
    <mergeCell ref="O489:P489"/>
    <mergeCell ref="H490:I490"/>
    <mergeCell ref="J490:K490"/>
    <mergeCell ref="O490:P490"/>
    <mergeCell ref="H491:I491"/>
    <mergeCell ref="J491:K491"/>
    <mergeCell ref="O491:P491"/>
    <mergeCell ref="H492:I492"/>
    <mergeCell ref="J492:K492"/>
    <mergeCell ref="O492:P492"/>
    <mergeCell ref="H493:I493"/>
    <mergeCell ref="J493:K493"/>
    <mergeCell ref="O493:P493"/>
    <mergeCell ref="H494:I494"/>
    <mergeCell ref="J494:K494"/>
    <mergeCell ref="O494:P494"/>
    <mergeCell ref="H495:I495"/>
    <mergeCell ref="J495:K495"/>
    <mergeCell ref="O495:P495"/>
    <mergeCell ref="H496:I496"/>
    <mergeCell ref="J496:K496"/>
    <mergeCell ref="O496:P496"/>
    <mergeCell ref="H497:I497"/>
    <mergeCell ref="J497:K497"/>
    <mergeCell ref="O497:P497"/>
    <mergeCell ref="H498:I498"/>
    <mergeCell ref="J498:K498"/>
    <mergeCell ref="O498:P498"/>
    <mergeCell ref="D499:D501"/>
    <mergeCell ref="H499:I499"/>
    <mergeCell ref="J499:K499"/>
    <mergeCell ref="O499:P499"/>
    <mergeCell ref="H500:I500"/>
    <mergeCell ref="J500:K500"/>
    <mergeCell ref="O500:P500"/>
    <mergeCell ref="H501:I501"/>
    <mergeCell ref="J501:K501"/>
    <mergeCell ref="O501:P501"/>
    <mergeCell ref="H502:I502"/>
    <mergeCell ref="J502:K502"/>
    <mergeCell ref="O502:P502"/>
    <mergeCell ref="H503:I503"/>
    <mergeCell ref="J503:K503"/>
    <mergeCell ref="O503:P503"/>
    <mergeCell ref="D504:D505"/>
    <mergeCell ref="H504:I504"/>
    <mergeCell ref="J504:K504"/>
    <mergeCell ref="O504:P504"/>
    <mergeCell ref="H505:I505"/>
    <mergeCell ref="J505:K505"/>
    <mergeCell ref="O505:P505"/>
    <mergeCell ref="D506:D507"/>
    <mergeCell ref="H506:I506"/>
    <mergeCell ref="J506:K506"/>
    <mergeCell ref="O506:P506"/>
    <mergeCell ref="H507:I507"/>
    <mergeCell ref="J507:K507"/>
    <mergeCell ref="O507:P507"/>
    <mergeCell ref="H508:I508"/>
    <mergeCell ref="J508:K508"/>
    <mergeCell ref="O508:P508"/>
    <mergeCell ref="H509:I509"/>
    <mergeCell ref="J509:K509"/>
    <mergeCell ref="O509:P509"/>
    <mergeCell ref="D510:D512"/>
    <mergeCell ref="H510:I510"/>
    <mergeCell ref="J510:K510"/>
    <mergeCell ref="O510:P510"/>
    <mergeCell ref="H511:I511"/>
    <mergeCell ref="J511:K511"/>
    <mergeCell ref="O511:P511"/>
    <mergeCell ref="H512:I512"/>
    <mergeCell ref="J512:K512"/>
    <mergeCell ref="O512:P512"/>
    <mergeCell ref="D513:D515"/>
    <mergeCell ref="H513:I513"/>
    <mergeCell ref="J513:K513"/>
    <mergeCell ref="O513:P513"/>
    <mergeCell ref="H514:I514"/>
    <mergeCell ref="J514:K514"/>
    <mergeCell ref="O514:P514"/>
    <mergeCell ref="H515:I515"/>
    <mergeCell ref="J515:K515"/>
    <mergeCell ref="O515:P515"/>
    <mergeCell ref="H516:I516"/>
    <mergeCell ref="J516:K516"/>
    <mergeCell ref="O516:P516"/>
    <mergeCell ref="H517:I517"/>
    <mergeCell ref="J517:K517"/>
    <mergeCell ref="O517:P517"/>
    <mergeCell ref="D518:D519"/>
    <mergeCell ref="H518:I518"/>
    <mergeCell ref="J518:K518"/>
    <mergeCell ref="O518:P518"/>
    <mergeCell ref="H519:I519"/>
    <mergeCell ref="J519:K519"/>
    <mergeCell ref="O519:P519"/>
    <mergeCell ref="D520:D525"/>
    <mergeCell ref="H520:I520"/>
    <mergeCell ref="J520:K520"/>
    <mergeCell ref="O520:P520"/>
    <mergeCell ref="H521:I521"/>
    <mergeCell ref="J521:K521"/>
    <mergeCell ref="O521:P521"/>
    <mergeCell ref="H522:I522"/>
    <mergeCell ref="J522:K522"/>
    <mergeCell ref="O522:P522"/>
    <mergeCell ref="H523:I523"/>
    <mergeCell ref="J523:K523"/>
    <mergeCell ref="O523:P523"/>
    <mergeCell ref="H524:I524"/>
    <mergeCell ref="J524:K524"/>
    <mergeCell ref="O524:P524"/>
    <mergeCell ref="H525:I525"/>
    <mergeCell ref="J525:K525"/>
    <mergeCell ref="O525:P525"/>
    <mergeCell ref="D526:D534"/>
    <mergeCell ref="H526:I526"/>
    <mergeCell ref="J526:K526"/>
    <mergeCell ref="O526:P526"/>
    <mergeCell ref="H527:I527"/>
    <mergeCell ref="J527:K527"/>
    <mergeCell ref="O527:P527"/>
    <mergeCell ref="H528:I528"/>
    <mergeCell ref="J528:K528"/>
    <mergeCell ref="O528:P528"/>
    <mergeCell ref="H529:I529"/>
    <mergeCell ref="J529:K529"/>
    <mergeCell ref="O529:P529"/>
    <mergeCell ref="H530:I530"/>
    <mergeCell ref="J530:K530"/>
    <mergeCell ref="O530:P530"/>
    <mergeCell ref="H531:I531"/>
    <mergeCell ref="J531:K531"/>
    <mergeCell ref="O531:P531"/>
    <mergeCell ref="H532:I532"/>
    <mergeCell ref="J532:K532"/>
    <mergeCell ref="O532:P532"/>
    <mergeCell ref="H533:I533"/>
    <mergeCell ref="J533:K533"/>
    <mergeCell ref="O533:P533"/>
    <mergeCell ref="H534:I534"/>
    <mergeCell ref="J534:K534"/>
    <mergeCell ref="O534:P534"/>
    <mergeCell ref="H535:I535"/>
    <mergeCell ref="J535:K535"/>
    <mergeCell ref="O535:P535"/>
    <mergeCell ref="H536:I536"/>
    <mergeCell ref="J536:K536"/>
    <mergeCell ref="O536:P536"/>
    <mergeCell ref="H537:I537"/>
    <mergeCell ref="J537:K537"/>
    <mergeCell ref="O537:P537"/>
    <mergeCell ref="H538:I538"/>
    <mergeCell ref="J538:K538"/>
    <mergeCell ref="O538:P538"/>
    <mergeCell ref="H539:I539"/>
    <mergeCell ref="J539:K539"/>
    <mergeCell ref="O539:P539"/>
    <mergeCell ref="H540:I540"/>
    <mergeCell ref="J540:K540"/>
    <mergeCell ref="O540:P540"/>
    <mergeCell ref="H541:I541"/>
    <mergeCell ref="J541:K541"/>
    <mergeCell ref="O541:P541"/>
    <mergeCell ref="H542:I542"/>
    <mergeCell ref="J542:K542"/>
    <mergeCell ref="O542:P542"/>
    <mergeCell ref="H543:I543"/>
    <mergeCell ref="J543:K543"/>
    <mergeCell ref="O543:P543"/>
    <mergeCell ref="H544:I544"/>
    <mergeCell ref="J544:K544"/>
    <mergeCell ref="O544:P544"/>
    <mergeCell ref="D545:D546"/>
    <mergeCell ref="H545:I545"/>
    <mergeCell ref="J545:K545"/>
    <mergeCell ref="O545:P545"/>
    <mergeCell ref="H546:I546"/>
    <mergeCell ref="J546:K546"/>
    <mergeCell ref="O546:P546"/>
    <mergeCell ref="H547:I547"/>
    <mergeCell ref="J547:K547"/>
    <mergeCell ref="O547:P547"/>
    <mergeCell ref="H548:I548"/>
    <mergeCell ref="J548:K548"/>
    <mergeCell ref="O548:P548"/>
    <mergeCell ref="H549:I549"/>
    <mergeCell ref="J549:K549"/>
    <mergeCell ref="O549:P549"/>
    <mergeCell ref="D550:D552"/>
    <mergeCell ref="H550:I550"/>
    <mergeCell ref="J550:K550"/>
    <mergeCell ref="O550:P550"/>
    <mergeCell ref="H551:I551"/>
    <mergeCell ref="J551:K551"/>
    <mergeCell ref="O551:P551"/>
    <mergeCell ref="H552:I552"/>
    <mergeCell ref="J552:K552"/>
    <mergeCell ref="O552:P552"/>
    <mergeCell ref="D553:D554"/>
    <mergeCell ref="H553:I553"/>
    <mergeCell ref="J553:K553"/>
    <mergeCell ref="O553:P553"/>
    <mergeCell ref="H554:I554"/>
    <mergeCell ref="J554:K554"/>
    <mergeCell ref="O554:P554"/>
    <mergeCell ref="H555:I555"/>
    <mergeCell ref="J555:K555"/>
    <mergeCell ref="O555:P555"/>
    <mergeCell ref="H556:I556"/>
    <mergeCell ref="J556:K556"/>
    <mergeCell ref="O556:P556"/>
    <mergeCell ref="H557:I557"/>
    <mergeCell ref="J557:K557"/>
    <mergeCell ref="O557:P557"/>
    <mergeCell ref="D558:D561"/>
    <mergeCell ref="H558:I558"/>
    <mergeCell ref="J558:K558"/>
    <mergeCell ref="O558:P558"/>
    <mergeCell ref="H559:I559"/>
    <mergeCell ref="J559:K559"/>
    <mergeCell ref="O559:P559"/>
    <mergeCell ref="H560:I560"/>
    <mergeCell ref="J560:K560"/>
    <mergeCell ref="O560:P560"/>
    <mergeCell ref="H561:I561"/>
    <mergeCell ref="J561:K561"/>
    <mergeCell ref="O561:P561"/>
    <mergeCell ref="D562:D568"/>
    <mergeCell ref="H562:I562"/>
    <mergeCell ref="J562:K562"/>
    <mergeCell ref="O562:P562"/>
    <mergeCell ref="H563:I563"/>
    <mergeCell ref="J563:K563"/>
    <mergeCell ref="O563:P563"/>
    <mergeCell ref="H564:I564"/>
    <mergeCell ref="J564:K564"/>
    <mergeCell ref="O564:P564"/>
    <mergeCell ref="H565:I565"/>
    <mergeCell ref="J565:K565"/>
    <mergeCell ref="O565:P565"/>
    <mergeCell ref="H566:I566"/>
    <mergeCell ref="J566:K566"/>
    <mergeCell ref="O566:P566"/>
    <mergeCell ref="H567:I567"/>
    <mergeCell ref="J567:K567"/>
    <mergeCell ref="O567:P567"/>
    <mergeCell ref="H568:I568"/>
    <mergeCell ref="J568:K568"/>
    <mergeCell ref="O568:P568"/>
    <mergeCell ref="D569:D570"/>
    <mergeCell ref="H569:I569"/>
    <mergeCell ref="J569:K569"/>
    <mergeCell ref="O569:P569"/>
    <mergeCell ref="H570:I570"/>
    <mergeCell ref="J570:K570"/>
    <mergeCell ref="O570:P570"/>
    <mergeCell ref="D571:D574"/>
    <mergeCell ref="H571:I571"/>
    <mergeCell ref="J571:K571"/>
    <mergeCell ref="O571:P571"/>
    <mergeCell ref="H572:I572"/>
    <mergeCell ref="J572:K572"/>
    <mergeCell ref="O572:P572"/>
    <mergeCell ref="H573:I573"/>
    <mergeCell ref="J573:K573"/>
    <mergeCell ref="O573:P573"/>
    <mergeCell ref="H574:I574"/>
    <mergeCell ref="J574:K574"/>
    <mergeCell ref="O574:P574"/>
    <mergeCell ref="H575:I575"/>
    <mergeCell ref="J575:K575"/>
    <mergeCell ref="O575:P575"/>
    <mergeCell ref="H576:I576"/>
    <mergeCell ref="J576:K576"/>
    <mergeCell ref="O576:P576"/>
    <mergeCell ref="D577:D578"/>
    <mergeCell ref="H577:I577"/>
    <mergeCell ref="J577:K577"/>
    <mergeCell ref="O577:P577"/>
    <mergeCell ref="H578:I578"/>
    <mergeCell ref="J578:K578"/>
    <mergeCell ref="O578:P578"/>
    <mergeCell ref="H579:I579"/>
    <mergeCell ref="J579:K579"/>
    <mergeCell ref="O579:P579"/>
    <mergeCell ref="H580:I580"/>
    <mergeCell ref="J580:K580"/>
    <mergeCell ref="O580:P580"/>
    <mergeCell ref="H581:I581"/>
    <mergeCell ref="J581:K581"/>
    <mergeCell ref="O581:P581"/>
    <mergeCell ref="H582:I582"/>
    <mergeCell ref="J582:K582"/>
    <mergeCell ref="O582:P582"/>
    <mergeCell ref="D583:D584"/>
    <mergeCell ref="E583:E584"/>
    <mergeCell ref="F583:F584"/>
    <mergeCell ref="G583:G584"/>
    <mergeCell ref="H583:I583"/>
    <mergeCell ref="J583:K583"/>
    <mergeCell ref="O583:P583"/>
    <mergeCell ref="H584:I584"/>
    <mergeCell ref="J584:K584"/>
    <mergeCell ref="O584:P584"/>
    <mergeCell ref="C585:C683"/>
    <mergeCell ref="H585:I585"/>
    <mergeCell ref="J585:K585"/>
    <mergeCell ref="O585:P585"/>
    <mergeCell ref="H586:I586"/>
    <mergeCell ref="J586:K586"/>
    <mergeCell ref="O586:P586"/>
    <mergeCell ref="H587:I587"/>
    <mergeCell ref="J587:K587"/>
    <mergeCell ref="O587:P587"/>
    <mergeCell ref="H588:I588"/>
    <mergeCell ref="J588:K588"/>
    <mergeCell ref="O588:P588"/>
    <mergeCell ref="H589:I589"/>
    <mergeCell ref="J589:K589"/>
    <mergeCell ref="O589:P589"/>
    <mergeCell ref="H590:I590"/>
    <mergeCell ref="J590:K590"/>
    <mergeCell ref="O590:P590"/>
    <mergeCell ref="H591:I591"/>
    <mergeCell ref="J591:K591"/>
    <mergeCell ref="O591:P591"/>
    <mergeCell ref="H592:I592"/>
    <mergeCell ref="J592:K592"/>
    <mergeCell ref="O592:P592"/>
    <mergeCell ref="H593:I593"/>
    <mergeCell ref="J593:K593"/>
    <mergeCell ref="O593:P593"/>
    <mergeCell ref="H594:I594"/>
    <mergeCell ref="J594:K594"/>
    <mergeCell ref="O594:P594"/>
    <mergeCell ref="H595:I595"/>
    <mergeCell ref="J595:K595"/>
    <mergeCell ref="O595:P595"/>
    <mergeCell ref="H596:I596"/>
    <mergeCell ref="J596:K596"/>
    <mergeCell ref="O596:P596"/>
    <mergeCell ref="H597:I597"/>
    <mergeCell ref="J597:K597"/>
    <mergeCell ref="O597:P597"/>
    <mergeCell ref="H598:I598"/>
    <mergeCell ref="J598:K598"/>
    <mergeCell ref="O598:P598"/>
    <mergeCell ref="H599:I599"/>
    <mergeCell ref="J599:K599"/>
    <mergeCell ref="O599:P599"/>
    <mergeCell ref="H600:I600"/>
    <mergeCell ref="J600:K600"/>
    <mergeCell ref="O600:P600"/>
    <mergeCell ref="H601:I601"/>
    <mergeCell ref="J601:K601"/>
    <mergeCell ref="O601:P601"/>
    <mergeCell ref="H602:I602"/>
    <mergeCell ref="J602:K602"/>
    <mergeCell ref="O602:P602"/>
    <mergeCell ref="H603:I603"/>
    <mergeCell ref="J603:K603"/>
    <mergeCell ref="O603:P603"/>
    <mergeCell ref="H604:I604"/>
    <mergeCell ref="J604:K604"/>
    <mergeCell ref="O604:P604"/>
    <mergeCell ref="H605:I605"/>
    <mergeCell ref="J605:K605"/>
    <mergeCell ref="O605:P605"/>
    <mergeCell ref="H606:I606"/>
    <mergeCell ref="J606:K606"/>
    <mergeCell ref="O606:P606"/>
    <mergeCell ref="H607:I607"/>
    <mergeCell ref="J607:K607"/>
    <mergeCell ref="O607:P607"/>
    <mergeCell ref="H608:I608"/>
    <mergeCell ref="J608:K608"/>
    <mergeCell ref="O608:P608"/>
    <mergeCell ref="H609:I609"/>
    <mergeCell ref="J609:K609"/>
    <mergeCell ref="O609:P609"/>
    <mergeCell ref="D610:D611"/>
    <mergeCell ref="H610:I610"/>
    <mergeCell ref="J610:K610"/>
    <mergeCell ref="O610:P610"/>
    <mergeCell ref="H611:I611"/>
    <mergeCell ref="J611:K611"/>
    <mergeCell ref="O611:P611"/>
    <mergeCell ref="H612:I612"/>
    <mergeCell ref="J612:K612"/>
    <mergeCell ref="O612:P612"/>
    <mergeCell ref="H613:I613"/>
    <mergeCell ref="J613:K613"/>
    <mergeCell ref="O613:P613"/>
    <mergeCell ref="H614:I614"/>
    <mergeCell ref="J614:K614"/>
    <mergeCell ref="O614:P614"/>
    <mergeCell ref="H615:I615"/>
    <mergeCell ref="J615:K615"/>
    <mergeCell ref="O615:P615"/>
    <mergeCell ref="H616:I616"/>
    <mergeCell ref="J616:K616"/>
    <mergeCell ref="O616:P616"/>
    <mergeCell ref="H617:I617"/>
    <mergeCell ref="J617:K617"/>
    <mergeCell ref="O617:P617"/>
    <mergeCell ref="H618:I618"/>
    <mergeCell ref="J618:K618"/>
    <mergeCell ref="O618:P618"/>
    <mergeCell ref="H619:I619"/>
    <mergeCell ref="J619:K619"/>
    <mergeCell ref="O619:P619"/>
    <mergeCell ref="D620:D621"/>
    <mergeCell ref="H620:I620"/>
    <mergeCell ref="J620:K620"/>
    <mergeCell ref="O620:P620"/>
    <mergeCell ref="H621:I621"/>
    <mergeCell ref="J621:K621"/>
    <mergeCell ref="O621:P621"/>
    <mergeCell ref="D622:D625"/>
    <mergeCell ref="H622:I622"/>
    <mergeCell ref="J622:K622"/>
    <mergeCell ref="O622:P622"/>
    <mergeCell ref="H623:I623"/>
    <mergeCell ref="J623:K623"/>
    <mergeCell ref="O623:P623"/>
    <mergeCell ref="H624:I624"/>
    <mergeCell ref="J624:K624"/>
    <mergeCell ref="O624:P624"/>
    <mergeCell ref="H625:I625"/>
    <mergeCell ref="J625:K625"/>
    <mergeCell ref="O625:P625"/>
    <mergeCell ref="H626:I626"/>
    <mergeCell ref="J626:K626"/>
    <mergeCell ref="O626:P626"/>
    <mergeCell ref="H627:I627"/>
    <mergeCell ref="J627:K627"/>
    <mergeCell ref="O627:P627"/>
    <mergeCell ref="H628:I628"/>
    <mergeCell ref="J628:K628"/>
    <mergeCell ref="O628:P628"/>
    <mergeCell ref="H629:I629"/>
    <mergeCell ref="J629:K629"/>
    <mergeCell ref="O629:P629"/>
    <mergeCell ref="H630:I630"/>
    <mergeCell ref="J630:K630"/>
    <mergeCell ref="O630:P630"/>
    <mergeCell ref="H631:I631"/>
    <mergeCell ref="J631:K631"/>
    <mergeCell ref="O631:P631"/>
    <mergeCell ref="H632:I632"/>
    <mergeCell ref="J632:K632"/>
    <mergeCell ref="O632:P632"/>
    <mergeCell ref="H633:I633"/>
    <mergeCell ref="J633:K633"/>
    <mergeCell ref="O633:P633"/>
    <mergeCell ref="H634:I634"/>
    <mergeCell ref="J634:K634"/>
    <mergeCell ref="O634:P634"/>
    <mergeCell ref="H635:I635"/>
    <mergeCell ref="J635:K635"/>
    <mergeCell ref="O635:P635"/>
    <mergeCell ref="H636:I636"/>
    <mergeCell ref="J636:K636"/>
    <mergeCell ref="O636:P636"/>
    <mergeCell ref="H637:I637"/>
    <mergeCell ref="J637:K637"/>
    <mergeCell ref="O637:P637"/>
    <mergeCell ref="H638:I638"/>
    <mergeCell ref="J638:K638"/>
    <mergeCell ref="O638:P638"/>
    <mergeCell ref="H639:I639"/>
    <mergeCell ref="J639:K639"/>
    <mergeCell ref="O639:P639"/>
    <mergeCell ref="H640:I640"/>
    <mergeCell ref="J640:K640"/>
    <mergeCell ref="O640:P640"/>
    <mergeCell ref="H641:I641"/>
    <mergeCell ref="J641:K641"/>
    <mergeCell ref="O641:P641"/>
    <mergeCell ref="H642:I642"/>
    <mergeCell ref="J642:K642"/>
    <mergeCell ref="O642:P642"/>
    <mergeCell ref="H643:I643"/>
    <mergeCell ref="J643:K643"/>
    <mergeCell ref="O643:P643"/>
    <mergeCell ref="H644:I644"/>
    <mergeCell ref="J644:K644"/>
    <mergeCell ref="O644:P644"/>
    <mergeCell ref="H645:I645"/>
    <mergeCell ref="J645:K645"/>
    <mergeCell ref="O645:P645"/>
    <mergeCell ref="H646:I646"/>
    <mergeCell ref="J646:K646"/>
    <mergeCell ref="O646:P646"/>
    <mergeCell ref="H647:I647"/>
    <mergeCell ref="J647:K647"/>
    <mergeCell ref="O647:P647"/>
    <mergeCell ref="H648:I648"/>
    <mergeCell ref="J648:K648"/>
    <mergeCell ref="O648:P648"/>
    <mergeCell ref="H649:I649"/>
    <mergeCell ref="J649:K649"/>
    <mergeCell ref="O649:P649"/>
    <mergeCell ref="H650:I650"/>
    <mergeCell ref="J650:K650"/>
    <mergeCell ref="O650:P650"/>
    <mergeCell ref="D651:D657"/>
    <mergeCell ref="H651:I651"/>
    <mergeCell ref="J651:K651"/>
    <mergeCell ref="O651:P651"/>
    <mergeCell ref="H652:I652"/>
    <mergeCell ref="J652:K652"/>
    <mergeCell ref="O652:P652"/>
    <mergeCell ref="H653:I653"/>
    <mergeCell ref="J653:K653"/>
    <mergeCell ref="O653:P653"/>
    <mergeCell ref="H654:I654"/>
    <mergeCell ref="J654:K654"/>
    <mergeCell ref="O654:P654"/>
    <mergeCell ref="H655:I655"/>
    <mergeCell ref="J655:K655"/>
    <mergeCell ref="O655:P655"/>
    <mergeCell ref="H656:I656"/>
    <mergeCell ref="J656:K656"/>
    <mergeCell ref="O656:P656"/>
    <mergeCell ref="H657:I657"/>
    <mergeCell ref="J657:K657"/>
    <mergeCell ref="O657:P657"/>
    <mergeCell ref="H658:I658"/>
    <mergeCell ref="J658:K658"/>
    <mergeCell ref="O658:P658"/>
    <mergeCell ref="D659:D661"/>
    <mergeCell ref="H659:I659"/>
    <mergeCell ref="J659:K659"/>
    <mergeCell ref="O659:P659"/>
    <mergeCell ref="H660:I660"/>
    <mergeCell ref="J660:K660"/>
    <mergeCell ref="O660:P660"/>
    <mergeCell ref="H661:I661"/>
    <mergeCell ref="J661:K661"/>
    <mergeCell ref="O661:P661"/>
    <mergeCell ref="D662:D667"/>
    <mergeCell ref="H662:I662"/>
    <mergeCell ref="J662:K662"/>
    <mergeCell ref="O662:P662"/>
    <mergeCell ref="H663:I663"/>
    <mergeCell ref="J663:K663"/>
    <mergeCell ref="O663:P663"/>
    <mergeCell ref="H664:I664"/>
    <mergeCell ref="J664:K664"/>
    <mergeCell ref="O664:P664"/>
    <mergeCell ref="H665:I665"/>
    <mergeCell ref="J665:K665"/>
    <mergeCell ref="O665:P665"/>
    <mergeCell ref="H666:I666"/>
    <mergeCell ref="J666:K666"/>
    <mergeCell ref="O666:P666"/>
    <mergeCell ref="H667:I667"/>
    <mergeCell ref="J667:K667"/>
    <mergeCell ref="O667:P667"/>
    <mergeCell ref="H668:I668"/>
    <mergeCell ref="J668:K668"/>
    <mergeCell ref="O668:P668"/>
    <mergeCell ref="H669:I669"/>
    <mergeCell ref="J669:K669"/>
    <mergeCell ref="O669:P669"/>
    <mergeCell ref="H670:I670"/>
    <mergeCell ref="J670:K670"/>
    <mergeCell ref="O670:P670"/>
    <mergeCell ref="D671:D672"/>
    <mergeCell ref="H671:I671"/>
    <mergeCell ref="J671:K671"/>
    <mergeCell ref="O671:P671"/>
    <mergeCell ref="H672:I672"/>
    <mergeCell ref="J672:K672"/>
    <mergeCell ref="O672:P672"/>
    <mergeCell ref="H673:I673"/>
    <mergeCell ref="J673:K673"/>
    <mergeCell ref="O673:P673"/>
    <mergeCell ref="H674:I674"/>
    <mergeCell ref="J674:K674"/>
    <mergeCell ref="O674:P674"/>
    <mergeCell ref="H675:I675"/>
    <mergeCell ref="J675:K675"/>
    <mergeCell ref="O675:P675"/>
    <mergeCell ref="H676:I676"/>
    <mergeCell ref="J676:K676"/>
    <mergeCell ref="O676:P676"/>
    <mergeCell ref="H677:I677"/>
    <mergeCell ref="J677:K677"/>
    <mergeCell ref="O677:P677"/>
    <mergeCell ref="H678:I678"/>
    <mergeCell ref="J678:K678"/>
    <mergeCell ref="O678:P678"/>
    <mergeCell ref="H679:I679"/>
    <mergeCell ref="J679:K679"/>
    <mergeCell ref="O679:P679"/>
    <mergeCell ref="H680:I680"/>
    <mergeCell ref="J680:K680"/>
    <mergeCell ref="O680:P680"/>
    <mergeCell ref="H681:I681"/>
    <mergeCell ref="J681:K681"/>
    <mergeCell ref="O681:P681"/>
    <mergeCell ref="D682:D683"/>
    <mergeCell ref="E682:E683"/>
    <mergeCell ref="F682:F683"/>
    <mergeCell ref="G682:G683"/>
    <mergeCell ref="H682:I682"/>
    <mergeCell ref="J682:K682"/>
    <mergeCell ref="O682:P682"/>
    <mergeCell ref="H683:I683"/>
    <mergeCell ref="J683:K683"/>
    <mergeCell ref="O683:P683"/>
    <mergeCell ref="C684:C768"/>
    <mergeCell ref="H684:I684"/>
    <mergeCell ref="J684:K684"/>
    <mergeCell ref="O684:P684"/>
    <mergeCell ref="H685:I685"/>
    <mergeCell ref="J685:K685"/>
    <mergeCell ref="O685:P685"/>
    <mergeCell ref="H686:I686"/>
    <mergeCell ref="J686:K686"/>
    <mergeCell ref="O686:P686"/>
    <mergeCell ref="H687:I687"/>
    <mergeCell ref="J687:K687"/>
    <mergeCell ref="O687:P687"/>
    <mergeCell ref="H688:I688"/>
    <mergeCell ref="J688:K688"/>
    <mergeCell ref="O688:P688"/>
    <mergeCell ref="H689:I689"/>
    <mergeCell ref="J689:K689"/>
    <mergeCell ref="O689:P689"/>
    <mergeCell ref="H690:I690"/>
    <mergeCell ref="J690:K690"/>
    <mergeCell ref="O690:P690"/>
    <mergeCell ref="H691:I691"/>
    <mergeCell ref="J691:K691"/>
    <mergeCell ref="O691:P691"/>
    <mergeCell ref="H692:I692"/>
    <mergeCell ref="J692:K692"/>
    <mergeCell ref="O692:P692"/>
    <mergeCell ref="D693:D695"/>
    <mergeCell ref="H693:I693"/>
    <mergeCell ref="J693:K693"/>
    <mergeCell ref="O693:P693"/>
    <mergeCell ref="H694:I694"/>
    <mergeCell ref="J694:K694"/>
    <mergeCell ref="O694:P694"/>
    <mergeCell ref="H695:I695"/>
    <mergeCell ref="J695:K695"/>
    <mergeCell ref="O695:P695"/>
    <mergeCell ref="H696:I696"/>
    <mergeCell ref="J696:K696"/>
    <mergeCell ref="O696:P696"/>
    <mergeCell ref="H697:I697"/>
    <mergeCell ref="J697:K697"/>
    <mergeCell ref="O697:P697"/>
    <mergeCell ref="H698:I698"/>
    <mergeCell ref="J698:K698"/>
    <mergeCell ref="O698:P698"/>
    <mergeCell ref="H699:I699"/>
    <mergeCell ref="J699:K699"/>
    <mergeCell ref="O699:P699"/>
    <mergeCell ref="H700:I700"/>
    <mergeCell ref="J700:K700"/>
    <mergeCell ref="O700:P700"/>
    <mergeCell ref="H701:I701"/>
    <mergeCell ref="J701:K701"/>
    <mergeCell ref="O701:P701"/>
    <mergeCell ref="H702:I702"/>
    <mergeCell ref="J702:K702"/>
    <mergeCell ref="O702:P702"/>
    <mergeCell ref="H703:I703"/>
    <mergeCell ref="J703:K703"/>
    <mergeCell ref="O703:P703"/>
    <mergeCell ref="D704:D705"/>
    <mergeCell ref="H704:I704"/>
    <mergeCell ref="J704:K704"/>
    <mergeCell ref="O704:P704"/>
    <mergeCell ref="H705:I705"/>
    <mergeCell ref="J705:K705"/>
    <mergeCell ref="O705:P705"/>
    <mergeCell ref="H706:I706"/>
    <mergeCell ref="J706:K706"/>
    <mergeCell ref="O706:P706"/>
    <mergeCell ref="D707:D709"/>
    <mergeCell ref="H707:I707"/>
    <mergeCell ref="J707:K707"/>
    <mergeCell ref="O707:P707"/>
    <mergeCell ref="H708:I708"/>
    <mergeCell ref="J708:K708"/>
    <mergeCell ref="O708:P708"/>
    <mergeCell ref="H709:I709"/>
    <mergeCell ref="J709:K709"/>
    <mergeCell ref="O709:P709"/>
    <mergeCell ref="D710:D711"/>
    <mergeCell ref="H710:I710"/>
    <mergeCell ref="J710:K710"/>
    <mergeCell ref="O710:P710"/>
    <mergeCell ref="H711:I711"/>
    <mergeCell ref="J711:K711"/>
    <mergeCell ref="O711:P711"/>
    <mergeCell ref="H712:I712"/>
    <mergeCell ref="J712:K712"/>
    <mergeCell ref="O712:P712"/>
    <mergeCell ref="H713:I713"/>
    <mergeCell ref="J713:K713"/>
    <mergeCell ref="O713:P713"/>
    <mergeCell ref="H714:I714"/>
    <mergeCell ref="J714:K714"/>
    <mergeCell ref="O714:P714"/>
    <mergeCell ref="H715:I715"/>
    <mergeCell ref="J715:K715"/>
    <mergeCell ref="O715:P715"/>
    <mergeCell ref="D716:D717"/>
    <mergeCell ref="H716:I716"/>
    <mergeCell ref="J716:K716"/>
    <mergeCell ref="O716:P716"/>
    <mergeCell ref="H717:I717"/>
    <mergeCell ref="J717:K717"/>
    <mergeCell ref="O717:P717"/>
    <mergeCell ref="D718:D719"/>
    <mergeCell ref="H718:I718"/>
    <mergeCell ref="J718:K718"/>
    <mergeCell ref="O718:P718"/>
    <mergeCell ref="H719:I719"/>
    <mergeCell ref="J719:K719"/>
    <mergeCell ref="O719:P719"/>
    <mergeCell ref="H720:I720"/>
    <mergeCell ref="J720:K720"/>
    <mergeCell ref="O720:P720"/>
    <mergeCell ref="D721:D723"/>
    <mergeCell ref="H721:I721"/>
    <mergeCell ref="J721:K721"/>
    <mergeCell ref="O721:P721"/>
    <mergeCell ref="H722:I722"/>
    <mergeCell ref="J722:K722"/>
    <mergeCell ref="O722:P722"/>
    <mergeCell ref="H723:I723"/>
    <mergeCell ref="J723:K723"/>
    <mergeCell ref="O723:P723"/>
    <mergeCell ref="D724:D725"/>
    <mergeCell ref="H724:I724"/>
    <mergeCell ref="J724:K724"/>
    <mergeCell ref="O724:P724"/>
    <mergeCell ref="H725:I725"/>
    <mergeCell ref="J725:K725"/>
    <mergeCell ref="O725:P725"/>
    <mergeCell ref="D726:D731"/>
    <mergeCell ref="H726:I726"/>
    <mergeCell ref="J726:K726"/>
    <mergeCell ref="O726:P726"/>
    <mergeCell ref="H727:I727"/>
    <mergeCell ref="J727:K727"/>
    <mergeCell ref="O727:P727"/>
    <mergeCell ref="H728:I728"/>
    <mergeCell ref="J728:K728"/>
    <mergeCell ref="O728:P728"/>
    <mergeCell ref="H729:I729"/>
    <mergeCell ref="J729:K729"/>
    <mergeCell ref="O729:P729"/>
    <mergeCell ref="H730:I730"/>
    <mergeCell ref="J730:K730"/>
    <mergeCell ref="O730:P730"/>
    <mergeCell ref="H731:I731"/>
    <mergeCell ref="J731:K731"/>
    <mergeCell ref="O731:P731"/>
    <mergeCell ref="H732:I732"/>
    <mergeCell ref="J732:K732"/>
    <mergeCell ref="O732:P732"/>
    <mergeCell ref="H733:I733"/>
    <mergeCell ref="J733:K733"/>
    <mergeCell ref="O733:P733"/>
    <mergeCell ref="H734:I734"/>
    <mergeCell ref="J734:K734"/>
    <mergeCell ref="O734:P734"/>
    <mergeCell ref="H735:I735"/>
    <mergeCell ref="J735:K735"/>
    <mergeCell ref="O735:P735"/>
    <mergeCell ref="H736:I736"/>
    <mergeCell ref="J736:K736"/>
    <mergeCell ref="O736:P736"/>
    <mergeCell ref="H737:I737"/>
    <mergeCell ref="J737:K737"/>
    <mergeCell ref="O737:P737"/>
    <mergeCell ref="H738:I738"/>
    <mergeCell ref="J738:K738"/>
    <mergeCell ref="O738:P738"/>
    <mergeCell ref="H739:I739"/>
    <mergeCell ref="J739:K739"/>
    <mergeCell ref="O739:P739"/>
    <mergeCell ref="H740:I740"/>
    <mergeCell ref="J740:K740"/>
    <mergeCell ref="O740:P740"/>
    <mergeCell ref="H741:I741"/>
    <mergeCell ref="J741:K741"/>
    <mergeCell ref="O741:P741"/>
    <mergeCell ref="H742:I742"/>
    <mergeCell ref="J742:K742"/>
    <mergeCell ref="O742:P742"/>
    <mergeCell ref="H743:I743"/>
    <mergeCell ref="J743:K743"/>
    <mergeCell ref="O743:P743"/>
    <mergeCell ref="H744:I744"/>
    <mergeCell ref="J744:K744"/>
    <mergeCell ref="O744:P744"/>
    <mergeCell ref="H745:I745"/>
    <mergeCell ref="J745:K745"/>
    <mergeCell ref="O745:P745"/>
    <mergeCell ref="H746:I746"/>
    <mergeCell ref="J746:K746"/>
    <mergeCell ref="O746:P746"/>
    <mergeCell ref="H747:I747"/>
    <mergeCell ref="J747:K747"/>
    <mergeCell ref="O747:P747"/>
    <mergeCell ref="H748:I748"/>
    <mergeCell ref="J748:K748"/>
    <mergeCell ref="O748:P748"/>
    <mergeCell ref="H749:I749"/>
    <mergeCell ref="J749:K749"/>
    <mergeCell ref="O749:P749"/>
    <mergeCell ref="H750:I750"/>
    <mergeCell ref="J750:K750"/>
    <mergeCell ref="O750:P750"/>
    <mergeCell ref="H751:I751"/>
    <mergeCell ref="J751:K751"/>
    <mergeCell ref="O751:P751"/>
    <mergeCell ref="H752:I752"/>
    <mergeCell ref="J752:K752"/>
    <mergeCell ref="O752:P752"/>
    <mergeCell ref="H753:I753"/>
    <mergeCell ref="J753:K753"/>
    <mergeCell ref="O753:P753"/>
    <mergeCell ref="H754:I754"/>
    <mergeCell ref="J754:K754"/>
    <mergeCell ref="O754:P754"/>
    <mergeCell ref="H755:I755"/>
    <mergeCell ref="J755:K755"/>
    <mergeCell ref="O755:P755"/>
    <mergeCell ref="H756:I756"/>
    <mergeCell ref="J756:K756"/>
    <mergeCell ref="O756:P756"/>
    <mergeCell ref="H757:I757"/>
    <mergeCell ref="J757:K757"/>
    <mergeCell ref="O757:P757"/>
    <mergeCell ref="H758:I758"/>
    <mergeCell ref="J758:K758"/>
    <mergeCell ref="O758:P758"/>
    <mergeCell ref="H759:I759"/>
    <mergeCell ref="J759:K759"/>
    <mergeCell ref="O759:P759"/>
    <mergeCell ref="H760:I760"/>
    <mergeCell ref="J760:K760"/>
    <mergeCell ref="O760:P760"/>
    <mergeCell ref="H761:I761"/>
    <mergeCell ref="J761:K761"/>
    <mergeCell ref="O761:P761"/>
    <mergeCell ref="D762:D765"/>
    <mergeCell ref="H762:I762"/>
    <mergeCell ref="J762:K762"/>
    <mergeCell ref="O762:P762"/>
    <mergeCell ref="H763:I763"/>
    <mergeCell ref="J763:K763"/>
    <mergeCell ref="O763:P763"/>
    <mergeCell ref="H764:I764"/>
    <mergeCell ref="J764:K764"/>
    <mergeCell ref="O764:P764"/>
    <mergeCell ref="H765:I765"/>
    <mergeCell ref="J765:K765"/>
    <mergeCell ref="O765:P765"/>
    <mergeCell ref="H766:I766"/>
    <mergeCell ref="J766:K766"/>
    <mergeCell ref="O766:P766"/>
    <mergeCell ref="D767:D768"/>
    <mergeCell ref="H767:I767"/>
    <mergeCell ref="J767:K767"/>
    <mergeCell ref="O767:P767"/>
    <mergeCell ref="H768:I768"/>
    <mergeCell ref="J768:K768"/>
    <mergeCell ref="O768:P768"/>
    <mergeCell ref="C769:C856"/>
    <mergeCell ref="H769:I769"/>
    <mergeCell ref="J769:K769"/>
    <mergeCell ref="O769:P769"/>
    <mergeCell ref="H770:I770"/>
    <mergeCell ref="J770:K770"/>
    <mergeCell ref="O770:P770"/>
    <mergeCell ref="H771:I771"/>
    <mergeCell ref="J771:K771"/>
    <mergeCell ref="O771:P771"/>
    <mergeCell ref="D772:D783"/>
    <mergeCell ref="H772:I772"/>
    <mergeCell ref="J772:K772"/>
    <mergeCell ref="O772:P772"/>
    <mergeCell ref="H773:I773"/>
    <mergeCell ref="J773:K773"/>
    <mergeCell ref="O773:P773"/>
    <mergeCell ref="H774:I774"/>
    <mergeCell ref="J774:K774"/>
    <mergeCell ref="O774:P774"/>
    <mergeCell ref="H775:I775"/>
    <mergeCell ref="J775:K775"/>
    <mergeCell ref="O775:P775"/>
    <mergeCell ref="H776:I776"/>
    <mergeCell ref="J776:K776"/>
    <mergeCell ref="O776:P776"/>
    <mergeCell ref="H777:I777"/>
    <mergeCell ref="J777:K777"/>
    <mergeCell ref="O777:P777"/>
    <mergeCell ref="H778:I778"/>
    <mergeCell ref="J778:K778"/>
    <mergeCell ref="O778:P778"/>
    <mergeCell ref="H779:I779"/>
    <mergeCell ref="J779:K779"/>
    <mergeCell ref="O779:P779"/>
    <mergeCell ref="H780:I780"/>
    <mergeCell ref="J780:K780"/>
    <mergeCell ref="O780:P780"/>
    <mergeCell ref="H781:I781"/>
    <mergeCell ref="J781:K781"/>
    <mergeCell ref="O781:P781"/>
    <mergeCell ref="H782:I782"/>
    <mergeCell ref="J782:K782"/>
    <mergeCell ref="O782:P782"/>
    <mergeCell ref="H783:I783"/>
    <mergeCell ref="J783:K783"/>
    <mergeCell ref="O783:P783"/>
    <mergeCell ref="D784:D786"/>
    <mergeCell ref="H784:I784"/>
    <mergeCell ref="J784:K784"/>
    <mergeCell ref="O784:P784"/>
    <mergeCell ref="H785:I785"/>
    <mergeCell ref="J785:K785"/>
    <mergeCell ref="O785:P785"/>
    <mergeCell ref="H786:I786"/>
    <mergeCell ref="J786:K786"/>
    <mergeCell ref="O786:P786"/>
    <mergeCell ref="H787:I787"/>
    <mergeCell ref="J787:K787"/>
    <mergeCell ref="O787:P787"/>
    <mergeCell ref="H788:I788"/>
    <mergeCell ref="J788:K788"/>
    <mergeCell ref="O788:P788"/>
    <mergeCell ref="H789:I789"/>
    <mergeCell ref="J789:K789"/>
    <mergeCell ref="O789:P789"/>
    <mergeCell ref="H790:I790"/>
    <mergeCell ref="J790:K790"/>
    <mergeCell ref="O790:P790"/>
    <mergeCell ref="H791:I791"/>
    <mergeCell ref="J791:K791"/>
    <mergeCell ref="O791:P791"/>
    <mergeCell ref="H792:I792"/>
    <mergeCell ref="J792:K792"/>
    <mergeCell ref="O792:P792"/>
    <mergeCell ref="H793:I793"/>
    <mergeCell ref="J793:K793"/>
    <mergeCell ref="O793:P793"/>
    <mergeCell ref="H794:I794"/>
    <mergeCell ref="J794:K794"/>
    <mergeCell ref="O794:P794"/>
    <mergeCell ref="H795:I795"/>
    <mergeCell ref="J795:K795"/>
    <mergeCell ref="O795:P795"/>
    <mergeCell ref="H796:I796"/>
    <mergeCell ref="J796:K796"/>
    <mergeCell ref="O796:P796"/>
    <mergeCell ref="H797:I797"/>
    <mergeCell ref="J797:K797"/>
    <mergeCell ref="O797:P797"/>
    <mergeCell ref="H798:I798"/>
    <mergeCell ref="J798:K798"/>
    <mergeCell ref="O798:P798"/>
    <mergeCell ref="H799:I799"/>
    <mergeCell ref="J799:K799"/>
    <mergeCell ref="O799:P799"/>
    <mergeCell ref="H800:I800"/>
    <mergeCell ref="J800:K800"/>
    <mergeCell ref="O800:P800"/>
    <mergeCell ref="H801:I801"/>
    <mergeCell ref="J801:K801"/>
    <mergeCell ref="O801:P801"/>
    <mergeCell ref="H802:I802"/>
    <mergeCell ref="J802:K802"/>
    <mergeCell ref="O802:P802"/>
    <mergeCell ref="D803:D805"/>
    <mergeCell ref="H803:I803"/>
    <mergeCell ref="J803:K803"/>
    <mergeCell ref="O803:P803"/>
    <mergeCell ref="H804:I804"/>
    <mergeCell ref="J804:K804"/>
    <mergeCell ref="O804:P804"/>
    <mergeCell ref="H805:I805"/>
    <mergeCell ref="J805:K805"/>
    <mergeCell ref="O805:P805"/>
    <mergeCell ref="D806:D808"/>
    <mergeCell ref="H806:I806"/>
    <mergeCell ref="J806:K806"/>
    <mergeCell ref="O806:P806"/>
    <mergeCell ref="H807:I807"/>
    <mergeCell ref="J807:K807"/>
    <mergeCell ref="O807:P807"/>
    <mergeCell ref="H808:I808"/>
    <mergeCell ref="J808:K808"/>
    <mergeCell ref="O808:P808"/>
    <mergeCell ref="H809:I809"/>
    <mergeCell ref="J809:K809"/>
    <mergeCell ref="O809:P809"/>
    <mergeCell ref="H810:I810"/>
    <mergeCell ref="J810:K810"/>
    <mergeCell ref="O810:P810"/>
    <mergeCell ref="D811:D813"/>
    <mergeCell ref="H811:I811"/>
    <mergeCell ref="J811:K811"/>
    <mergeCell ref="O811:P811"/>
    <mergeCell ref="H812:I812"/>
    <mergeCell ref="J812:K812"/>
    <mergeCell ref="O812:P812"/>
    <mergeCell ref="H813:I813"/>
    <mergeCell ref="J813:K813"/>
    <mergeCell ref="O813:P813"/>
    <mergeCell ref="H814:I814"/>
    <mergeCell ref="J814:K814"/>
    <mergeCell ref="O814:P814"/>
    <mergeCell ref="H815:I815"/>
    <mergeCell ref="J815:K815"/>
    <mergeCell ref="O815:P815"/>
    <mergeCell ref="H816:I816"/>
    <mergeCell ref="J816:K816"/>
    <mergeCell ref="O816:P816"/>
    <mergeCell ref="H817:I817"/>
    <mergeCell ref="J817:K817"/>
    <mergeCell ref="O817:P817"/>
    <mergeCell ref="H818:I818"/>
    <mergeCell ref="J818:K818"/>
    <mergeCell ref="O818:P818"/>
    <mergeCell ref="H819:I819"/>
    <mergeCell ref="J819:K819"/>
    <mergeCell ref="O819:P819"/>
    <mergeCell ref="D820:D821"/>
    <mergeCell ref="H820:I820"/>
    <mergeCell ref="J820:K820"/>
    <mergeCell ref="O820:P820"/>
    <mergeCell ref="H821:I821"/>
    <mergeCell ref="J821:K821"/>
    <mergeCell ref="O821:P821"/>
    <mergeCell ref="H822:I822"/>
    <mergeCell ref="J822:K822"/>
    <mergeCell ref="O822:P822"/>
    <mergeCell ref="H823:I823"/>
    <mergeCell ref="J823:K823"/>
    <mergeCell ref="O823:P823"/>
    <mergeCell ref="D824:D825"/>
    <mergeCell ref="H824:I824"/>
    <mergeCell ref="J824:K824"/>
    <mergeCell ref="O824:P824"/>
    <mergeCell ref="H825:I825"/>
    <mergeCell ref="J825:K825"/>
    <mergeCell ref="O825:P825"/>
    <mergeCell ref="H826:I826"/>
    <mergeCell ref="J826:K826"/>
    <mergeCell ref="O826:P826"/>
    <mergeCell ref="D827:D832"/>
    <mergeCell ref="H827:I827"/>
    <mergeCell ref="J827:K827"/>
    <mergeCell ref="O827:P827"/>
    <mergeCell ref="H828:I828"/>
    <mergeCell ref="J828:K828"/>
    <mergeCell ref="O828:P828"/>
    <mergeCell ref="H829:I829"/>
    <mergeCell ref="J829:K829"/>
    <mergeCell ref="O829:P829"/>
    <mergeCell ref="H830:I830"/>
    <mergeCell ref="J830:K830"/>
    <mergeCell ref="O830:P830"/>
    <mergeCell ref="H831:I831"/>
    <mergeCell ref="J831:K831"/>
    <mergeCell ref="O831:P831"/>
    <mergeCell ref="H832:I832"/>
    <mergeCell ref="J832:K832"/>
    <mergeCell ref="O832:P832"/>
    <mergeCell ref="H833:I833"/>
    <mergeCell ref="J833:K833"/>
    <mergeCell ref="O833:P833"/>
    <mergeCell ref="H834:I834"/>
    <mergeCell ref="J834:K834"/>
    <mergeCell ref="O834:P834"/>
    <mergeCell ref="H835:I835"/>
    <mergeCell ref="J835:K835"/>
    <mergeCell ref="O835:P835"/>
    <mergeCell ref="H836:I836"/>
    <mergeCell ref="J836:K836"/>
    <mergeCell ref="O836:P836"/>
    <mergeCell ref="H837:I837"/>
    <mergeCell ref="J837:K837"/>
    <mergeCell ref="O837:P837"/>
    <mergeCell ref="H838:I838"/>
    <mergeCell ref="J838:K838"/>
    <mergeCell ref="O838:P838"/>
    <mergeCell ref="H839:I839"/>
    <mergeCell ref="J839:K839"/>
    <mergeCell ref="O839:P839"/>
    <mergeCell ref="H840:I840"/>
    <mergeCell ref="J840:K840"/>
    <mergeCell ref="O840:P840"/>
    <mergeCell ref="H841:I841"/>
    <mergeCell ref="J841:K841"/>
    <mergeCell ref="O841:P841"/>
    <mergeCell ref="D842:D843"/>
    <mergeCell ref="H842:I842"/>
    <mergeCell ref="J842:K842"/>
    <mergeCell ref="O842:P842"/>
    <mergeCell ref="H843:I843"/>
    <mergeCell ref="J843:K843"/>
    <mergeCell ref="O843:P843"/>
    <mergeCell ref="H844:I844"/>
    <mergeCell ref="J844:K844"/>
    <mergeCell ref="O844:P844"/>
    <mergeCell ref="D845:D849"/>
    <mergeCell ref="H845:I845"/>
    <mergeCell ref="J845:K845"/>
    <mergeCell ref="O845:P845"/>
    <mergeCell ref="H846:I846"/>
    <mergeCell ref="J846:K846"/>
    <mergeCell ref="O846:P846"/>
    <mergeCell ref="H847:I847"/>
    <mergeCell ref="J847:K847"/>
    <mergeCell ref="O847:P847"/>
    <mergeCell ref="H848:I848"/>
    <mergeCell ref="J848:K848"/>
    <mergeCell ref="O848:P848"/>
    <mergeCell ref="H849:I849"/>
    <mergeCell ref="J849:K849"/>
    <mergeCell ref="O849:P849"/>
    <mergeCell ref="D850:D851"/>
    <mergeCell ref="H850:I850"/>
    <mergeCell ref="J850:K850"/>
    <mergeCell ref="O850:P850"/>
    <mergeCell ref="H851:I851"/>
    <mergeCell ref="J851:K851"/>
    <mergeCell ref="O851:P851"/>
    <mergeCell ref="H852:I852"/>
    <mergeCell ref="J852:K852"/>
    <mergeCell ref="O852:P852"/>
    <mergeCell ref="H853:I853"/>
    <mergeCell ref="J853:K853"/>
    <mergeCell ref="O853:P853"/>
    <mergeCell ref="D854:D856"/>
    <mergeCell ref="H854:I854"/>
    <mergeCell ref="J854:K854"/>
    <mergeCell ref="O854:P854"/>
    <mergeCell ref="H855:I855"/>
    <mergeCell ref="J855:K855"/>
    <mergeCell ref="O855:P855"/>
    <mergeCell ref="H856:I856"/>
    <mergeCell ref="J856:K856"/>
    <mergeCell ref="O856:P856"/>
    <mergeCell ref="C857:C915"/>
    <mergeCell ref="H857:I857"/>
    <mergeCell ref="J857:K857"/>
    <mergeCell ref="O857:P857"/>
    <mergeCell ref="H858:I858"/>
    <mergeCell ref="J858:K858"/>
    <mergeCell ref="O858:P858"/>
    <mergeCell ref="H859:I859"/>
    <mergeCell ref="J859:K859"/>
    <mergeCell ref="O859:P859"/>
    <mergeCell ref="H860:I860"/>
    <mergeCell ref="J860:K860"/>
    <mergeCell ref="O860:P860"/>
    <mergeCell ref="H861:I861"/>
    <mergeCell ref="J861:K861"/>
    <mergeCell ref="O861:P861"/>
    <mergeCell ref="D862:D864"/>
    <mergeCell ref="H862:I862"/>
    <mergeCell ref="J862:K862"/>
    <mergeCell ref="O862:P862"/>
    <mergeCell ref="H863:I863"/>
    <mergeCell ref="J863:K863"/>
    <mergeCell ref="O863:P863"/>
    <mergeCell ref="H864:I864"/>
    <mergeCell ref="J864:K864"/>
    <mergeCell ref="O864:P864"/>
    <mergeCell ref="D865:D866"/>
    <mergeCell ref="H865:I865"/>
    <mergeCell ref="J865:K865"/>
    <mergeCell ref="O865:P865"/>
    <mergeCell ref="H866:I866"/>
    <mergeCell ref="J866:K866"/>
    <mergeCell ref="O866:P866"/>
    <mergeCell ref="D867:D869"/>
    <mergeCell ref="H867:I867"/>
    <mergeCell ref="J867:K867"/>
    <mergeCell ref="O867:P867"/>
    <mergeCell ref="H868:I868"/>
    <mergeCell ref="J868:K868"/>
    <mergeCell ref="O868:P868"/>
    <mergeCell ref="H869:I869"/>
    <mergeCell ref="J869:K869"/>
    <mergeCell ref="O869:P869"/>
    <mergeCell ref="H870:I870"/>
    <mergeCell ref="J870:K870"/>
    <mergeCell ref="O870:P870"/>
    <mergeCell ref="H871:I871"/>
    <mergeCell ref="J871:K871"/>
    <mergeCell ref="O871:P871"/>
    <mergeCell ref="H872:I872"/>
    <mergeCell ref="J872:K872"/>
    <mergeCell ref="O872:P872"/>
    <mergeCell ref="H873:I873"/>
    <mergeCell ref="J873:K873"/>
    <mergeCell ref="O873:P873"/>
    <mergeCell ref="H874:I874"/>
    <mergeCell ref="J874:K874"/>
    <mergeCell ref="O874:P874"/>
    <mergeCell ref="H875:I875"/>
    <mergeCell ref="J875:K875"/>
    <mergeCell ref="O875:P875"/>
    <mergeCell ref="D876:D877"/>
    <mergeCell ref="H876:I876"/>
    <mergeCell ref="J876:K876"/>
    <mergeCell ref="O876:P876"/>
    <mergeCell ref="H877:I877"/>
    <mergeCell ref="J877:K877"/>
    <mergeCell ref="O877:P877"/>
    <mergeCell ref="D878:D879"/>
    <mergeCell ref="H878:I878"/>
    <mergeCell ref="J878:K878"/>
    <mergeCell ref="O878:P878"/>
    <mergeCell ref="H879:I879"/>
    <mergeCell ref="J879:K879"/>
    <mergeCell ref="O879:P879"/>
    <mergeCell ref="D880:D881"/>
    <mergeCell ref="H880:I880"/>
    <mergeCell ref="J880:K880"/>
    <mergeCell ref="O880:P880"/>
    <mergeCell ref="H881:I881"/>
    <mergeCell ref="J881:K881"/>
    <mergeCell ref="O881:P881"/>
    <mergeCell ref="D882:D883"/>
    <mergeCell ref="H882:I882"/>
    <mergeCell ref="J882:K882"/>
    <mergeCell ref="O882:P882"/>
    <mergeCell ref="H883:I883"/>
    <mergeCell ref="J883:K883"/>
    <mergeCell ref="O883:P883"/>
    <mergeCell ref="H884:I884"/>
    <mergeCell ref="J884:K884"/>
    <mergeCell ref="O884:P884"/>
    <mergeCell ref="H885:I885"/>
    <mergeCell ref="J885:K885"/>
    <mergeCell ref="O885:P885"/>
    <mergeCell ref="H886:I886"/>
    <mergeCell ref="J886:K886"/>
    <mergeCell ref="O886:P886"/>
    <mergeCell ref="H887:I887"/>
    <mergeCell ref="J887:K887"/>
    <mergeCell ref="O887:P887"/>
    <mergeCell ref="H888:I888"/>
    <mergeCell ref="J888:K888"/>
    <mergeCell ref="O888:P888"/>
    <mergeCell ref="H889:I889"/>
    <mergeCell ref="J889:K889"/>
    <mergeCell ref="O889:P889"/>
    <mergeCell ref="D890:D891"/>
    <mergeCell ref="E890:E891"/>
    <mergeCell ref="F890:F891"/>
    <mergeCell ref="G890:G891"/>
    <mergeCell ref="H890:I890"/>
    <mergeCell ref="J890:K890"/>
    <mergeCell ref="O890:P890"/>
    <mergeCell ref="H891:I891"/>
    <mergeCell ref="J891:K891"/>
    <mergeCell ref="O891:P891"/>
    <mergeCell ref="D892:D893"/>
    <mergeCell ref="H892:I892"/>
    <mergeCell ref="J892:K892"/>
    <mergeCell ref="O892:P892"/>
    <mergeCell ref="H893:I893"/>
    <mergeCell ref="J893:K893"/>
    <mergeCell ref="O893:P893"/>
    <mergeCell ref="H894:I894"/>
    <mergeCell ref="J894:K894"/>
    <mergeCell ref="O894:P894"/>
    <mergeCell ref="H895:I895"/>
    <mergeCell ref="J895:K895"/>
    <mergeCell ref="O895:P895"/>
    <mergeCell ref="D896:D897"/>
    <mergeCell ref="H896:I896"/>
    <mergeCell ref="J896:K896"/>
    <mergeCell ref="O896:P896"/>
    <mergeCell ref="H897:I897"/>
    <mergeCell ref="J897:K897"/>
    <mergeCell ref="O897:P897"/>
    <mergeCell ref="D898:D899"/>
    <mergeCell ref="E898:E899"/>
    <mergeCell ref="F898:F899"/>
    <mergeCell ref="G898:G899"/>
    <mergeCell ref="H898:I898"/>
    <mergeCell ref="J898:K898"/>
    <mergeCell ref="O898:P898"/>
    <mergeCell ref="H899:I899"/>
    <mergeCell ref="J899:K899"/>
    <mergeCell ref="O899:P899"/>
    <mergeCell ref="H900:I900"/>
    <mergeCell ref="J900:K900"/>
    <mergeCell ref="O900:P900"/>
    <mergeCell ref="H901:I901"/>
    <mergeCell ref="J901:K901"/>
    <mergeCell ref="O901:P901"/>
    <mergeCell ref="D902:D904"/>
    <mergeCell ref="H902:I902"/>
    <mergeCell ref="J902:K902"/>
    <mergeCell ref="O902:P902"/>
    <mergeCell ref="H903:I903"/>
    <mergeCell ref="J903:K903"/>
    <mergeCell ref="O903:P903"/>
    <mergeCell ref="H904:I904"/>
    <mergeCell ref="J904:K904"/>
    <mergeCell ref="O904:P904"/>
    <mergeCell ref="H905:I905"/>
    <mergeCell ref="J905:K905"/>
    <mergeCell ref="O905:P905"/>
    <mergeCell ref="H906:I906"/>
    <mergeCell ref="J906:K906"/>
    <mergeCell ref="O906:P906"/>
    <mergeCell ref="H907:I907"/>
    <mergeCell ref="J907:K907"/>
    <mergeCell ref="O907:P907"/>
    <mergeCell ref="H908:I908"/>
    <mergeCell ref="J908:K908"/>
    <mergeCell ref="O908:P908"/>
    <mergeCell ref="H909:I909"/>
    <mergeCell ref="J909:K909"/>
    <mergeCell ref="O909:P909"/>
    <mergeCell ref="D910:D911"/>
    <mergeCell ref="H910:I910"/>
    <mergeCell ref="J910:K910"/>
    <mergeCell ref="O910:P910"/>
    <mergeCell ref="H911:I911"/>
    <mergeCell ref="J911:K911"/>
    <mergeCell ref="O911:P911"/>
    <mergeCell ref="D912:D913"/>
    <mergeCell ref="H912:I912"/>
    <mergeCell ref="J912:K912"/>
    <mergeCell ref="O912:P912"/>
    <mergeCell ref="H913:I913"/>
    <mergeCell ref="J913:K913"/>
    <mergeCell ref="O913:P913"/>
    <mergeCell ref="H914:I914"/>
    <mergeCell ref="J914:K914"/>
    <mergeCell ref="O914:P914"/>
    <mergeCell ref="H915:I915"/>
    <mergeCell ref="J915:K915"/>
    <mergeCell ref="O915:P915"/>
    <mergeCell ref="C916:C972"/>
    <mergeCell ref="H916:I916"/>
    <mergeCell ref="J916:K916"/>
    <mergeCell ref="O916:P916"/>
    <mergeCell ref="H917:I917"/>
    <mergeCell ref="J917:K917"/>
    <mergeCell ref="O917:P917"/>
    <mergeCell ref="H918:I918"/>
    <mergeCell ref="J918:K918"/>
    <mergeCell ref="O918:P918"/>
    <mergeCell ref="H919:I919"/>
    <mergeCell ref="J919:K919"/>
    <mergeCell ref="O919:P919"/>
    <mergeCell ref="H920:I920"/>
    <mergeCell ref="J920:K920"/>
    <mergeCell ref="O920:P920"/>
    <mergeCell ref="H921:I921"/>
    <mergeCell ref="J921:K921"/>
    <mergeCell ref="O921:P921"/>
    <mergeCell ref="H922:I922"/>
    <mergeCell ref="J922:K922"/>
    <mergeCell ref="O922:P922"/>
    <mergeCell ref="H923:I923"/>
    <mergeCell ref="J923:K923"/>
    <mergeCell ref="O923:P923"/>
    <mergeCell ref="D924:D925"/>
    <mergeCell ref="H924:I924"/>
    <mergeCell ref="J924:K924"/>
    <mergeCell ref="O924:P924"/>
    <mergeCell ref="H925:I925"/>
    <mergeCell ref="J925:K925"/>
    <mergeCell ref="O925:P925"/>
    <mergeCell ref="H926:I926"/>
    <mergeCell ref="J926:K926"/>
    <mergeCell ref="O926:P926"/>
    <mergeCell ref="D927:D929"/>
    <mergeCell ref="H927:I927"/>
    <mergeCell ref="J927:K927"/>
    <mergeCell ref="O927:P927"/>
    <mergeCell ref="H928:I928"/>
    <mergeCell ref="J928:K928"/>
    <mergeCell ref="O928:P928"/>
    <mergeCell ref="H929:I929"/>
    <mergeCell ref="J929:K929"/>
    <mergeCell ref="O929:P929"/>
    <mergeCell ref="D930:D931"/>
    <mergeCell ref="H930:I930"/>
    <mergeCell ref="J930:K930"/>
    <mergeCell ref="O930:P930"/>
    <mergeCell ref="H931:I931"/>
    <mergeCell ref="J931:K931"/>
    <mergeCell ref="O931:P931"/>
    <mergeCell ref="D932:D933"/>
    <mergeCell ref="H932:I932"/>
    <mergeCell ref="J932:K932"/>
    <mergeCell ref="O932:P932"/>
    <mergeCell ref="H933:I933"/>
    <mergeCell ref="J933:K933"/>
    <mergeCell ref="O933:P933"/>
    <mergeCell ref="H934:I934"/>
    <mergeCell ref="J934:K934"/>
    <mergeCell ref="O934:P934"/>
    <mergeCell ref="H935:I935"/>
    <mergeCell ref="J935:K935"/>
    <mergeCell ref="O935:P935"/>
    <mergeCell ref="H936:I936"/>
    <mergeCell ref="J936:K936"/>
    <mergeCell ref="O936:P936"/>
    <mergeCell ref="D937:D938"/>
    <mergeCell ref="H937:I937"/>
    <mergeCell ref="J937:K937"/>
    <mergeCell ref="O937:P937"/>
    <mergeCell ref="H938:I938"/>
    <mergeCell ref="J938:K938"/>
    <mergeCell ref="O938:P938"/>
    <mergeCell ref="H939:I939"/>
    <mergeCell ref="J939:K939"/>
    <mergeCell ref="O939:P939"/>
    <mergeCell ref="H940:I940"/>
    <mergeCell ref="J940:K940"/>
    <mergeCell ref="O940:P940"/>
    <mergeCell ref="H941:I941"/>
    <mergeCell ref="J941:K941"/>
    <mergeCell ref="O941:P941"/>
    <mergeCell ref="H942:I942"/>
    <mergeCell ref="J942:K942"/>
    <mergeCell ref="O942:P942"/>
    <mergeCell ref="H943:I943"/>
    <mergeCell ref="J943:K943"/>
    <mergeCell ref="O943:P943"/>
    <mergeCell ref="H944:I944"/>
    <mergeCell ref="J944:K944"/>
    <mergeCell ref="O944:P944"/>
    <mergeCell ref="H945:I945"/>
    <mergeCell ref="J945:K945"/>
    <mergeCell ref="O945:P945"/>
    <mergeCell ref="D946:D947"/>
    <mergeCell ref="H946:I946"/>
    <mergeCell ref="J946:K946"/>
    <mergeCell ref="O946:P946"/>
    <mergeCell ref="H947:I947"/>
    <mergeCell ref="J947:K947"/>
    <mergeCell ref="O947:P947"/>
    <mergeCell ref="H948:I948"/>
    <mergeCell ref="J948:K948"/>
    <mergeCell ref="O948:P948"/>
    <mergeCell ref="H949:I949"/>
    <mergeCell ref="J949:K949"/>
    <mergeCell ref="O949:P949"/>
    <mergeCell ref="H950:I950"/>
    <mergeCell ref="J950:K950"/>
    <mergeCell ref="O950:P950"/>
    <mergeCell ref="H951:I951"/>
    <mergeCell ref="J951:K951"/>
    <mergeCell ref="O951:P951"/>
    <mergeCell ref="H952:I952"/>
    <mergeCell ref="J952:K952"/>
    <mergeCell ref="O952:P952"/>
    <mergeCell ref="D953:D954"/>
    <mergeCell ref="H953:I953"/>
    <mergeCell ref="J953:K953"/>
    <mergeCell ref="O953:P953"/>
    <mergeCell ref="H954:I954"/>
    <mergeCell ref="J954:K954"/>
    <mergeCell ref="O954:P954"/>
    <mergeCell ref="H955:I955"/>
    <mergeCell ref="J955:K955"/>
    <mergeCell ref="O955:P955"/>
    <mergeCell ref="H956:I956"/>
    <mergeCell ref="J956:K956"/>
    <mergeCell ref="O956:P956"/>
    <mergeCell ref="H957:I957"/>
    <mergeCell ref="J957:K957"/>
    <mergeCell ref="O957:P957"/>
    <mergeCell ref="H958:I958"/>
    <mergeCell ref="J958:K958"/>
    <mergeCell ref="O958:P958"/>
    <mergeCell ref="H959:I959"/>
    <mergeCell ref="J959:K959"/>
    <mergeCell ref="O959:P959"/>
    <mergeCell ref="D960:D961"/>
    <mergeCell ref="H960:I960"/>
    <mergeCell ref="J960:K960"/>
    <mergeCell ref="O960:P960"/>
    <mergeCell ref="H961:I961"/>
    <mergeCell ref="J961:K961"/>
    <mergeCell ref="O961:P961"/>
    <mergeCell ref="H962:I962"/>
    <mergeCell ref="J962:K962"/>
    <mergeCell ref="O962:P962"/>
    <mergeCell ref="H963:I963"/>
    <mergeCell ref="J963:K963"/>
    <mergeCell ref="O963:P963"/>
    <mergeCell ref="H964:I964"/>
    <mergeCell ref="J964:K964"/>
    <mergeCell ref="O964:P964"/>
    <mergeCell ref="H965:I965"/>
    <mergeCell ref="J965:K965"/>
    <mergeCell ref="O965:P965"/>
    <mergeCell ref="H966:I966"/>
    <mergeCell ref="J966:K966"/>
    <mergeCell ref="O966:P966"/>
    <mergeCell ref="H967:I967"/>
    <mergeCell ref="J967:K967"/>
    <mergeCell ref="O967:P967"/>
    <mergeCell ref="H968:I968"/>
    <mergeCell ref="J968:K968"/>
    <mergeCell ref="O968:P968"/>
    <mergeCell ref="H969:I969"/>
    <mergeCell ref="J969:K969"/>
    <mergeCell ref="O969:P969"/>
    <mergeCell ref="H970:I970"/>
    <mergeCell ref="J970:K970"/>
    <mergeCell ref="O970:P970"/>
    <mergeCell ref="H971:I971"/>
    <mergeCell ref="J971:K971"/>
    <mergeCell ref="O971:P971"/>
    <mergeCell ref="H972:I972"/>
    <mergeCell ref="J972:K972"/>
    <mergeCell ref="O972:P972"/>
    <mergeCell ref="C973:C1033"/>
    <mergeCell ref="H973:I973"/>
    <mergeCell ref="J973:K973"/>
    <mergeCell ref="O973:P973"/>
    <mergeCell ref="D974:D978"/>
    <mergeCell ref="H974:I974"/>
    <mergeCell ref="J974:K974"/>
    <mergeCell ref="O974:P974"/>
    <mergeCell ref="H975:I975"/>
    <mergeCell ref="J975:K975"/>
    <mergeCell ref="O975:P975"/>
    <mergeCell ref="H976:I976"/>
    <mergeCell ref="J976:K976"/>
    <mergeCell ref="O976:P976"/>
    <mergeCell ref="H977:I977"/>
    <mergeCell ref="J977:K977"/>
    <mergeCell ref="O977:P977"/>
    <mergeCell ref="H978:I978"/>
    <mergeCell ref="J978:K978"/>
    <mergeCell ref="O978:P978"/>
    <mergeCell ref="H979:I979"/>
    <mergeCell ref="J979:K979"/>
    <mergeCell ref="O979:P979"/>
    <mergeCell ref="D980:D981"/>
    <mergeCell ref="H980:I980"/>
    <mergeCell ref="J980:K980"/>
    <mergeCell ref="O980:P980"/>
    <mergeCell ref="H981:I981"/>
    <mergeCell ref="J981:K981"/>
    <mergeCell ref="O981:P981"/>
    <mergeCell ref="H982:I982"/>
    <mergeCell ref="J982:K982"/>
    <mergeCell ref="O982:P982"/>
    <mergeCell ref="H983:I983"/>
    <mergeCell ref="J983:K983"/>
    <mergeCell ref="O983:P983"/>
    <mergeCell ref="H984:I984"/>
    <mergeCell ref="J984:K984"/>
    <mergeCell ref="O984:P984"/>
    <mergeCell ref="H985:I985"/>
    <mergeCell ref="J985:K985"/>
    <mergeCell ref="O985:P985"/>
    <mergeCell ref="H986:I986"/>
    <mergeCell ref="J986:K986"/>
    <mergeCell ref="O986:P986"/>
    <mergeCell ref="D987:D988"/>
    <mergeCell ref="H987:I987"/>
    <mergeCell ref="J987:K987"/>
    <mergeCell ref="O987:P987"/>
    <mergeCell ref="H988:I988"/>
    <mergeCell ref="J988:K988"/>
    <mergeCell ref="O988:P988"/>
    <mergeCell ref="H989:I989"/>
    <mergeCell ref="J989:K989"/>
    <mergeCell ref="O989:P989"/>
    <mergeCell ref="H990:I990"/>
    <mergeCell ref="J990:K990"/>
    <mergeCell ref="O990:P990"/>
    <mergeCell ref="H991:I991"/>
    <mergeCell ref="J991:K991"/>
    <mergeCell ref="O991:P991"/>
    <mergeCell ref="H992:I992"/>
    <mergeCell ref="J992:K992"/>
    <mergeCell ref="O992:P992"/>
    <mergeCell ref="H993:I993"/>
    <mergeCell ref="J993:K993"/>
    <mergeCell ref="O993:P993"/>
    <mergeCell ref="H994:I994"/>
    <mergeCell ref="J994:K994"/>
    <mergeCell ref="O994:P994"/>
    <mergeCell ref="H995:I995"/>
    <mergeCell ref="J995:K995"/>
    <mergeCell ref="O995:P995"/>
    <mergeCell ref="D996:D999"/>
    <mergeCell ref="H996:I996"/>
    <mergeCell ref="J996:K996"/>
    <mergeCell ref="O996:P996"/>
    <mergeCell ref="H997:I997"/>
    <mergeCell ref="J997:K997"/>
    <mergeCell ref="O997:P997"/>
    <mergeCell ref="H998:I998"/>
    <mergeCell ref="J998:K998"/>
    <mergeCell ref="O998:P998"/>
    <mergeCell ref="H999:I999"/>
    <mergeCell ref="J999:K999"/>
    <mergeCell ref="O999:P999"/>
    <mergeCell ref="H1000:I1000"/>
    <mergeCell ref="J1000:K1000"/>
    <mergeCell ref="O1000:P1000"/>
    <mergeCell ref="H1001:I1001"/>
    <mergeCell ref="J1001:K1001"/>
    <mergeCell ref="O1001:P1001"/>
    <mergeCell ref="D1002:D1003"/>
    <mergeCell ref="H1002:I1002"/>
    <mergeCell ref="J1002:K1002"/>
    <mergeCell ref="O1002:P1002"/>
    <mergeCell ref="H1003:I1003"/>
    <mergeCell ref="J1003:K1003"/>
    <mergeCell ref="O1003:P1003"/>
    <mergeCell ref="H1004:I1004"/>
    <mergeCell ref="J1004:K1004"/>
    <mergeCell ref="O1004:P1004"/>
    <mergeCell ref="H1005:I1005"/>
    <mergeCell ref="J1005:K1005"/>
    <mergeCell ref="O1005:P1005"/>
    <mergeCell ref="D1006:D1008"/>
    <mergeCell ref="H1006:I1006"/>
    <mergeCell ref="J1006:K1006"/>
    <mergeCell ref="O1006:P1006"/>
    <mergeCell ref="H1007:I1007"/>
    <mergeCell ref="J1007:K1007"/>
    <mergeCell ref="O1007:P1007"/>
    <mergeCell ref="H1008:I1008"/>
    <mergeCell ref="J1008:K1008"/>
    <mergeCell ref="O1008:P1008"/>
    <mergeCell ref="D1009:D1011"/>
    <mergeCell ref="H1009:I1009"/>
    <mergeCell ref="J1009:K1009"/>
    <mergeCell ref="O1009:P1009"/>
    <mergeCell ref="H1010:I1010"/>
    <mergeCell ref="J1010:K1010"/>
    <mergeCell ref="O1010:P1010"/>
    <mergeCell ref="H1011:I1011"/>
    <mergeCell ref="J1011:K1011"/>
    <mergeCell ref="O1011:P1011"/>
    <mergeCell ref="H1012:I1012"/>
    <mergeCell ref="J1012:K1012"/>
    <mergeCell ref="O1012:P1012"/>
    <mergeCell ref="H1013:I1013"/>
    <mergeCell ref="J1013:K1013"/>
    <mergeCell ref="O1013:P1013"/>
    <mergeCell ref="H1014:I1014"/>
    <mergeCell ref="J1014:K1014"/>
    <mergeCell ref="O1014:P1014"/>
    <mergeCell ref="H1015:I1015"/>
    <mergeCell ref="J1015:K1015"/>
    <mergeCell ref="O1015:P1015"/>
    <mergeCell ref="H1016:I1016"/>
    <mergeCell ref="J1016:K1016"/>
    <mergeCell ref="O1016:P1016"/>
    <mergeCell ref="H1017:I1017"/>
    <mergeCell ref="J1017:K1017"/>
    <mergeCell ref="O1017:P1017"/>
    <mergeCell ref="H1018:I1018"/>
    <mergeCell ref="J1018:K1018"/>
    <mergeCell ref="O1018:P1018"/>
    <mergeCell ref="H1019:I1019"/>
    <mergeCell ref="J1019:K1019"/>
    <mergeCell ref="O1019:P1019"/>
    <mergeCell ref="H1020:I1020"/>
    <mergeCell ref="J1020:K1020"/>
    <mergeCell ref="O1020:P1020"/>
    <mergeCell ref="H1021:I1021"/>
    <mergeCell ref="J1021:K1021"/>
    <mergeCell ref="O1021:P1021"/>
    <mergeCell ref="H1022:I1022"/>
    <mergeCell ref="J1022:K1022"/>
    <mergeCell ref="O1022:P1022"/>
    <mergeCell ref="H1023:I1023"/>
    <mergeCell ref="J1023:K1023"/>
    <mergeCell ref="O1023:P1023"/>
    <mergeCell ref="H1024:I1024"/>
    <mergeCell ref="J1024:K1024"/>
    <mergeCell ref="O1024:P1024"/>
    <mergeCell ref="H1025:I1025"/>
    <mergeCell ref="J1025:K1025"/>
    <mergeCell ref="O1025:P1025"/>
    <mergeCell ref="H1026:I1026"/>
    <mergeCell ref="J1026:K1026"/>
    <mergeCell ref="O1026:P1026"/>
    <mergeCell ref="H1027:I1027"/>
    <mergeCell ref="J1027:K1027"/>
    <mergeCell ref="O1027:P1027"/>
    <mergeCell ref="H1028:I1028"/>
    <mergeCell ref="J1028:K1028"/>
    <mergeCell ref="O1028:P1028"/>
    <mergeCell ref="H1029:I1029"/>
    <mergeCell ref="J1029:K1029"/>
    <mergeCell ref="O1029:P1029"/>
    <mergeCell ref="H1030:I1030"/>
    <mergeCell ref="J1030:K1030"/>
    <mergeCell ref="O1030:P1030"/>
    <mergeCell ref="H1031:I1031"/>
    <mergeCell ref="J1031:K1031"/>
    <mergeCell ref="O1031:P1031"/>
    <mergeCell ref="H1032:I1032"/>
    <mergeCell ref="J1032:K1032"/>
    <mergeCell ref="O1032:P1032"/>
    <mergeCell ref="H1033:I1033"/>
    <mergeCell ref="J1033:K1033"/>
    <mergeCell ref="O1033:P1033"/>
    <mergeCell ref="C1034:C1081"/>
    <mergeCell ref="H1034:I1034"/>
    <mergeCell ref="J1034:K1034"/>
    <mergeCell ref="O1034:P1034"/>
    <mergeCell ref="H1035:I1035"/>
    <mergeCell ref="J1035:K1035"/>
    <mergeCell ref="O1035:P1035"/>
    <mergeCell ref="H1036:I1036"/>
    <mergeCell ref="J1036:K1036"/>
    <mergeCell ref="O1036:P1036"/>
    <mergeCell ref="H1037:I1037"/>
    <mergeCell ref="J1037:K1037"/>
    <mergeCell ref="O1037:P1037"/>
    <mergeCell ref="H1038:I1038"/>
    <mergeCell ref="J1038:K1038"/>
    <mergeCell ref="O1038:P1038"/>
    <mergeCell ref="D1039:D1041"/>
    <mergeCell ref="H1039:I1039"/>
    <mergeCell ref="J1039:K1039"/>
    <mergeCell ref="O1039:P1039"/>
    <mergeCell ref="H1040:I1040"/>
    <mergeCell ref="J1040:K1040"/>
    <mergeCell ref="O1040:P1040"/>
    <mergeCell ref="H1041:I1041"/>
    <mergeCell ref="J1041:K1041"/>
    <mergeCell ref="O1041:P1041"/>
    <mergeCell ref="H1042:I1042"/>
    <mergeCell ref="J1042:K1042"/>
    <mergeCell ref="O1042:P1042"/>
    <mergeCell ref="H1043:I1043"/>
    <mergeCell ref="J1043:K1043"/>
    <mergeCell ref="O1043:P1043"/>
    <mergeCell ref="D1044:D1045"/>
    <mergeCell ref="H1044:I1044"/>
    <mergeCell ref="J1044:K1044"/>
    <mergeCell ref="O1044:P1044"/>
    <mergeCell ref="H1045:I1045"/>
    <mergeCell ref="J1045:K1045"/>
    <mergeCell ref="O1045:P1045"/>
    <mergeCell ref="H1046:I1046"/>
    <mergeCell ref="J1046:K1046"/>
    <mergeCell ref="O1046:P1046"/>
    <mergeCell ref="H1047:I1047"/>
    <mergeCell ref="J1047:K1047"/>
    <mergeCell ref="O1047:P1047"/>
    <mergeCell ref="H1048:I1048"/>
    <mergeCell ref="J1048:K1048"/>
    <mergeCell ref="O1048:P1048"/>
    <mergeCell ref="H1049:I1049"/>
    <mergeCell ref="J1049:K1049"/>
    <mergeCell ref="O1049:P1049"/>
    <mergeCell ref="H1050:I1050"/>
    <mergeCell ref="J1050:K1050"/>
    <mergeCell ref="O1050:P1050"/>
    <mergeCell ref="D1051:D1052"/>
    <mergeCell ref="H1051:I1051"/>
    <mergeCell ref="J1051:K1051"/>
    <mergeCell ref="O1051:P1051"/>
    <mergeCell ref="H1052:I1052"/>
    <mergeCell ref="J1052:K1052"/>
    <mergeCell ref="O1052:P1052"/>
    <mergeCell ref="H1053:I1053"/>
    <mergeCell ref="J1053:K1053"/>
    <mergeCell ref="O1053:P1053"/>
    <mergeCell ref="D1054:D1055"/>
    <mergeCell ref="H1054:I1054"/>
    <mergeCell ref="J1054:K1054"/>
    <mergeCell ref="O1054:P1054"/>
    <mergeCell ref="H1055:I1055"/>
    <mergeCell ref="J1055:K1055"/>
    <mergeCell ref="O1055:P1055"/>
    <mergeCell ref="D1056:D1057"/>
    <mergeCell ref="H1056:I1056"/>
    <mergeCell ref="J1056:K1056"/>
    <mergeCell ref="O1056:P1056"/>
    <mergeCell ref="H1057:I1057"/>
    <mergeCell ref="J1057:K1057"/>
    <mergeCell ref="O1057:P1057"/>
    <mergeCell ref="H1058:I1058"/>
    <mergeCell ref="J1058:K1058"/>
    <mergeCell ref="O1058:P1058"/>
    <mergeCell ref="D1059:D1060"/>
    <mergeCell ref="H1059:I1059"/>
    <mergeCell ref="J1059:K1059"/>
    <mergeCell ref="O1059:P1059"/>
    <mergeCell ref="H1060:I1060"/>
    <mergeCell ref="J1060:K1060"/>
    <mergeCell ref="O1060:P1060"/>
    <mergeCell ref="H1061:I1061"/>
    <mergeCell ref="J1061:K1061"/>
    <mergeCell ref="O1061:P1061"/>
    <mergeCell ref="H1062:I1062"/>
    <mergeCell ref="J1062:K1062"/>
    <mergeCell ref="O1062:P1062"/>
    <mergeCell ref="H1063:I1063"/>
    <mergeCell ref="J1063:K1063"/>
    <mergeCell ref="O1063:P1063"/>
    <mergeCell ref="H1064:I1064"/>
    <mergeCell ref="J1064:K1064"/>
    <mergeCell ref="O1064:P1064"/>
    <mergeCell ref="H1065:I1065"/>
    <mergeCell ref="J1065:K1065"/>
    <mergeCell ref="O1065:P1065"/>
    <mergeCell ref="H1066:I1066"/>
    <mergeCell ref="J1066:K1066"/>
    <mergeCell ref="O1066:P1066"/>
    <mergeCell ref="H1067:I1067"/>
    <mergeCell ref="J1067:K1067"/>
    <mergeCell ref="O1067:P1067"/>
    <mergeCell ref="H1068:I1068"/>
    <mergeCell ref="J1068:K1068"/>
    <mergeCell ref="O1068:P1068"/>
    <mergeCell ref="H1069:I1069"/>
    <mergeCell ref="J1069:K1069"/>
    <mergeCell ref="O1069:P1069"/>
    <mergeCell ref="D1070:D1071"/>
    <mergeCell ref="H1070:I1070"/>
    <mergeCell ref="J1070:K1070"/>
    <mergeCell ref="O1070:P1070"/>
    <mergeCell ref="H1071:I1071"/>
    <mergeCell ref="J1071:K1071"/>
    <mergeCell ref="O1071:P1071"/>
    <mergeCell ref="H1072:I1072"/>
    <mergeCell ref="J1072:K1072"/>
    <mergeCell ref="O1072:P1072"/>
    <mergeCell ref="D1073:D1075"/>
    <mergeCell ref="H1073:I1073"/>
    <mergeCell ref="J1073:K1073"/>
    <mergeCell ref="O1073:P1073"/>
    <mergeCell ref="H1074:I1074"/>
    <mergeCell ref="J1074:K1074"/>
    <mergeCell ref="O1074:P1074"/>
    <mergeCell ref="H1075:I1075"/>
    <mergeCell ref="J1075:K1075"/>
    <mergeCell ref="O1075:P1075"/>
    <mergeCell ref="H1076:I1076"/>
    <mergeCell ref="J1076:K1076"/>
    <mergeCell ref="O1076:P1076"/>
    <mergeCell ref="H1077:I1077"/>
    <mergeCell ref="J1077:K1077"/>
    <mergeCell ref="O1077:P1077"/>
    <mergeCell ref="H1078:I1078"/>
    <mergeCell ref="J1078:K1078"/>
    <mergeCell ref="O1078:P1078"/>
    <mergeCell ref="H1079:I1079"/>
    <mergeCell ref="J1079:K1079"/>
    <mergeCell ref="O1079:P1079"/>
    <mergeCell ref="H1080:I1080"/>
    <mergeCell ref="J1080:K1080"/>
    <mergeCell ref="O1080:P1080"/>
    <mergeCell ref="H1081:I1081"/>
    <mergeCell ref="J1081:K1081"/>
    <mergeCell ref="O1081:P1081"/>
    <mergeCell ref="C1082:C1126"/>
    <mergeCell ref="H1082:I1082"/>
    <mergeCell ref="J1082:K1082"/>
    <mergeCell ref="O1082:P1082"/>
    <mergeCell ref="D1083:D1088"/>
    <mergeCell ref="H1083:I1083"/>
    <mergeCell ref="J1083:K1083"/>
    <mergeCell ref="O1083:P1083"/>
    <mergeCell ref="H1084:I1084"/>
    <mergeCell ref="J1084:K1084"/>
    <mergeCell ref="O1084:P1084"/>
    <mergeCell ref="H1085:I1085"/>
    <mergeCell ref="J1085:K1085"/>
    <mergeCell ref="O1085:P1085"/>
    <mergeCell ref="H1086:I1086"/>
    <mergeCell ref="J1086:K1086"/>
    <mergeCell ref="O1086:P1086"/>
    <mergeCell ref="H1087:I1087"/>
    <mergeCell ref="J1087:K1087"/>
    <mergeCell ref="O1087:P1087"/>
    <mergeCell ref="H1088:I1088"/>
    <mergeCell ref="J1088:K1088"/>
    <mergeCell ref="O1088:P1088"/>
    <mergeCell ref="H1089:I1089"/>
    <mergeCell ref="J1089:K1089"/>
    <mergeCell ref="O1089:P1089"/>
    <mergeCell ref="H1090:I1090"/>
    <mergeCell ref="J1090:K1090"/>
    <mergeCell ref="O1090:P1090"/>
    <mergeCell ref="H1091:I1091"/>
    <mergeCell ref="J1091:K1091"/>
    <mergeCell ref="O1091:P1091"/>
    <mergeCell ref="H1092:I1092"/>
    <mergeCell ref="J1092:K1092"/>
    <mergeCell ref="O1092:P1092"/>
    <mergeCell ref="H1093:I1093"/>
    <mergeCell ref="J1093:K1093"/>
    <mergeCell ref="O1093:P1093"/>
    <mergeCell ref="H1094:I1094"/>
    <mergeCell ref="J1094:K1094"/>
    <mergeCell ref="O1094:P1094"/>
    <mergeCell ref="H1095:I1095"/>
    <mergeCell ref="J1095:K1095"/>
    <mergeCell ref="O1095:P1095"/>
    <mergeCell ref="H1096:I1096"/>
    <mergeCell ref="J1096:K1096"/>
    <mergeCell ref="O1096:P1096"/>
    <mergeCell ref="H1097:I1097"/>
    <mergeCell ref="J1097:K1097"/>
    <mergeCell ref="O1097:P1097"/>
    <mergeCell ref="H1098:I1098"/>
    <mergeCell ref="J1098:K1098"/>
    <mergeCell ref="O1098:P1098"/>
    <mergeCell ref="H1099:I1099"/>
    <mergeCell ref="J1099:K1099"/>
    <mergeCell ref="O1099:P1099"/>
    <mergeCell ref="D1100:D1101"/>
    <mergeCell ref="H1100:I1100"/>
    <mergeCell ref="J1100:K1100"/>
    <mergeCell ref="O1100:P1100"/>
    <mergeCell ref="H1101:I1101"/>
    <mergeCell ref="J1101:K1101"/>
    <mergeCell ref="O1101:P1101"/>
    <mergeCell ref="H1102:I1102"/>
    <mergeCell ref="J1102:K1102"/>
    <mergeCell ref="O1102:P1102"/>
    <mergeCell ref="H1103:I1103"/>
    <mergeCell ref="J1103:K1103"/>
    <mergeCell ref="O1103:P1103"/>
    <mergeCell ref="H1104:I1104"/>
    <mergeCell ref="J1104:K1104"/>
    <mergeCell ref="O1104:P1104"/>
    <mergeCell ref="D1105:D1106"/>
    <mergeCell ref="H1105:I1105"/>
    <mergeCell ref="J1105:K1105"/>
    <mergeCell ref="O1105:P1105"/>
    <mergeCell ref="H1106:I1106"/>
    <mergeCell ref="J1106:K1106"/>
    <mergeCell ref="O1106:P1106"/>
    <mergeCell ref="H1107:I1107"/>
    <mergeCell ref="J1107:K1107"/>
    <mergeCell ref="O1107:P1107"/>
    <mergeCell ref="D1108:D1109"/>
    <mergeCell ref="H1108:I1108"/>
    <mergeCell ref="J1108:K1108"/>
    <mergeCell ref="O1108:P1108"/>
    <mergeCell ref="H1109:I1109"/>
    <mergeCell ref="J1109:K1109"/>
    <mergeCell ref="O1109:P1109"/>
    <mergeCell ref="D1110:D1111"/>
    <mergeCell ref="H1110:I1110"/>
    <mergeCell ref="J1110:K1110"/>
    <mergeCell ref="O1110:P1110"/>
    <mergeCell ref="H1111:I1111"/>
    <mergeCell ref="J1111:K1111"/>
    <mergeCell ref="O1111:P1111"/>
    <mergeCell ref="D1112:D1113"/>
    <mergeCell ref="H1112:I1112"/>
    <mergeCell ref="J1112:K1112"/>
    <mergeCell ref="O1112:P1112"/>
    <mergeCell ref="H1113:I1113"/>
    <mergeCell ref="J1113:K1113"/>
    <mergeCell ref="O1113:P1113"/>
    <mergeCell ref="H1114:I1114"/>
    <mergeCell ref="J1114:K1114"/>
    <mergeCell ref="O1114:P1114"/>
    <mergeCell ref="H1115:I1115"/>
    <mergeCell ref="J1115:K1115"/>
    <mergeCell ref="O1115:P1115"/>
    <mergeCell ref="H1116:I1116"/>
    <mergeCell ref="J1116:K1116"/>
    <mergeCell ref="O1116:P1116"/>
    <mergeCell ref="H1117:I1117"/>
    <mergeCell ref="J1117:K1117"/>
    <mergeCell ref="O1117:P1117"/>
    <mergeCell ref="H1118:I1118"/>
    <mergeCell ref="J1118:K1118"/>
    <mergeCell ref="O1118:P1118"/>
    <mergeCell ref="D1119:D1120"/>
    <mergeCell ref="H1119:I1119"/>
    <mergeCell ref="J1119:K1119"/>
    <mergeCell ref="O1119:P1119"/>
    <mergeCell ref="H1120:I1120"/>
    <mergeCell ref="J1120:K1120"/>
    <mergeCell ref="O1120:P1120"/>
    <mergeCell ref="H1121:I1121"/>
    <mergeCell ref="J1121:K1121"/>
    <mergeCell ref="O1121:P1121"/>
    <mergeCell ref="H1122:I1122"/>
    <mergeCell ref="J1122:K1122"/>
    <mergeCell ref="O1122:P1122"/>
    <mergeCell ref="D1123:D1125"/>
    <mergeCell ref="E1123:E1125"/>
    <mergeCell ref="F1123:F1125"/>
    <mergeCell ref="G1123:G1125"/>
    <mergeCell ref="H1123:I1123"/>
    <mergeCell ref="J1123:K1123"/>
    <mergeCell ref="O1123:P1123"/>
    <mergeCell ref="H1124:I1124"/>
    <mergeCell ref="J1124:K1124"/>
    <mergeCell ref="O1124:P1124"/>
    <mergeCell ref="H1125:I1125"/>
    <mergeCell ref="J1125:K1125"/>
    <mergeCell ref="O1125:P1125"/>
    <mergeCell ref="H1126:I1126"/>
    <mergeCell ref="J1126:K1126"/>
    <mergeCell ref="O1126:P1126"/>
    <mergeCell ref="C1127:C1192"/>
    <mergeCell ref="H1127:I1127"/>
    <mergeCell ref="J1127:K1127"/>
    <mergeCell ref="O1127:P1127"/>
    <mergeCell ref="H1128:I1128"/>
    <mergeCell ref="J1128:K1128"/>
    <mergeCell ref="O1128:P1128"/>
    <mergeCell ref="H1129:I1129"/>
    <mergeCell ref="J1129:K1129"/>
    <mergeCell ref="O1129:P1129"/>
    <mergeCell ref="H1130:I1130"/>
    <mergeCell ref="J1130:K1130"/>
    <mergeCell ref="O1130:P1130"/>
    <mergeCell ref="H1131:I1131"/>
    <mergeCell ref="J1131:K1131"/>
    <mergeCell ref="O1131:P1131"/>
    <mergeCell ref="H1132:I1132"/>
    <mergeCell ref="J1132:K1132"/>
    <mergeCell ref="O1132:P1132"/>
    <mergeCell ref="H1133:I1133"/>
    <mergeCell ref="J1133:K1133"/>
    <mergeCell ref="O1133:P1133"/>
    <mergeCell ref="H1134:I1134"/>
    <mergeCell ref="J1134:K1134"/>
    <mergeCell ref="O1134:P1134"/>
    <mergeCell ref="H1135:I1135"/>
    <mergeCell ref="J1135:K1135"/>
    <mergeCell ref="O1135:P1135"/>
    <mergeCell ref="H1136:I1136"/>
    <mergeCell ref="J1136:K1136"/>
    <mergeCell ref="O1136:P1136"/>
    <mergeCell ref="H1137:I1137"/>
    <mergeCell ref="J1137:K1137"/>
    <mergeCell ref="O1137:P1137"/>
    <mergeCell ref="H1138:I1138"/>
    <mergeCell ref="J1138:K1138"/>
    <mergeCell ref="O1138:P1138"/>
    <mergeCell ref="D1139:D1140"/>
    <mergeCell ref="H1139:I1139"/>
    <mergeCell ref="J1139:K1139"/>
    <mergeCell ref="O1139:P1139"/>
    <mergeCell ref="H1140:I1140"/>
    <mergeCell ref="J1140:K1140"/>
    <mergeCell ref="O1140:P1140"/>
    <mergeCell ref="H1141:I1141"/>
    <mergeCell ref="J1141:K1141"/>
    <mergeCell ref="O1141:P1141"/>
    <mergeCell ref="H1142:I1142"/>
    <mergeCell ref="J1142:K1142"/>
    <mergeCell ref="O1142:P1142"/>
    <mergeCell ref="H1143:I1143"/>
    <mergeCell ref="J1143:K1143"/>
    <mergeCell ref="O1143:P1143"/>
    <mergeCell ref="H1144:I1144"/>
    <mergeCell ref="J1144:K1144"/>
    <mergeCell ref="O1144:P1144"/>
    <mergeCell ref="H1145:I1145"/>
    <mergeCell ref="J1145:K1145"/>
    <mergeCell ref="O1145:P1145"/>
    <mergeCell ref="H1146:I1146"/>
    <mergeCell ref="J1146:K1146"/>
    <mergeCell ref="O1146:P1146"/>
    <mergeCell ref="H1147:I1147"/>
    <mergeCell ref="J1147:K1147"/>
    <mergeCell ref="O1147:P1147"/>
    <mergeCell ref="H1148:I1148"/>
    <mergeCell ref="J1148:K1148"/>
    <mergeCell ref="O1148:P1148"/>
    <mergeCell ref="H1149:I1149"/>
    <mergeCell ref="J1149:K1149"/>
    <mergeCell ref="O1149:P1149"/>
    <mergeCell ref="H1150:I1150"/>
    <mergeCell ref="J1150:K1150"/>
    <mergeCell ref="O1150:P1150"/>
    <mergeCell ref="H1151:I1151"/>
    <mergeCell ref="J1151:K1151"/>
    <mergeCell ref="O1151:P1151"/>
    <mergeCell ref="H1152:I1152"/>
    <mergeCell ref="J1152:K1152"/>
    <mergeCell ref="O1152:P1152"/>
    <mergeCell ref="H1153:I1153"/>
    <mergeCell ref="J1153:K1153"/>
    <mergeCell ref="O1153:P1153"/>
    <mergeCell ref="H1154:I1154"/>
    <mergeCell ref="J1154:K1154"/>
    <mergeCell ref="O1154:P1154"/>
    <mergeCell ref="H1155:I1155"/>
    <mergeCell ref="J1155:K1155"/>
    <mergeCell ref="O1155:P1155"/>
    <mergeCell ref="H1156:I1156"/>
    <mergeCell ref="J1156:K1156"/>
    <mergeCell ref="O1156:P1156"/>
    <mergeCell ref="H1157:I1157"/>
    <mergeCell ref="J1157:K1157"/>
    <mergeCell ref="O1157:P1157"/>
    <mergeCell ref="H1158:I1158"/>
    <mergeCell ref="J1158:K1158"/>
    <mergeCell ref="O1158:P1158"/>
    <mergeCell ref="H1159:I1159"/>
    <mergeCell ref="J1159:K1159"/>
    <mergeCell ref="O1159:P1159"/>
    <mergeCell ref="H1160:I1160"/>
    <mergeCell ref="J1160:K1160"/>
    <mergeCell ref="O1160:P1160"/>
    <mergeCell ref="H1161:I1161"/>
    <mergeCell ref="J1161:K1161"/>
    <mergeCell ref="O1161:P1161"/>
    <mergeCell ref="H1162:I1162"/>
    <mergeCell ref="J1162:K1162"/>
    <mergeCell ref="O1162:P1162"/>
    <mergeCell ref="H1163:I1163"/>
    <mergeCell ref="J1163:K1163"/>
    <mergeCell ref="O1163:P1163"/>
    <mergeCell ref="H1164:I1164"/>
    <mergeCell ref="J1164:K1164"/>
    <mergeCell ref="O1164:P1164"/>
    <mergeCell ref="D1165:D1167"/>
    <mergeCell ref="H1165:I1165"/>
    <mergeCell ref="J1165:K1165"/>
    <mergeCell ref="O1165:P1165"/>
    <mergeCell ref="H1166:I1166"/>
    <mergeCell ref="J1166:K1166"/>
    <mergeCell ref="O1166:P1166"/>
    <mergeCell ref="H1167:I1167"/>
    <mergeCell ref="J1167:K1167"/>
    <mergeCell ref="O1167:P1167"/>
    <mergeCell ref="D1168:D1169"/>
    <mergeCell ref="H1168:I1168"/>
    <mergeCell ref="J1168:K1168"/>
    <mergeCell ref="O1168:P1168"/>
    <mergeCell ref="H1169:I1169"/>
    <mergeCell ref="J1169:K1169"/>
    <mergeCell ref="O1169:P1169"/>
    <mergeCell ref="H1170:I1170"/>
    <mergeCell ref="J1170:K1170"/>
    <mergeCell ref="O1170:P1170"/>
    <mergeCell ref="H1171:I1171"/>
    <mergeCell ref="J1171:K1171"/>
    <mergeCell ref="O1171:P1171"/>
    <mergeCell ref="D1172:D1175"/>
    <mergeCell ref="H1172:I1172"/>
    <mergeCell ref="J1172:K1172"/>
    <mergeCell ref="O1172:P1172"/>
    <mergeCell ref="H1173:I1173"/>
    <mergeCell ref="J1173:K1173"/>
    <mergeCell ref="O1173:P1173"/>
    <mergeCell ref="H1174:I1174"/>
    <mergeCell ref="J1174:K1174"/>
    <mergeCell ref="O1174:P1174"/>
    <mergeCell ref="H1175:I1175"/>
    <mergeCell ref="J1175:K1175"/>
    <mergeCell ref="O1175:P1175"/>
    <mergeCell ref="H1176:I1176"/>
    <mergeCell ref="J1176:K1176"/>
    <mergeCell ref="O1176:P1176"/>
    <mergeCell ref="H1177:I1177"/>
    <mergeCell ref="J1177:K1177"/>
    <mergeCell ref="O1177:P1177"/>
    <mergeCell ref="H1178:I1178"/>
    <mergeCell ref="J1178:K1178"/>
    <mergeCell ref="O1178:P1178"/>
    <mergeCell ref="H1179:I1179"/>
    <mergeCell ref="J1179:K1179"/>
    <mergeCell ref="O1179:P1179"/>
    <mergeCell ref="H1180:I1180"/>
    <mergeCell ref="J1180:K1180"/>
    <mergeCell ref="O1180:P1180"/>
    <mergeCell ref="H1181:I1181"/>
    <mergeCell ref="J1181:K1181"/>
    <mergeCell ref="O1181:P1181"/>
    <mergeCell ref="H1182:I1182"/>
    <mergeCell ref="J1182:K1182"/>
    <mergeCell ref="O1182:P1182"/>
    <mergeCell ref="H1183:I1183"/>
    <mergeCell ref="J1183:K1183"/>
    <mergeCell ref="O1183:P1183"/>
    <mergeCell ref="H1184:I1184"/>
    <mergeCell ref="J1184:K1184"/>
    <mergeCell ref="O1184:P1184"/>
    <mergeCell ref="H1185:I1185"/>
    <mergeCell ref="J1185:K1185"/>
    <mergeCell ref="O1185:P1185"/>
    <mergeCell ref="H1186:I1186"/>
    <mergeCell ref="J1186:K1186"/>
    <mergeCell ref="O1186:P1186"/>
    <mergeCell ref="D1187:D1189"/>
    <mergeCell ref="E1187:E1189"/>
    <mergeCell ref="F1187:F1189"/>
    <mergeCell ref="G1187:G1189"/>
    <mergeCell ref="H1187:I1187"/>
    <mergeCell ref="J1187:K1187"/>
    <mergeCell ref="O1187:P1187"/>
    <mergeCell ref="H1188:I1188"/>
    <mergeCell ref="J1188:K1188"/>
    <mergeCell ref="O1188:P1188"/>
    <mergeCell ref="H1189:I1189"/>
    <mergeCell ref="J1189:K1189"/>
    <mergeCell ref="O1189:P1189"/>
    <mergeCell ref="D1190:D1192"/>
    <mergeCell ref="E1190:E1192"/>
    <mergeCell ref="F1190:F1192"/>
    <mergeCell ref="G1190:G1192"/>
    <mergeCell ref="H1190:I1190"/>
    <mergeCell ref="J1190:K1190"/>
    <mergeCell ref="O1190:P1190"/>
    <mergeCell ref="H1191:I1191"/>
    <mergeCell ref="J1191:K1191"/>
    <mergeCell ref="O1191:P1191"/>
    <mergeCell ref="H1192:I1192"/>
    <mergeCell ref="J1192:K1192"/>
    <mergeCell ref="O1192:P1192"/>
    <mergeCell ref="C1193:C1246"/>
    <mergeCell ref="H1193:I1193"/>
    <mergeCell ref="J1193:K1193"/>
    <mergeCell ref="O1193:P1193"/>
    <mergeCell ref="H1194:I1194"/>
    <mergeCell ref="J1194:K1194"/>
    <mergeCell ref="O1194:P1194"/>
    <mergeCell ref="H1195:I1195"/>
    <mergeCell ref="J1195:K1195"/>
    <mergeCell ref="O1195:P1195"/>
    <mergeCell ref="H1196:I1196"/>
    <mergeCell ref="J1196:K1196"/>
    <mergeCell ref="O1196:P1196"/>
    <mergeCell ref="H1197:I1197"/>
    <mergeCell ref="J1197:K1197"/>
    <mergeCell ref="O1197:P1197"/>
    <mergeCell ref="D1198:D1199"/>
    <mergeCell ref="H1198:I1198"/>
    <mergeCell ref="J1198:K1198"/>
    <mergeCell ref="O1198:P1198"/>
    <mergeCell ref="H1199:I1199"/>
    <mergeCell ref="J1199:K1199"/>
    <mergeCell ref="O1199:P1199"/>
    <mergeCell ref="H1200:I1200"/>
    <mergeCell ref="J1200:K1200"/>
    <mergeCell ref="O1200:P1200"/>
    <mergeCell ref="H1201:I1201"/>
    <mergeCell ref="J1201:K1201"/>
    <mergeCell ref="O1201:P1201"/>
    <mergeCell ref="H1202:I1202"/>
    <mergeCell ref="J1202:K1202"/>
    <mergeCell ref="O1202:P1202"/>
    <mergeCell ref="H1203:I1203"/>
    <mergeCell ref="J1203:K1203"/>
    <mergeCell ref="O1203:P1203"/>
    <mergeCell ref="H1204:I1204"/>
    <mergeCell ref="J1204:K1204"/>
    <mergeCell ref="O1204:P1204"/>
    <mergeCell ref="H1205:I1205"/>
    <mergeCell ref="J1205:K1205"/>
    <mergeCell ref="O1205:P1205"/>
    <mergeCell ref="H1206:I1206"/>
    <mergeCell ref="J1206:K1206"/>
    <mergeCell ref="O1206:P1206"/>
    <mergeCell ref="H1207:I1207"/>
    <mergeCell ref="J1207:K1207"/>
    <mergeCell ref="O1207:P1207"/>
    <mergeCell ref="H1208:I1208"/>
    <mergeCell ref="J1208:K1208"/>
    <mergeCell ref="O1208:P1208"/>
    <mergeCell ref="H1209:I1209"/>
    <mergeCell ref="J1209:K1209"/>
    <mergeCell ref="O1209:P1209"/>
    <mergeCell ref="H1210:I1210"/>
    <mergeCell ref="J1210:K1210"/>
    <mergeCell ref="O1210:P1210"/>
    <mergeCell ref="H1211:I1211"/>
    <mergeCell ref="J1211:K1211"/>
    <mergeCell ref="O1211:P1211"/>
    <mergeCell ref="H1212:I1212"/>
    <mergeCell ref="J1212:K1212"/>
    <mergeCell ref="O1212:P1212"/>
    <mergeCell ref="H1213:I1213"/>
    <mergeCell ref="J1213:K1213"/>
    <mergeCell ref="O1213:P1213"/>
    <mergeCell ref="H1214:I1214"/>
    <mergeCell ref="J1214:K1214"/>
    <mergeCell ref="O1214:P1214"/>
    <mergeCell ref="H1215:I1215"/>
    <mergeCell ref="J1215:K1215"/>
    <mergeCell ref="O1215:P1215"/>
    <mergeCell ref="H1216:I1216"/>
    <mergeCell ref="J1216:K1216"/>
    <mergeCell ref="O1216:P1216"/>
    <mergeCell ref="H1217:I1217"/>
    <mergeCell ref="J1217:K1217"/>
    <mergeCell ref="O1217:P1217"/>
    <mergeCell ref="H1218:I1218"/>
    <mergeCell ref="J1218:K1218"/>
    <mergeCell ref="O1218:P1218"/>
    <mergeCell ref="H1219:I1219"/>
    <mergeCell ref="J1219:K1219"/>
    <mergeCell ref="O1219:P1219"/>
    <mergeCell ref="H1220:I1220"/>
    <mergeCell ref="J1220:K1220"/>
    <mergeCell ref="O1220:P1220"/>
    <mergeCell ref="H1221:I1221"/>
    <mergeCell ref="J1221:K1221"/>
    <mergeCell ref="O1221:P1221"/>
    <mergeCell ref="H1222:I1222"/>
    <mergeCell ref="J1222:K1222"/>
    <mergeCell ref="O1222:P1222"/>
    <mergeCell ref="H1223:I1223"/>
    <mergeCell ref="J1223:K1223"/>
    <mergeCell ref="O1223:P1223"/>
    <mergeCell ref="H1224:I1224"/>
    <mergeCell ref="J1224:K1224"/>
    <mergeCell ref="O1224:P1224"/>
    <mergeCell ref="H1225:I1225"/>
    <mergeCell ref="J1225:K1225"/>
    <mergeCell ref="O1225:P1225"/>
    <mergeCell ref="H1226:I1226"/>
    <mergeCell ref="J1226:K1226"/>
    <mergeCell ref="O1226:P1226"/>
    <mergeCell ref="H1227:I1227"/>
    <mergeCell ref="J1227:K1227"/>
    <mergeCell ref="O1227:P1227"/>
    <mergeCell ref="H1228:I1228"/>
    <mergeCell ref="J1228:K1228"/>
    <mergeCell ref="O1228:P1228"/>
    <mergeCell ref="H1229:I1229"/>
    <mergeCell ref="J1229:K1229"/>
    <mergeCell ref="O1229:P1229"/>
    <mergeCell ref="H1230:I1230"/>
    <mergeCell ref="J1230:K1230"/>
    <mergeCell ref="O1230:P1230"/>
    <mergeCell ref="D1231:D1232"/>
    <mergeCell ref="H1231:I1231"/>
    <mergeCell ref="J1231:K1231"/>
    <mergeCell ref="O1231:P1231"/>
    <mergeCell ref="H1232:I1232"/>
    <mergeCell ref="J1232:K1232"/>
    <mergeCell ref="O1232:P1232"/>
    <mergeCell ref="D1233:D1234"/>
    <mergeCell ref="H1233:I1233"/>
    <mergeCell ref="J1233:K1233"/>
    <mergeCell ref="O1233:P1233"/>
    <mergeCell ref="H1234:I1234"/>
    <mergeCell ref="J1234:K1234"/>
    <mergeCell ref="O1234:P1234"/>
    <mergeCell ref="H1235:I1235"/>
    <mergeCell ref="J1235:K1235"/>
    <mergeCell ref="O1235:P1235"/>
    <mergeCell ref="H1236:I1236"/>
    <mergeCell ref="J1236:K1236"/>
    <mergeCell ref="O1236:P1236"/>
    <mergeCell ref="D1237:D1239"/>
    <mergeCell ref="H1237:I1237"/>
    <mergeCell ref="J1237:K1237"/>
    <mergeCell ref="O1237:P1237"/>
    <mergeCell ref="H1238:I1238"/>
    <mergeCell ref="J1238:K1238"/>
    <mergeCell ref="O1238:P1238"/>
    <mergeCell ref="H1239:I1239"/>
    <mergeCell ref="J1239:K1239"/>
    <mergeCell ref="O1239:P1239"/>
    <mergeCell ref="H1240:I1240"/>
    <mergeCell ref="J1240:K1240"/>
    <mergeCell ref="O1240:P1240"/>
    <mergeCell ref="H1241:I1241"/>
    <mergeCell ref="J1241:K1241"/>
    <mergeCell ref="O1241:P1241"/>
    <mergeCell ref="H1242:I1242"/>
    <mergeCell ref="J1242:K1242"/>
    <mergeCell ref="O1242:P1242"/>
    <mergeCell ref="H1243:I1243"/>
    <mergeCell ref="J1243:K1243"/>
    <mergeCell ref="O1243:P1243"/>
    <mergeCell ref="H1244:I1244"/>
    <mergeCell ref="J1244:K1244"/>
    <mergeCell ref="O1244:P1244"/>
    <mergeCell ref="H1245:I1245"/>
    <mergeCell ref="J1245:K1245"/>
    <mergeCell ref="O1245:P1245"/>
    <mergeCell ref="H1246:I1246"/>
    <mergeCell ref="J1246:K1246"/>
    <mergeCell ref="O1246:P1246"/>
    <mergeCell ref="C1247:C1291"/>
    <mergeCell ref="H1247:I1247"/>
    <mergeCell ref="J1247:K1247"/>
    <mergeCell ref="O1247:P1247"/>
    <mergeCell ref="H1248:I1248"/>
    <mergeCell ref="J1248:K1248"/>
    <mergeCell ref="O1248:P1248"/>
    <mergeCell ref="H1249:I1249"/>
    <mergeCell ref="J1249:K1249"/>
    <mergeCell ref="O1249:P1249"/>
    <mergeCell ref="H1250:I1250"/>
    <mergeCell ref="J1250:K1250"/>
    <mergeCell ref="O1250:P1250"/>
    <mergeCell ref="H1251:I1251"/>
    <mergeCell ref="J1251:K1251"/>
    <mergeCell ref="O1251:P1251"/>
    <mergeCell ref="H1252:I1252"/>
    <mergeCell ref="J1252:K1252"/>
    <mergeCell ref="O1252:P1252"/>
    <mergeCell ref="H1253:I1253"/>
    <mergeCell ref="J1253:K1253"/>
    <mergeCell ref="O1253:P1253"/>
    <mergeCell ref="H1254:I1254"/>
    <mergeCell ref="J1254:K1254"/>
    <mergeCell ref="O1254:P1254"/>
    <mergeCell ref="H1255:I1255"/>
    <mergeCell ref="J1255:K1255"/>
    <mergeCell ref="O1255:P1255"/>
    <mergeCell ref="H1256:I1256"/>
    <mergeCell ref="J1256:K1256"/>
    <mergeCell ref="O1256:P1256"/>
    <mergeCell ref="H1257:I1257"/>
    <mergeCell ref="J1257:K1257"/>
    <mergeCell ref="O1257:P1257"/>
    <mergeCell ref="D1258:D1261"/>
    <mergeCell ref="H1258:I1258"/>
    <mergeCell ref="J1258:K1258"/>
    <mergeCell ref="O1258:P1258"/>
    <mergeCell ref="H1259:I1259"/>
    <mergeCell ref="J1259:K1259"/>
    <mergeCell ref="O1259:P1259"/>
    <mergeCell ref="H1260:I1260"/>
    <mergeCell ref="J1260:K1260"/>
    <mergeCell ref="O1260:P1260"/>
    <mergeCell ref="H1261:I1261"/>
    <mergeCell ref="J1261:K1261"/>
    <mergeCell ref="O1261:P1261"/>
    <mergeCell ref="H1262:I1262"/>
    <mergeCell ref="J1262:K1262"/>
    <mergeCell ref="O1262:P1262"/>
    <mergeCell ref="H1263:I1263"/>
    <mergeCell ref="J1263:K1263"/>
    <mergeCell ref="O1263:P1263"/>
    <mergeCell ref="H1264:I1264"/>
    <mergeCell ref="J1264:K1264"/>
    <mergeCell ref="O1264:P1264"/>
    <mergeCell ref="D1265:D1266"/>
    <mergeCell ref="H1265:I1265"/>
    <mergeCell ref="J1265:K1265"/>
    <mergeCell ref="O1265:P1265"/>
    <mergeCell ref="H1266:I1266"/>
    <mergeCell ref="J1266:K1266"/>
    <mergeCell ref="O1266:P1266"/>
    <mergeCell ref="H1267:I1267"/>
    <mergeCell ref="J1267:K1267"/>
    <mergeCell ref="O1267:P1267"/>
    <mergeCell ref="H1268:I1268"/>
    <mergeCell ref="J1268:K1268"/>
    <mergeCell ref="O1268:P1268"/>
    <mergeCell ref="H1269:I1269"/>
    <mergeCell ref="J1269:K1269"/>
    <mergeCell ref="O1269:P1269"/>
    <mergeCell ref="H1270:I1270"/>
    <mergeCell ref="J1270:K1270"/>
    <mergeCell ref="O1270:P1270"/>
    <mergeCell ref="D1271:D1273"/>
    <mergeCell ref="H1271:I1271"/>
    <mergeCell ref="J1271:K1271"/>
    <mergeCell ref="O1271:P1271"/>
    <mergeCell ref="H1272:I1272"/>
    <mergeCell ref="J1272:K1272"/>
    <mergeCell ref="O1272:P1272"/>
    <mergeCell ref="H1273:I1273"/>
    <mergeCell ref="J1273:K1273"/>
    <mergeCell ref="O1273:P1273"/>
    <mergeCell ref="D1274:D1276"/>
    <mergeCell ref="H1274:I1274"/>
    <mergeCell ref="J1274:K1274"/>
    <mergeCell ref="O1274:P1274"/>
    <mergeCell ref="H1275:I1275"/>
    <mergeCell ref="J1275:K1275"/>
    <mergeCell ref="O1275:P1275"/>
    <mergeCell ref="H1276:I1276"/>
    <mergeCell ref="J1276:K1276"/>
    <mergeCell ref="O1276:P1276"/>
    <mergeCell ref="H1277:I1277"/>
    <mergeCell ref="J1277:K1277"/>
    <mergeCell ref="O1277:P1277"/>
    <mergeCell ref="D1278:D1282"/>
    <mergeCell ref="H1278:I1278"/>
    <mergeCell ref="J1278:K1278"/>
    <mergeCell ref="O1278:P1278"/>
    <mergeCell ref="H1279:I1279"/>
    <mergeCell ref="J1279:K1279"/>
    <mergeCell ref="O1279:P1279"/>
    <mergeCell ref="H1280:I1280"/>
    <mergeCell ref="J1280:K1280"/>
    <mergeCell ref="O1280:P1280"/>
    <mergeCell ref="H1281:I1281"/>
    <mergeCell ref="J1281:K1281"/>
    <mergeCell ref="O1281:P1281"/>
    <mergeCell ref="H1282:I1282"/>
    <mergeCell ref="J1282:K1282"/>
    <mergeCell ref="O1282:P1282"/>
    <mergeCell ref="D1283:D1284"/>
    <mergeCell ref="H1283:I1283"/>
    <mergeCell ref="J1283:K1283"/>
    <mergeCell ref="O1283:P1283"/>
    <mergeCell ref="H1284:I1284"/>
    <mergeCell ref="J1284:K1284"/>
    <mergeCell ref="O1284:P1284"/>
    <mergeCell ref="H1285:I1285"/>
    <mergeCell ref="J1285:K1285"/>
    <mergeCell ref="O1285:P1285"/>
    <mergeCell ref="H1286:I1286"/>
    <mergeCell ref="J1286:K1286"/>
    <mergeCell ref="O1286:P1286"/>
    <mergeCell ref="D1287:D1289"/>
    <mergeCell ref="E1287:E1289"/>
    <mergeCell ref="F1287:F1289"/>
    <mergeCell ref="G1287:G1289"/>
    <mergeCell ref="H1287:I1287"/>
    <mergeCell ref="J1287:K1287"/>
    <mergeCell ref="O1287:P1287"/>
    <mergeCell ref="H1288:I1288"/>
    <mergeCell ref="J1288:K1288"/>
    <mergeCell ref="O1288:P1288"/>
    <mergeCell ref="H1289:I1289"/>
    <mergeCell ref="J1289:K1289"/>
    <mergeCell ref="O1289:P1289"/>
    <mergeCell ref="H1290:I1290"/>
    <mergeCell ref="J1290:K1290"/>
    <mergeCell ref="O1290:P1290"/>
    <mergeCell ref="H1291:I1291"/>
    <mergeCell ref="J1291:K1291"/>
    <mergeCell ref="O1291:P1291"/>
    <mergeCell ref="C1292:C1351"/>
    <mergeCell ref="H1292:I1292"/>
    <mergeCell ref="J1292:K1292"/>
    <mergeCell ref="O1292:P1292"/>
    <mergeCell ref="H1293:I1293"/>
    <mergeCell ref="J1293:K1293"/>
    <mergeCell ref="O1293:P1293"/>
    <mergeCell ref="H1294:I1294"/>
    <mergeCell ref="J1294:K1294"/>
    <mergeCell ref="O1294:P1294"/>
    <mergeCell ref="H1295:I1295"/>
    <mergeCell ref="J1295:K1295"/>
    <mergeCell ref="O1295:P1295"/>
    <mergeCell ref="H1296:I1296"/>
    <mergeCell ref="J1296:K1296"/>
    <mergeCell ref="O1296:P1296"/>
    <mergeCell ref="H1297:I1297"/>
    <mergeCell ref="J1297:K1297"/>
    <mergeCell ref="O1297:P1297"/>
    <mergeCell ref="H1298:I1298"/>
    <mergeCell ref="J1298:K1298"/>
    <mergeCell ref="O1298:P1298"/>
    <mergeCell ref="H1299:I1299"/>
    <mergeCell ref="J1299:K1299"/>
    <mergeCell ref="O1299:P1299"/>
    <mergeCell ref="H1300:I1300"/>
    <mergeCell ref="J1300:K1300"/>
    <mergeCell ref="O1300:P1300"/>
    <mergeCell ref="H1301:I1301"/>
    <mergeCell ref="J1301:K1301"/>
    <mergeCell ref="O1301:P1301"/>
    <mergeCell ref="H1302:I1302"/>
    <mergeCell ref="J1302:K1302"/>
    <mergeCell ref="O1302:P1302"/>
    <mergeCell ref="H1303:I1303"/>
    <mergeCell ref="J1303:K1303"/>
    <mergeCell ref="O1303:P1303"/>
    <mergeCell ref="H1304:I1304"/>
    <mergeCell ref="J1304:K1304"/>
    <mergeCell ref="O1304:P1304"/>
    <mergeCell ref="H1305:I1305"/>
    <mergeCell ref="J1305:K1305"/>
    <mergeCell ref="O1305:P1305"/>
    <mergeCell ref="H1306:I1306"/>
    <mergeCell ref="J1306:K1306"/>
    <mergeCell ref="O1306:P1306"/>
    <mergeCell ref="H1307:I1307"/>
    <mergeCell ref="J1307:K1307"/>
    <mergeCell ref="O1307:P1307"/>
    <mergeCell ref="D1308:D1309"/>
    <mergeCell ref="H1308:I1308"/>
    <mergeCell ref="J1308:K1308"/>
    <mergeCell ref="O1308:P1308"/>
    <mergeCell ref="H1309:I1309"/>
    <mergeCell ref="J1309:K1309"/>
    <mergeCell ref="O1309:P1309"/>
    <mergeCell ref="H1310:I1310"/>
    <mergeCell ref="J1310:K1310"/>
    <mergeCell ref="O1310:P1310"/>
    <mergeCell ref="H1311:I1311"/>
    <mergeCell ref="J1311:K1311"/>
    <mergeCell ref="O1311:P1311"/>
    <mergeCell ref="H1312:I1312"/>
    <mergeCell ref="J1312:K1312"/>
    <mergeCell ref="O1312:P1312"/>
    <mergeCell ref="H1313:I1313"/>
    <mergeCell ref="J1313:K1313"/>
    <mergeCell ref="O1313:P1313"/>
    <mergeCell ref="H1314:I1314"/>
    <mergeCell ref="J1314:K1314"/>
    <mergeCell ref="O1314:P1314"/>
    <mergeCell ref="H1315:I1315"/>
    <mergeCell ref="J1315:K1315"/>
    <mergeCell ref="O1315:P1315"/>
    <mergeCell ref="H1316:I1316"/>
    <mergeCell ref="J1316:K1316"/>
    <mergeCell ref="O1316:P1316"/>
    <mergeCell ref="H1317:I1317"/>
    <mergeCell ref="J1317:K1317"/>
    <mergeCell ref="O1317:P1317"/>
    <mergeCell ref="D1318:D1319"/>
    <mergeCell ref="H1318:I1318"/>
    <mergeCell ref="J1318:K1318"/>
    <mergeCell ref="O1318:P1318"/>
    <mergeCell ref="H1319:I1319"/>
    <mergeCell ref="J1319:K1319"/>
    <mergeCell ref="O1319:P1319"/>
    <mergeCell ref="D1320:D1321"/>
    <mergeCell ref="H1320:I1320"/>
    <mergeCell ref="J1320:K1320"/>
    <mergeCell ref="O1320:P1320"/>
    <mergeCell ref="H1321:I1321"/>
    <mergeCell ref="J1321:K1321"/>
    <mergeCell ref="O1321:P1321"/>
    <mergeCell ref="D1322:D1326"/>
    <mergeCell ref="H1322:I1322"/>
    <mergeCell ref="J1322:K1322"/>
    <mergeCell ref="O1322:P1322"/>
    <mergeCell ref="H1323:I1323"/>
    <mergeCell ref="J1323:K1323"/>
    <mergeCell ref="O1323:P1323"/>
    <mergeCell ref="H1324:I1324"/>
    <mergeCell ref="J1324:K1324"/>
    <mergeCell ref="O1324:P1324"/>
    <mergeCell ref="H1325:I1325"/>
    <mergeCell ref="J1325:K1325"/>
    <mergeCell ref="O1325:P1325"/>
    <mergeCell ref="H1326:I1326"/>
    <mergeCell ref="J1326:K1326"/>
    <mergeCell ref="O1326:P1326"/>
    <mergeCell ref="H1327:I1327"/>
    <mergeCell ref="J1327:K1327"/>
    <mergeCell ref="O1327:P1327"/>
    <mergeCell ref="D1328:D1329"/>
    <mergeCell ref="H1328:I1328"/>
    <mergeCell ref="J1328:K1328"/>
    <mergeCell ref="O1328:P1328"/>
    <mergeCell ref="H1329:I1329"/>
    <mergeCell ref="J1329:K1329"/>
    <mergeCell ref="O1329:P1329"/>
    <mergeCell ref="D1330:D1332"/>
    <mergeCell ref="H1330:I1330"/>
    <mergeCell ref="J1330:K1330"/>
    <mergeCell ref="O1330:P1330"/>
    <mergeCell ref="H1331:I1331"/>
    <mergeCell ref="J1331:K1331"/>
    <mergeCell ref="O1331:P1331"/>
    <mergeCell ref="H1332:I1332"/>
    <mergeCell ref="J1332:K1332"/>
    <mergeCell ref="O1332:P1332"/>
    <mergeCell ref="H1333:I1333"/>
    <mergeCell ref="J1333:K1333"/>
    <mergeCell ref="O1333:P1333"/>
    <mergeCell ref="D1334:D1335"/>
    <mergeCell ref="H1334:I1334"/>
    <mergeCell ref="J1334:K1334"/>
    <mergeCell ref="O1334:P1334"/>
    <mergeCell ref="H1335:I1335"/>
    <mergeCell ref="J1335:K1335"/>
    <mergeCell ref="O1335:P1335"/>
    <mergeCell ref="H1336:I1336"/>
    <mergeCell ref="J1336:K1336"/>
    <mergeCell ref="O1336:P1336"/>
    <mergeCell ref="H1337:I1337"/>
    <mergeCell ref="J1337:K1337"/>
    <mergeCell ref="O1337:P1337"/>
    <mergeCell ref="H1338:I1338"/>
    <mergeCell ref="J1338:K1338"/>
    <mergeCell ref="O1338:P1338"/>
    <mergeCell ref="D1339:D1340"/>
    <mergeCell ref="H1339:I1339"/>
    <mergeCell ref="J1339:K1339"/>
    <mergeCell ref="O1339:P1339"/>
    <mergeCell ref="H1340:I1340"/>
    <mergeCell ref="J1340:K1340"/>
    <mergeCell ref="O1340:P1340"/>
    <mergeCell ref="D1341:D1342"/>
    <mergeCell ref="H1341:I1341"/>
    <mergeCell ref="J1341:K1341"/>
    <mergeCell ref="O1341:P1341"/>
    <mergeCell ref="H1342:I1342"/>
    <mergeCell ref="J1342:K1342"/>
    <mergeCell ref="O1342:P1342"/>
    <mergeCell ref="H1343:I1343"/>
    <mergeCell ref="J1343:K1343"/>
    <mergeCell ref="O1343:P1343"/>
    <mergeCell ref="H1344:I1344"/>
    <mergeCell ref="J1344:K1344"/>
    <mergeCell ref="O1344:P1344"/>
    <mergeCell ref="H1345:I1345"/>
    <mergeCell ref="J1345:K1345"/>
    <mergeCell ref="O1345:P1345"/>
    <mergeCell ref="H1346:I1346"/>
    <mergeCell ref="J1346:K1346"/>
    <mergeCell ref="O1346:P1346"/>
    <mergeCell ref="H1347:I1347"/>
    <mergeCell ref="J1347:K1347"/>
    <mergeCell ref="O1347:P1347"/>
    <mergeCell ref="D1348:D1350"/>
    <mergeCell ref="E1348:E1350"/>
    <mergeCell ref="F1348:F1350"/>
    <mergeCell ref="G1348:G1350"/>
    <mergeCell ref="H1348:I1348"/>
    <mergeCell ref="J1348:K1348"/>
    <mergeCell ref="O1348:P1348"/>
    <mergeCell ref="H1349:I1349"/>
    <mergeCell ref="J1349:K1349"/>
    <mergeCell ref="O1349:P1349"/>
    <mergeCell ref="H1350:I1350"/>
    <mergeCell ref="J1350:K1350"/>
    <mergeCell ref="O1350:P1350"/>
    <mergeCell ref="H1351:I1351"/>
    <mergeCell ref="J1351:K1351"/>
    <mergeCell ref="O1351:P1351"/>
    <mergeCell ref="C1352:C1422"/>
    <mergeCell ref="H1352:I1352"/>
    <mergeCell ref="J1352:K1352"/>
    <mergeCell ref="O1352:P1352"/>
    <mergeCell ref="H1353:I1353"/>
    <mergeCell ref="J1353:K1353"/>
    <mergeCell ref="O1353:P1353"/>
    <mergeCell ref="H1354:I1354"/>
    <mergeCell ref="J1354:K1354"/>
    <mergeCell ref="O1354:P1354"/>
    <mergeCell ref="H1355:I1355"/>
    <mergeCell ref="J1355:K1355"/>
    <mergeCell ref="O1355:P1355"/>
    <mergeCell ref="H1356:I1356"/>
    <mergeCell ref="J1356:K1356"/>
    <mergeCell ref="O1356:P1356"/>
    <mergeCell ref="H1357:I1357"/>
    <mergeCell ref="J1357:K1357"/>
    <mergeCell ref="O1357:P1357"/>
    <mergeCell ref="H1358:I1358"/>
    <mergeCell ref="J1358:K1358"/>
    <mergeCell ref="O1358:P1358"/>
    <mergeCell ref="H1359:I1359"/>
    <mergeCell ref="J1359:K1359"/>
    <mergeCell ref="O1359:P1359"/>
    <mergeCell ref="H1360:I1360"/>
    <mergeCell ref="J1360:K1360"/>
    <mergeCell ref="O1360:P1360"/>
    <mergeCell ref="H1361:I1361"/>
    <mergeCell ref="J1361:K1361"/>
    <mergeCell ref="O1361:P1361"/>
    <mergeCell ref="H1362:I1362"/>
    <mergeCell ref="J1362:K1362"/>
    <mergeCell ref="O1362:P1362"/>
    <mergeCell ref="H1363:I1363"/>
    <mergeCell ref="J1363:K1363"/>
    <mergeCell ref="O1363:P1363"/>
    <mergeCell ref="H1364:I1364"/>
    <mergeCell ref="J1364:K1364"/>
    <mergeCell ref="O1364:P1364"/>
    <mergeCell ref="H1365:I1365"/>
    <mergeCell ref="J1365:K1365"/>
    <mergeCell ref="O1365:P1365"/>
    <mergeCell ref="H1366:I1366"/>
    <mergeCell ref="J1366:K1366"/>
    <mergeCell ref="O1366:P1366"/>
    <mergeCell ref="H1367:I1367"/>
    <mergeCell ref="J1367:K1367"/>
    <mergeCell ref="O1367:P1367"/>
    <mergeCell ref="H1368:I1368"/>
    <mergeCell ref="J1368:K1368"/>
    <mergeCell ref="O1368:P1368"/>
    <mergeCell ref="H1369:I1369"/>
    <mergeCell ref="J1369:K1369"/>
    <mergeCell ref="O1369:P1369"/>
    <mergeCell ref="H1370:I1370"/>
    <mergeCell ref="J1370:K1370"/>
    <mergeCell ref="O1370:P1370"/>
    <mergeCell ref="H1371:I1371"/>
    <mergeCell ref="J1371:K1371"/>
    <mergeCell ref="O1371:P1371"/>
    <mergeCell ref="H1372:I1372"/>
    <mergeCell ref="J1372:K1372"/>
    <mergeCell ref="O1372:P1372"/>
    <mergeCell ref="H1373:I1373"/>
    <mergeCell ref="J1373:K1373"/>
    <mergeCell ref="O1373:P1373"/>
    <mergeCell ref="D1374:D1375"/>
    <mergeCell ref="H1374:I1374"/>
    <mergeCell ref="J1374:K1374"/>
    <mergeCell ref="O1374:P1374"/>
    <mergeCell ref="H1375:I1375"/>
    <mergeCell ref="J1375:K1375"/>
    <mergeCell ref="O1375:P1375"/>
    <mergeCell ref="D1376:D1377"/>
    <mergeCell ref="H1376:I1376"/>
    <mergeCell ref="J1376:K1376"/>
    <mergeCell ref="O1376:P1376"/>
    <mergeCell ref="H1377:I1377"/>
    <mergeCell ref="J1377:K1377"/>
    <mergeCell ref="O1377:P1377"/>
    <mergeCell ref="H1378:I1378"/>
    <mergeCell ref="J1378:K1378"/>
    <mergeCell ref="O1378:P1378"/>
    <mergeCell ref="H1379:I1379"/>
    <mergeCell ref="J1379:K1379"/>
    <mergeCell ref="O1379:P1379"/>
    <mergeCell ref="D1380:D1381"/>
    <mergeCell ref="H1380:I1380"/>
    <mergeCell ref="J1380:K1380"/>
    <mergeCell ref="O1380:P1380"/>
    <mergeCell ref="H1381:I1381"/>
    <mergeCell ref="J1381:K1381"/>
    <mergeCell ref="O1381:P1381"/>
    <mergeCell ref="H1382:I1382"/>
    <mergeCell ref="J1382:K1382"/>
    <mergeCell ref="O1382:P1382"/>
    <mergeCell ref="H1383:I1383"/>
    <mergeCell ref="J1383:K1383"/>
    <mergeCell ref="O1383:P1383"/>
    <mergeCell ref="H1384:I1384"/>
    <mergeCell ref="J1384:K1384"/>
    <mergeCell ref="O1384:P1384"/>
    <mergeCell ref="D1385:D1389"/>
    <mergeCell ref="H1385:I1385"/>
    <mergeCell ref="J1385:K1385"/>
    <mergeCell ref="O1385:P1385"/>
    <mergeCell ref="H1386:I1386"/>
    <mergeCell ref="J1386:K1386"/>
    <mergeCell ref="O1386:P1386"/>
    <mergeCell ref="H1387:I1387"/>
    <mergeCell ref="J1387:K1387"/>
    <mergeCell ref="O1387:P1387"/>
    <mergeCell ref="H1388:I1388"/>
    <mergeCell ref="J1388:K1388"/>
    <mergeCell ref="O1388:P1388"/>
    <mergeCell ref="H1389:I1389"/>
    <mergeCell ref="J1389:K1389"/>
    <mergeCell ref="O1389:P1389"/>
    <mergeCell ref="H1390:I1390"/>
    <mergeCell ref="J1390:K1390"/>
    <mergeCell ref="O1390:P1390"/>
    <mergeCell ref="H1391:I1391"/>
    <mergeCell ref="J1391:K1391"/>
    <mergeCell ref="O1391:P1391"/>
    <mergeCell ref="H1392:I1392"/>
    <mergeCell ref="J1392:K1392"/>
    <mergeCell ref="O1392:P1392"/>
    <mergeCell ref="H1393:I1393"/>
    <mergeCell ref="J1393:K1393"/>
    <mergeCell ref="O1393:P1393"/>
    <mergeCell ref="D1394:D1395"/>
    <mergeCell ref="H1394:I1394"/>
    <mergeCell ref="J1394:K1394"/>
    <mergeCell ref="O1394:P1394"/>
    <mergeCell ref="H1395:I1395"/>
    <mergeCell ref="J1395:K1395"/>
    <mergeCell ref="O1395:P1395"/>
    <mergeCell ref="D1396:D1397"/>
    <mergeCell ref="H1396:I1396"/>
    <mergeCell ref="J1396:K1396"/>
    <mergeCell ref="O1396:P1396"/>
    <mergeCell ref="H1397:I1397"/>
    <mergeCell ref="J1397:K1397"/>
    <mergeCell ref="O1397:P1397"/>
    <mergeCell ref="D1398:D1401"/>
    <mergeCell ref="H1398:I1398"/>
    <mergeCell ref="J1398:K1398"/>
    <mergeCell ref="O1398:P1398"/>
    <mergeCell ref="H1399:I1399"/>
    <mergeCell ref="J1399:K1399"/>
    <mergeCell ref="O1399:P1399"/>
    <mergeCell ref="H1400:I1400"/>
    <mergeCell ref="J1400:K1400"/>
    <mergeCell ref="O1400:P1400"/>
    <mergeCell ref="H1401:I1401"/>
    <mergeCell ref="J1401:K1401"/>
    <mergeCell ref="O1401:P1401"/>
    <mergeCell ref="H1402:I1402"/>
    <mergeCell ref="J1402:K1402"/>
    <mergeCell ref="O1402:P1402"/>
    <mergeCell ref="D1403:D1404"/>
    <mergeCell ref="H1403:I1403"/>
    <mergeCell ref="J1403:K1403"/>
    <mergeCell ref="O1403:P1403"/>
    <mergeCell ref="H1404:I1404"/>
    <mergeCell ref="J1404:K1404"/>
    <mergeCell ref="O1404:P1404"/>
    <mergeCell ref="H1405:I1405"/>
    <mergeCell ref="J1405:K1405"/>
    <mergeCell ref="O1405:P1405"/>
    <mergeCell ref="H1406:I1406"/>
    <mergeCell ref="J1406:K1406"/>
    <mergeCell ref="O1406:P1406"/>
    <mergeCell ref="D1407:D1411"/>
    <mergeCell ref="H1407:I1407"/>
    <mergeCell ref="J1407:K1407"/>
    <mergeCell ref="O1407:P1407"/>
    <mergeCell ref="H1408:I1408"/>
    <mergeCell ref="J1408:K1408"/>
    <mergeCell ref="O1408:P1408"/>
    <mergeCell ref="H1409:I1409"/>
    <mergeCell ref="J1409:K1409"/>
    <mergeCell ref="O1409:P1409"/>
    <mergeCell ref="H1410:I1410"/>
    <mergeCell ref="J1410:K1410"/>
    <mergeCell ref="O1410:P1410"/>
    <mergeCell ref="H1411:I1411"/>
    <mergeCell ref="J1411:K1411"/>
    <mergeCell ref="O1411:P1411"/>
    <mergeCell ref="D1412:D1414"/>
    <mergeCell ref="H1412:I1412"/>
    <mergeCell ref="J1412:K1412"/>
    <mergeCell ref="O1412:P1412"/>
    <mergeCell ref="H1413:I1413"/>
    <mergeCell ref="J1413:K1413"/>
    <mergeCell ref="O1413:P1413"/>
    <mergeCell ref="H1414:I1414"/>
    <mergeCell ref="J1414:K1414"/>
    <mergeCell ref="O1414:P1414"/>
    <mergeCell ref="H1415:I1415"/>
    <mergeCell ref="J1415:K1415"/>
    <mergeCell ref="O1415:P1415"/>
    <mergeCell ref="D1416:D1417"/>
    <mergeCell ref="H1416:I1416"/>
    <mergeCell ref="J1416:K1416"/>
    <mergeCell ref="O1416:P1416"/>
    <mergeCell ref="H1417:I1417"/>
    <mergeCell ref="J1417:K1417"/>
    <mergeCell ref="O1417:P1417"/>
    <mergeCell ref="H1418:I1418"/>
    <mergeCell ref="J1418:K1418"/>
    <mergeCell ref="O1418:P1418"/>
    <mergeCell ref="D1419:D1421"/>
    <mergeCell ref="E1419:E1421"/>
    <mergeCell ref="F1419:F1421"/>
    <mergeCell ref="G1419:G1421"/>
    <mergeCell ref="H1419:I1419"/>
    <mergeCell ref="J1419:K1419"/>
    <mergeCell ref="O1419:P1419"/>
    <mergeCell ref="H1420:I1420"/>
    <mergeCell ref="J1420:K1420"/>
    <mergeCell ref="O1420:P1420"/>
    <mergeCell ref="H1421:I1421"/>
    <mergeCell ref="J1421:K1421"/>
    <mergeCell ref="O1421:P1421"/>
    <mergeCell ref="H1422:I1422"/>
    <mergeCell ref="J1422:K1422"/>
    <mergeCell ref="O1422:P1422"/>
    <mergeCell ref="C1423:C1510"/>
    <mergeCell ref="H1423:I1423"/>
    <mergeCell ref="J1423:K1423"/>
    <mergeCell ref="O1423:P1423"/>
    <mergeCell ref="H1424:I1424"/>
    <mergeCell ref="J1424:K1424"/>
    <mergeCell ref="O1424:P1424"/>
    <mergeCell ref="H1425:I1425"/>
    <mergeCell ref="J1425:K1425"/>
    <mergeCell ref="O1425:P1425"/>
    <mergeCell ref="H1426:I1426"/>
    <mergeCell ref="J1426:K1426"/>
    <mergeCell ref="O1426:P1426"/>
    <mergeCell ref="H1427:I1427"/>
    <mergeCell ref="J1427:K1427"/>
    <mergeCell ref="O1427:P1427"/>
    <mergeCell ref="H1428:I1428"/>
    <mergeCell ref="J1428:K1428"/>
    <mergeCell ref="O1428:P1428"/>
    <mergeCell ref="H1429:I1429"/>
    <mergeCell ref="J1429:K1429"/>
    <mergeCell ref="O1429:P1429"/>
    <mergeCell ref="H1430:I1430"/>
    <mergeCell ref="J1430:K1430"/>
    <mergeCell ref="O1430:P1430"/>
    <mergeCell ref="H1431:I1431"/>
    <mergeCell ref="J1431:K1431"/>
    <mergeCell ref="O1431:P1431"/>
    <mergeCell ref="H1432:I1432"/>
    <mergeCell ref="J1432:K1432"/>
    <mergeCell ref="O1432:P1432"/>
    <mergeCell ref="H1433:I1433"/>
    <mergeCell ref="J1433:K1433"/>
    <mergeCell ref="O1433:P1433"/>
    <mergeCell ref="H1434:I1434"/>
    <mergeCell ref="J1434:K1434"/>
    <mergeCell ref="O1434:P1434"/>
    <mergeCell ref="H1435:I1435"/>
    <mergeCell ref="J1435:K1435"/>
    <mergeCell ref="O1435:P1435"/>
    <mergeCell ref="H1436:I1436"/>
    <mergeCell ref="J1436:K1436"/>
    <mergeCell ref="O1436:P1436"/>
    <mergeCell ref="H1437:I1437"/>
    <mergeCell ref="J1437:K1437"/>
    <mergeCell ref="O1437:P1437"/>
    <mergeCell ref="H1438:I1438"/>
    <mergeCell ref="J1438:K1438"/>
    <mergeCell ref="O1438:P1438"/>
    <mergeCell ref="H1439:I1439"/>
    <mergeCell ref="J1439:K1439"/>
    <mergeCell ref="O1439:P1439"/>
    <mergeCell ref="D1440:D1444"/>
    <mergeCell ref="H1440:I1440"/>
    <mergeCell ref="J1440:K1440"/>
    <mergeCell ref="O1440:P1440"/>
    <mergeCell ref="H1441:I1441"/>
    <mergeCell ref="J1441:K1441"/>
    <mergeCell ref="O1441:P1441"/>
    <mergeCell ref="H1442:I1442"/>
    <mergeCell ref="J1442:K1442"/>
    <mergeCell ref="O1442:P1442"/>
    <mergeCell ref="H1443:I1443"/>
    <mergeCell ref="J1443:K1443"/>
    <mergeCell ref="O1443:P1443"/>
    <mergeCell ref="H1444:I1444"/>
    <mergeCell ref="J1444:K1444"/>
    <mergeCell ref="O1444:P1444"/>
    <mergeCell ref="H1445:I1445"/>
    <mergeCell ref="J1445:K1445"/>
    <mergeCell ref="O1445:P1445"/>
    <mergeCell ref="H1446:I1446"/>
    <mergeCell ref="J1446:K1446"/>
    <mergeCell ref="O1446:P1446"/>
    <mergeCell ref="D1447:D1450"/>
    <mergeCell ref="H1447:I1447"/>
    <mergeCell ref="J1447:K1447"/>
    <mergeCell ref="O1447:P1447"/>
    <mergeCell ref="H1448:I1448"/>
    <mergeCell ref="J1448:K1448"/>
    <mergeCell ref="O1448:P1448"/>
    <mergeCell ref="H1449:I1449"/>
    <mergeCell ref="J1449:K1449"/>
    <mergeCell ref="O1449:P1449"/>
    <mergeCell ref="H1450:I1450"/>
    <mergeCell ref="J1450:K1450"/>
    <mergeCell ref="O1450:P1450"/>
    <mergeCell ref="D1451:D1452"/>
    <mergeCell ref="H1451:I1451"/>
    <mergeCell ref="J1451:K1451"/>
    <mergeCell ref="O1451:P1451"/>
    <mergeCell ref="H1452:I1452"/>
    <mergeCell ref="J1452:K1452"/>
    <mergeCell ref="O1452:P1452"/>
    <mergeCell ref="D1453:D1454"/>
    <mergeCell ref="H1453:I1453"/>
    <mergeCell ref="J1453:K1453"/>
    <mergeCell ref="O1453:P1453"/>
    <mergeCell ref="H1454:I1454"/>
    <mergeCell ref="J1454:K1454"/>
    <mergeCell ref="O1454:P1454"/>
    <mergeCell ref="D1455:D1456"/>
    <mergeCell ref="H1455:I1455"/>
    <mergeCell ref="J1455:K1455"/>
    <mergeCell ref="O1455:P1455"/>
    <mergeCell ref="H1456:I1456"/>
    <mergeCell ref="J1456:K1456"/>
    <mergeCell ref="O1456:P1456"/>
    <mergeCell ref="D1457:D1458"/>
    <mergeCell ref="H1457:I1457"/>
    <mergeCell ref="J1457:K1457"/>
    <mergeCell ref="O1457:P1457"/>
    <mergeCell ref="H1458:I1458"/>
    <mergeCell ref="J1458:K1458"/>
    <mergeCell ref="O1458:P1458"/>
    <mergeCell ref="H1459:I1459"/>
    <mergeCell ref="J1459:K1459"/>
    <mergeCell ref="O1459:P1459"/>
    <mergeCell ref="H1460:I1460"/>
    <mergeCell ref="J1460:K1460"/>
    <mergeCell ref="O1460:P1460"/>
    <mergeCell ref="H1461:I1461"/>
    <mergeCell ref="J1461:K1461"/>
    <mergeCell ref="O1461:P1461"/>
    <mergeCell ref="H1462:I1462"/>
    <mergeCell ref="J1462:K1462"/>
    <mergeCell ref="O1462:P1462"/>
    <mergeCell ref="H1463:I1463"/>
    <mergeCell ref="J1463:K1463"/>
    <mergeCell ref="O1463:P1463"/>
    <mergeCell ref="H1464:I1464"/>
    <mergeCell ref="J1464:K1464"/>
    <mergeCell ref="O1464:P1464"/>
    <mergeCell ref="H1465:I1465"/>
    <mergeCell ref="J1465:K1465"/>
    <mergeCell ref="O1465:P1465"/>
    <mergeCell ref="H1466:I1466"/>
    <mergeCell ref="J1466:K1466"/>
    <mergeCell ref="O1466:P1466"/>
    <mergeCell ref="H1467:I1467"/>
    <mergeCell ref="J1467:K1467"/>
    <mergeCell ref="O1467:P1467"/>
    <mergeCell ref="H1468:I1468"/>
    <mergeCell ref="J1468:K1468"/>
    <mergeCell ref="O1468:P1468"/>
    <mergeCell ref="H1469:I1469"/>
    <mergeCell ref="J1469:K1469"/>
    <mergeCell ref="O1469:P1469"/>
    <mergeCell ref="H1470:I1470"/>
    <mergeCell ref="J1470:K1470"/>
    <mergeCell ref="O1470:P1470"/>
    <mergeCell ref="H1471:I1471"/>
    <mergeCell ref="J1471:K1471"/>
    <mergeCell ref="O1471:P1471"/>
    <mergeCell ref="H1472:I1472"/>
    <mergeCell ref="J1472:K1472"/>
    <mergeCell ref="O1472:P1472"/>
    <mergeCell ref="H1473:I1473"/>
    <mergeCell ref="J1473:K1473"/>
    <mergeCell ref="O1473:P1473"/>
    <mergeCell ref="H1474:I1474"/>
    <mergeCell ref="J1474:K1474"/>
    <mergeCell ref="O1474:P1474"/>
    <mergeCell ref="H1475:I1475"/>
    <mergeCell ref="J1475:K1475"/>
    <mergeCell ref="O1475:P1475"/>
    <mergeCell ref="H1476:I1476"/>
    <mergeCell ref="J1476:K1476"/>
    <mergeCell ref="O1476:P1476"/>
    <mergeCell ref="H1477:I1477"/>
    <mergeCell ref="J1477:K1477"/>
    <mergeCell ref="O1477:P1477"/>
    <mergeCell ref="H1478:I1478"/>
    <mergeCell ref="J1478:K1478"/>
    <mergeCell ref="O1478:P1478"/>
    <mergeCell ref="H1479:I1479"/>
    <mergeCell ref="J1479:K1479"/>
    <mergeCell ref="O1479:P1479"/>
    <mergeCell ref="H1480:I1480"/>
    <mergeCell ref="J1480:K1480"/>
    <mergeCell ref="O1480:P1480"/>
    <mergeCell ref="H1481:I1481"/>
    <mergeCell ref="J1481:K1481"/>
    <mergeCell ref="O1481:P1481"/>
    <mergeCell ref="H1482:I1482"/>
    <mergeCell ref="J1482:K1482"/>
    <mergeCell ref="O1482:P1482"/>
    <mergeCell ref="H1483:I1483"/>
    <mergeCell ref="J1483:K1483"/>
    <mergeCell ref="O1483:P1483"/>
    <mergeCell ref="D1484:D1486"/>
    <mergeCell ref="H1484:I1484"/>
    <mergeCell ref="J1484:K1484"/>
    <mergeCell ref="O1484:P1484"/>
    <mergeCell ref="H1485:I1485"/>
    <mergeCell ref="J1485:K1485"/>
    <mergeCell ref="O1485:P1485"/>
    <mergeCell ref="H1486:I1486"/>
    <mergeCell ref="J1486:K1486"/>
    <mergeCell ref="O1486:P1486"/>
    <mergeCell ref="H1487:I1487"/>
    <mergeCell ref="J1487:K1487"/>
    <mergeCell ref="O1487:P1487"/>
    <mergeCell ref="H1488:I1488"/>
    <mergeCell ref="J1488:K1488"/>
    <mergeCell ref="O1488:P1488"/>
    <mergeCell ref="H1489:I1489"/>
    <mergeCell ref="J1489:K1489"/>
    <mergeCell ref="O1489:P1489"/>
    <mergeCell ref="H1490:I1490"/>
    <mergeCell ref="J1490:K1490"/>
    <mergeCell ref="O1490:P1490"/>
    <mergeCell ref="H1491:I1491"/>
    <mergeCell ref="J1491:K1491"/>
    <mergeCell ref="O1491:P1491"/>
    <mergeCell ref="H1492:I1492"/>
    <mergeCell ref="J1492:K1492"/>
    <mergeCell ref="O1492:P1492"/>
    <mergeCell ref="H1493:I1493"/>
    <mergeCell ref="J1493:K1493"/>
    <mergeCell ref="O1493:P1493"/>
    <mergeCell ref="H1494:I1494"/>
    <mergeCell ref="J1494:K1494"/>
    <mergeCell ref="O1494:P1494"/>
    <mergeCell ref="H1495:I1495"/>
    <mergeCell ref="J1495:K1495"/>
    <mergeCell ref="O1495:P1495"/>
    <mergeCell ref="H1496:I1496"/>
    <mergeCell ref="J1496:K1496"/>
    <mergeCell ref="O1496:P1496"/>
    <mergeCell ref="H1497:I1497"/>
    <mergeCell ref="J1497:K1497"/>
    <mergeCell ref="O1497:P1497"/>
    <mergeCell ref="H1498:I1498"/>
    <mergeCell ref="J1498:K1498"/>
    <mergeCell ref="O1498:P1498"/>
    <mergeCell ref="H1499:I1499"/>
    <mergeCell ref="J1499:K1499"/>
    <mergeCell ref="O1499:P1499"/>
    <mergeCell ref="H1500:I1500"/>
    <mergeCell ref="J1500:K1500"/>
    <mergeCell ref="O1500:P1500"/>
    <mergeCell ref="H1501:I1501"/>
    <mergeCell ref="J1501:K1501"/>
    <mergeCell ref="O1501:P1501"/>
    <mergeCell ref="H1502:I1502"/>
    <mergeCell ref="J1502:K1502"/>
    <mergeCell ref="O1502:P1502"/>
    <mergeCell ref="H1503:I1503"/>
    <mergeCell ref="J1503:K1503"/>
    <mergeCell ref="O1503:P1503"/>
    <mergeCell ref="H1504:I1504"/>
    <mergeCell ref="J1504:K1504"/>
    <mergeCell ref="O1504:P1504"/>
    <mergeCell ref="H1505:I1505"/>
    <mergeCell ref="J1505:K1505"/>
    <mergeCell ref="O1505:P1505"/>
    <mergeCell ref="H1506:I1506"/>
    <mergeCell ref="J1506:K1506"/>
    <mergeCell ref="O1506:P1506"/>
    <mergeCell ref="H1507:I1507"/>
    <mergeCell ref="J1507:K1507"/>
    <mergeCell ref="O1507:P1507"/>
    <mergeCell ref="D1508:D1510"/>
    <mergeCell ref="E1508:E1510"/>
    <mergeCell ref="F1508:F1510"/>
    <mergeCell ref="G1508:G1510"/>
    <mergeCell ref="H1508:I1508"/>
    <mergeCell ref="J1508:K1508"/>
    <mergeCell ref="O1508:P1508"/>
    <mergeCell ref="H1509:I1509"/>
    <mergeCell ref="J1509:K1509"/>
    <mergeCell ref="O1509:P1509"/>
    <mergeCell ref="H1510:I1510"/>
    <mergeCell ref="J1510:K1510"/>
    <mergeCell ref="O1510:P1510"/>
    <mergeCell ref="C1511:C1613"/>
    <mergeCell ref="H1511:I1511"/>
    <mergeCell ref="J1511:K1511"/>
    <mergeCell ref="O1511:P1511"/>
    <mergeCell ref="H1512:I1512"/>
    <mergeCell ref="J1512:K1512"/>
    <mergeCell ref="O1512:P1512"/>
    <mergeCell ref="H1513:I1513"/>
    <mergeCell ref="J1513:K1513"/>
    <mergeCell ref="O1513:P1513"/>
    <mergeCell ref="H1514:I1514"/>
    <mergeCell ref="J1514:K1514"/>
    <mergeCell ref="O1514:P1514"/>
    <mergeCell ref="H1515:I1515"/>
    <mergeCell ref="J1515:K1515"/>
    <mergeCell ref="O1515:P1515"/>
    <mergeCell ref="H1516:I1516"/>
    <mergeCell ref="J1516:K1516"/>
    <mergeCell ref="O1516:P1516"/>
    <mergeCell ref="H1517:I1517"/>
    <mergeCell ref="J1517:K1517"/>
    <mergeCell ref="O1517:P1517"/>
    <mergeCell ref="H1518:I1518"/>
    <mergeCell ref="J1518:K1518"/>
    <mergeCell ref="O1518:P1518"/>
    <mergeCell ref="H1519:I1519"/>
    <mergeCell ref="J1519:K1519"/>
    <mergeCell ref="O1519:P1519"/>
    <mergeCell ref="H1520:I1520"/>
    <mergeCell ref="J1520:K1520"/>
    <mergeCell ref="O1520:P1520"/>
    <mergeCell ref="H1521:I1521"/>
    <mergeCell ref="J1521:K1521"/>
    <mergeCell ref="O1521:P1521"/>
    <mergeCell ref="H1522:I1522"/>
    <mergeCell ref="J1522:K1522"/>
    <mergeCell ref="O1522:P1522"/>
    <mergeCell ref="H1523:I1523"/>
    <mergeCell ref="J1523:K1523"/>
    <mergeCell ref="O1523:P1523"/>
    <mergeCell ref="H1524:I1524"/>
    <mergeCell ref="J1524:K1524"/>
    <mergeCell ref="O1524:P1524"/>
    <mergeCell ref="H1525:I1525"/>
    <mergeCell ref="J1525:K1525"/>
    <mergeCell ref="O1525:P1525"/>
    <mergeCell ref="H1526:I1526"/>
    <mergeCell ref="J1526:K1526"/>
    <mergeCell ref="O1526:P1526"/>
    <mergeCell ref="H1527:I1527"/>
    <mergeCell ref="J1527:K1527"/>
    <mergeCell ref="O1527:P1527"/>
    <mergeCell ref="H1528:I1528"/>
    <mergeCell ref="J1528:K1528"/>
    <mergeCell ref="O1528:P1528"/>
    <mergeCell ref="H1529:I1529"/>
    <mergeCell ref="J1529:K1529"/>
    <mergeCell ref="O1529:P1529"/>
    <mergeCell ref="H1530:I1530"/>
    <mergeCell ref="J1530:K1530"/>
    <mergeCell ref="O1530:P1530"/>
    <mergeCell ref="H1531:I1531"/>
    <mergeCell ref="J1531:K1531"/>
    <mergeCell ref="O1531:P1531"/>
    <mergeCell ref="H1532:I1532"/>
    <mergeCell ref="J1532:K1532"/>
    <mergeCell ref="O1532:P1532"/>
    <mergeCell ref="H1533:I1533"/>
    <mergeCell ref="J1533:K1533"/>
    <mergeCell ref="O1533:P1533"/>
    <mergeCell ref="H1534:I1534"/>
    <mergeCell ref="J1534:K1534"/>
    <mergeCell ref="O1534:P1534"/>
    <mergeCell ref="H1535:I1535"/>
    <mergeCell ref="J1535:K1535"/>
    <mergeCell ref="O1535:P1535"/>
    <mergeCell ref="H1536:I1536"/>
    <mergeCell ref="J1536:K1536"/>
    <mergeCell ref="O1536:P1536"/>
    <mergeCell ref="D1537:D1538"/>
    <mergeCell ref="H1537:I1537"/>
    <mergeCell ref="J1537:K1537"/>
    <mergeCell ref="O1537:P1537"/>
    <mergeCell ref="H1538:I1538"/>
    <mergeCell ref="J1538:K1538"/>
    <mergeCell ref="O1538:P1538"/>
    <mergeCell ref="H1539:I1539"/>
    <mergeCell ref="J1539:K1539"/>
    <mergeCell ref="O1539:P1539"/>
    <mergeCell ref="H1540:I1540"/>
    <mergeCell ref="J1540:K1540"/>
    <mergeCell ref="O1540:P1540"/>
    <mergeCell ref="H1541:I1541"/>
    <mergeCell ref="J1541:K1541"/>
    <mergeCell ref="O1541:P1541"/>
    <mergeCell ref="H1542:I1542"/>
    <mergeCell ref="J1542:K1542"/>
    <mergeCell ref="O1542:P1542"/>
    <mergeCell ref="H1543:I1543"/>
    <mergeCell ref="J1543:K1543"/>
    <mergeCell ref="O1543:P1543"/>
    <mergeCell ref="H1544:I1544"/>
    <mergeCell ref="J1544:K1544"/>
    <mergeCell ref="O1544:P1544"/>
    <mergeCell ref="H1545:I1545"/>
    <mergeCell ref="J1545:K1545"/>
    <mergeCell ref="O1545:P1545"/>
    <mergeCell ref="H1546:I1546"/>
    <mergeCell ref="J1546:K1546"/>
    <mergeCell ref="O1546:P1546"/>
    <mergeCell ref="H1547:I1547"/>
    <mergeCell ref="J1547:K1547"/>
    <mergeCell ref="O1547:P1547"/>
    <mergeCell ref="H1548:I1548"/>
    <mergeCell ref="J1548:K1548"/>
    <mergeCell ref="O1548:P1548"/>
    <mergeCell ref="H1549:I1549"/>
    <mergeCell ref="J1549:K1549"/>
    <mergeCell ref="O1549:P1549"/>
    <mergeCell ref="D1550:D1551"/>
    <mergeCell ref="H1550:I1550"/>
    <mergeCell ref="J1550:K1550"/>
    <mergeCell ref="O1550:P1550"/>
    <mergeCell ref="H1551:I1551"/>
    <mergeCell ref="J1551:K1551"/>
    <mergeCell ref="O1551:P1551"/>
    <mergeCell ref="D1552:D1553"/>
    <mergeCell ref="H1552:I1552"/>
    <mergeCell ref="J1552:K1552"/>
    <mergeCell ref="O1552:P1552"/>
    <mergeCell ref="H1553:I1553"/>
    <mergeCell ref="J1553:K1553"/>
    <mergeCell ref="O1553:P1553"/>
    <mergeCell ref="H1554:I1554"/>
    <mergeCell ref="J1554:K1554"/>
    <mergeCell ref="O1554:P1554"/>
    <mergeCell ref="H1555:I1555"/>
    <mergeCell ref="J1555:K1555"/>
    <mergeCell ref="O1555:P1555"/>
    <mergeCell ref="H1556:I1556"/>
    <mergeCell ref="J1556:K1556"/>
    <mergeCell ref="O1556:P1556"/>
    <mergeCell ref="D1557:D1558"/>
    <mergeCell ref="H1557:I1557"/>
    <mergeCell ref="J1557:K1557"/>
    <mergeCell ref="O1557:P1557"/>
    <mergeCell ref="H1558:I1558"/>
    <mergeCell ref="J1558:K1558"/>
    <mergeCell ref="O1558:P1558"/>
    <mergeCell ref="H1559:I1559"/>
    <mergeCell ref="J1559:K1559"/>
    <mergeCell ref="O1559:P1559"/>
    <mergeCell ref="H1560:I1560"/>
    <mergeCell ref="J1560:K1560"/>
    <mergeCell ref="O1560:P1560"/>
    <mergeCell ref="H1561:I1561"/>
    <mergeCell ref="J1561:K1561"/>
    <mergeCell ref="O1561:P1561"/>
    <mergeCell ref="D1562:D1564"/>
    <mergeCell ref="H1562:I1562"/>
    <mergeCell ref="J1562:K1562"/>
    <mergeCell ref="O1562:P1562"/>
    <mergeCell ref="H1563:I1563"/>
    <mergeCell ref="J1563:K1563"/>
    <mergeCell ref="O1563:P1563"/>
    <mergeCell ref="H1564:I1564"/>
    <mergeCell ref="J1564:K1564"/>
    <mergeCell ref="O1564:P1564"/>
    <mergeCell ref="H1565:I1565"/>
    <mergeCell ref="J1565:K1565"/>
    <mergeCell ref="O1565:P1565"/>
    <mergeCell ref="H1566:I1566"/>
    <mergeCell ref="J1566:K1566"/>
    <mergeCell ref="O1566:P1566"/>
    <mergeCell ref="D1567:D1568"/>
    <mergeCell ref="H1567:I1567"/>
    <mergeCell ref="J1567:K1567"/>
    <mergeCell ref="O1567:P1567"/>
    <mergeCell ref="H1568:I1568"/>
    <mergeCell ref="J1568:K1568"/>
    <mergeCell ref="O1568:P1568"/>
    <mergeCell ref="D1569:D1570"/>
    <mergeCell ref="H1569:I1569"/>
    <mergeCell ref="J1569:K1569"/>
    <mergeCell ref="O1569:P1569"/>
    <mergeCell ref="H1570:I1570"/>
    <mergeCell ref="J1570:K1570"/>
    <mergeCell ref="O1570:P1570"/>
    <mergeCell ref="D1571:D1573"/>
    <mergeCell ref="H1571:I1571"/>
    <mergeCell ref="J1571:K1571"/>
    <mergeCell ref="O1571:P1571"/>
    <mergeCell ref="H1572:I1572"/>
    <mergeCell ref="J1572:K1572"/>
    <mergeCell ref="O1572:P1572"/>
    <mergeCell ref="H1573:I1573"/>
    <mergeCell ref="J1573:K1573"/>
    <mergeCell ref="O1573:P1573"/>
    <mergeCell ref="H1574:I1574"/>
    <mergeCell ref="J1574:K1574"/>
    <mergeCell ref="O1574:P1574"/>
    <mergeCell ref="H1575:I1575"/>
    <mergeCell ref="J1575:K1575"/>
    <mergeCell ref="O1575:P1575"/>
    <mergeCell ref="D1576:D1577"/>
    <mergeCell ref="H1576:I1576"/>
    <mergeCell ref="J1576:K1576"/>
    <mergeCell ref="O1576:P1576"/>
    <mergeCell ref="H1577:I1577"/>
    <mergeCell ref="J1577:K1577"/>
    <mergeCell ref="O1577:P1577"/>
    <mergeCell ref="D1578:D1579"/>
    <mergeCell ref="H1578:I1578"/>
    <mergeCell ref="J1578:K1578"/>
    <mergeCell ref="O1578:P1578"/>
    <mergeCell ref="H1579:I1579"/>
    <mergeCell ref="J1579:K1579"/>
    <mergeCell ref="O1579:P1579"/>
    <mergeCell ref="D1580:D1581"/>
    <mergeCell ref="H1580:I1580"/>
    <mergeCell ref="J1580:K1580"/>
    <mergeCell ref="O1580:P1580"/>
    <mergeCell ref="H1581:I1581"/>
    <mergeCell ref="J1581:K1581"/>
    <mergeCell ref="O1581:P1581"/>
    <mergeCell ref="H1582:I1582"/>
    <mergeCell ref="J1582:K1582"/>
    <mergeCell ref="O1582:P1582"/>
    <mergeCell ref="H1583:I1583"/>
    <mergeCell ref="J1583:K1583"/>
    <mergeCell ref="O1583:P1583"/>
    <mergeCell ref="H1584:I1584"/>
    <mergeCell ref="J1584:K1584"/>
    <mergeCell ref="O1584:P1584"/>
    <mergeCell ref="D1585:D1587"/>
    <mergeCell ref="H1585:I1585"/>
    <mergeCell ref="J1585:K1585"/>
    <mergeCell ref="O1585:P1585"/>
    <mergeCell ref="H1586:I1586"/>
    <mergeCell ref="J1586:K1586"/>
    <mergeCell ref="O1586:P1586"/>
    <mergeCell ref="H1587:I1587"/>
    <mergeCell ref="J1587:K1587"/>
    <mergeCell ref="O1587:P1587"/>
    <mergeCell ref="H1588:I1588"/>
    <mergeCell ref="J1588:K1588"/>
    <mergeCell ref="O1588:P1588"/>
    <mergeCell ref="H1589:I1589"/>
    <mergeCell ref="J1589:K1589"/>
    <mergeCell ref="O1589:P1589"/>
    <mergeCell ref="H1590:I1590"/>
    <mergeCell ref="J1590:K1590"/>
    <mergeCell ref="O1590:P1590"/>
    <mergeCell ref="H1591:I1591"/>
    <mergeCell ref="J1591:K1591"/>
    <mergeCell ref="O1591:P1591"/>
    <mergeCell ref="D1592:D1593"/>
    <mergeCell ref="H1592:I1592"/>
    <mergeCell ref="J1592:K1592"/>
    <mergeCell ref="O1592:P1592"/>
    <mergeCell ref="H1593:I1593"/>
    <mergeCell ref="J1593:K1593"/>
    <mergeCell ref="O1593:P1593"/>
    <mergeCell ref="D1594:D1595"/>
    <mergeCell ref="H1594:I1594"/>
    <mergeCell ref="J1594:K1594"/>
    <mergeCell ref="O1594:P1594"/>
    <mergeCell ref="H1595:I1595"/>
    <mergeCell ref="J1595:K1595"/>
    <mergeCell ref="O1595:P1595"/>
    <mergeCell ref="H1596:I1596"/>
    <mergeCell ref="J1596:K1596"/>
    <mergeCell ref="O1596:P1596"/>
    <mergeCell ref="H1597:I1597"/>
    <mergeCell ref="J1597:K1597"/>
    <mergeCell ref="O1597:P1597"/>
    <mergeCell ref="H1598:I1598"/>
    <mergeCell ref="J1598:K1598"/>
    <mergeCell ref="O1598:P1598"/>
    <mergeCell ref="D1599:D1600"/>
    <mergeCell ref="H1599:I1599"/>
    <mergeCell ref="J1599:K1599"/>
    <mergeCell ref="O1599:P1599"/>
    <mergeCell ref="H1600:I1600"/>
    <mergeCell ref="J1600:K1600"/>
    <mergeCell ref="O1600:P1600"/>
    <mergeCell ref="H1601:I1601"/>
    <mergeCell ref="J1601:K1601"/>
    <mergeCell ref="O1601:P1601"/>
    <mergeCell ref="H1602:I1602"/>
    <mergeCell ref="J1602:K1602"/>
    <mergeCell ref="O1602:P1602"/>
    <mergeCell ref="H1603:I1603"/>
    <mergeCell ref="J1603:K1603"/>
    <mergeCell ref="O1603:P1603"/>
    <mergeCell ref="H1604:I1604"/>
    <mergeCell ref="J1604:K1604"/>
    <mergeCell ref="O1604:P1604"/>
    <mergeCell ref="H1605:I1605"/>
    <mergeCell ref="J1605:K1605"/>
    <mergeCell ref="O1605:P1605"/>
    <mergeCell ref="D1606:D1607"/>
    <mergeCell ref="H1606:I1606"/>
    <mergeCell ref="J1606:K1606"/>
    <mergeCell ref="O1606:P1606"/>
    <mergeCell ref="H1607:I1607"/>
    <mergeCell ref="J1607:K1607"/>
    <mergeCell ref="O1607:P1607"/>
    <mergeCell ref="H1608:I1608"/>
    <mergeCell ref="J1608:K1608"/>
    <mergeCell ref="O1608:P1608"/>
    <mergeCell ref="H1609:I1609"/>
    <mergeCell ref="J1609:K1609"/>
    <mergeCell ref="O1609:P1609"/>
    <mergeCell ref="H1610:I1610"/>
    <mergeCell ref="J1610:K1610"/>
    <mergeCell ref="O1610:P1610"/>
    <mergeCell ref="D1611:D1613"/>
    <mergeCell ref="E1611:E1613"/>
    <mergeCell ref="F1611:F1613"/>
    <mergeCell ref="G1611:G1613"/>
    <mergeCell ref="H1611:I1611"/>
    <mergeCell ref="J1611:K1611"/>
    <mergeCell ref="O1611:P1611"/>
    <mergeCell ref="H1612:I1612"/>
    <mergeCell ref="J1612:K1612"/>
    <mergeCell ref="O1612:P1612"/>
    <mergeCell ref="H1613:I1613"/>
    <mergeCell ref="J1613:K1613"/>
    <mergeCell ref="O1613:P1613"/>
    <mergeCell ref="C1614:C1702"/>
    <mergeCell ref="H1614:I1614"/>
    <mergeCell ref="J1614:K1614"/>
    <mergeCell ref="O1614:P1614"/>
    <mergeCell ref="H1615:I1615"/>
    <mergeCell ref="J1615:K1615"/>
    <mergeCell ref="O1615:P1615"/>
    <mergeCell ref="H1616:I1616"/>
    <mergeCell ref="J1616:K1616"/>
    <mergeCell ref="O1616:P1616"/>
    <mergeCell ref="H1617:I1617"/>
    <mergeCell ref="J1617:K1617"/>
    <mergeCell ref="O1617:P1617"/>
    <mergeCell ref="H1618:I1618"/>
    <mergeCell ref="J1618:K1618"/>
    <mergeCell ref="O1618:P1618"/>
    <mergeCell ref="H1619:I1619"/>
    <mergeCell ref="J1619:K1619"/>
    <mergeCell ref="O1619:P1619"/>
    <mergeCell ref="H1620:I1620"/>
    <mergeCell ref="J1620:K1620"/>
    <mergeCell ref="O1620:P1620"/>
    <mergeCell ref="H1621:I1621"/>
    <mergeCell ref="J1621:K1621"/>
    <mergeCell ref="O1621:P1621"/>
    <mergeCell ref="H1622:I1622"/>
    <mergeCell ref="J1622:K1622"/>
    <mergeCell ref="O1622:P1622"/>
    <mergeCell ref="H1623:I1623"/>
    <mergeCell ref="J1623:K1623"/>
    <mergeCell ref="O1623:P1623"/>
    <mergeCell ref="H1624:I1624"/>
    <mergeCell ref="J1624:K1624"/>
    <mergeCell ref="O1624:P1624"/>
    <mergeCell ref="H1625:I1625"/>
    <mergeCell ref="J1625:K1625"/>
    <mergeCell ref="O1625:P1625"/>
    <mergeCell ref="H1626:I1626"/>
    <mergeCell ref="J1626:K1626"/>
    <mergeCell ref="O1626:P1626"/>
    <mergeCell ref="H1627:I1627"/>
    <mergeCell ref="J1627:K1627"/>
    <mergeCell ref="O1627:P1627"/>
    <mergeCell ref="H1628:I1628"/>
    <mergeCell ref="J1628:K1628"/>
    <mergeCell ref="O1628:P1628"/>
    <mergeCell ref="H1629:I1629"/>
    <mergeCell ref="J1629:K1629"/>
    <mergeCell ref="O1629:P1629"/>
    <mergeCell ref="H1630:I1630"/>
    <mergeCell ref="J1630:K1630"/>
    <mergeCell ref="O1630:P1630"/>
    <mergeCell ref="H1631:I1631"/>
    <mergeCell ref="J1631:K1631"/>
    <mergeCell ref="O1631:P1631"/>
    <mergeCell ref="H1632:I1632"/>
    <mergeCell ref="J1632:K1632"/>
    <mergeCell ref="O1632:P1632"/>
    <mergeCell ref="H1633:I1633"/>
    <mergeCell ref="J1633:K1633"/>
    <mergeCell ref="O1633:P1633"/>
    <mergeCell ref="H1634:I1634"/>
    <mergeCell ref="J1634:K1634"/>
    <mergeCell ref="O1634:P1634"/>
    <mergeCell ref="H1635:I1635"/>
    <mergeCell ref="J1635:K1635"/>
    <mergeCell ref="O1635:P1635"/>
    <mergeCell ref="H1636:I1636"/>
    <mergeCell ref="J1636:K1636"/>
    <mergeCell ref="O1636:P1636"/>
    <mergeCell ref="H1637:I1637"/>
    <mergeCell ref="J1637:K1637"/>
    <mergeCell ref="O1637:P1637"/>
    <mergeCell ref="H1638:I1638"/>
    <mergeCell ref="J1638:K1638"/>
    <mergeCell ref="O1638:P1638"/>
    <mergeCell ref="H1639:I1639"/>
    <mergeCell ref="J1639:K1639"/>
    <mergeCell ref="O1639:P1639"/>
    <mergeCell ref="H1640:I1640"/>
    <mergeCell ref="J1640:K1640"/>
    <mergeCell ref="O1640:P1640"/>
    <mergeCell ref="H1641:I1641"/>
    <mergeCell ref="J1641:K1641"/>
    <mergeCell ref="O1641:P1641"/>
    <mergeCell ref="H1642:I1642"/>
    <mergeCell ref="J1642:K1642"/>
    <mergeCell ref="O1642:P1642"/>
    <mergeCell ref="H1643:I1643"/>
    <mergeCell ref="J1643:K1643"/>
    <mergeCell ref="O1643:P1643"/>
    <mergeCell ref="H1644:I1644"/>
    <mergeCell ref="J1644:K1644"/>
    <mergeCell ref="O1644:P1644"/>
    <mergeCell ref="H1645:I1645"/>
    <mergeCell ref="J1645:K1645"/>
    <mergeCell ref="O1645:P1645"/>
    <mergeCell ref="H1646:I1646"/>
    <mergeCell ref="J1646:K1646"/>
    <mergeCell ref="O1646:P1646"/>
    <mergeCell ref="H1647:I1647"/>
    <mergeCell ref="J1647:K1647"/>
    <mergeCell ref="O1647:P1647"/>
    <mergeCell ref="H1648:I1648"/>
    <mergeCell ref="J1648:K1648"/>
    <mergeCell ref="O1648:P1648"/>
    <mergeCell ref="H1649:I1649"/>
    <mergeCell ref="J1649:K1649"/>
    <mergeCell ref="O1649:P1649"/>
    <mergeCell ref="H1650:I1650"/>
    <mergeCell ref="J1650:K1650"/>
    <mergeCell ref="O1650:P1650"/>
    <mergeCell ref="H1651:I1651"/>
    <mergeCell ref="J1651:K1651"/>
    <mergeCell ref="O1651:P1651"/>
    <mergeCell ref="H1652:I1652"/>
    <mergeCell ref="J1652:K1652"/>
    <mergeCell ref="O1652:P1652"/>
    <mergeCell ref="H1653:I1653"/>
    <mergeCell ref="J1653:K1653"/>
    <mergeCell ref="O1653:P1653"/>
    <mergeCell ref="H1654:I1654"/>
    <mergeCell ref="J1654:K1654"/>
    <mergeCell ref="O1654:P1654"/>
    <mergeCell ref="H1655:I1655"/>
    <mergeCell ref="J1655:K1655"/>
    <mergeCell ref="O1655:P1655"/>
    <mergeCell ref="H1656:I1656"/>
    <mergeCell ref="J1656:K1656"/>
    <mergeCell ref="O1656:P1656"/>
    <mergeCell ref="H1657:I1657"/>
    <mergeCell ref="J1657:K1657"/>
    <mergeCell ref="O1657:P1657"/>
    <mergeCell ref="H1658:I1658"/>
    <mergeCell ref="J1658:K1658"/>
    <mergeCell ref="O1658:P1658"/>
    <mergeCell ref="H1659:I1659"/>
    <mergeCell ref="J1659:K1659"/>
    <mergeCell ref="O1659:P1659"/>
    <mergeCell ref="D1660:D1662"/>
    <mergeCell ref="H1660:I1660"/>
    <mergeCell ref="J1660:K1660"/>
    <mergeCell ref="O1660:P1660"/>
    <mergeCell ref="H1661:I1661"/>
    <mergeCell ref="J1661:K1661"/>
    <mergeCell ref="O1661:P1661"/>
    <mergeCell ref="H1662:I1662"/>
    <mergeCell ref="J1662:K1662"/>
    <mergeCell ref="O1662:P1662"/>
    <mergeCell ref="H1663:I1663"/>
    <mergeCell ref="J1663:K1663"/>
    <mergeCell ref="O1663:P1663"/>
    <mergeCell ref="H1664:I1664"/>
    <mergeCell ref="J1664:K1664"/>
    <mergeCell ref="O1664:P1664"/>
    <mergeCell ref="H1665:I1665"/>
    <mergeCell ref="J1665:K1665"/>
    <mergeCell ref="O1665:P1665"/>
    <mergeCell ref="H1666:I1666"/>
    <mergeCell ref="J1666:K1666"/>
    <mergeCell ref="O1666:P1666"/>
    <mergeCell ref="H1667:I1667"/>
    <mergeCell ref="J1667:K1667"/>
    <mergeCell ref="O1667:P1667"/>
    <mergeCell ref="H1668:I1668"/>
    <mergeCell ref="J1668:K1668"/>
    <mergeCell ref="O1668:P1668"/>
    <mergeCell ref="H1669:I1669"/>
    <mergeCell ref="J1669:K1669"/>
    <mergeCell ref="O1669:P1669"/>
    <mergeCell ref="H1670:I1670"/>
    <mergeCell ref="J1670:K1670"/>
    <mergeCell ref="O1670:P1670"/>
    <mergeCell ref="H1671:I1671"/>
    <mergeCell ref="J1671:K1671"/>
    <mergeCell ref="O1671:P1671"/>
    <mergeCell ref="H1672:I1672"/>
    <mergeCell ref="J1672:K1672"/>
    <mergeCell ref="O1672:P1672"/>
    <mergeCell ref="H1673:I1673"/>
    <mergeCell ref="J1673:K1673"/>
    <mergeCell ref="O1673:P1673"/>
    <mergeCell ref="D1674:D1675"/>
    <mergeCell ref="H1674:I1674"/>
    <mergeCell ref="J1674:K1674"/>
    <mergeCell ref="O1674:P1674"/>
    <mergeCell ref="H1675:I1675"/>
    <mergeCell ref="J1675:K1675"/>
    <mergeCell ref="O1675:P1675"/>
    <mergeCell ref="D1676:D1678"/>
    <mergeCell ref="H1676:I1676"/>
    <mergeCell ref="J1676:K1676"/>
    <mergeCell ref="O1676:P1676"/>
    <mergeCell ref="H1677:I1677"/>
    <mergeCell ref="J1677:K1677"/>
    <mergeCell ref="O1677:P1677"/>
    <mergeCell ref="H1678:I1678"/>
    <mergeCell ref="J1678:K1678"/>
    <mergeCell ref="O1678:P1678"/>
    <mergeCell ref="D1679:D1680"/>
    <mergeCell ref="H1679:I1679"/>
    <mergeCell ref="J1679:K1679"/>
    <mergeCell ref="O1679:P1679"/>
    <mergeCell ref="H1680:I1680"/>
    <mergeCell ref="J1680:K1680"/>
    <mergeCell ref="O1680:P1680"/>
    <mergeCell ref="H1681:I1681"/>
    <mergeCell ref="J1681:K1681"/>
    <mergeCell ref="O1681:P1681"/>
    <mergeCell ref="H1682:I1682"/>
    <mergeCell ref="J1682:K1682"/>
    <mergeCell ref="O1682:P1682"/>
    <mergeCell ref="H1683:I1683"/>
    <mergeCell ref="J1683:K1683"/>
    <mergeCell ref="O1683:P1683"/>
    <mergeCell ref="H1684:I1684"/>
    <mergeCell ref="J1684:K1684"/>
    <mergeCell ref="O1684:P1684"/>
    <mergeCell ref="D1685:D1688"/>
    <mergeCell ref="H1685:I1685"/>
    <mergeCell ref="J1685:K1685"/>
    <mergeCell ref="O1685:P1685"/>
    <mergeCell ref="H1686:I1686"/>
    <mergeCell ref="J1686:K1686"/>
    <mergeCell ref="O1686:P1686"/>
    <mergeCell ref="H1687:I1687"/>
    <mergeCell ref="J1687:K1687"/>
    <mergeCell ref="O1687:P1687"/>
    <mergeCell ref="H1688:I1688"/>
    <mergeCell ref="J1688:K1688"/>
    <mergeCell ref="O1688:P1688"/>
    <mergeCell ref="H1689:I1689"/>
    <mergeCell ref="J1689:K1689"/>
    <mergeCell ref="O1689:P1689"/>
    <mergeCell ref="D1690:D1692"/>
    <mergeCell ref="H1690:I1690"/>
    <mergeCell ref="J1690:K1690"/>
    <mergeCell ref="O1690:P1690"/>
    <mergeCell ref="H1691:I1691"/>
    <mergeCell ref="J1691:K1691"/>
    <mergeCell ref="O1691:P1691"/>
    <mergeCell ref="H1692:I1692"/>
    <mergeCell ref="J1692:K1692"/>
    <mergeCell ref="O1692:P1692"/>
    <mergeCell ref="H1693:I1693"/>
    <mergeCell ref="J1693:K1693"/>
    <mergeCell ref="O1693:P1693"/>
    <mergeCell ref="H1694:I1694"/>
    <mergeCell ref="J1694:K1694"/>
    <mergeCell ref="O1694:P1694"/>
    <mergeCell ref="H1695:I1695"/>
    <mergeCell ref="J1695:K1695"/>
    <mergeCell ref="O1695:P1695"/>
    <mergeCell ref="H1696:I1696"/>
    <mergeCell ref="J1696:K1696"/>
    <mergeCell ref="O1696:P1696"/>
    <mergeCell ref="H1697:I1697"/>
    <mergeCell ref="J1697:K1697"/>
    <mergeCell ref="O1697:P1697"/>
    <mergeCell ref="H1698:I1698"/>
    <mergeCell ref="J1698:K1698"/>
    <mergeCell ref="O1698:P1698"/>
    <mergeCell ref="H1699:I1699"/>
    <mergeCell ref="J1699:K1699"/>
    <mergeCell ref="O1699:P1699"/>
    <mergeCell ref="D1700:D1702"/>
    <mergeCell ref="E1700:E1702"/>
    <mergeCell ref="F1700:F1702"/>
    <mergeCell ref="G1700:G1702"/>
    <mergeCell ref="H1700:I1700"/>
    <mergeCell ref="J1700:K1700"/>
    <mergeCell ref="O1700:P1700"/>
    <mergeCell ref="H1701:I1701"/>
    <mergeCell ref="J1701:K1701"/>
    <mergeCell ref="O1701:P1701"/>
    <mergeCell ref="H1702:I1702"/>
    <mergeCell ref="J1702:K1702"/>
    <mergeCell ref="O1702:P1702"/>
    <mergeCell ref="C1703:C1790"/>
    <mergeCell ref="H1703:I1703"/>
    <mergeCell ref="J1703:K1703"/>
    <mergeCell ref="O1703:P1703"/>
    <mergeCell ref="H1704:I1704"/>
    <mergeCell ref="J1704:K1704"/>
    <mergeCell ref="O1704:P1704"/>
    <mergeCell ref="H1705:I1705"/>
    <mergeCell ref="J1705:K1705"/>
    <mergeCell ref="O1705:P1705"/>
    <mergeCell ref="H1706:I1706"/>
    <mergeCell ref="J1706:K1706"/>
    <mergeCell ref="O1706:P1706"/>
    <mergeCell ref="H1707:I1707"/>
    <mergeCell ref="J1707:K1707"/>
    <mergeCell ref="O1707:P1707"/>
    <mergeCell ref="H1708:I1708"/>
    <mergeCell ref="J1708:K1708"/>
    <mergeCell ref="O1708:P1708"/>
    <mergeCell ref="H1709:I1709"/>
    <mergeCell ref="J1709:K1709"/>
    <mergeCell ref="O1709:P1709"/>
    <mergeCell ref="D1710:D1711"/>
    <mergeCell ref="E1710:E1711"/>
    <mergeCell ref="F1710:F1711"/>
    <mergeCell ref="G1710:G1711"/>
    <mergeCell ref="H1710:I1710"/>
    <mergeCell ref="J1710:K1710"/>
    <mergeCell ref="O1710:P1710"/>
    <mergeCell ref="H1711:I1711"/>
    <mergeCell ref="J1711:K1711"/>
    <mergeCell ref="O1711:P1711"/>
    <mergeCell ref="H1712:I1712"/>
    <mergeCell ref="J1712:K1712"/>
    <mergeCell ref="O1712:P1712"/>
    <mergeCell ref="H1713:I1713"/>
    <mergeCell ref="J1713:K1713"/>
    <mergeCell ref="O1713:P1713"/>
    <mergeCell ref="H1714:I1714"/>
    <mergeCell ref="J1714:K1714"/>
    <mergeCell ref="O1714:P1714"/>
    <mergeCell ref="H1715:I1715"/>
    <mergeCell ref="J1715:K1715"/>
    <mergeCell ref="O1715:P1715"/>
    <mergeCell ref="H1716:I1716"/>
    <mergeCell ref="J1716:K1716"/>
    <mergeCell ref="O1716:P1716"/>
    <mergeCell ref="H1717:I1717"/>
    <mergeCell ref="J1717:K1717"/>
    <mergeCell ref="O1717:P1717"/>
    <mergeCell ref="H1718:I1718"/>
    <mergeCell ref="J1718:K1718"/>
    <mergeCell ref="O1718:P1718"/>
    <mergeCell ref="H1719:I1719"/>
    <mergeCell ref="J1719:K1719"/>
    <mergeCell ref="O1719:P1719"/>
    <mergeCell ref="H1720:I1720"/>
    <mergeCell ref="J1720:K1720"/>
    <mergeCell ref="O1720:P1720"/>
    <mergeCell ref="H1721:I1721"/>
    <mergeCell ref="J1721:K1721"/>
    <mergeCell ref="O1721:P1721"/>
    <mergeCell ref="H1722:I1722"/>
    <mergeCell ref="J1722:K1722"/>
    <mergeCell ref="O1722:P1722"/>
    <mergeCell ref="H1723:I1723"/>
    <mergeCell ref="J1723:K1723"/>
    <mergeCell ref="O1723:P1723"/>
    <mergeCell ref="H1724:I1724"/>
    <mergeCell ref="J1724:K1724"/>
    <mergeCell ref="O1724:P1724"/>
    <mergeCell ref="H1725:I1725"/>
    <mergeCell ref="J1725:K1725"/>
    <mergeCell ref="O1725:P1725"/>
    <mergeCell ref="H1726:I1726"/>
    <mergeCell ref="J1726:K1726"/>
    <mergeCell ref="O1726:P1726"/>
    <mergeCell ref="H1727:I1727"/>
    <mergeCell ref="J1727:K1727"/>
    <mergeCell ref="O1727:P1727"/>
    <mergeCell ref="H1728:I1728"/>
    <mergeCell ref="J1728:K1728"/>
    <mergeCell ref="O1728:P1728"/>
    <mergeCell ref="H1729:I1729"/>
    <mergeCell ref="J1729:K1729"/>
    <mergeCell ref="O1729:P1729"/>
    <mergeCell ref="H1730:I1730"/>
    <mergeCell ref="J1730:K1730"/>
    <mergeCell ref="O1730:P1730"/>
    <mergeCell ref="H1731:I1731"/>
    <mergeCell ref="J1731:K1731"/>
    <mergeCell ref="O1731:P1731"/>
    <mergeCell ref="H1732:I1732"/>
    <mergeCell ref="J1732:K1732"/>
    <mergeCell ref="O1732:P1732"/>
    <mergeCell ref="H1733:I1733"/>
    <mergeCell ref="J1733:K1733"/>
    <mergeCell ref="O1733:P1733"/>
    <mergeCell ref="H1734:I1734"/>
    <mergeCell ref="J1734:K1734"/>
    <mergeCell ref="O1734:P1734"/>
    <mergeCell ref="H1735:I1735"/>
    <mergeCell ref="J1735:K1735"/>
    <mergeCell ref="O1735:P1735"/>
    <mergeCell ref="H1736:I1736"/>
    <mergeCell ref="J1736:K1736"/>
    <mergeCell ref="O1736:P1736"/>
    <mergeCell ref="H1737:I1737"/>
    <mergeCell ref="J1737:K1737"/>
    <mergeCell ref="O1737:P1737"/>
    <mergeCell ref="H1738:I1738"/>
    <mergeCell ref="J1738:K1738"/>
    <mergeCell ref="O1738:P1738"/>
    <mergeCell ref="H1739:I1739"/>
    <mergeCell ref="J1739:K1739"/>
    <mergeCell ref="O1739:P1739"/>
    <mergeCell ref="H1740:I1740"/>
    <mergeCell ref="J1740:K1740"/>
    <mergeCell ref="O1740:P1740"/>
    <mergeCell ref="H1741:I1741"/>
    <mergeCell ref="J1741:K1741"/>
    <mergeCell ref="O1741:P1741"/>
    <mergeCell ref="H1742:I1742"/>
    <mergeCell ref="J1742:K1742"/>
    <mergeCell ref="O1742:P1742"/>
    <mergeCell ref="H1743:I1743"/>
    <mergeCell ref="J1743:K1743"/>
    <mergeCell ref="O1743:P1743"/>
    <mergeCell ref="H1744:I1744"/>
    <mergeCell ref="J1744:K1744"/>
    <mergeCell ref="O1744:P1744"/>
    <mergeCell ref="H1745:I1745"/>
    <mergeCell ref="J1745:K1745"/>
    <mergeCell ref="O1745:P1745"/>
    <mergeCell ref="H1746:I1746"/>
    <mergeCell ref="J1746:K1746"/>
    <mergeCell ref="O1746:P1746"/>
    <mergeCell ref="H1747:I1747"/>
    <mergeCell ref="J1747:K1747"/>
    <mergeCell ref="O1747:P1747"/>
    <mergeCell ref="H1748:I1748"/>
    <mergeCell ref="J1748:K1748"/>
    <mergeCell ref="O1748:P1748"/>
    <mergeCell ref="H1749:I1749"/>
    <mergeCell ref="J1749:K1749"/>
    <mergeCell ref="O1749:P1749"/>
    <mergeCell ref="D1750:D1751"/>
    <mergeCell ref="H1750:I1750"/>
    <mergeCell ref="J1750:K1750"/>
    <mergeCell ref="O1750:P1750"/>
    <mergeCell ref="H1751:I1751"/>
    <mergeCell ref="J1751:K1751"/>
    <mergeCell ref="O1751:P1751"/>
    <mergeCell ref="H1752:I1752"/>
    <mergeCell ref="J1752:K1752"/>
    <mergeCell ref="O1752:P1752"/>
    <mergeCell ref="H1753:I1753"/>
    <mergeCell ref="J1753:K1753"/>
    <mergeCell ref="O1753:P1753"/>
    <mergeCell ref="H1754:I1754"/>
    <mergeCell ref="J1754:K1754"/>
    <mergeCell ref="O1754:P1754"/>
    <mergeCell ref="H1755:I1755"/>
    <mergeCell ref="J1755:K1755"/>
    <mergeCell ref="O1755:P1755"/>
    <mergeCell ref="H1756:I1756"/>
    <mergeCell ref="J1756:K1756"/>
    <mergeCell ref="O1756:P1756"/>
    <mergeCell ref="H1757:I1757"/>
    <mergeCell ref="J1757:K1757"/>
    <mergeCell ref="O1757:P1757"/>
    <mergeCell ref="H1758:I1758"/>
    <mergeCell ref="J1758:K1758"/>
    <mergeCell ref="O1758:P1758"/>
    <mergeCell ref="H1759:I1759"/>
    <mergeCell ref="J1759:K1759"/>
    <mergeCell ref="O1759:P1759"/>
    <mergeCell ref="H1760:I1760"/>
    <mergeCell ref="J1760:K1760"/>
    <mergeCell ref="O1760:P1760"/>
    <mergeCell ref="H1761:I1761"/>
    <mergeCell ref="J1761:K1761"/>
    <mergeCell ref="O1761:P1761"/>
    <mergeCell ref="H1762:I1762"/>
    <mergeCell ref="J1762:K1762"/>
    <mergeCell ref="O1762:P1762"/>
    <mergeCell ref="H1763:I1763"/>
    <mergeCell ref="J1763:K1763"/>
    <mergeCell ref="O1763:P1763"/>
    <mergeCell ref="H1764:I1764"/>
    <mergeCell ref="J1764:K1764"/>
    <mergeCell ref="O1764:P1764"/>
    <mergeCell ref="H1765:I1765"/>
    <mergeCell ref="J1765:K1765"/>
    <mergeCell ref="O1765:P1765"/>
    <mergeCell ref="H1766:I1766"/>
    <mergeCell ref="J1766:K1766"/>
    <mergeCell ref="O1766:P1766"/>
    <mergeCell ref="H1767:I1767"/>
    <mergeCell ref="J1767:K1767"/>
    <mergeCell ref="O1767:P1767"/>
    <mergeCell ref="H1768:I1768"/>
    <mergeCell ref="J1768:K1768"/>
    <mergeCell ref="O1768:P1768"/>
    <mergeCell ref="H1769:I1769"/>
    <mergeCell ref="J1769:K1769"/>
    <mergeCell ref="O1769:P1769"/>
    <mergeCell ref="H1770:I1770"/>
    <mergeCell ref="J1770:K1770"/>
    <mergeCell ref="O1770:P1770"/>
    <mergeCell ref="H1771:I1771"/>
    <mergeCell ref="J1771:K1771"/>
    <mergeCell ref="O1771:P1771"/>
    <mergeCell ref="H1772:I1772"/>
    <mergeCell ref="J1772:K1772"/>
    <mergeCell ref="O1772:P1772"/>
    <mergeCell ref="H1773:I1773"/>
    <mergeCell ref="J1773:K1773"/>
    <mergeCell ref="O1773:P1773"/>
    <mergeCell ref="H1774:I1774"/>
    <mergeCell ref="J1774:K1774"/>
    <mergeCell ref="O1774:P1774"/>
    <mergeCell ref="H1775:I1775"/>
    <mergeCell ref="J1775:K1775"/>
    <mergeCell ref="O1775:P1775"/>
    <mergeCell ref="H1776:I1776"/>
    <mergeCell ref="J1776:K1776"/>
    <mergeCell ref="O1776:P1776"/>
    <mergeCell ref="H1777:I1777"/>
    <mergeCell ref="J1777:K1777"/>
    <mergeCell ref="O1777:P1777"/>
    <mergeCell ref="H1778:I1778"/>
    <mergeCell ref="J1778:K1778"/>
    <mergeCell ref="O1778:P1778"/>
    <mergeCell ref="H1779:I1779"/>
    <mergeCell ref="J1779:K1779"/>
    <mergeCell ref="O1779:P1779"/>
    <mergeCell ref="H1780:I1780"/>
    <mergeCell ref="J1780:K1780"/>
    <mergeCell ref="O1780:P1780"/>
    <mergeCell ref="H1781:I1781"/>
    <mergeCell ref="J1781:K1781"/>
    <mergeCell ref="O1781:P1781"/>
    <mergeCell ref="H1782:I1782"/>
    <mergeCell ref="J1782:K1782"/>
    <mergeCell ref="O1782:P1782"/>
    <mergeCell ref="D1783:D1784"/>
    <mergeCell ref="H1783:I1783"/>
    <mergeCell ref="J1783:K1783"/>
    <mergeCell ref="O1783:P1783"/>
    <mergeCell ref="H1784:I1784"/>
    <mergeCell ref="J1784:K1784"/>
    <mergeCell ref="O1784:P1784"/>
    <mergeCell ref="H1785:I1785"/>
    <mergeCell ref="J1785:K1785"/>
    <mergeCell ref="O1785:P1785"/>
    <mergeCell ref="H1786:I1786"/>
    <mergeCell ref="J1786:K1786"/>
    <mergeCell ref="O1786:P1786"/>
    <mergeCell ref="H1787:I1787"/>
    <mergeCell ref="J1787:K1787"/>
    <mergeCell ref="O1787:P1787"/>
    <mergeCell ref="D1788:D1790"/>
    <mergeCell ref="E1788:E1790"/>
    <mergeCell ref="F1788:F1790"/>
    <mergeCell ref="G1788:G1790"/>
    <mergeCell ref="H1788:I1788"/>
    <mergeCell ref="J1788:K1788"/>
    <mergeCell ref="O1788:P1788"/>
    <mergeCell ref="H1789:I1789"/>
    <mergeCell ref="J1789:K1789"/>
    <mergeCell ref="O1789:P1789"/>
    <mergeCell ref="H1790:I1790"/>
    <mergeCell ref="J1790:K1790"/>
    <mergeCell ref="O1790:P1790"/>
    <mergeCell ref="C1791:C1883"/>
    <mergeCell ref="H1791:I1791"/>
    <mergeCell ref="J1791:K1791"/>
    <mergeCell ref="O1791:P1791"/>
    <mergeCell ref="H1792:I1792"/>
    <mergeCell ref="J1792:K1792"/>
    <mergeCell ref="O1792:P1792"/>
    <mergeCell ref="H1793:I1793"/>
    <mergeCell ref="J1793:K1793"/>
    <mergeCell ref="O1793:P1793"/>
    <mergeCell ref="H1794:I1794"/>
    <mergeCell ref="J1794:K1794"/>
    <mergeCell ref="O1794:P1794"/>
    <mergeCell ref="H1795:I1795"/>
    <mergeCell ref="J1795:K1795"/>
    <mergeCell ref="O1795:P1795"/>
    <mergeCell ref="H1796:I1796"/>
    <mergeCell ref="J1796:K1796"/>
    <mergeCell ref="O1796:P1796"/>
    <mergeCell ref="H1797:I1797"/>
    <mergeCell ref="J1797:K1797"/>
    <mergeCell ref="O1797:P1797"/>
    <mergeCell ref="H1798:I1798"/>
    <mergeCell ref="J1798:K1798"/>
    <mergeCell ref="O1798:P1798"/>
    <mergeCell ref="H1799:I1799"/>
    <mergeCell ref="J1799:K1799"/>
    <mergeCell ref="O1799:P1799"/>
    <mergeCell ref="H1800:I1800"/>
    <mergeCell ref="J1800:K1800"/>
    <mergeCell ref="O1800:P1800"/>
    <mergeCell ref="H1801:I1801"/>
    <mergeCell ref="J1801:K1801"/>
    <mergeCell ref="O1801:P1801"/>
    <mergeCell ref="H1802:I1802"/>
    <mergeCell ref="J1802:K1802"/>
    <mergeCell ref="O1802:P1802"/>
    <mergeCell ref="H1803:I1803"/>
    <mergeCell ref="J1803:K1803"/>
    <mergeCell ref="O1803:P1803"/>
    <mergeCell ref="H1804:I1804"/>
    <mergeCell ref="J1804:K1804"/>
    <mergeCell ref="O1804:P1804"/>
    <mergeCell ref="H1805:I1805"/>
    <mergeCell ref="J1805:K1805"/>
    <mergeCell ref="O1805:P1805"/>
    <mergeCell ref="H1806:I1806"/>
    <mergeCell ref="J1806:K1806"/>
    <mergeCell ref="O1806:P1806"/>
    <mergeCell ref="H1807:I1807"/>
    <mergeCell ref="J1807:K1807"/>
    <mergeCell ref="O1807:P1807"/>
    <mergeCell ref="H1808:I1808"/>
    <mergeCell ref="J1808:K1808"/>
    <mergeCell ref="O1808:P1808"/>
    <mergeCell ref="H1809:I1809"/>
    <mergeCell ref="J1809:K1809"/>
    <mergeCell ref="O1809:P1809"/>
    <mergeCell ref="H1810:I1810"/>
    <mergeCell ref="J1810:K1810"/>
    <mergeCell ref="O1810:P1810"/>
    <mergeCell ref="H1811:I1811"/>
    <mergeCell ref="J1811:K1811"/>
    <mergeCell ref="O1811:P1811"/>
    <mergeCell ref="H1812:I1812"/>
    <mergeCell ref="J1812:K1812"/>
    <mergeCell ref="O1812:P1812"/>
    <mergeCell ref="H1813:I1813"/>
    <mergeCell ref="J1813:K1813"/>
    <mergeCell ref="O1813:P1813"/>
    <mergeCell ref="H1814:I1814"/>
    <mergeCell ref="J1814:K1814"/>
    <mergeCell ref="O1814:P1814"/>
    <mergeCell ref="D1815:D1821"/>
    <mergeCell ref="H1815:I1815"/>
    <mergeCell ref="J1815:K1815"/>
    <mergeCell ref="O1815:P1815"/>
    <mergeCell ref="H1816:I1816"/>
    <mergeCell ref="J1816:K1816"/>
    <mergeCell ref="O1816:P1816"/>
    <mergeCell ref="H1817:I1817"/>
    <mergeCell ref="J1817:K1817"/>
    <mergeCell ref="O1817:P1817"/>
    <mergeCell ref="H1818:I1818"/>
    <mergeCell ref="J1818:K1818"/>
    <mergeCell ref="O1818:P1818"/>
    <mergeCell ref="H1819:I1819"/>
    <mergeCell ref="J1819:K1819"/>
    <mergeCell ref="O1819:P1819"/>
    <mergeCell ref="H1820:I1820"/>
    <mergeCell ref="J1820:K1820"/>
    <mergeCell ref="O1820:P1820"/>
    <mergeCell ref="H1821:I1821"/>
    <mergeCell ref="J1821:K1821"/>
    <mergeCell ref="O1821:P1821"/>
    <mergeCell ref="H1822:I1822"/>
    <mergeCell ref="J1822:K1822"/>
    <mergeCell ref="O1822:P1822"/>
    <mergeCell ref="D1823:D1826"/>
    <mergeCell ref="H1823:I1823"/>
    <mergeCell ref="J1823:K1823"/>
    <mergeCell ref="O1823:P1823"/>
    <mergeCell ref="H1824:I1824"/>
    <mergeCell ref="J1824:K1824"/>
    <mergeCell ref="O1824:P1824"/>
    <mergeCell ref="H1825:I1825"/>
    <mergeCell ref="J1825:K1825"/>
    <mergeCell ref="O1825:P1825"/>
    <mergeCell ref="H1826:I1826"/>
    <mergeCell ref="J1826:K1826"/>
    <mergeCell ref="O1826:P1826"/>
    <mergeCell ref="D1827:D1828"/>
    <mergeCell ref="H1827:I1827"/>
    <mergeCell ref="J1827:K1827"/>
    <mergeCell ref="O1827:P1827"/>
    <mergeCell ref="H1828:I1828"/>
    <mergeCell ref="J1828:K1828"/>
    <mergeCell ref="O1828:P1828"/>
    <mergeCell ref="D1829:D1833"/>
    <mergeCell ref="H1829:I1829"/>
    <mergeCell ref="J1829:K1829"/>
    <mergeCell ref="O1829:P1829"/>
    <mergeCell ref="H1830:I1830"/>
    <mergeCell ref="J1830:K1830"/>
    <mergeCell ref="O1830:P1830"/>
    <mergeCell ref="H1831:I1831"/>
    <mergeCell ref="J1831:K1831"/>
    <mergeCell ref="O1831:P1831"/>
    <mergeCell ref="H1832:I1832"/>
    <mergeCell ref="J1832:K1832"/>
    <mergeCell ref="O1832:P1832"/>
    <mergeCell ref="H1833:I1833"/>
    <mergeCell ref="J1833:K1833"/>
    <mergeCell ref="O1833:P1833"/>
    <mergeCell ref="D1834:D1837"/>
    <mergeCell ref="H1834:I1834"/>
    <mergeCell ref="J1834:K1834"/>
    <mergeCell ref="O1834:P1834"/>
    <mergeCell ref="H1835:I1835"/>
    <mergeCell ref="J1835:K1835"/>
    <mergeCell ref="O1835:P1835"/>
    <mergeCell ref="H1836:I1836"/>
    <mergeCell ref="J1836:K1836"/>
    <mergeCell ref="O1836:P1836"/>
    <mergeCell ref="H1837:I1837"/>
    <mergeCell ref="J1837:K1837"/>
    <mergeCell ref="O1837:P1837"/>
    <mergeCell ref="H1838:I1838"/>
    <mergeCell ref="J1838:K1838"/>
    <mergeCell ref="O1838:P1838"/>
    <mergeCell ref="H1839:I1839"/>
    <mergeCell ref="J1839:K1839"/>
    <mergeCell ref="O1839:P1839"/>
    <mergeCell ref="H1840:I1840"/>
    <mergeCell ref="J1840:K1840"/>
    <mergeCell ref="O1840:P1840"/>
    <mergeCell ref="D1841:D1844"/>
    <mergeCell ref="H1841:I1841"/>
    <mergeCell ref="J1841:K1841"/>
    <mergeCell ref="O1841:P1841"/>
    <mergeCell ref="H1842:I1842"/>
    <mergeCell ref="J1842:K1842"/>
    <mergeCell ref="O1842:P1842"/>
    <mergeCell ref="H1843:I1843"/>
    <mergeCell ref="J1843:K1843"/>
    <mergeCell ref="O1843:P1843"/>
    <mergeCell ref="H1844:I1844"/>
    <mergeCell ref="J1844:K1844"/>
    <mergeCell ref="O1844:P1844"/>
    <mergeCell ref="H1845:I1845"/>
    <mergeCell ref="J1845:K1845"/>
    <mergeCell ref="O1845:P1845"/>
    <mergeCell ref="D1846:D1849"/>
    <mergeCell ref="H1846:I1846"/>
    <mergeCell ref="J1846:K1846"/>
    <mergeCell ref="O1846:P1846"/>
    <mergeCell ref="H1847:I1847"/>
    <mergeCell ref="J1847:K1847"/>
    <mergeCell ref="O1847:P1847"/>
    <mergeCell ref="H1848:I1848"/>
    <mergeCell ref="J1848:K1848"/>
    <mergeCell ref="O1848:P1848"/>
    <mergeCell ref="H1849:I1849"/>
    <mergeCell ref="J1849:K1849"/>
    <mergeCell ref="O1849:P1849"/>
    <mergeCell ref="D1850:D1854"/>
    <mergeCell ref="H1850:I1850"/>
    <mergeCell ref="J1850:K1850"/>
    <mergeCell ref="O1850:P1850"/>
    <mergeCell ref="H1851:I1851"/>
    <mergeCell ref="J1851:K1851"/>
    <mergeCell ref="O1851:P1851"/>
    <mergeCell ref="H1852:I1852"/>
    <mergeCell ref="J1852:K1852"/>
    <mergeCell ref="O1852:P1852"/>
    <mergeCell ref="H1853:I1853"/>
    <mergeCell ref="J1853:K1853"/>
    <mergeCell ref="O1853:P1853"/>
    <mergeCell ref="H1854:I1854"/>
    <mergeCell ref="J1854:K1854"/>
    <mergeCell ref="O1854:P1854"/>
    <mergeCell ref="D1855:D1858"/>
    <mergeCell ref="H1855:I1855"/>
    <mergeCell ref="J1855:K1855"/>
    <mergeCell ref="O1855:P1855"/>
    <mergeCell ref="H1856:I1856"/>
    <mergeCell ref="J1856:K1856"/>
    <mergeCell ref="O1856:P1856"/>
    <mergeCell ref="H1857:I1857"/>
    <mergeCell ref="J1857:K1857"/>
    <mergeCell ref="O1857:P1857"/>
    <mergeCell ref="H1858:I1858"/>
    <mergeCell ref="J1858:K1858"/>
    <mergeCell ref="O1858:P1858"/>
    <mergeCell ref="H1859:I1859"/>
    <mergeCell ref="J1859:K1859"/>
    <mergeCell ref="O1859:P1859"/>
    <mergeCell ref="H1860:I1860"/>
    <mergeCell ref="J1860:K1860"/>
    <mergeCell ref="O1860:P1860"/>
    <mergeCell ref="H1861:I1861"/>
    <mergeCell ref="J1861:K1861"/>
    <mergeCell ref="O1861:P1861"/>
    <mergeCell ref="H1862:I1862"/>
    <mergeCell ref="J1862:K1862"/>
    <mergeCell ref="O1862:P1862"/>
    <mergeCell ref="H1863:I1863"/>
    <mergeCell ref="J1863:K1863"/>
    <mergeCell ref="O1863:P1863"/>
    <mergeCell ref="H1864:I1864"/>
    <mergeCell ref="J1864:K1864"/>
    <mergeCell ref="O1864:P1864"/>
    <mergeCell ref="H1865:I1865"/>
    <mergeCell ref="J1865:K1865"/>
    <mergeCell ref="O1865:P1865"/>
    <mergeCell ref="H1866:I1866"/>
    <mergeCell ref="J1866:K1866"/>
    <mergeCell ref="O1866:P1866"/>
    <mergeCell ref="H1867:I1867"/>
    <mergeCell ref="J1867:K1867"/>
    <mergeCell ref="O1867:P1867"/>
    <mergeCell ref="H1868:I1868"/>
    <mergeCell ref="J1868:K1868"/>
    <mergeCell ref="O1868:P1868"/>
    <mergeCell ref="H1869:I1869"/>
    <mergeCell ref="J1869:K1869"/>
    <mergeCell ref="O1869:P1869"/>
    <mergeCell ref="H1870:I1870"/>
    <mergeCell ref="J1870:K1870"/>
    <mergeCell ref="O1870:P1870"/>
    <mergeCell ref="H1871:I1871"/>
    <mergeCell ref="J1871:K1871"/>
    <mergeCell ref="O1871:P1871"/>
    <mergeCell ref="H1872:I1872"/>
    <mergeCell ref="J1872:K1872"/>
    <mergeCell ref="O1872:P1872"/>
    <mergeCell ref="H1873:I1873"/>
    <mergeCell ref="J1873:K1873"/>
    <mergeCell ref="O1873:P1873"/>
    <mergeCell ref="H1874:I1874"/>
    <mergeCell ref="J1874:K1874"/>
    <mergeCell ref="O1874:P1874"/>
    <mergeCell ref="D1875:D1877"/>
    <mergeCell ref="H1875:I1875"/>
    <mergeCell ref="J1875:K1875"/>
    <mergeCell ref="O1875:P1875"/>
    <mergeCell ref="H1876:I1876"/>
    <mergeCell ref="J1876:K1876"/>
    <mergeCell ref="O1876:P1876"/>
    <mergeCell ref="H1877:I1877"/>
    <mergeCell ref="J1877:K1877"/>
    <mergeCell ref="O1877:P1877"/>
    <mergeCell ref="H1878:I1878"/>
    <mergeCell ref="J1878:K1878"/>
    <mergeCell ref="O1878:P1878"/>
    <mergeCell ref="H1879:I1879"/>
    <mergeCell ref="J1879:K1879"/>
    <mergeCell ref="O1879:P1879"/>
    <mergeCell ref="D1880:D1881"/>
    <mergeCell ref="H1880:I1880"/>
    <mergeCell ref="J1880:K1880"/>
    <mergeCell ref="O1880:P1880"/>
    <mergeCell ref="H1881:I1881"/>
    <mergeCell ref="J1881:K1881"/>
    <mergeCell ref="O1881:P1881"/>
    <mergeCell ref="H1882:I1882"/>
    <mergeCell ref="J1882:K1882"/>
    <mergeCell ref="O1882:P1882"/>
    <mergeCell ref="H1883:I1883"/>
    <mergeCell ref="J1883:K1883"/>
    <mergeCell ref="O1883:P1883"/>
    <mergeCell ref="C1884:C1964"/>
    <mergeCell ref="H1884:I1884"/>
    <mergeCell ref="J1884:K1884"/>
    <mergeCell ref="O1884:P1884"/>
    <mergeCell ref="H1885:I1885"/>
    <mergeCell ref="J1885:K1885"/>
    <mergeCell ref="O1885:P1885"/>
    <mergeCell ref="H1886:I1886"/>
    <mergeCell ref="J1886:K1886"/>
    <mergeCell ref="O1886:P1886"/>
    <mergeCell ref="H1887:I1887"/>
    <mergeCell ref="J1887:K1887"/>
    <mergeCell ref="O1887:P1887"/>
    <mergeCell ref="H1888:I1888"/>
    <mergeCell ref="J1888:K1888"/>
    <mergeCell ref="O1888:P1888"/>
    <mergeCell ref="H1889:I1889"/>
    <mergeCell ref="J1889:K1889"/>
    <mergeCell ref="O1889:P1889"/>
    <mergeCell ref="H1890:I1890"/>
    <mergeCell ref="J1890:K1890"/>
    <mergeCell ref="O1890:P1890"/>
    <mergeCell ref="H1891:I1891"/>
    <mergeCell ref="J1891:K1891"/>
    <mergeCell ref="O1891:P1891"/>
    <mergeCell ref="H1892:I1892"/>
    <mergeCell ref="J1892:K1892"/>
    <mergeCell ref="O1892:P1892"/>
    <mergeCell ref="H1893:I1893"/>
    <mergeCell ref="J1893:K1893"/>
    <mergeCell ref="O1893:P1893"/>
    <mergeCell ref="H1894:I1894"/>
    <mergeCell ref="J1894:K1894"/>
    <mergeCell ref="O1894:P1894"/>
    <mergeCell ref="H1895:I1895"/>
    <mergeCell ref="J1895:K1895"/>
    <mergeCell ref="O1895:P1895"/>
    <mergeCell ref="H1896:I1896"/>
    <mergeCell ref="J1896:K1896"/>
    <mergeCell ref="O1896:P1896"/>
    <mergeCell ref="H1897:I1897"/>
    <mergeCell ref="J1897:K1897"/>
    <mergeCell ref="O1897:P1897"/>
    <mergeCell ref="H1898:I1898"/>
    <mergeCell ref="J1898:K1898"/>
    <mergeCell ref="O1898:P1898"/>
    <mergeCell ref="H1899:I1899"/>
    <mergeCell ref="J1899:K1899"/>
    <mergeCell ref="O1899:P1899"/>
    <mergeCell ref="H1900:I1900"/>
    <mergeCell ref="J1900:K1900"/>
    <mergeCell ref="O1900:P1900"/>
    <mergeCell ref="H1901:I1901"/>
    <mergeCell ref="J1901:K1901"/>
    <mergeCell ref="O1901:P1901"/>
    <mergeCell ref="H1902:I1902"/>
    <mergeCell ref="J1902:K1902"/>
    <mergeCell ref="O1902:P1902"/>
    <mergeCell ref="D1903:D1904"/>
    <mergeCell ref="H1903:I1903"/>
    <mergeCell ref="J1903:K1903"/>
    <mergeCell ref="O1903:P1903"/>
    <mergeCell ref="H1904:I1904"/>
    <mergeCell ref="J1904:K1904"/>
    <mergeCell ref="O1904:P1904"/>
    <mergeCell ref="H1905:I1905"/>
    <mergeCell ref="J1905:K1905"/>
    <mergeCell ref="O1905:P1905"/>
    <mergeCell ref="H1906:I1906"/>
    <mergeCell ref="J1906:K1906"/>
    <mergeCell ref="O1906:P1906"/>
    <mergeCell ref="H1907:I1907"/>
    <mergeCell ref="J1907:K1907"/>
    <mergeCell ref="O1907:P1907"/>
    <mergeCell ref="D1908:D1909"/>
    <mergeCell ref="H1908:I1908"/>
    <mergeCell ref="J1908:K1908"/>
    <mergeCell ref="O1908:P1908"/>
    <mergeCell ref="H1909:I1909"/>
    <mergeCell ref="J1909:K1909"/>
    <mergeCell ref="O1909:P1909"/>
    <mergeCell ref="D1910:D1911"/>
    <mergeCell ref="H1910:I1910"/>
    <mergeCell ref="J1910:K1910"/>
    <mergeCell ref="O1910:P1910"/>
    <mergeCell ref="H1911:I1911"/>
    <mergeCell ref="J1911:K1911"/>
    <mergeCell ref="O1911:P1911"/>
    <mergeCell ref="H1912:I1912"/>
    <mergeCell ref="J1912:K1912"/>
    <mergeCell ref="O1912:P1912"/>
    <mergeCell ref="H1913:I1913"/>
    <mergeCell ref="J1913:K1913"/>
    <mergeCell ref="O1913:P1913"/>
    <mergeCell ref="H1914:I1914"/>
    <mergeCell ref="J1914:K1914"/>
    <mergeCell ref="O1914:P1914"/>
    <mergeCell ref="H1915:I1915"/>
    <mergeCell ref="J1915:K1915"/>
    <mergeCell ref="O1915:P1915"/>
    <mergeCell ref="H1916:I1916"/>
    <mergeCell ref="J1916:K1916"/>
    <mergeCell ref="O1916:P1916"/>
    <mergeCell ref="H1917:I1917"/>
    <mergeCell ref="J1917:K1917"/>
    <mergeCell ref="O1917:P1917"/>
    <mergeCell ref="H1918:I1918"/>
    <mergeCell ref="J1918:K1918"/>
    <mergeCell ref="O1918:P1918"/>
    <mergeCell ref="H1919:I1919"/>
    <mergeCell ref="J1919:K1919"/>
    <mergeCell ref="O1919:P1919"/>
    <mergeCell ref="H1920:I1920"/>
    <mergeCell ref="J1920:K1920"/>
    <mergeCell ref="O1920:P1920"/>
    <mergeCell ref="D1921:D1923"/>
    <mergeCell ref="H1921:I1921"/>
    <mergeCell ref="J1921:K1921"/>
    <mergeCell ref="O1921:P1921"/>
    <mergeCell ref="H1922:I1922"/>
    <mergeCell ref="J1922:K1922"/>
    <mergeCell ref="O1922:P1922"/>
    <mergeCell ref="H1923:I1923"/>
    <mergeCell ref="J1923:K1923"/>
    <mergeCell ref="O1923:P1923"/>
    <mergeCell ref="H1924:I1924"/>
    <mergeCell ref="J1924:K1924"/>
    <mergeCell ref="O1924:P1924"/>
    <mergeCell ref="H1925:I1925"/>
    <mergeCell ref="J1925:K1925"/>
    <mergeCell ref="O1925:P1925"/>
    <mergeCell ref="H1926:I1926"/>
    <mergeCell ref="J1926:K1926"/>
    <mergeCell ref="O1926:P1926"/>
    <mergeCell ref="H1927:I1927"/>
    <mergeCell ref="J1927:K1927"/>
    <mergeCell ref="O1927:P1927"/>
    <mergeCell ref="H1928:I1928"/>
    <mergeCell ref="J1928:K1928"/>
    <mergeCell ref="O1928:P1928"/>
    <mergeCell ref="H1929:I1929"/>
    <mergeCell ref="J1929:K1929"/>
    <mergeCell ref="O1929:P1929"/>
    <mergeCell ref="H1930:I1930"/>
    <mergeCell ref="J1930:K1930"/>
    <mergeCell ref="O1930:P1930"/>
    <mergeCell ref="D1931:D1933"/>
    <mergeCell ref="H1931:I1931"/>
    <mergeCell ref="J1931:K1931"/>
    <mergeCell ref="O1931:P1931"/>
    <mergeCell ref="H1932:I1932"/>
    <mergeCell ref="J1932:K1932"/>
    <mergeCell ref="O1932:P1932"/>
    <mergeCell ref="H1933:I1933"/>
    <mergeCell ref="J1933:K1933"/>
    <mergeCell ref="O1933:P1933"/>
    <mergeCell ref="D1934:D1935"/>
    <mergeCell ref="H1934:I1934"/>
    <mergeCell ref="J1934:K1934"/>
    <mergeCell ref="O1934:P1934"/>
    <mergeCell ref="H1935:I1935"/>
    <mergeCell ref="J1935:K1935"/>
    <mergeCell ref="O1935:P1935"/>
    <mergeCell ref="H1936:I1936"/>
    <mergeCell ref="J1936:K1936"/>
    <mergeCell ref="O1936:P1936"/>
    <mergeCell ref="D1937:D1941"/>
    <mergeCell ref="H1937:I1937"/>
    <mergeCell ref="J1937:K1937"/>
    <mergeCell ref="O1937:P1937"/>
    <mergeCell ref="H1938:I1938"/>
    <mergeCell ref="J1938:K1938"/>
    <mergeCell ref="O1938:P1938"/>
    <mergeCell ref="H1939:I1939"/>
    <mergeCell ref="J1939:K1939"/>
    <mergeCell ref="O1939:P1939"/>
    <mergeCell ref="H1940:I1940"/>
    <mergeCell ref="J1940:K1940"/>
    <mergeCell ref="O1940:P1940"/>
    <mergeCell ref="H1941:I1941"/>
    <mergeCell ref="J1941:K1941"/>
    <mergeCell ref="O1941:P1941"/>
    <mergeCell ref="H1942:I1942"/>
    <mergeCell ref="J1942:K1942"/>
    <mergeCell ref="O1942:P1942"/>
    <mergeCell ref="H1943:I1943"/>
    <mergeCell ref="J1943:K1943"/>
    <mergeCell ref="O1943:P1943"/>
    <mergeCell ref="H1944:I1944"/>
    <mergeCell ref="J1944:K1944"/>
    <mergeCell ref="O1944:P1944"/>
    <mergeCell ref="H1945:I1945"/>
    <mergeCell ref="J1945:K1945"/>
    <mergeCell ref="O1945:P1945"/>
    <mergeCell ref="D1946:D1947"/>
    <mergeCell ref="E1946:E1947"/>
    <mergeCell ref="F1946:F1947"/>
    <mergeCell ref="G1946:G1947"/>
    <mergeCell ref="H1946:I1946"/>
    <mergeCell ref="J1946:K1946"/>
    <mergeCell ref="O1946:P1946"/>
    <mergeCell ref="H1947:I1947"/>
    <mergeCell ref="J1947:K1947"/>
    <mergeCell ref="O1947:P1947"/>
    <mergeCell ref="H1948:I1948"/>
    <mergeCell ref="J1948:K1948"/>
    <mergeCell ref="O1948:P1948"/>
    <mergeCell ref="H1949:I1949"/>
    <mergeCell ref="J1949:K1949"/>
    <mergeCell ref="O1949:P1949"/>
    <mergeCell ref="D1950:D1956"/>
    <mergeCell ref="H1950:I1950"/>
    <mergeCell ref="J1950:K1950"/>
    <mergeCell ref="O1950:P1950"/>
    <mergeCell ref="H1951:I1951"/>
    <mergeCell ref="J1951:K1951"/>
    <mergeCell ref="O1951:P1951"/>
    <mergeCell ref="H1952:I1952"/>
    <mergeCell ref="J1952:K1952"/>
    <mergeCell ref="O1952:P1952"/>
    <mergeCell ref="H1953:I1953"/>
    <mergeCell ref="J1953:K1953"/>
    <mergeCell ref="O1953:P1953"/>
    <mergeCell ref="H1954:I1954"/>
    <mergeCell ref="J1954:K1954"/>
    <mergeCell ref="O1954:P1954"/>
    <mergeCell ref="H1955:I1955"/>
    <mergeCell ref="J1955:K1955"/>
    <mergeCell ref="O1955:P1955"/>
    <mergeCell ref="H1956:I1956"/>
    <mergeCell ref="J1956:K1956"/>
    <mergeCell ref="O1956:P1956"/>
    <mergeCell ref="H1957:I1957"/>
    <mergeCell ref="J1957:K1957"/>
    <mergeCell ref="O1957:P1957"/>
    <mergeCell ref="H1958:I1958"/>
    <mergeCell ref="J1958:K1958"/>
    <mergeCell ref="O1958:P1958"/>
    <mergeCell ref="D1959:D1960"/>
    <mergeCell ref="H1959:I1959"/>
    <mergeCell ref="J1959:K1959"/>
    <mergeCell ref="O1959:P1959"/>
    <mergeCell ref="H1960:I1960"/>
    <mergeCell ref="J1960:K1960"/>
    <mergeCell ref="O1960:P1960"/>
    <mergeCell ref="H1961:I1961"/>
    <mergeCell ref="J1961:K1961"/>
    <mergeCell ref="O1961:P1961"/>
    <mergeCell ref="H1962:I1962"/>
    <mergeCell ref="J1962:K1962"/>
    <mergeCell ref="O1962:P1962"/>
    <mergeCell ref="H1963:I1963"/>
    <mergeCell ref="J1963:K1963"/>
    <mergeCell ref="O1963:P1963"/>
    <mergeCell ref="H1964:I1964"/>
    <mergeCell ref="J1964:K1964"/>
    <mergeCell ref="O1964:P1964"/>
    <mergeCell ref="C1965:C1998"/>
    <mergeCell ref="H1965:I1965"/>
    <mergeCell ref="J1965:K1965"/>
    <mergeCell ref="O1965:P1965"/>
    <mergeCell ref="H1966:I1966"/>
    <mergeCell ref="J1966:K1966"/>
    <mergeCell ref="O1966:P1966"/>
    <mergeCell ref="H1967:I1967"/>
    <mergeCell ref="J1967:K1967"/>
    <mergeCell ref="O1967:P1967"/>
    <mergeCell ref="H1968:I1968"/>
    <mergeCell ref="J1968:K1968"/>
    <mergeCell ref="O1968:P1968"/>
    <mergeCell ref="H1969:I1969"/>
    <mergeCell ref="J1969:K1969"/>
    <mergeCell ref="O1969:P1969"/>
    <mergeCell ref="D1970:D1971"/>
    <mergeCell ref="E1970:E1971"/>
    <mergeCell ref="F1970:F1971"/>
    <mergeCell ref="G1970:G1971"/>
    <mergeCell ref="H1970:I1970"/>
    <mergeCell ref="J1970:K1970"/>
    <mergeCell ref="O1970:P1970"/>
    <mergeCell ref="H1971:I1971"/>
    <mergeCell ref="J1971:K1971"/>
    <mergeCell ref="O1971:P1971"/>
    <mergeCell ref="H1972:I1972"/>
    <mergeCell ref="J1972:K1972"/>
    <mergeCell ref="O1972:P1972"/>
    <mergeCell ref="H1973:I1973"/>
    <mergeCell ref="J1973:K1973"/>
    <mergeCell ref="O1973:P1973"/>
    <mergeCell ref="H1974:I1974"/>
    <mergeCell ref="J1974:K1974"/>
    <mergeCell ref="O1974:P1974"/>
    <mergeCell ref="H1975:I1975"/>
    <mergeCell ref="J1975:K1975"/>
    <mergeCell ref="O1975:P1975"/>
    <mergeCell ref="H1976:I1976"/>
    <mergeCell ref="J1976:K1976"/>
    <mergeCell ref="O1976:P1976"/>
    <mergeCell ref="H1977:I1977"/>
    <mergeCell ref="J1977:K1977"/>
    <mergeCell ref="O1977:P1977"/>
    <mergeCell ref="H1978:I1978"/>
    <mergeCell ref="J1978:K1978"/>
    <mergeCell ref="O1978:P1978"/>
    <mergeCell ref="H1979:I1979"/>
    <mergeCell ref="J1979:K1979"/>
    <mergeCell ref="O1979:P1979"/>
    <mergeCell ref="H1980:I1980"/>
    <mergeCell ref="J1980:K1980"/>
    <mergeCell ref="O1980:P1980"/>
    <mergeCell ref="H1981:I1981"/>
    <mergeCell ref="J1981:K1981"/>
    <mergeCell ref="O1981:P1981"/>
    <mergeCell ref="H1982:I1982"/>
    <mergeCell ref="J1982:K1982"/>
    <mergeCell ref="O1982:P1982"/>
    <mergeCell ref="H1983:I1983"/>
    <mergeCell ref="J1983:K1983"/>
    <mergeCell ref="O1983:P1983"/>
    <mergeCell ref="H1984:I1984"/>
    <mergeCell ref="J1984:K1984"/>
    <mergeCell ref="O1984:P1984"/>
    <mergeCell ref="H1985:I1985"/>
    <mergeCell ref="J1985:K1985"/>
    <mergeCell ref="O1985:P1985"/>
    <mergeCell ref="D1986:D1988"/>
    <mergeCell ref="H1986:I1986"/>
    <mergeCell ref="J1986:K1986"/>
    <mergeCell ref="O1986:P1986"/>
    <mergeCell ref="H1987:I1987"/>
    <mergeCell ref="J1987:K1987"/>
    <mergeCell ref="O1987:P1987"/>
    <mergeCell ref="H1988:I1988"/>
    <mergeCell ref="J1988:K1988"/>
    <mergeCell ref="O1988:P1988"/>
    <mergeCell ref="D1989:D1993"/>
    <mergeCell ref="H1989:I1989"/>
    <mergeCell ref="J1989:K1989"/>
    <mergeCell ref="O1989:P1989"/>
    <mergeCell ref="H1990:I1990"/>
    <mergeCell ref="J1990:K1990"/>
    <mergeCell ref="O1990:P1990"/>
    <mergeCell ref="H1991:I1991"/>
    <mergeCell ref="J1991:K1991"/>
    <mergeCell ref="O1991:P1991"/>
    <mergeCell ref="H1992:I1992"/>
    <mergeCell ref="J1992:K1992"/>
    <mergeCell ref="O1992:P1992"/>
    <mergeCell ref="H1993:I1993"/>
    <mergeCell ref="J1993:K1993"/>
    <mergeCell ref="O1993:P1993"/>
    <mergeCell ref="H2002:I2002"/>
    <mergeCell ref="J2002:K2002"/>
    <mergeCell ref="O2002:P2002"/>
    <mergeCell ref="B1999:B2001"/>
    <mergeCell ref="H1999:I1999"/>
    <mergeCell ref="J1999:K1999"/>
    <mergeCell ref="O1999:P1999"/>
    <mergeCell ref="C2000:C2001"/>
    <mergeCell ref="H2000:I2000"/>
    <mergeCell ref="H1994:I1994"/>
    <mergeCell ref="J1994:K1994"/>
    <mergeCell ref="O1994:P1994"/>
    <mergeCell ref="H1995:I1995"/>
    <mergeCell ref="J1995:K1995"/>
    <mergeCell ref="O1995:P1995"/>
    <mergeCell ref="H1996:I1996"/>
    <mergeCell ref="J1996:K1996"/>
    <mergeCell ref="O1996:P1996"/>
    <mergeCell ref="J2000:K2000"/>
    <mergeCell ref="O2000:P2000"/>
    <mergeCell ref="H2001:I2001"/>
    <mergeCell ref="J2001:K2001"/>
    <mergeCell ref="H1997:I1997"/>
    <mergeCell ref="J1997:K1997"/>
    <mergeCell ref="O1997:P1997"/>
    <mergeCell ref="H1998:I1998"/>
    <mergeCell ref="J1998:K1998"/>
    <mergeCell ref="O1998:P1998"/>
    <mergeCell ref="O2001:P2001"/>
  </mergeCells>
  <phoneticPr fontId="0" type="noConversion"/>
  <pageMargins left="0.25" right="0.25" top="0.25" bottom="0.54167007874015749" header="0.25" footer="0.25"/>
  <pageSetup paperSize="9" orientation="portrait" horizontalDpi="0" verticalDpi="0"/>
  <headerFooter alignWithMargins="0">
    <oddFooter>&amp;L&amp;"Arial"&amp;8&amp;BPage &amp;P of &amp;N&amp;B &amp;C&amp;"Arial"&amp;8&amp;B09/07/2026 6:06:57 PM&amp;B 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3C68-E172-42A4-8DBD-54AE67B0AF26}">
  <sheetPr filterMode="1"/>
  <dimension ref="A1:AW1991"/>
  <sheetViews>
    <sheetView showGridLines="0" topLeftCell="D1" workbookViewId="0">
      <pane ySplit="1" topLeftCell="A2" activePane="bottomLeft" state="frozenSplit"/>
      <selection pane="bottomLeft" activeCell="AE10" sqref="AE10"/>
    </sheetView>
  </sheetViews>
  <sheetFormatPr defaultRowHeight="12.5" x14ac:dyDescent="0.25"/>
  <cols>
    <col min="1" max="1" width="14.453125" bestFit="1" customWidth="1"/>
    <col min="2" max="2" width="14.54296875" style="9" bestFit="1" customWidth="1"/>
    <col min="3" max="3" width="21.81640625" bestFit="1" customWidth="1"/>
    <col min="4" max="4" width="12.7265625" bestFit="1" customWidth="1"/>
    <col min="5" max="5" width="14.36328125" bestFit="1" customWidth="1"/>
    <col min="6" max="6" width="17.1796875" bestFit="1" customWidth="1"/>
    <col min="7" max="7" width="10.08984375" bestFit="1" customWidth="1"/>
    <col min="8" max="8" width="16.90625" bestFit="1" customWidth="1"/>
    <col min="9" max="9" width="16.453125" bestFit="1" customWidth="1"/>
    <col min="10" max="10" width="12.08984375" bestFit="1" customWidth="1"/>
    <col min="11" max="11" width="17.54296875" bestFit="1" customWidth="1"/>
    <col min="12" max="12" width="18" bestFit="1" customWidth="1"/>
    <col min="13" max="13" width="13.54296875" bestFit="1" customWidth="1"/>
    <col min="14" max="14" width="12.453125" bestFit="1" customWidth="1"/>
    <col min="15" max="15" width="19" bestFit="1" customWidth="1"/>
    <col min="16" max="16" width="20.90625" bestFit="1" customWidth="1"/>
    <col min="17" max="17" width="16.453125" bestFit="1" customWidth="1"/>
    <col min="18" max="18" width="22" bestFit="1" customWidth="1"/>
    <col min="19" max="19" width="19.1796875" bestFit="1" customWidth="1"/>
    <col min="20" max="20" width="21.6328125" bestFit="1" customWidth="1"/>
    <col min="21" max="21" width="27.08984375" bestFit="1" customWidth="1"/>
    <col min="22" max="22" width="20.7265625" bestFit="1" customWidth="1"/>
    <col min="23" max="23" width="23.1796875" bestFit="1" customWidth="1"/>
    <col min="24" max="24" width="28.6328125" bestFit="1" customWidth="1"/>
    <col min="25" max="25" width="15.7265625" bestFit="1" customWidth="1"/>
    <col min="26" max="26" width="14.08984375" bestFit="1" customWidth="1"/>
    <col min="27" max="27" width="16.7265625" bestFit="1" customWidth="1"/>
    <col min="28" max="28" width="8.7265625" bestFit="1" customWidth="1"/>
    <col min="29" max="29" width="9.6328125" bestFit="1" customWidth="1"/>
    <col min="30" max="30" width="11.08984375" bestFit="1" customWidth="1"/>
    <col min="31" max="31" width="10.36328125" bestFit="1" customWidth="1"/>
    <col min="32" max="32" width="12.08984375" bestFit="1" customWidth="1"/>
    <col min="33" max="33" width="11.26953125" bestFit="1" customWidth="1"/>
    <col min="34" max="34" width="6.36328125" bestFit="1" customWidth="1"/>
    <col min="35" max="35" width="1.90625" bestFit="1" customWidth="1"/>
    <col min="41" max="43" width="5.1796875" bestFit="1" customWidth="1"/>
    <col min="44" max="44" width="6.6328125" bestFit="1" customWidth="1"/>
    <col min="45" max="45" width="5.1796875" bestFit="1" customWidth="1"/>
    <col min="46" max="46" width="6.36328125" bestFit="1" customWidth="1"/>
    <col min="47" max="47" width="1.81640625" bestFit="1" customWidth="1"/>
    <col min="48" max="48" width="5.1796875" bestFit="1" customWidth="1"/>
    <col min="49" max="49" width="4.81640625" bestFit="1" customWidth="1"/>
  </cols>
  <sheetData>
    <row r="1" spans="1:49" s="20" customFormat="1" x14ac:dyDescent="0.25">
      <c r="A1" s="14" t="s">
        <v>4</v>
      </c>
      <c r="B1" s="15" t="s">
        <v>5</v>
      </c>
      <c r="C1" s="14" t="s">
        <v>6</v>
      </c>
      <c r="D1" s="16" t="s">
        <v>7</v>
      </c>
      <c r="E1" s="14" t="s">
        <v>8</v>
      </c>
      <c r="F1" s="14" t="s">
        <v>9</v>
      </c>
      <c r="G1" s="17" t="s">
        <v>3135</v>
      </c>
      <c r="H1" s="14" t="s">
        <v>10</v>
      </c>
      <c r="I1" s="14" t="s">
        <v>11</v>
      </c>
      <c r="J1" s="14" t="s">
        <v>12</v>
      </c>
      <c r="K1" s="14" t="s">
        <v>13</v>
      </c>
      <c r="L1" s="14" t="s">
        <v>14</v>
      </c>
      <c r="M1" s="14" t="s">
        <v>15</v>
      </c>
      <c r="N1" s="18" t="s">
        <v>3141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8" t="s">
        <v>3136</v>
      </c>
      <c r="AE1" s="18" t="s">
        <v>3137</v>
      </c>
      <c r="AF1" s="18" t="s">
        <v>3138</v>
      </c>
      <c r="AG1" s="18" t="s">
        <v>3139</v>
      </c>
      <c r="AH1" s="19"/>
    </row>
    <row r="2" spans="1:49" ht="12.5" customHeight="1" x14ac:dyDescent="0.25">
      <c r="A2" s="8" t="s">
        <v>31</v>
      </c>
      <c r="B2" s="9">
        <v>46174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3146</v>
      </c>
      <c r="H2" s="8" t="s">
        <v>36</v>
      </c>
      <c r="I2" s="11">
        <v>84.87</v>
      </c>
      <c r="J2" s="6">
        <v>77.825789999999998</v>
      </c>
      <c r="K2" s="6">
        <v>0.91699999999999993</v>
      </c>
      <c r="L2" s="6">
        <v>84.87</v>
      </c>
      <c r="M2" s="11">
        <v>77.825789999999998</v>
      </c>
      <c r="N2" s="11">
        <f>ROUNDUP(M2,3)</f>
        <v>77.826000000000008</v>
      </c>
      <c r="O2" s="6">
        <v>0.91699999999999993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22" t="s">
        <v>3140</v>
      </c>
      <c r="AE2" s="23">
        <f>_xlfn.MINIFS(N:N,D:D,D2)</f>
        <v>77.826000000000008</v>
      </c>
      <c r="AF2" s="24">
        <f>N2-AE2</f>
        <v>0</v>
      </c>
      <c r="AG2" s="23">
        <f>COUNTIF(D:D,D2)</f>
        <v>3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2.75</v>
      </c>
      <c r="AP2" s="21">
        <v>2.0625</v>
      </c>
      <c r="AQ2" s="21">
        <v>0.75</v>
      </c>
      <c r="AR2" s="21">
        <v>-2.75</v>
      </c>
      <c r="AS2" s="21">
        <v>2.75</v>
      </c>
      <c r="AT2" s="22" t="s">
        <v>3140</v>
      </c>
      <c r="AU2" s="23">
        <f>_xlfn.MINIFS(AD:AD,T:T,T2)</f>
        <v>0</v>
      </c>
      <c r="AV2" s="24" t="e">
        <f>AD2-AU2</f>
        <v>#VALUE!</v>
      </c>
      <c r="AW2" s="23">
        <f>COUNTIF(T:T,T2)</f>
        <v>1988</v>
      </c>
    </row>
    <row r="3" spans="1:49" ht="12.5" customHeight="1" x14ac:dyDescent="0.25">
      <c r="A3" s="12" t="s">
        <v>31</v>
      </c>
      <c r="B3" s="9">
        <v>46174</v>
      </c>
      <c r="C3" s="10" t="s">
        <v>37</v>
      </c>
      <c r="D3" s="10" t="s">
        <v>38</v>
      </c>
      <c r="E3" s="10" t="s">
        <v>34</v>
      </c>
      <c r="F3" s="10" t="s">
        <v>35</v>
      </c>
      <c r="G3" s="10" t="s">
        <v>3146</v>
      </c>
      <c r="H3" s="8" t="s">
        <v>36</v>
      </c>
      <c r="I3" s="11">
        <v>20.126000000000001</v>
      </c>
      <c r="J3" s="6">
        <v>18.455542000000001</v>
      </c>
      <c r="K3" s="6">
        <v>0.91700000000000004</v>
      </c>
      <c r="L3" s="6">
        <v>20.126000000000001</v>
      </c>
      <c r="M3" s="11">
        <v>18.455542000000001</v>
      </c>
      <c r="N3" s="11">
        <f t="shared" ref="N3:N66" si="0">ROUNDUP(M3,3)</f>
        <v>18.456</v>
      </c>
      <c r="O3" s="6">
        <v>0.91700000000000004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22" t="s">
        <v>3140</v>
      </c>
      <c r="AE3" s="23">
        <f>_xlfn.MINIFS(N:N,D:D,D3)</f>
        <v>18.456</v>
      </c>
      <c r="AF3" s="24">
        <f t="shared" ref="AF3:AF66" si="1">N3-AE3</f>
        <v>0</v>
      </c>
      <c r="AG3" s="23">
        <f t="shared" ref="AG3:AG66" si="2">COUNTIF(D:D,D3)</f>
        <v>3</v>
      </c>
      <c r="AH3" s="22" t="s">
        <v>3140</v>
      </c>
    </row>
    <row r="4" spans="1:49" ht="12.5" hidden="1" customHeight="1" x14ac:dyDescent="0.25">
      <c r="A4" s="12" t="s">
        <v>31</v>
      </c>
      <c r="B4" s="9">
        <v>46174</v>
      </c>
      <c r="C4" s="10" t="s">
        <v>39</v>
      </c>
      <c r="D4" s="10" t="s">
        <v>40</v>
      </c>
      <c r="E4" s="10" t="s">
        <v>34</v>
      </c>
      <c r="F4" s="10" t="s">
        <v>35</v>
      </c>
      <c r="G4" s="10" t="s">
        <v>3145</v>
      </c>
      <c r="H4" s="8" t="s">
        <v>41</v>
      </c>
      <c r="I4" s="11">
        <v>95.38</v>
      </c>
      <c r="J4" s="6">
        <v>71.534999999999997</v>
      </c>
      <c r="K4" s="6">
        <v>0.75</v>
      </c>
      <c r="L4" s="6">
        <v>94.92</v>
      </c>
      <c r="M4" s="11">
        <v>71.19</v>
      </c>
      <c r="N4" s="11">
        <f t="shared" si="0"/>
        <v>71.19</v>
      </c>
      <c r="O4" s="6">
        <v>0.75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0.46</v>
      </c>
      <c r="Z4" s="6">
        <v>0.34499999999999997</v>
      </c>
      <c r="AA4" s="6">
        <v>0.74999999999999989</v>
      </c>
      <c r="AB4" s="6">
        <v>-0.45999999999999375</v>
      </c>
      <c r="AC4" s="6">
        <v>0.45999999999999375</v>
      </c>
      <c r="AD4" s="22" t="s">
        <v>3140</v>
      </c>
      <c r="AE4" s="23">
        <f t="shared" ref="AE4:AE66" si="3">_xlfn.MINIFS(N:N,D:D,D4)</f>
        <v>71.19</v>
      </c>
      <c r="AF4" s="24">
        <f t="shared" si="1"/>
        <v>0</v>
      </c>
      <c r="AG4" s="23">
        <f t="shared" si="2"/>
        <v>1</v>
      </c>
    </row>
    <row r="5" spans="1:49" ht="12.5" hidden="1" customHeight="1" x14ac:dyDescent="0.25">
      <c r="A5" s="12" t="s">
        <v>31</v>
      </c>
      <c r="B5" s="9">
        <v>46174</v>
      </c>
      <c r="C5" s="10" t="s">
        <v>42</v>
      </c>
      <c r="D5" s="10" t="s">
        <v>43</v>
      </c>
      <c r="E5" s="10" t="s">
        <v>34</v>
      </c>
      <c r="F5" s="10" t="s">
        <v>35</v>
      </c>
      <c r="G5" s="10" t="s">
        <v>3145</v>
      </c>
      <c r="H5" s="8" t="s">
        <v>41</v>
      </c>
      <c r="I5" s="11">
        <v>37.64</v>
      </c>
      <c r="J5" s="6">
        <v>28.23</v>
      </c>
      <c r="K5" s="6">
        <v>0.75</v>
      </c>
      <c r="L5" s="6">
        <v>36.15</v>
      </c>
      <c r="M5" s="11">
        <v>27.112500000000001</v>
      </c>
      <c r="N5" s="11">
        <f t="shared" si="0"/>
        <v>27.113</v>
      </c>
      <c r="O5" s="6">
        <v>0.75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1.49</v>
      </c>
      <c r="Z5" s="6">
        <v>1.1174999999999999</v>
      </c>
      <c r="AA5" s="6">
        <v>0.75</v>
      </c>
      <c r="AB5" s="6">
        <v>-1.490000000000002</v>
      </c>
      <c r="AC5" s="6">
        <v>1.490000000000002</v>
      </c>
      <c r="AD5" s="22" t="s">
        <v>3140</v>
      </c>
      <c r="AE5" s="23">
        <f t="shared" si="3"/>
        <v>27.113</v>
      </c>
      <c r="AF5" s="24">
        <f t="shared" si="1"/>
        <v>0</v>
      </c>
      <c r="AG5" s="23">
        <f t="shared" si="2"/>
        <v>1</v>
      </c>
    </row>
    <row r="6" spans="1:49" ht="12.5" hidden="1" customHeight="1" x14ac:dyDescent="0.25">
      <c r="A6" s="12" t="s">
        <v>31</v>
      </c>
      <c r="B6" s="9">
        <v>46174</v>
      </c>
      <c r="C6" s="10" t="s">
        <v>44</v>
      </c>
      <c r="D6" s="10" t="s">
        <v>45</v>
      </c>
      <c r="E6" s="10" t="s">
        <v>34</v>
      </c>
      <c r="F6" s="10" t="s">
        <v>35</v>
      </c>
      <c r="G6" s="10" t="s">
        <v>3145</v>
      </c>
      <c r="H6" s="8" t="s">
        <v>41</v>
      </c>
      <c r="I6" s="11">
        <v>39.340000000000003</v>
      </c>
      <c r="J6" s="6">
        <v>29.504999999999999</v>
      </c>
      <c r="K6" s="6">
        <v>0.74999999999999989</v>
      </c>
      <c r="L6" s="6">
        <v>35.61</v>
      </c>
      <c r="M6" s="11">
        <v>26.7075</v>
      </c>
      <c r="N6" s="11">
        <f t="shared" si="0"/>
        <v>26.708000000000002</v>
      </c>
      <c r="O6" s="6">
        <v>0.75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3.73</v>
      </c>
      <c r="Z6" s="6">
        <v>2.7974999999999999</v>
      </c>
      <c r="AA6" s="6">
        <v>0.75</v>
      </c>
      <c r="AB6" s="6">
        <v>-3.730000000000004</v>
      </c>
      <c r="AC6" s="6">
        <v>3.730000000000004</v>
      </c>
      <c r="AD6" s="22" t="s">
        <v>3140</v>
      </c>
      <c r="AE6" s="23">
        <f t="shared" si="3"/>
        <v>26.708000000000002</v>
      </c>
      <c r="AF6" s="24">
        <f t="shared" si="1"/>
        <v>0</v>
      </c>
      <c r="AG6" s="23">
        <f t="shared" si="2"/>
        <v>1</v>
      </c>
    </row>
    <row r="7" spans="1:49" ht="12.5" hidden="1" customHeight="1" x14ac:dyDescent="0.25">
      <c r="A7" s="12" t="s">
        <v>31</v>
      </c>
      <c r="B7" s="9">
        <v>46174</v>
      </c>
      <c r="C7" s="10" t="s">
        <v>46</v>
      </c>
      <c r="D7" s="10" t="s">
        <v>47</v>
      </c>
      <c r="E7" s="10" t="s">
        <v>34</v>
      </c>
      <c r="F7" s="10" t="s">
        <v>35</v>
      </c>
      <c r="G7" s="10" t="s">
        <v>3145</v>
      </c>
      <c r="H7" s="8" t="s">
        <v>48</v>
      </c>
      <c r="I7" s="11">
        <v>23.33</v>
      </c>
      <c r="J7" s="6">
        <v>17.497499999999999</v>
      </c>
      <c r="K7" s="6">
        <v>0.75</v>
      </c>
      <c r="L7" s="6">
        <v>21.22</v>
      </c>
      <c r="M7" s="11">
        <v>15.914999999999999</v>
      </c>
      <c r="N7" s="11">
        <f t="shared" si="0"/>
        <v>15.914999999999999</v>
      </c>
      <c r="O7" s="6">
        <v>0.75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2.11</v>
      </c>
      <c r="Z7" s="6">
        <v>1.5825</v>
      </c>
      <c r="AA7" s="6">
        <v>0.75</v>
      </c>
      <c r="AB7" s="6">
        <v>-2.1099999999999994</v>
      </c>
      <c r="AC7" s="6">
        <v>2.1099999999999994</v>
      </c>
      <c r="AD7" s="22" t="s">
        <v>3140</v>
      </c>
      <c r="AE7" s="23">
        <f t="shared" si="3"/>
        <v>15.914999999999999</v>
      </c>
      <c r="AF7" s="24">
        <f t="shared" si="1"/>
        <v>0</v>
      </c>
      <c r="AG7" s="23">
        <f t="shared" si="2"/>
        <v>1</v>
      </c>
    </row>
    <row r="8" spans="1:49" ht="12.5" hidden="1" customHeight="1" x14ac:dyDescent="0.25">
      <c r="A8" s="12" t="s">
        <v>31</v>
      </c>
      <c r="B8" s="9">
        <v>46174</v>
      </c>
      <c r="C8" s="8" t="s">
        <v>49</v>
      </c>
      <c r="D8" s="10" t="s">
        <v>50</v>
      </c>
      <c r="E8" s="10" t="s">
        <v>51</v>
      </c>
      <c r="F8" s="10" t="s">
        <v>35</v>
      </c>
      <c r="G8" s="10" t="s">
        <v>3145</v>
      </c>
      <c r="H8" s="8" t="s">
        <v>48</v>
      </c>
      <c r="I8" s="11">
        <v>34.81</v>
      </c>
      <c r="J8" s="6">
        <v>26.107500000000002</v>
      </c>
      <c r="K8" s="6">
        <v>0.75</v>
      </c>
      <c r="L8" s="6">
        <v>34.81</v>
      </c>
      <c r="M8" s="11">
        <v>26.107500000000002</v>
      </c>
      <c r="N8" s="11">
        <f t="shared" si="0"/>
        <v>26.108000000000001</v>
      </c>
      <c r="O8" s="6">
        <v>0.75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23" t="s">
        <v>3143</v>
      </c>
      <c r="AE8" s="23">
        <f t="shared" si="3"/>
        <v>25.56</v>
      </c>
      <c r="AF8" s="24">
        <f t="shared" si="1"/>
        <v>0.54800000000000182</v>
      </c>
      <c r="AG8" s="23">
        <f t="shared" si="2"/>
        <v>3</v>
      </c>
    </row>
    <row r="9" spans="1:49" ht="12.5" customHeight="1" x14ac:dyDescent="0.25">
      <c r="A9" s="12" t="s">
        <v>31</v>
      </c>
      <c r="B9" s="9">
        <v>46174</v>
      </c>
      <c r="C9" s="8" t="s">
        <v>49</v>
      </c>
      <c r="D9" s="10" t="s">
        <v>52</v>
      </c>
      <c r="E9" s="10" t="s">
        <v>51</v>
      </c>
      <c r="F9" s="10" t="s">
        <v>35</v>
      </c>
      <c r="G9" s="10" t="s">
        <v>3146</v>
      </c>
      <c r="H9" s="8" t="s">
        <v>36</v>
      </c>
      <c r="I9" s="11">
        <v>28.38</v>
      </c>
      <c r="J9" s="6">
        <v>26.024460000000001</v>
      </c>
      <c r="K9" s="6">
        <v>0.91700000000000004</v>
      </c>
      <c r="L9" s="6">
        <v>28.38</v>
      </c>
      <c r="M9" s="11">
        <v>26.024460000000001</v>
      </c>
      <c r="N9" s="11">
        <f t="shared" si="0"/>
        <v>26.025000000000002</v>
      </c>
      <c r="O9" s="6">
        <v>0.91700000000000004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23" t="s">
        <v>3143</v>
      </c>
      <c r="AE9" s="23">
        <f t="shared" si="3"/>
        <v>25.053000000000001</v>
      </c>
      <c r="AF9" s="24">
        <f t="shared" si="1"/>
        <v>0.97200000000000131</v>
      </c>
      <c r="AG9" s="23">
        <f t="shared" si="2"/>
        <v>2</v>
      </c>
    </row>
    <row r="10" spans="1:49" ht="12.5" customHeight="1" x14ac:dyDescent="0.25">
      <c r="A10" s="12" t="s">
        <v>31</v>
      </c>
      <c r="B10" s="9">
        <v>46174</v>
      </c>
      <c r="C10" s="8" t="s">
        <v>49</v>
      </c>
      <c r="D10" s="10" t="s">
        <v>53</v>
      </c>
      <c r="E10" s="10" t="s">
        <v>51</v>
      </c>
      <c r="F10" s="10" t="s">
        <v>35</v>
      </c>
      <c r="G10" s="10" t="s">
        <v>3146</v>
      </c>
      <c r="H10" s="8" t="s">
        <v>36</v>
      </c>
      <c r="I10" s="11">
        <v>21.55</v>
      </c>
      <c r="J10" s="6">
        <v>19.76135</v>
      </c>
      <c r="K10" s="6">
        <v>0.91699999999999993</v>
      </c>
      <c r="L10" s="6">
        <v>21.55</v>
      </c>
      <c r="M10" s="11">
        <v>19.76135</v>
      </c>
      <c r="N10" s="11">
        <f t="shared" si="0"/>
        <v>19.762</v>
      </c>
      <c r="O10" s="6">
        <v>0.91699999999999993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22" t="s">
        <v>3140</v>
      </c>
      <c r="AE10" s="23">
        <f t="shared" si="3"/>
        <v>19.762</v>
      </c>
      <c r="AF10" s="24">
        <f t="shared" si="1"/>
        <v>0</v>
      </c>
      <c r="AG10" s="23">
        <f t="shared" si="2"/>
        <v>1</v>
      </c>
    </row>
    <row r="11" spans="1:49" ht="12.5" hidden="1" customHeight="1" x14ac:dyDescent="0.25">
      <c r="A11" s="12" t="s">
        <v>31</v>
      </c>
      <c r="B11" s="9">
        <v>46174</v>
      </c>
      <c r="C11" s="8" t="s">
        <v>49</v>
      </c>
      <c r="D11" s="10" t="s">
        <v>54</v>
      </c>
      <c r="E11" s="10" t="s">
        <v>51</v>
      </c>
      <c r="F11" s="10" t="s">
        <v>35</v>
      </c>
      <c r="G11" s="10" t="s">
        <v>3145</v>
      </c>
      <c r="H11" s="8" t="s">
        <v>48</v>
      </c>
      <c r="I11" s="11">
        <v>15.44</v>
      </c>
      <c r="J11" s="6">
        <v>11.58</v>
      </c>
      <c r="K11" s="6">
        <v>0.75</v>
      </c>
      <c r="L11" s="6">
        <v>15.44</v>
      </c>
      <c r="M11" s="11">
        <v>11.58</v>
      </c>
      <c r="N11" s="11">
        <f t="shared" si="0"/>
        <v>11.58</v>
      </c>
      <c r="O11" s="6">
        <v>0.75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23" t="s">
        <v>3143</v>
      </c>
      <c r="AE11" s="23">
        <f t="shared" si="3"/>
        <v>10.808</v>
      </c>
      <c r="AF11" s="24">
        <f t="shared" si="1"/>
        <v>0.77200000000000024</v>
      </c>
      <c r="AG11" s="23">
        <f t="shared" si="2"/>
        <v>4</v>
      </c>
    </row>
    <row r="12" spans="1:49" ht="12.5" hidden="1" customHeight="1" x14ac:dyDescent="0.25">
      <c r="A12" s="12" t="s">
        <v>31</v>
      </c>
      <c r="B12" s="9">
        <v>46174</v>
      </c>
      <c r="C12" s="8" t="s">
        <v>49</v>
      </c>
      <c r="D12" s="10" t="s">
        <v>55</v>
      </c>
      <c r="E12" s="10" t="s">
        <v>51</v>
      </c>
      <c r="F12" s="10" t="s">
        <v>35</v>
      </c>
      <c r="G12" s="10" t="s">
        <v>3145</v>
      </c>
      <c r="H12" s="8" t="s">
        <v>41</v>
      </c>
      <c r="I12" s="11">
        <v>10.5</v>
      </c>
      <c r="J12" s="6">
        <v>7.875</v>
      </c>
      <c r="K12" s="6">
        <v>0.75</v>
      </c>
      <c r="L12" s="6">
        <v>10.5</v>
      </c>
      <c r="M12" s="11">
        <v>7.875</v>
      </c>
      <c r="N12" s="11">
        <f t="shared" si="0"/>
        <v>7.875</v>
      </c>
      <c r="O12" s="6">
        <v>0.75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22" t="s">
        <v>3140</v>
      </c>
      <c r="AE12" s="23">
        <f t="shared" si="3"/>
        <v>7.875</v>
      </c>
      <c r="AF12" s="24">
        <f t="shared" si="1"/>
        <v>0</v>
      </c>
      <c r="AG12" s="23">
        <f t="shared" si="2"/>
        <v>2</v>
      </c>
    </row>
    <row r="13" spans="1:49" ht="12.5" hidden="1" customHeight="1" x14ac:dyDescent="0.25">
      <c r="A13" s="12" t="s">
        <v>31</v>
      </c>
      <c r="B13" s="9">
        <v>46174</v>
      </c>
      <c r="C13" s="8" t="s">
        <v>49</v>
      </c>
      <c r="D13" s="10" t="s">
        <v>56</v>
      </c>
      <c r="E13" s="10" t="s">
        <v>51</v>
      </c>
      <c r="F13" s="10" t="s">
        <v>35</v>
      </c>
      <c r="G13" s="10" t="s">
        <v>3145</v>
      </c>
      <c r="H13" s="8" t="s">
        <v>41</v>
      </c>
      <c r="I13" s="11">
        <v>12.38</v>
      </c>
      <c r="J13" s="6">
        <v>9.2850000000000001</v>
      </c>
      <c r="K13" s="6">
        <v>0.75</v>
      </c>
      <c r="L13" s="6">
        <v>12.38</v>
      </c>
      <c r="M13" s="11">
        <v>9.2850000000000001</v>
      </c>
      <c r="N13" s="11">
        <f t="shared" si="0"/>
        <v>9.2850000000000001</v>
      </c>
      <c r="O13" s="6">
        <v>0.75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22" t="s">
        <v>3140</v>
      </c>
      <c r="AE13" s="23">
        <f t="shared" si="3"/>
        <v>9.2850000000000001</v>
      </c>
      <c r="AF13" s="24">
        <f t="shared" si="1"/>
        <v>0</v>
      </c>
      <c r="AG13" s="23">
        <f t="shared" si="2"/>
        <v>2</v>
      </c>
    </row>
    <row r="14" spans="1:49" ht="12.5" customHeight="1" x14ac:dyDescent="0.25">
      <c r="A14" s="12" t="s">
        <v>31</v>
      </c>
      <c r="B14" s="9">
        <v>46174</v>
      </c>
      <c r="C14" s="8" t="s">
        <v>57</v>
      </c>
      <c r="D14" s="10" t="s">
        <v>58</v>
      </c>
      <c r="E14" s="10" t="s">
        <v>51</v>
      </c>
      <c r="F14" s="10" t="s">
        <v>35</v>
      </c>
      <c r="G14" s="10" t="s">
        <v>3146</v>
      </c>
      <c r="H14" s="8" t="s">
        <v>36</v>
      </c>
      <c r="I14" s="11">
        <v>3.13</v>
      </c>
      <c r="J14" s="6">
        <v>2.8702100000000002</v>
      </c>
      <c r="K14" s="6">
        <v>0.91700000000000004</v>
      </c>
      <c r="L14" s="6">
        <v>3.13</v>
      </c>
      <c r="M14" s="11">
        <v>2.8702100000000002</v>
      </c>
      <c r="N14" s="11">
        <f t="shared" si="0"/>
        <v>2.871</v>
      </c>
      <c r="O14" s="6">
        <v>0.91700000000000004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22" t="s">
        <v>3140</v>
      </c>
      <c r="AE14" s="23">
        <f t="shared" si="3"/>
        <v>2.871</v>
      </c>
      <c r="AF14" s="24">
        <f t="shared" si="1"/>
        <v>0</v>
      </c>
      <c r="AG14" s="23">
        <f t="shared" si="2"/>
        <v>4</v>
      </c>
    </row>
    <row r="15" spans="1:49" ht="12.5" hidden="1" customHeight="1" x14ac:dyDescent="0.25">
      <c r="A15" s="12" t="s">
        <v>31</v>
      </c>
      <c r="B15" s="9">
        <v>46174</v>
      </c>
      <c r="C15" s="12" t="s">
        <v>57</v>
      </c>
      <c r="D15" s="10" t="s">
        <v>59</v>
      </c>
      <c r="E15" s="10" t="s">
        <v>51</v>
      </c>
      <c r="F15" s="10" t="s">
        <v>35</v>
      </c>
      <c r="G15" s="10" t="s">
        <v>3145</v>
      </c>
      <c r="H15" s="8" t="s">
        <v>48</v>
      </c>
      <c r="I15" s="11">
        <v>14.49</v>
      </c>
      <c r="J15" s="6">
        <v>10.8675</v>
      </c>
      <c r="K15" s="6">
        <v>0.75</v>
      </c>
      <c r="L15" s="6">
        <v>14.49</v>
      </c>
      <c r="M15" s="11">
        <v>10.8675</v>
      </c>
      <c r="N15" s="11">
        <f t="shared" si="0"/>
        <v>10.868</v>
      </c>
      <c r="O15" s="6">
        <v>0.75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22" t="s">
        <v>3140</v>
      </c>
      <c r="AE15" s="23">
        <f t="shared" si="3"/>
        <v>10.868</v>
      </c>
      <c r="AF15" s="24">
        <f t="shared" si="1"/>
        <v>0</v>
      </c>
      <c r="AG15" s="23">
        <f t="shared" si="2"/>
        <v>1</v>
      </c>
    </row>
    <row r="16" spans="1:49" ht="12.5" customHeight="1" x14ac:dyDescent="0.25">
      <c r="A16" s="12" t="s">
        <v>31</v>
      </c>
      <c r="B16" s="9">
        <v>46174</v>
      </c>
      <c r="C16" s="12" t="s">
        <v>57</v>
      </c>
      <c r="D16" s="10" t="s">
        <v>60</v>
      </c>
      <c r="E16" s="10" t="s">
        <v>51</v>
      </c>
      <c r="F16" s="10" t="s">
        <v>35</v>
      </c>
      <c r="G16" s="10" t="s">
        <v>3146</v>
      </c>
      <c r="H16" s="8" t="s">
        <v>36</v>
      </c>
      <c r="I16" s="11">
        <v>14.06</v>
      </c>
      <c r="J16" s="6">
        <v>12.89302</v>
      </c>
      <c r="K16" s="6">
        <v>0.91699999999999993</v>
      </c>
      <c r="L16" s="6">
        <v>14.06</v>
      </c>
      <c r="M16" s="11">
        <v>12.89302</v>
      </c>
      <c r="N16" s="11">
        <f t="shared" si="0"/>
        <v>12.894</v>
      </c>
      <c r="O16" s="6">
        <v>0.91699999999999993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22" t="s">
        <v>3140</v>
      </c>
      <c r="AE16" s="23">
        <f t="shared" si="3"/>
        <v>12.894</v>
      </c>
      <c r="AF16" s="24">
        <f t="shared" si="1"/>
        <v>0</v>
      </c>
      <c r="AG16" s="23">
        <f t="shared" si="2"/>
        <v>1</v>
      </c>
    </row>
    <row r="17" spans="1:33" ht="12.5" customHeight="1" x14ac:dyDescent="0.25">
      <c r="A17" s="12" t="s">
        <v>31</v>
      </c>
      <c r="B17" s="9">
        <v>46174</v>
      </c>
      <c r="C17" s="12" t="s">
        <v>57</v>
      </c>
      <c r="D17" s="10" t="s">
        <v>61</v>
      </c>
      <c r="E17" s="10" t="s">
        <v>51</v>
      </c>
      <c r="F17" s="10" t="s">
        <v>35</v>
      </c>
      <c r="G17" s="10" t="s">
        <v>3146</v>
      </c>
      <c r="H17" s="8" t="s">
        <v>36</v>
      </c>
      <c r="I17" s="11">
        <v>8.44</v>
      </c>
      <c r="J17" s="6">
        <v>7.7394800000000004</v>
      </c>
      <c r="K17" s="6">
        <v>0.91700000000000015</v>
      </c>
      <c r="L17" s="6">
        <v>8.44</v>
      </c>
      <c r="M17" s="11">
        <v>7.7394800000000004</v>
      </c>
      <c r="N17" s="11">
        <f t="shared" si="0"/>
        <v>7.74</v>
      </c>
      <c r="O17" s="6">
        <v>0.91700000000000015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22" t="s">
        <v>3140</v>
      </c>
      <c r="AE17" s="23">
        <f t="shared" si="3"/>
        <v>7.74</v>
      </c>
      <c r="AF17" s="24">
        <f t="shared" si="1"/>
        <v>0</v>
      </c>
      <c r="AG17" s="23">
        <f t="shared" si="2"/>
        <v>1</v>
      </c>
    </row>
    <row r="18" spans="1:33" ht="12.5" customHeight="1" x14ac:dyDescent="0.25">
      <c r="A18" s="12" t="s">
        <v>31</v>
      </c>
      <c r="B18" s="9">
        <v>46174</v>
      </c>
      <c r="C18" s="12" t="s">
        <v>57</v>
      </c>
      <c r="D18" s="10" t="s">
        <v>62</v>
      </c>
      <c r="E18" s="10" t="s">
        <v>51</v>
      </c>
      <c r="F18" s="10" t="s">
        <v>35</v>
      </c>
      <c r="G18" s="10" t="s">
        <v>3146</v>
      </c>
      <c r="H18" s="8" t="s">
        <v>36</v>
      </c>
      <c r="I18" s="11">
        <v>16.73</v>
      </c>
      <c r="J18" s="6">
        <v>15.34141</v>
      </c>
      <c r="K18" s="6">
        <v>0.91699999999999993</v>
      </c>
      <c r="L18" s="6">
        <v>16.73</v>
      </c>
      <c r="M18" s="11">
        <v>15.34141</v>
      </c>
      <c r="N18" s="11">
        <f t="shared" si="0"/>
        <v>15.341999999999999</v>
      </c>
      <c r="O18" s="6">
        <v>0.91699999999999993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22" t="s">
        <v>3140</v>
      </c>
      <c r="AE18" s="23">
        <f t="shared" si="3"/>
        <v>15.341999999999999</v>
      </c>
      <c r="AF18" s="24">
        <f t="shared" si="1"/>
        <v>0</v>
      </c>
      <c r="AG18" s="23">
        <f t="shared" si="2"/>
        <v>1</v>
      </c>
    </row>
    <row r="19" spans="1:33" ht="12.5" hidden="1" customHeight="1" x14ac:dyDescent="0.25">
      <c r="A19" s="12" t="s">
        <v>31</v>
      </c>
      <c r="B19" s="9">
        <v>46174</v>
      </c>
      <c r="C19" s="12" t="s">
        <v>57</v>
      </c>
      <c r="D19" s="10" t="s">
        <v>63</v>
      </c>
      <c r="E19" s="10" t="s">
        <v>51</v>
      </c>
      <c r="F19" s="10" t="s">
        <v>35</v>
      </c>
      <c r="G19" s="10" t="s">
        <v>3145</v>
      </c>
      <c r="H19" s="8" t="s">
        <v>48</v>
      </c>
      <c r="I19" s="11">
        <v>6.9240000000000004</v>
      </c>
      <c r="J19" s="6">
        <v>5.1929999999999996</v>
      </c>
      <c r="K19" s="6">
        <v>0.74999999999999989</v>
      </c>
      <c r="L19" s="6">
        <v>6.9240000000000004</v>
      </c>
      <c r="M19" s="11">
        <v>5.1929999999999996</v>
      </c>
      <c r="N19" s="11">
        <f t="shared" si="0"/>
        <v>5.1929999999999996</v>
      </c>
      <c r="O19" s="6">
        <v>0.74999999999999989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22" t="s">
        <v>3140</v>
      </c>
      <c r="AE19" s="23">
        <f t="shared" si="3"/>
        <v>5.1929999999999996</v>
      </c>
      <c r="AF19" s="24">
        <f t="shared" si="1"/>
        <v>0</v>
      </c>
      <c r="AG19" s="23">
        <f t="shared" si="2"/>
        <v>1</v>
      </c>
    </row>
    <row r="20" spans="1:33" ht="12.5" hidden="1" customHeight="1" x14ac:dyDescent="0.25">
      <c r="A20" s="12" t="s">
        <v>31</v>
      </c>
      <c r="B20" s="9">
        <v>46174</v>
      </c>
      <c r="C20" s="12" t="s">
        <v>57</v>
      </c>
      <c r="D20" s="10" t="s">
        <v>64</v>
      </c>
      <c r="E20" s="10" t="s">
        <v>51</v>
      </c>
      <c r="F20" s="10" t="s">
        <v>35</v>
      </c>
      <c r="G20" s="10" t="s">
        <v>3145</v>
      </c>
      <c r="H20" s="8" t="s">
        <v>48</v>
      </c>
      <c r="I20" s="11">
        <v>5.819</v>
      </c>
      <c r="J20" s="6">
        <v>4.3642500000000002</v>
      </c>
      <c r="K20" s="6">
        <v>0.75</v>
      </c>
      <c r="L20" s="6">
        <v>5.819</v>
      </c>
      <c r="M20" s="11">
        <v>4.3642500000000002</v>
      </c>
      <c r="N20" s="11">
        <f t="shared" si="0"/>
        <v>4.3650000000000002</v>
      </c>
      <c r="O20" s="6">
        <v>0.75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23" t="s">
        <v>3143</v>
      </c>
      <c r="AE20" s="23">
        <f t="shared" si="3"/>
        <v>4.2370000000000001</v>
      </c>
      <c r="AF20" s="24">
        <f t="shared" si="1"/>
        <v>0.12800000000000011</v>
      </c>
      <c r="AG20" s="23">
        <f t="shared" si="2"/>
        <v>2</v>
      </c>
    </row>
    <row r="21" spans="1:33" ht="12.5" hidden="1" customHeight="1" x14ac:dyDescent="0.25">
      <c r="A21" s="12" t="s">
        <v>31</v>
      </c>
      <c r="B21" s="9">
        <v>46174</v>
      </c>
      <c r="C21" s="12" t="s">
        <v>57</v>
      </c>
      <c r="D21" s="10" t="s">
        <v>65</v>
      </c>
      <c r="E21" s="10" t="s">
        <v>51</v>
      </c>
      <c r="F21" s="10" t="s">
        <v>35</v>
      </c>
      <c r="G21" s="10" t="s">
        <v>3145</v>
      </c>
      <c r="H21" s="8" t="s">
        <v>48</v>
      </c>
      <c r="I21" s="11">
        <v>7.359</v>
      </c>
      <c r="J21" s="6">
        <v>5.5192500000000004</v>
      </c>
      <c r="K21" s="6">
        <v>0.75000000000000011</v>
      </c>
      <c r="L21" s="6">
        <v>7.359</v>
      </c>
      <c r="M21" s="11">
        <v>5.5192500000000004</v>
      </c>
      <c r="N21" s="11">
        <f t="shared" si="0"/>
        <v>5.5200000000000005</v>
      </c>
      <c r="O21" s="6">
        <v>0.75000000000000011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23" t="s">
        <v>3143</v>
      </c>
      <c r="AE21" s="23">
        <f t="shared" si="3"/>
        <v>5.3400000000000007</v>
      </c>
      <c r="AF21" s="24">
        <f t="shared" si="1"/>
        <v>0.17999999999999972</v>
      </c>
      <c r="AG21" s="23">
        <f t="shared" si="2"/>
        <v>2</v>
      </c>
    </row>
    <row r="22" spans="1:33" ht="12.5" hidden="1" customHeight="1" x14ac:dyDescent="0.25">
      <c r="A22" s="12" t="s">
        <v>31</v>
      </c>
      <c r="B22" s="9">
        <v>46174</v>
      </c>
      <c r="C22" s="12" t="s">
        <v>57</v>
      </c>
      <c r="D22" s="10" t="s">
        <v>66</v>
      </c>
      <c r="E22" s="10" t="s">
        <v>51</v>
      </c>
      <c r="F22" s="10" t="s">
        <v>35</v>
      </c>
      <c r="G22" s="10" t="s">
        <v>3145</v>
      </c>
      <c r="H22" s="8" t="s">
        <v>48</v>
      </c>
      <c r="I22" s="11">
        <v>5.63</v>
      </c>
      <c r="J22" s="6">
        <v>4.2225000000000001</v>
      </c>
      <c r="K22" s="6">
        <v>0.75</v>
      </c>
      <c r="L22" s="6">
        <v>5.63</v>
      </c>
      <c r="M22" s="11">
        <v>4.2225000000000001</v>
      </c>
      <c r="N22" s="11">
        <f t="shared" si="0"/>
        <v>4.2230000000000008</v>
      </c>
      <c r="O22" s="6">
        <v>0.75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23" t="s">
        <v>3143</v>
      </c>
      <c r="AE22" s="23">
        <f t="shared" si="3"/>
        <v>4.0199999999999996</v>
      </c>
      <c r="AF22" s="24">
        <f t="shared" si="1"/>
        <v>0.20300000000000118</v>
      </c>
      <c r="AG22" s="23">
        <f t="shared" si="2"/>
        <v>2</v>
      </c>
    </row>
    <row r="23" spans="1:33" ht="12.5" hidden="1" customHeight="1" x14ac:dyDescent="0.25">
      <c r="A23" s="12" t="s">
        <v>31</v>
      </c>
      <c r="B23" s="9">
        <v>46174</v>
      </c>
      <c r="C23" s="13" t="s">
        <v>57</v>
      </c>
      <c r="D23" s="10" t="s">
        <v>67</v>
      </c>
      <c r="E23" s="10" t="s">
        <v>51</v>
      </c>
      <c r="F23" s="10" t="s">
        <v>35</v>
      </c>
      <c r="G23" s="10" t="s">
        <v>3145</v>
      </c>
      <c r="H23" s="8" t="s">
        <v>48</v>
      </c>
      <c r="I23" s="11">
        <v>6.1580000000000004</v>
      </c>
      <c r="J23" s="6">
        <v>4.6185</v>
      </c>
      <c r="K23" s="6">
        <v>0.75</v>
      </c>
      <c r="L23" s="6">
        <v>6.1580000000000004</v>
      </c>
      <c r="M23" s="11">
        <v>4.6185</v>
      </c>
      <c r="N23" s="11">
        <f t="shared" si="0"/>
        <v>4.6190000000000007</v>
      </c>
      <c r="O23" s="6">
        <v>0.75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23" t="s">
        <v>3143</v>
      </c>
      <c r="AE23" s="23">
        <f t="shared" si="3"/>
        <v>4.3559999999999999</v>
      </c>
      <c r="AF23" s="24">
        <f t="shared" si="1"/>
        <v>0.26300000000000079</v>
      </c>
      <c r="AG23" s="23">
        <f t="shared" si="2"/>
        <v>2</v>
      </c>
    </row>
    <row r="24" spans="1:33" hidden="1" x14ac:dyDescent="0.25">
      <c r="A24" s="12" t="s">
        <v>31</v>
      </c>
      <c r="B24" s="9">
        <v>46174</v>
      </c>
      <c r="C24" s="10" t="s">
        <v>68</v>
      </c>
      <c r="D24" s="10" t="s">
        <v>69</v>
      </c>
      <c r="E24" s="10" t="s">
        <v>51</v>
      </c>
      <c r="F24" s="10" t="s">
        <v>35</v>
      </c>
      <c r="G24" s="10" t="s">
        <v>3145</v>
      </c>
      <c r="H24" s="8" t="s">
        <v>41</v>
      </c>
      <c r="I24" s="11">
        <v>13.86</v>
      </c>
      <c r="J24" s="6">
        <v>10.395</v>
      </c>
      <c r="K24" s="6">
        <v>0.75</v>
      </c>
      <c r="L24" s="6">
        <v>13.05</v>
      </c>
      <c r="M24" s="11">
        <v>9.7874999999999996</v>
      </c>
      <c r="N24" s="11">
        <f t="shared" si="0"/>
        <v>9.7880000000000003</v>
      </c>
      <c r="O24" s="6">
        <v>0.74999999999999989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0.81</v>
      </c>
      <c r="Z24" s="6">
        <v>0.60750000000000004</v>
      </c>
      <c r="AA24" s="6">
        <v>0.75</v>
      </c>
      <c r="AB24" s="6">
        <v>-0.80999999999999872</v>
      </c>
      <c r="AC24" s="6">
        <v>0.80999999999999872</v>
      </c>
      <c r="AD24" s="22" t="s">
        <v>3140</v>
      </c>
      <c r="AE24" s="23">
        <f t="shared" si="3"/>
        <v>9.7880000000000003</v>
      </c>
      <c r="AF24" s="24">
        <f t="shared" si="1"/>
        <v>0</v>
      </c>
      <c r="AG24" s="23">
        <f t="shared" si="2"/>
        <v>1</v>
      </c>
    </row>
    <row r="25" spans="1:33" ht="12.5" customHeight="1" x14ac:dyDescent="0.25">
      <c r="A25" s="12" t="s">
        <v>31</v>
      </c>
      <c r="B25" s="9">
        <v>46174</v>
      </c>
      <c r="C25" s="8" t="s">
        <v>70</v>
      </c>
      <c r="D25" s="10" t="s">
        <v>71</v>
      </c>
      <c r="E25" s="10" t="s">
        <v>51</v>
      </c>
      <c r="F25" s="10" t="s">
        <v>35</v>
      </c>
      <c r="G25" s="10" t="s">
        <v>3146</v>
      </c>
      <c r="H25" s="8" t="s">
        <v>36</v>
      </c>
      <c r="I25" s="11">
        <v>40.54</v>
      </c>
      <c r="J25" s="6">
        <v>37.175179999999997</v>
      </c>
      <c r="K25" s="6">
        <v>0.91699999999999993</v>
      </c>
      <c r="L25" s="6">
        <v>40.5</v>
      </c>
      <c r="M25" s="11">
        <v>37.138500000000001</v>
      </c>
      <c r="N25" s="11">
        <f t="shared" si="0"/>
        <v>37.138999999999996</v>
      </c>
      <c r="O25" s="6">
        <v>0.91700000000000004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0.04</v>
      </c>
      <c r="Z25" s="6">
        <v>3.6679999999999997E-2</v>
      </c>
      <c r="AA25" s="6">
        <v>0.91699999999999993</v>
      </c>
      <c r="AB25" s="6">
        <v>-3.9999999999999147E-2</v>
      </c>
      <c r="AC25" s="6">
        <v>3.9999999999999147E-2</v>
      </c>
      <c r="AD25" s="22" t="s">
        <v>3140</v>
      </c>
      <c r="AE25" s="23">
        <f t="shared" si="3"/>
        <v>37.138999999999996</v>
      </c>
      <c r="AF25" s="24">
        <f t="shared" si="1"/>
        <v>0</v>
      </c>
      <c r="AG25" s="23">
        <f t="shared" si="2"/>
        <v>1</v>
      </c>
    </row>
    <row r="26" spans="1:33" ht="12.5" customHeight="1" x14ac:dyDescent="0.25">
      <c r="A26" s="12" t="s">
        <v>31</v>
      </c>
      <c r="B26" s="9">
        <v>46174</v>
      </c>
      <c r="C26" s="12" t="s">
        <v>70</v>
      </c>
      <c r="D26" s="10" t="s">
        <v>72</v>
      </c>
      <c r="E26" s="10" t="s">
        <v>51</v>
      </c>
      <c r="F26" s="10" t="s">
        <v>35</v>
      </c>
      <c r="G26" s="10" t="s">
        <v>3146</v>
      </c>
      <c r="H26" s="8" t="s">
        <v>36</v>
      </c>
      <c r="I26" s="11">
        <v>6.72</v>
      </c>
      <c r="J26" s="6">
        <v>6.1622399999999997</v>
      </c>
      <c r="K26" s="6">
        <v>0.91700000000000004</v>
      </c>
      <c r="L26" s="6">
        <v>6.5</v>
      </c>
      <c r="M26" s="11">
        <v>5.9604999999999997</v>
      </c>
      <c r="N26" s="11">
        <f t="shared" si="0"/>
        <v>5.9610000000000003</v>
      </c>
      <c r="O26" s="6">
        <v>0.91699999999999993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0.22</v>
      </c>
      <c r="Z26" s="6">
        <v>0.20174</v>
      </c>
      <c r="AA26" s="6">
        <v>0.91700000000000004</v>
      </c>
      <c r="AB26" s="6">
        <v>-0.21999999999999975</v>
      </c>
      <c r="AC26" s="6">
        <v>0.21999999999999975</v>
      </c>
      <c r="AD26" s="22" t="s">
        <v>3140</v>
      </c>
      <c r="AE26" s="23">
        <f t="shared" si="3"/>
        <v>5.9610000000000003</v>
      </c>
      <c r="AF26" s="24">
        <f t="shared" si="1"/>
        <v>0</v>
      </c>
      <c r="AG26" s="23">
        <f t="shared" si="2"/>
        <v>1</v>
      </c>
    </row>
    <row r="27" spans="1:33" ht="12.5" customHeight="1" x14ac:dyDescent="0.25">
      <c r="A27" s="12" t="s">
        <v>31</v>
      </c>
      <c r="B27" s="9">
        <v>46174</v>
      </c>
      <c r="C27" s="12" t="s">
        <v>70</v>
      </c>
      <c r="D27" s="10" t="s">
        <v>73</v>
      </c>
      <c r="E27" s="10" t="s">
        <v>51</v>
      </c>
      <c r="F27" s="10" t="s">
        <v>35</v>
      </c>
      <c r="G27" s="10" t="s">
        <v>3146</v>
      </c>
      <c r="H27" s="8" t="s">
        <v>36</v>
      </c>
      <c r="I27" s="11">
        <v>27.09</v>
      </c>
      <c r="J27" s="6">
        <v>24.841529999999999</v>
      </c>
      <c r="K27" s="6">
        <v>0.91699999999999993</v>
      </c>
      <c r="L27" s="6">
        <v>26.79</v>
      </c>
      <c r="M27" s="11">
        <v>24.56643</v>
      </c>
      <c r="N27" s="11">
        <f t="shared" si="0"/>
        <v>24.567</v>
      </c>
      <c r="O27" s="6">
        <v>0.91700000000000004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0.3</v>
      </c>
      <c r="Z27" s="6">
        <v>0.27510000000000001</v>
      </c>
      <c r="AA27" s="6">
        <v>0.91700000000000004</v>
      </c>
      <c r="AB27" s="6">
        <v>-0.30000000000000071</v>
      </c>
      <c r="AC27" s="6">
        <v>0.30000000000000071</v>
      </c>
      <c r="AD27" s="22" t="s">
        <v>3140</v>
      </c>
      <c r="AE27" s="23">
        <f t="shared" si="3"/>
        <v>24.567</v>
      </c>
      <c r="AF27" s="24">
        <f t="shared" si="1"/>
        <v>0</v>
      </c>
      <c r="AG27" s="23">
        <f t="shared" si="2"/>
        <v>1</v>
      </c>
    </row>
    <row r="28" spans="1:33" ht="12.5" hidden="1" customHeight="1" x14ac:dyDescent="0.25">
      <c r="A28" s="12" t="s">
        <v>31</v>
      </c>
      <c r="B28" s="9">
        <v>46174</v>
      </c>
      <c r="C28" s="13" t="s">
        <v>70</v>
      </c>
      <c r="D28" s="10" t="s">
        <v>74</v>
      </c>
      <c r="E28" s="10" t="s">
        <v>51</v>
      </c>
      <c r="F28" s="10" t="s">
        <v>35</v>
      </c>
      <c r="G28" s="10" t="s">
        <v>3145</v>
      </c>
      <c r="H28" s="8" t="s">
        <v>48</v>
      </c>
      <c r="I28" s="11">
        <v>50.58</v>
      </c>
      <c r="J28" s="6">
        <v>37.935000000000002</v>
      </c>
      <c r="K28" s="6">
        <v>0.75000000000000011</v>
      </c>
      <c r="L28" s="6">
        <v>46.54</v>
      </c>
      <c r="M28" s="11">
        <v>34.905000000000001</v>
      </c>
      <c r="N28" s="11">
        <f t="shared" si="0"/>
        <v>34.905000000000001</v>
      </c>
      <c r="O28" s="6">
        <v>0.75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4.04</v>
      </c>
      <c r="Z28" s="6">
        <v>3.03</v>
      </c>
      <c r="AA28" s="6">
        <v>0.75</v>
      </c>
      <c r="AB28" s="6">
        <v>-4.0399999999999991</v>
      </c>
      <c r="AC28" s="6">
        <v>4.0399999999999991</v>
      </c>
      <c r="AD28" s="22" t="s">
        <v>3140</v>
      </c>
      <c r="AE28" s="23">
        <f t="shared" si="3"/>
        <v>34.905000000000001</v>
      </c>
      <c r="AF28" s="24">
        <f t="shared" si="1"/>
        <v>0</v>
      </c>
      <c r="AG28" s="23">
        <f t="shared" si="2"/>
        <v>1</v>
      </c>
    </row>
    <row r="29" spans="1:33" x14ac:dyDescent="0.25">
      <c r="A29" s="12" t="s">
        <v>31</v>
      </c>
      <c r="B29" s="9">
        <v>46174</v>
      </c>
      <c r="C29" s="10" t="s">
        <v>75</v>
      </c>
      <c r="D29" s="10" t="s">
        <v>76</v>
      </c>
      <c r="E29" s="10" t="s">
        <v>51</v>
      </c>
      <c r="F29" s="10" t="s">
        <v>35</v>
      </c>
      <c r="G29" s="10" t="s">
        <v>3146</v>
      </c>
      <c r="H29" s="8" t="s">
        <v>36</v>
      </c>
      <c r="I29" s="11">
        <v>45.57</v>
      </c>
      <c r="J29" s="6">
        <v>41.787689999999998</v>
      </c>
      <c r="K29" s="6">
        <v>0.91699999999999993</v>
      </c>
      <c r="L29" s="6">
        <v>44.11</v>
      </c>
      <c r="M29" s="11">
        <v>40.448869999999999</v>
      </c>
      <c r="N29" s="11">
        <f t="shared" si="0"/>
        <v>40.448999999999998</v>
      </c>
      <c r="O29" s="6">
        <v>0.91700000000000004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1.46</v>
      </c>
      <c r="Z29" s="6">
        <v>1.3388199999999999</v>
      </c>
      <c r="AA29" s="6">
        <v>0.91699999999999993</v>
      </c>
      <c r="AB29" s="6">
        <v>-1.4600000000000009</v>
      </c>
      <c r="AC29" s="6">
        <v>1.4600000000000009</v>
      </c>
      <c r="AD29" s="22" t="s">
        <v>3140</v>
      </c>
      <c r="AE29" s="23">
        <f t="shared" si="3"/>
        <v>40.448999999999998</v>
      </c>
      <c r="AF29" s="24">
        <f t="shared" si="1"/>
        <v>0</v>
      </c>
      <c r="AG29" s="23">
        <f t="shared" si="2"/>
        <v>1</v>
      </c>
    </row>
    <row r="30" spans="1:33" ht="20" hidden="1" customHeight="1" x14ac:dyDescent="0.25">
      <c r="A30" s="12" t="s">
        <v>31</v>
      </c>
      <c r="B30" s="9">
        <v>46174</v>
      </c>
      <c r="C30" s="10" t="s">
        <v>77</v>
      </c>
      <c r="D30" s="10" t="s">
        <v>78</v>
      </c>
      <c r="E30" s="10" t="s">
        <v>51</v>
      </c>
      <c r="F30" s="10" t="s">
        <v>35</v>
      </c>
      <c r="G30" s="10" t="s">
        <v>3145</v>
      </c>
      <c r="H30" s="8" t="s">
        <v>48</v>
      </c>
      <c r="I30" s="11">
        <v>20.57</v>
      </c>
      <c r="J30" s="6">
        <v>15.4275</v>
      </c>
      <c r="K30" s="6">
        <v>0.75</v>
      </c>
      <c r="L30" s="6">
        <v>20.47</v>
      </c>
      <c r="M30" s="11">
        <v>15.352499999999999</v>
      </c>
      <c r="N30" s="11">
        <f t="shared" si="0"/>
        <v>15.353</v>
      </c>
      <c r="O30" s="6">
        <v>0.75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0.1</v>
      </c>
      <c r="Z30" s="6">
        <v>7.4999999999999997E-2</v>
      </c>
      <c r="AA30" s="6">
        <v>0.74999999999999989</v>
      </c>
      <c r="AB30" s="6">
        <v>-0.10000000000000142</v>
      </c>
      <c r="AC30" s="6">
        <v>0.10000000000000142</v>
      </c>
      <c r="AD30" s="22" t="s">
        <v>3140</v>
      </c>
      <c r="AE30" s="23">
        <f t="shared" si="3"/>
        <v>15.353</v>
      </c>
      <c r="AF30" s="24">
        <f t="shared" si="1"/>
        <v>0</v>
      </c>
      <c r="AG30" s="23">
        <f t="shared" si="2"/>
        <v>1</v>
      </c>
    </row>
    <row r="31" spans="1:33" x14ac:dyDescent="0.25">
      <c r="A31" s="12" t="s">
        <v>31</v>
      </c>
      <c r="B31" s="9">
        <v>46174</v>
      </c>
      <c r="C31" s="10" t="s">
        <v>79</v>
      </c>
      <c r="D31" s="10" t="s">
        <v>80</v>
      </c>
      <c r="E31" s="10" t="s">
        <v>51</v>
      </c>
      <c r="F31" s="10" t="s">
        <v>35</v>
      </c>
      <c r="G31" s="10" t="s">
        <v>3146</v>
      </c>
      <c r="H31" s="8" t="s">
        <v>36</v>
      </c>
      <c r="I31" s="11">
        <v>28.515999999999998</v>
      </c>
      <c r="J31" s="6">
        <v>26.149172</v>
      </c>
      <c r="K31" s="6">
        <v>0.91700000000000004</v>
      </c>
      <c r="L31" s="6">
        <v>26.626000000000001</v>
      </c>
      <c r="M31" s="11">
        <v>24.416042000000001</v>
      </c>
      <c r="N31" s="11">
        <f t="shared" si="0"/>
        <v>24.417000000000002</v>
      </c>
      <c r="O31" s="6">
        <v>0.91700000000000004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1.89</v>
      </c>
      <c r="Z31" s="6">
        <v>1.7331300000000001</v>
      </c>
      <c r="AA31" s="6">
        <v>0.91700000000000004</v>
      </c>
      <c r="AB31" s="6">
        <v>-1.889999999999997</v>
      </c>
      <c r="AC31" s="6">
        <v>1.889999999999997</v>
      </c>
      <c r="AD31" s="23" t="s">
        <v>3143</v>
      </c>
      <c r="AE31" s="23">
        <f t="shared" si="3"/>
        <v>22.738</v>
      </c>
      <c r="AF31" s="24">
        <f t="shared" si="1"/>
        <v>1.679000000000002</v>
      </c>
      <c r="AG31" s="23">
        <f t="shared" si="2"/>
        <v>2</v>
      </c>
    </row>
    <row r="32" spans="1:33" ht="20" hidden="1" customHeight="1" x14ac:dyDescent="0.25">
      <c r="A32" s="12" t="s">
        <v>31</v>
      </c>
      <c r="B32" s="9">
        <v>46174</v>
      </c>
      <c r="C32" s="10" t="s">
        <v>81</v>
      </c>
      <c r="D32" s="10" t="s">
        <v>82</v>
      </c>
      <c r="E32" s="10" t="s">
        <v>51</v>
      </c>
      <c r="F32" s="10" t="s">
        <v>35</v>
      </c>
      <c r="G32" s="10" t="s">
        <v>3145</v>
      </c>
      <c r="H32" s="8" t="s">
        <v>48</v>
      </c>
      <c r="I32" s="11">
        <v>19.02</v>
      </c>
      <c r="J32" s="6">
        <v>14.265000000000001</v>
      </c>
      <c r="K32" s="6">
        <v>0.75</v>
      </c>
      <c r="L32" s="6">
        <v>17.72</v>
      </c>
      <c r="M32" s="11">
        <v>13.29</v>
      </c>
      <c r="N32" s="11">
        <f t="shared" si="0"/>
        <v>13.29</v>
      </c>
      <c r="O32" s="6">
        <v>0.75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1.3</v>
      </c>
      <c r="Z32" s="6">
        <v>0.97499999999999998</v>
      </c>
      <c r="AA32" s="6">
        <v>0.75</v>
      </c>
      <c r="AB32" s="6">
        <v>-1.3000000000000007</v>
      </c>
      <c r="AC32" s="6">
        <v>1.3000000000000007</v>
      </c>
      <c r="AD32" s="22" t="s">
        <v>3140</v>
      </c>
      <c r="AE32" s="23">
        <f t="shared" si="3"/>
        <v>13.29</v>
      </c>
      <c r="AF32" s="24">
        <f t="shared" si="1"/>
        <v>0</v>
      </c>
      <c r="AG32" s="23">
        <f t="shared" si="2"/>
        <v>1</v>
      </c>
    </row>
    <row r="33" spans="1:33" ht="20" hidden="1" customHeight="1" x14ac:dyDescent="0.25">
      <c r="A33" s="12" t="s">
        <v>31</v>
      </c>
      <c r="B33" s="9">
        <v>46174</v>
      </c>
      <c r="C33" s="10" t="s">
        <v>83</v>
      </c>
      <c r="D33" s="10" t="s">
        <v>84</v>
      </c>
      <c r="E33" s="10" t="s">
        <v>51</v>
      </c>
      <c r="F33" s="10" t="s">
        <v>35</v>
      </c>
      <c r="G33" s="10" t="s">
        <v>3145</v>
      </c>
      <c r="H33" s="8" t="s">
        <v>48</v>
      </c>
      <c r="I33" s="11">
        <v>22.8</v>
      </c>
      <c r="J33" s="6">
        <v>17.100000000000001</v>
      </c>
      <c r="K33" s="6">
        <v>0.75</v>
      </c>
      <c r="L33" s="6">
        <v>20.86</v>
      </c>
      <c r="M33" s="11">
        <v>15.645</v>
      </c>
      <c r="N33" s="11">
        <f t="shared" si="0"/>
        <v>15.645</v>
      </c>
      <c r="O33" s="6">
        <v>0.75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1.94</v>
      </c>
      <c r="Z33" s="6">
        <v>1.4550000000000001</v>
      </c>
      <c r="AA33" s="6">
        <v>0.75000000000000011</v>
      </c>
      <c r="AB33" s="6">
        <v>-1.9400000000000013</v>
      </c>
      <c r="AC33" s="6">
        <v>1.9400000000000013</v>
      </c>
      <c r="AD33" s="22" t="s">
        <v>3140</v>
      </c>
      <c r="AE33" s="23">
        <f t="shared" si="3"/>
        <v>15.645</v>
      </c>
      <c r="AF33" s="24">
        <f t="shared" si="1"/>
        <v>0</v>
      </c>
      <c r="AG33" s="23">
        <f t="shared" si="2"/>
        <v>1</v>
      </c>
    </row>
    <row r="34" spans="1:33" ht="20" hidden="1" customHeight="1" x14ac:dyDescent="0.25">
      <c r="A34" s="12" t="s">
        <v>31</v>
      </c>
      <c r="B34" s="9">
        <v>46174</v>
      </c>
      <c r="C34" s="10" t="s">
        <v>85</v>
      </c>
      <c r="D34" s="10" t="s">
        <v>86</v>
      </c>
      <c r="E34" s="10" t="s">
        <v>51</v>
      </c>
      <c r="F34" s="10" t="s">
        <v>35</v>
      </c>
      <c r="G34" s="10" t="s">
        <v>3145</v>
      </c>
      <c r="H34" s="8" t="s">
        <v>48</v>
      </c>
      <c r="I34" s="11">
        <v>14.37</v>
      </c>
      <c r="J34" s="6">
        <v>10.7775</v>
      </c>
      <c r="K34" s="6">
        <v>0.75</v>
      </c>
      <c r="L34" s="6">
        <v>14.35</v>
      </c>
      <c r="M34" s="11">
        <v>10.762499999999999</v>
      </c>
      <c r="N34" s="11">
        <f t="shared" si="0"/>
        <v>10.763</v>
      </c>
      <c r="O34" s="6">
        <v>0.75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0.02</v>
      </c>
      <c r="Z34" s="6">
        <v>1.4999999999999999E-2</v>
      </c>
      <c r="AA34" s="6">
        <v>0.75</v>
      </c>
      <c r="AB34" s="6">
        <v>-1.9999999999999574E-2</v>
      </c>
      <c r="AC34" s="6">
        <v>1.9999999999999574E-2</v>
      </c>
      <c r="AD34" s="22" t="s">
        <v>3140</v>
      </c>
      <c r="AE34" s="23">
        <f t="shared" si="3"/>
        <v>10.763</v>
      </c>
      <c r="AF34" s="24">
        <f t="shared" si="1"/>
        <v>0</v>
      </c>
      <c r="AG34" s="23">
        <f t="shared" si="2"/>
        <v>2</v>
      </c>
    </row>
    <row r="35" spans="1:33" x14ac:dyDescent="0.25">
      <c r="A35" s="12" t="s">
        <v>31</v>
      </c>
      <c r="B35" s="9">
        <v>46174</v>
      </c>
      <c r="C35" s="10" t="s">
        <v>87</v>
      </c>
      <c r="D35" s="10" t="s">
        <v>88</v>
      </c>
      <c r="E35" s="10" t="s">
        <v>51</v>
      </c>
      <c r="F35" s="10" t="s">
        <v>35</v>
      </c>
      <c r="G35" s="10" t="s">
        <v>3146</v>
      </c>
      <c r="H35" s="8" t="s">
        <v>36</v>
      </c>
      <c r="I35" s="11">
        <v>26</v>
      </c>
      <c r="J35" s="6">
        <v>23.841999999999999</v>
      </c>
      <c r="K35" s="6">
        <v>0.91699999999999993</v>
      </c>
      <c r="L35" s="6">
        <v>24.2</v>
      </c>
      <c r="M35" s="11">
        <v>22.191400000000002</v>
      </c>
      <c r="N35" s="11">
        <f t="shared" si="0"/>
        <v>22.192</v>
      </c>
      <c r="O35" s="6">
        <v>0.91700000000000004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1.8</v>
      </c>
      <c r="Z35" s="6">
        <v>1.6506000000000001</v>
      </c>
      <c r="AA35" s="6">
        <v>0.91700000000000004</v>
      </c>
      <c r="AB35" s="6">
        <v>-1.8000000000000007</v>
      </c>
      <c r="AC35" s="6">
        <v>1.8000000000000007</v>
      </c>
      <c r="AD35" s="22" t="s">
        <v>3140</v>
      </c>
      <c r="AE35" s="23">
        <f t="shared" si="3"/>
        <v>22.192</v>
      </c>
      <c r="AF35" s="24">
        <f t="shared" si="1"/>
        <v>0</v>
      </c>
      <c r="AG35" s="23">
        <f t="shared" si="2"/>
        <v>1</v>
      </c>
    </row>
    <row r="36" spans="1:33" ht="20" hidden="1" customHeight="1" x14ac:dyDescent="0.25">
      <c r="A36" s="12" t="s">
        <v>31</v>
      </c>
      <c r="B36" s="9">
        <v>46174</v>
      </c>
      <c r="C36" s="10" t="s">
        <v>89</v>
      </c>
      <c r="D36" s="10" t="s">
        <v>90</v>
      </c>
      <c r="E36" s="10" t="s">
        <v>51</v>
      </c>
      <c r="F36" s="10" t="s">
        <v>35</v>
      </c>
      <c r="G36" s="10" t="s">
        <v>3145</v>
      </c>
      <c r="H36" s="8" t="s">
        <v>48</v>
      </c>
      <c r="I36" s="11">
        <v>24.33</v>
      </c>
      <c r="J36" s="6">
        <v>18.247499999999999</v>
      </c>
      <c r="K36" s="6">
        <v>0.75</v>
      </c>
      <c r="L36" s="6">
        <v>21.55</v>
      </c>
      <c r="M36" s="11">
        <v>16.162500000000001</v>
      </c>
      <c r="N36" s="11">
        <f t="shared" si="0"/>
        <v>16.163</v>
      </c>
      <c r="O36" s="6">
        <v>0.75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2.78</v>
      </c>
      <c r="Z36" s="6">
        <v>2.085</v>
      </c>
      <c r="AA36" s="6">
        <v>0.75</v>
      </c>
      <c r="AB36" s="6">
        <v>-2.7799999999999976</v>
      </c>
      <c r="AC36" s="6">
        <v>2.7799999999999976</v>
      </c>
      <c r="AD36" s="22" t="s">
        <v>3140</v>
      </c>
      <c r="AE36" s="23">
        <f t="shared" si="3"/>
        <v>16.163</v>
      </c>
      <c r="AF36" s="24">
        <f t="shared" si="1"/>
        <v>0</v>
      </c>
      <c r="AG36" s="23">
        <f t="shared" si="2"/>
        <v>1</v>
      </c>
    </row>
    <row r="37" spans="1:33" x14ac:dyDescent="0.25">
      <c r="A37" s="12" t="s">
        <v>31</v>
      </c>
      <c r="B37" s="9">
        <v>46174</v>
      </c>
      <c r="C37" s="10" t="s">
        <v>91</v>
      </c>
      <c r="D37" s="10" t="s">
        <v>92</v>
      </c>
      <c r="E37" s="10" t="s">
        <v>51</v>
      </c>
      <c r="F37" s="10" t="s">
        <v>35</v>
      </c>
      <c r="G37" s="10" t="s">
        <v>3146</v>
      </c>
      <c r="H37" s="8" t="s">
        <v>36</v>
      </c>
      <c r="I37" s="11">
        <v>44.7</v>
      </c>
      <c r="J37" s="6">
        <v>40.989899999999999</v>
      </c>
      <c r="K37" s="6">
        <v>0.91699999999999993</v>
      </c>
      <c r="L37" s="6">
        <v>44.37</v>
      </c>
      <c r="M37" s="11">
        <v>40.687289999999997</v>
      </c>
      <c r="N37" s="11">
        <f t="shared" si="0"/>
        <v>40.687999999999995</v>
      </c>
      <c r="O37" s="6">
        <v>0.91700000000000004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0.33</v>
      </c>
      <c r="Z37" s="6">
        <v>0.30260999999999999</v>
      </c>
      <c r="AA37" s="6">
        <v>0.91699999999999993</v>
      </c>
      <c r="AB37" s="6">
        <v>-0.3300000000000054</v>
      </c>
      <c r="AC37" s="6">
        <v>0.3300000000000054</v>
      </c>
      <c r="AD37" s="22" t="s">
        <v>3140</v>
      </c>
      <c r="AE37" s="23">
        <f t="shared" si="3"/>
        <v>40.687999999999995</v>
      </c>
      <c r="AF37" s="24">
        <f t="shared" si="1"/>
        <v>0</v>
      </c>
      <c r="AG37" s="23">
        <f t="shared" si="2"/>
        <v>1</v>
      </c>
    </row>
    <row r="38" spans="1:33" x14ac:dyDescent="0.25">
      <c r="A38" s="12" t="s">
        <v>31</v>
      </c>
      <c r="B38" s="9">
        <v>46174</v>
      </c>
      <c r="C38" s="10" t="s">
        <v>93</v>
      </c>
      <c r="D38" s="10" t="s">
        <v>94</v>
      </c>
      <c r="E38" s="10" t="s">
        <v>51</v>
      </c>
      <c r="F38" s="10" t="s">
        <v>35</v>
      </c>
      <c r="G38" s="10" t="s">
        <v>3146</v>
      </c>
      <c r="H38" s="8" t="s">
        <v>36</v>
      </c>
      <c r="I38" s="11">
        <v>33.78</v>
      </c>
      <c r="J38" s="6">
        <v>30.97626</v>
      </c>
      <c r="K38" s="6">
        <v>0.91699999999999993</v>
      </c>
      <c r="L38" s="6">
        <v>32.9</v>
      </c>
      <c r="M38" s="11">
        <v>30.1693</v>
      </c>
      <c r="N38" s="11">
        <f t="shared" si="0"/>
        <v>30.17</v>
      </c>
      <c r="O38" s="6">
        <v>0.91700000000000004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0.88</v>
      </c>
      <c r="Z38" s="6">
        <v>0.80696000000000001</v>
      </c>
      <c r="AA38" s="6">
        <v>0.91700000000000004</v>
      </c>
      <c r="AB38" s="6">
        <v>-0.88000000000000256</v>
      </c>
      <c r="AC38" s="6">
        <v>0.88000000000000256</v>
      </c>
      <c r="AD38" s="22" t="s">
        <v>3140</v>
      </c>
      <c r="AE38" s="23">
        <f t="shared" si="3"/>
        <v>30.17</v>
      </c>
      <c r="AF38" s="24">
        <f t="shared" si="1"/>
        <v>0</v>
      </c>
      <c r="AG38" s="23">
        <f t="shared" si="2"/>
        <v>1</v>
      </c>
    </row>
    <row r="39" spans="1:33" x14ac:dyDescent="0.25">
      <c r="A39" s="12" t="s">
        <v>31</v>
      </c>
      <c r="B39" s="9">
        <v>46174</v>
      </c>
      <c r="C39" s="10" t="s">
        <v>95</v>
      </c>
      <c r="D39" s="10" t="s">
        <v>96</v>
      </c>
      <c r="E39" s="10" t="s">
        <v>51</v>
      </c>
      <c r="F39" s="10" t="s">
        <v>35</v>
      </c>
      <c r="G39" s="10" t="s">
        <v>3146</v>
      </c>
      <c r="H39" s="8" t="s">
        <v>36</v>
      </c>
      <c r="I39" s="11">
        <v>35.235999999999997</v>
      </c>
      <c r="J39" s="6">
        <v>32.311411999999997</v>
      </c>
      <c r="K39" s="6">
        <v>0.91700000000000004</v>
      </c>
      <c r="L39" s="6">
        <v>33.695999999999998</v>
      </c>
      <c r="M39" s="11">
        <v>30.899232000000001</v>
      </c>
      <c r="N39" s="11">
        <f t="shared" si="0"/>
        <v>30.900000000000002</v>
      </c>
      <c r="O39" s="6">
        <v>0.91700000000000015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1.54</v>
      </c>
      <c r="Z39" s="6">
        <v>1.41218</v>
      </c>
      <c r="AA39" s="6">
        <v>0.91699999999999993</v>
      </c>
      <c r="AB39" s="6">
        <v>-1.5399999999999991</v>
      </c>
      <c r="AC39" s="6">
        <v>1.5399999999999991</v>
      </c>
      <c r="AD39" s="22" t="s">
        <v>3140</v>
      </c>
      <c r="AE39" s="23">
        <f t="shared" si="3"/>
        <v>30.900000000000002</v>
      </c>
      <c r="AF39" s="24">
        <f t="shared" si="1"/>
        <v>0</v>
      </c>
      <c r="AG39" s="23">
        <f t="shared" si="2"/>
        <v>1</v>
      </c>
    </row>
    <row r="40" spans="1:33" ht="12.5" customHeight="1" x14ac:dyDescent="0.25">
      <c r="A40" s="12" t="s">
        <v>31</v>
      </c>
      <c r="B40" s="9">
        <v>46174</v>
      </c>
      <c r="C40" s="8" t="s">
        <v>97</v>
      </c>
      <c r="D40" s="10" t="s">
        <v>98</v>
      </c>
      <c r="E40" s="10" t="s">
        <v>51</v>
      </c>
      <c r="F40" s="10" t="s">
        <v>35</v>
      </c>
      <c r="G40" s="10" t="s">
        <v>3146</v>
      </c>
      <c r="H40" s="8" t="s">
        <v>36</v>
      </c>
      <c r="I40" s="11">
        <v>254.17</v>
      </c>
      <c r="J40" s="6">
        <v>233.07389000000001</v>
      </c>
      <c r="K40" s="6">
        <v>0.91700000000000004</v>
      </c>
      <c r="L40" s="6">
        <v>254.17</v>
      </c>
      <c r="M40" s="11">
        <v>233.07389000000001</v>
      </c>
      <c r="N40" s="11">
        <f t="shared" si="0"/>
        <v>233.07400000000001</v>
      </c>
      <c r="O40" s="6">
        <v>0.91700000000000004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23" t="s">
        <v>3143</v>
      </c>
      <c r="AE40" s="23">
        <f t="shared" si="3"/>
        <v>219.40200000000002</v>
      </c>
      <c r="AF40" s="24">
        <f t="shared" si="1"/>
        <v>13.671999999999997</v>
      </c>
      <c r="AG40" s="23">
        <f t="shared" si="2"/>
        <v>2</v>
      </c>
    </row>
    <row r="41" spans="1:33" ht="12.5" customHeight="1" x14ac:dyDescent="0.25">
      <c r="A41" s="12" t="s">
        <v>31</v>
      </c>
      <c r="B41" s="9">
        <v>46174</v>
      </c>
      <c r="C41" s="13" t="s">
        <v>97</v>
      </c>
      <c r="D41" s="10" t="s">
        <v>99</v>
      </c>
      <c r="E41" s="10" t="s">
        <v>51</v>
      </c>
      <c r="F41" s="10" t="s">
        <v>35</v>
      </c>
      <c r="G41" s="10" t="s">
        <v>3146</v>
      </c>
      <c r="H41" s="8" t="s">
        <v>36</v>
      </c>
      <c r="I41" s="11">
        <v>30.13</v>
      </c>
      <c r="J41" s="6">
        <v>27.62921</v>
      </c>
      <c r="K41" s="6">
        <v>0.91700000000000004</v>
      </c>
      <c r="L41" s="6">
        <v>30.13</v>
      </c>
      <c r="M41" s="11">
        <v>27.62921</v>
      </c>
      <c r="N41" s="11">
        <f t="shared" si="0"/>
        <v>27.630000000000003</v>
      </c>
      <c r="O41" s="6">
        <v>0.91700000000000004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23" t="s">
        <v>3143</v>
      </c>
      <c r="AE41" s="23">
        <f t="shared" si="3"/>
        <v>26.19</v>
      </c>
      <c r="AF41" s="24">
        <f t="shared" si="1"/>
        <v>1.4400000000000013</v>
      </c>
      <c r="AG41" s="23">
        <f t="shared" si="2"/>
        <v>2</v>
      </c>
    </row>
    <row r="42" spans="1:33" ht="20" hidden="1" customHeight="1" x14ac:dyDescent="0.25">
      <c r="A42" s="12" t="s">
        <v>31</v>
      </c>
      <c r="B42" s="9">
        <v>46174</v>
      </c>
      <c r="C42" s="10" t="s">
        <v>100</v>
      </c>
      <c r="D42" s="10" t="s">
        <v>101</v>
      </c>
      <c r="E42" s="10" t="s">
        <v>51</v>
      </c>
      <c r="F42" s="10" t="s">
        <v>35</v>
      </c>
      <c r="G42" s="10" t="s">
        <v>3145</v>
      </c>
      <c r="H42" s="8" t="s">
        <v>48</v>
      </c>
      <c r="I42" s="11">
        <v>19.329999999999998</v>
      </c>
      <c r="J42" s="6">
        <v>14.4975</v>
      </c>
      <c r="K42" s="6">
        <v>0.75000000000000011</v>
      </c>
      <c r="L42" s="6">
        <v>17.940000000000001</v>
      </c>
      <c r="M42" s="11">
        <v>13.455</v>
      </c>
      <c r="N42" s="11">
        <f t="shared" si="0"/>
        <v>13.455</v>
      </c>
      <c r="O42" s="6">
        <v>0.75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1.39</v>
      </c>
      <c r="Z42" s="6">
        <v>1.0425</v>
      </c>
      <c r="AA42" s="6">
        <v>0.75</v>
      </c>
      <c r="AB42" s="6">
        <v>-1.389999999999997</v>
      </c>
      <c r="AC42" s="6">
        <v>1.389999999999997</v>
      </c>
      <c r="AD42" s="22" t="s">
        <v>3140</v>
      </c>
      <c r="AE42" s="23">
        <f t="shared" si="3"/>
        <v>13.455</v>
      </c>
      <c r="AF42" s="24">
        <f t="shared" si="1"/>
        <v>0</v>
      </c>
      <c r="AG42" s="23">
        <f t="shared" si="2"/>
        <v>1</v>
      </c>
    </row>
    <row r="43" spans="1:33" ht="20" hidden="1" customHeight="1" x14ac:dyDescent="0.25">
      <c r="A43" s="12" t="s">
        <v>31</v>
      </c>
      <c r="B43" s="9">
        <v>46174</v>
      </c>
      <c r="C43" s="10" t="s">
        <v>102</v>
      </c>
      <c r="D43" s="10" t="s">
        <v>103</v>
      </c>
      <c r="E43" s="10" t="s">
        <v>51</v>
      </c>
      <c r="F43" s="10" t="s">
        <v>35</v>
      </c>
      <c r="G43" s="10" t="s">
        <v>3145</v>
      </c>
      <c r="H43" s="8" t="s">
        <v>48</v>
      </c>
      <c r="I43" s="11">
        <v>6.12</v>
      </c>
      <c r="J43" s="6">
        <v>4.59</v>
      </c>
      <c r="K43" s="6">
        <v>0.75</v>
      </c>
      <c r="L43" s="6">
        <v>5.89</v>
      </c>
      <c r="M43" s="11">
        <v>4.4175000000000004</v>
      </c>
      <c r="N43" s="11">
        <f t="shared" si="0"/>
        <v>4.4180000000000001</v>
      </c>
      <c r="O43" s="6">
        <v>0.75000000000000011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0.23</v>
      </c>
      <c r="Z43" s="6">
        <v>0.17249999999999999</v>
      </c>
      <c r="AA43" s="6">
        <v>0.74999999999999989</v>
      </c>
      <c r="AB43" s="6">
        <v>-0.23000000000000043</v>
      </c>
      <c r="AC43" s="6">
        <v>0.23000000000000043</v>
      </c>
      <c r="AD43" s="22" t="s">
        <v>3140</v>
      </c>
      <c r="AE43" s="23">
        <f t="shared" si="3"/>
        <v>4.4180000000000001</v>
      </c>
      <c r="AF43" s="24">
        <f t="shared" si="1"/>
        <v>0</v>
      </c>
      <c r="AG43" s="23">
        <f t="shared" si="2"/>
        <v>1</v>
      </c>
    </row>
    <row r="44" spans="1:33" x14ac:dyDescent="0.25">
      <c r="A44" s="12" t="s">
        <v>31</v>
      </c>
      <c r="B44" s="9">
        <v>46174</v>
      </c>
      <c r="C44" s="10" t="s">
        <v>104</v>
      </c>
      <c r="D44" s="10" t="s">
        <v>105</v>
      </c>
      <c r="E44" s="10" t="s">
        <v>51</v>
      </c>
      <c r="F44" s="10" t="s">
        <v>35</v>
      </c>
      <c r="G44" s="10" t="s">
        <v>3146</v>
      </c>
      <c r="H44" s="8" t="s">
        <v>36</v>
      </c>
      <c r="I44" s="11">
        <v>27.68</v>
      </c>
      <c r="J44" s="6">
        <v>25.382560000000002</v>
      </c>
      <c r="K44" s="6">
        <v>0.91700000000000004</v>
      </c>
      <c r="L44" s="6">
        <v>26.04</v>
      </c>
      <c r="M44" s="11">
        <v>23.878679999999999</v>
      </c>
      <c r="N44" s="11">
        <f t="shared" si="0"/>
        <v>23.879000000000001</v>
      </c>
      <c r="O44" s="6">
        <v>0.91700000000000004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1.64</v>
      </c>
      <c r="Z44" s="6">
        <v>1.5038800000000001</v>
      </c>
      <c r="AA44" s="6">
        <v>0.91700000000000015</v>
      </c>
      <c r="AB44" s="6">
        <v>-1.6400000000000006</v>
      </c>
      <c r="AC44" s="6">
        <v>1.6400000000000006</v>
      </c>
      <c r="AD44" s="22" t="s">
        <v>3140</v>
      </c>
      <c r="AE44" s="23">
        <f t="shared" si="3"/>
        <v>23.879000000000001</v>
      </c>
      <c r="AF44" s="24">
        <f t="shared" si="1"/>
        <v>0</v>
      </c>
      <c r="AG44" s="23">
        <f t="shared" si="2"/>
        <v>1</v>
      </c>
    </row>
    <row r="45" spans="1:33" ht="12.5" hidden="1" customHeight="1" x14ac:dyDescent="0.25">
      <c r="A45" s="12" t="s">
        <v>31</v>
      </c>
      <c r="B45" s="9">
        <v>46174</v>
      </c>
      <c r="C45" s="8" t="s">
        <v>106</v>
      </c>
      <c r="D45" s="10" t="s">
        <v>107</v>
      </c>
      <c r="E45" s="10" t="s">
        <v>51</v>
      </c>
      <c r="F45" s="10" t="s">
        <v>35</v>
      </c>
      <c r="G45" s="10" t="s">
        <v>3145</v>
      </c>
      <c r="H45" s="8" t="s">
        <v>48</v>
      </c>
      <c r="I45" s="11">
        <v>17.59</v>
      </c>
      <c r="J45" s="6">
        <v>13.192500000000001</v>
      </c>
      <c r="K45" s="6">
        <v>0.75</v>
      </c>
      <c r="L45" s="6">
        <v>16.09</v>
      </c>
      <c r="M45" s="11">
        <v>12.067500000000001</v>
      </c>
      <c r="N45" s="11">
        <f t="shared" si="0"/>
        <v>12.068</v>
      </c>
      <c r="O45" s="6">
        <v>0.75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1.5</v>
      </c>
      <c r="Z45" s="6">
        <v>1.125</v>
      </c>
      <c r="AA45" s="6">
        <v>0.75</v>
      </c>
      <c r="AB45" s="6">
        <v>-1.5</v>
      </c>
      <c r="AC45" s="6">
        <v>1.5</v>
      </c>
      <c r="AD45" s="22" t="s">
        <v>3140</v>
      </c>
      <c r="AE45" s="23">
        <f t="shared" si="3"/>
        <v>12.068</v>
      </c>
      <c r="AF45" s="24">
        <f t="shared" si="1"/>
        <v>0</v>
      </c>
      <c r="AG45" s="23">
        <f t="shared" si="2"/>
        <v>1</v>
      </c>
    </row>
    <row r="46" spans="1:33" ht="12.5" hidden="1" customHeight="1" x14ac:dyDescent="0.25">
      <c r="A46" s="12" t="s">
        <v>31</v>
      </c>
      <c r="B46" s="9">
        <v>46174</v>
      </c>
      <c r="C46" s="13" t="s">
        <v>106</v>
      </c>
      <c r="D46" s="10" t="s">
        <v>108</v>
      </c>
      <c r="E46" s="10" t="s">
        <v>51</v>
      </c>
      <c r="F46" s="10" t="s">
        <v>35</v>
      </c>
      <c r="G46" s="10" t="s">
        <v>3145</v>
      </c>
      <c r="H46" s="8" t="s">
        <v>48</v>
      </c>
      <c r="I46" s="11">
        <v>6.58</v>
      </c>
      <c r="J46" s="6">
        <v>4.9349999999999996</v>
      </c>
      <c r="K46" s="6">
        <v>0.74999999999999989</v>
      </c>
      <c r="L46" s="6">
        <v>6.55</v>
      </c>
      <c r="M46" s="11">
        <v>4.9124999999999996</v>
      </c>
      <c r="N46" s="11">
        <f t="shared" si="0"/>
        <v>4.9130000000000003</v>
      </c>
      <c r="O46" s="6">
        <v>0.75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0.03</v>
      </c>
      <c r="Z46" s="6">
        <v>2.2499999999999999E-2</v>
      </c>
      <c r="AA46" s="6">
        <v>0.75</v>
      </c>
      <c r="AB46" s="6">
        <v>-3.0000000000000249E-2</v>
      </c>
      <c r="AC46" s="6">
        <v>3.0000000000000249E-2</v>
      </c>
      <c r="AD46" s="22" t="s">
        <v>3140</v>
      </c>
      <c r="AE46" s="23">
        <f t="shared" si="3"/>
        <v>4.9130000000000003</v>
      </c>
      <c r="AF46" s="24">
        <f t="shared" si="1"/>
        <v>0</v>
      </c>
      <c r="AG46" s="23">
        <f t="shared" si="2"/>
        <v>1</v>
      </c>
    </row>
    <row r="47" spans="1:33" x14ac:dyDescent="0.25">
      <c r="A47" s="12" t="s">
        <v>31</v>
      </c>
      <c r="B47" s="9">
        <v>46174</v>
      </c>
      <c r="C47" s="10" t="s">
        <v>109</v>
      </c>
      <c r="D47" s="10" t="s">
        <v>110</v>
      </c>
      <c r="E47" s="10" t="s">
        <v>51</v>
      </c>
      <c r="F47" s="10" t="s">
        <v>35</v>
      </c>
      <c r="G47" s="10" t="s">
        <v>3146</v>
      </c>
      <c r="H47" s="8" t="s">
        <v>36</v>
      </c>
      <c r="I47" s="11">
        <v>24.54</v>
      </c>
      <c r="J47" s="6">
        <v>22.50318</v>
      </c>
      <c r="K47" s="6">
        <v>0.91700000000000004</v>
      </c>
      <c r="L47" s="6">
        <v>22.82</v>
      </c>
      <c r="M47" s="11">
        <v>20.925940000000001</v>
      </c>
      <c r="N47" s="11">
        <f t="shared" si="0"/>
        <v>20.926000000000002</v>
      </c>
      <c r="O47" s="6">
        <v>0.91700000000000004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1.72</v>
      </c>
      <c r="Z47" s="6">
        <v>1.57724</v>
      </c>
      <c r="AA47" s="6">
        <v>0.91700000000000004</v>
      </c>
      <c r="AB47" s="6">
        <v>-1.7199999999999989</v>
      </c>
      <c r="AC47" s="6">
        <v>1.7199999999999989</v>
      </c>
      <c r="AD47" s="22" t="s">
        <v>3140</v>
      </c>
      <c r="AE47" s="23">
        <f t="shared" si="3"/>
        <v>20.926000000000002</v>
      </c>
      <c r="AF47" s="24">
        <f t="shared" si="1"/>
        <v>0</v>
      </c>
      <c r="AG47" s="23">
        <f t="shared" si="2"/>
        <v>1</v>
      </c>
    </row>
    <row r="48" spans="1:33" ht="20" hidden="1" customHeight="1" x14ac:dyDescent="0.25">
      <c r="A48" s="12" t="s">
        <v>31</v>
      </c>
      <c r="B48" s="9">
        <v>46174</v>
      </c>
      <c r="C48" s="10" t="s">
        <v>111</v>
      </c>
      <c r="D48" s="10" t="s">
        <v>112</v>
      </c>
      <c r="E48" s="10" t="s">
        <v>51</v>
      </c>
      <c r="F48" s="10" t="s">
        <v>35</v>
      </c>
      <c r="G48" s="10" t="s">
        <v>3145</v>
      </c>
      <c r="H48" s="8" t="s">
        <v>48</v>
      </c>
      <c r="I48" s="11">
        <v>22.15</v>
      </c>
      <c r="J48" s="6">
        <v>16.612500000000001</v>
      </c>
      <c r="K48" s="6">
        <v>0.75000000000000011</v>
      </c>
      <c r="L48" s="6">
        <v>18.760000000000002</v>
      </c>
      <c r="M48" s="11">
        <v>14.07</v>
      </c>
      <c r="N48" s="11">
        <f t="shared" si="0"/>
        <v>14.07</v>
      </c>
      <c r="O48" s="6">
        <v>0.75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3.39</v>
      </c>
      <c r="Z48" s="6">
        <v>2.5425</v>
      </c>
      <c r="AA48" s="6">
        <v>0.75</v>
      </c>
      <c r="AB48" s="6">
        <v>-3.389999999999997</v>
      </c>
      <c r="AC48" s="6">
        <v>3.389999999999997</v>
      </c>
      <c r="AD48" s="22" t="s">
        <v>3140</v>
      </c>
      <c r="AE48" s="23">
        <f t="shared" si="3"/>
        <v>14.07</v>
      </c>
      <c r="AF48" s="24">
        <f t="shared" si="1"/>
        <v>0</v>
      </c>
      <c r="AG48" s="23">
        <f t="shared" si="2"/>
        <v>1</v>
      </c>
    </row>
    <row r="49" spans="1:33" x14ac:dyDescent="0.25">
      <c r="A49" s="12" t="s">
        <v>31</v>
      </c>
      <c r="B49" s="9">
        <v>46174</v>
      </c>
      <c r="C49" s="10" t="s">
        <v>113</v>
      </c>
      <c r="D49" s="10" t="s">
        <v>114</v>
      </c>
      <c r="E49" s="10" t="s">
        <v>51</v>
      </c>
      <c r="F49" s="10" t="s">
        <v>35</v>
      </c>
      <c r="G49" s="10" t="s">
        <v>3146</v>
      </c>
      <c r="H49" s="8" t="s">
        <v>36</v>
      </c>
      <c r="I49" s="11">
        <v>46.6</v>
      </c>
      <c r="J49" s="6">
        <v>42.732199999999999</v>
      </c>
      <c r="K49" s="6">
        <v>0.91699999999999993</v>
      </c>
      <c r="L49" s="6">
        <v>43.64</v>
      </c>
      <c r="M49" s="11">
        <v>40.017879999999998</v>
      </c>
      <c r="N49" s="11">
        <f t="shared" si="0"/>
        <v>40.018000000000001</v>
      </c>
      <c r="O49" s="6">
        <v>0.91699999999999993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2.96</v>
      </c>
      <c r="Z49" s="6">
        <v>2.7143199999999998</v>
      </c>
      <c r="AA49" s="6">
        <v>0.91699999999999993</v>
      </c>
      <c r="AB49" s="6">
        <v>-2.9600000000000009</v>
      </c>
      <c r="AC49" s="6">
        <v>2.9600000000000009</v>
      </c>
      <c r="AD49" s="22" t="s">
        <v>3140</v>
      </c>
      <c r="AE49" s="23">
        <f t="shared" si="3"/>
        <v>40.018000000000001</v>
      </c>
      <c r="AF49" s="24">
        <f t="shared" si="1"/>
        <v>0</v>
      </c>
      <c r="AG49" s="23">
        <f t="shared" si="2"/>
        <v>1</v>
      </c>
    </row>
    <row r="50" spans="1:33" ht="20" hidden="1" customHeight="1" x14ac:dyDescent="0.25">
      <c r="A50" s="12" t="s">
        <v>31</v>
      </c>
      <c r="B50" s="9">
        <v>46174</v>
      </c>
      <c r="C50" s="10" t="s">
        <v>115</v>
      </c>
      <c r="D50" s="10" t="s">
        <v>116</v>
      </c>
      <c r="E50" s="10" t="s">
        <v>51</v>
      </c>
      <c r="F50" s="10" t="s">
        <v>35</v>
      </c>
      <c r="G50" s="10" t="s">
        <v>3145</v>
      </c>
      <c r="H50" s="8" t="s">
        <v>48</v>
      </c>
      <c r="I50" s="11">
        <v>14.12</v>
      </c>
      <c r="J50" s="6">
        <v>10.59</v>
      </c>
      <c r="K50" s="6">
        <v>0.75</v>
      </c>
      <c r="L50" s="6">
        <v>12.6</v>
      </c>
      <c r="M50" s="11">
        <v>9.4499999999999993</v>
      </c>
      <c r="N50" s="11">
        <f t="shared" si="0"/>
        <v>9.4499999999999993</v>
      </c>
      <c r="O50" s="6">
        <v>0.75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1.52</v>
      </c>
      <c r="Z50" s="6">
        <v>1.1399999999999999</v>
      </c>
      <c r="AA50" s="6">
        <v>0.74999999999999989</v>
      </c>
      <c r="AB50" s="6">
        <v>-1.5199999999999996</v>
      </c>
      <c r="AC50" s="6">
        <v>1.5199999999999996</v>
      </c>
      <c r="AD50" s="22" t="s">
        <v>3140</v>
      </c>
      <c r="AE50" s="23">
        <f t="shared" si="3"/>
        <v>9.4499999999999993</v>
      </c>
      <c r="AF50" s="24">
        <f t="shared" si="1"/>
        <v>0</v>
      </c>
      <c r="AG50" s="23">
        <f t="shared" si="2"/>
        <v>1</v>
      </c>
    </row>
    <row r="51" spans="1:33" x14ac:dyDescent="0.25">
      <c r="A51" s="12" t="s">
        <v>31</v>
      </c>
      <c r="B51" s="9">
        <v>46174</v>
      </c>
      <c r="C51" s="10" t="s">
        <v>117</v>
      </c>
      <c r="D51" s="10" t="s">
        <v>118</v>
      </c>
      <c r="E51" s="10" t="s">
        <v>51</v>
      </c>
      <c r="F51" s="10" t="s">
        <v>35</v>
      </c>
      <c r="G51" s="10" t="s">
        <v>3146</v>
      </c>
      <c r="H51" s="8" t="s">
        <v>36</v>
      </c>
      <c r="I51" s="11">
        <v>26.15</v>
      </c>
      <c r="J51" s="6">
        <v>23.97955</v>
      </c>
      <c r="K51" s="6">
        <v>0.91700000000000004</v>
      </c>
      <c r="L51" s="6">
        <v>25.35</v>
      </c>
      <c r="M51" s="11">
        <v>23.245950000000001</v>
      </c>
      <c r="N51" s="11">
        <f t="shared" si="0"/>
        <v>23.246000000000002</v>
      </c>
      <c r="O51" s="6">
        <v>0.91699999999999993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0.8</v>
      </c>
      <c r="Z51" s="6">
        <v>0.73360000000000003</v>
      </c>
      <c r="AA51" s="6">
        <v>0.91700000000000004</v>
      </c>
      <c r="AB51" s="6">
        <v>-0.79999999999999716</v>
      </c>
      <c r="AC51" s="6">
        <v>0.79999999999999716</v>
      </c>
      <c r="AD51" s="22" t="s">
        <v>3140</v>
      </c>
      <c r="AE51" s="23">
        <f t="shared" si="3"/>
        <v>23.246000000000002</v>
      </c>
      <c r="AF51" s="24">
        <f t="shared" si="1"/>
        <v>0</v>
      </c>
      <c r="AG51" s="23">
        <f t="shared" si="2"/>
        <v>1</v>
      </c>
    </row>
    <row r="52" spans="1:33" x14ac:dyDescent="0.25">
      <c r="A52" s="12" t="s">
        <v>31</v>
      </c>
      <c r="B52" s="9">
        <v>46174</v>
      </c>
      <c r="C52" s="10" t="s">
        <v>119</v>
      </c>
      <c r="D52" s="10" t="s">
        <v>120</v>
      </c>
      <c r="E52" s="10" t="s">
        <v>51</v>
      </c>
      <c r="F52" s="10" t="s">
        <v>35</v>
      </c>
      <c r="G52" s="10" t="s">
        <v>3146</v>
      </c>
      <c r="H52" s="8" t="s">
        <v>36</v>
      </c>
      <c r="I52" s="11">
        <v>59.65</v>
      </c>
      <c r="J52" s="6">
        <v>54.69905</v>
      </c>
      <c r="K52" s="6">
        <v>0.91700000000000004</v>
      </c>
      <c r="L52" s="6">
        <v>54.02</v>
      </c>
      <c r="M52" s="11">
        <v>49.536340000000003</v>
      </c>
      <c r="N52" s="11">
        <f t="shared" si="0"/>
        <v>49.536999999999999</v>
      </c>
      <c r="O52" s="6">
        <v>0.91700000000000004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5.63</v>
      </c>
      <c r="Z52" s="6">
        <v>5.1627099999999997</v>
      </c>
      <c r="AA52" s="6">
        <v>0.91699999999999993</v>
      </c>
      <c r="AB52" s="6">
        <v>-5.6299999999999955</v>
      </c>
      <c r="AC52" s="6">
        <v>5.6299999999999955</v>
      </c>
      <c r="AD52" s="22" t="s">
        <v>3140</v>
      </c>
      <c r="AE52" s="23">
        <f t="shared" si="3"/>
        <v>49.536999999999999</v>
      </c>
      <c r="AF52" s="24">
        <f t="shared" si="1"/>
        <v>0</v>
      </c>
      <c r="AG52" s="23">
        <f t="shared" si="2"/>
        <v>1</v>
      </c>
    </row>
    <row r="53" spans="1:33" ht="20" hidden="1" customHeight="1" x14ac:dyDescent="0.25">
      <c r="A53" s="12" t="s">
        <v>31</v>
      </c>
      <c r="B53" s="9">
        <v>46174</v>
      </c>
      <c r="C53" s="10" t="s">
        <v>121</v>
      </c>
      <c r="D53" s="10" t="s">
        <v>122</v>
      </c>
      <c r="E53" s="10" t="s">
        <v>51</v>
      </c>
      <c r="F53" s="10" t="s">
        <v>35</v>
      </c>
      <c r="G53" s="10" t="s">
        <v>3145</v>
      </c>
      <c r="H53" s="8" t="s">
        <v>48</v>
      </c>
      <c r="I53" s="11">
        <v>24.97</v>
      </c>
      <c r="J53" s="6">
        <v>18.727499999999999</v>
      </c>
      <c r="K53" s="6">
        <v>0.75</v>
      </c>
      <c r="L53" s="6">
        <v>22.34</v>
      </c>
      <c r="M53" s="11">
        <v>16.754999999999999</v>
      </c>
      <c r="N53" s="11">
        <f t="shared" si="0"/>
        <v>16.754999999999999</v>
      </c>
      <c r="O53" s="6">
        <v>0.75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2.63</v>
      </c>
      <c r="Z53" s="6">
        <v>1.9724999999999999</v>
      </c>
      <c r="AA53" s="6">
        <v>0.75</v>
      </c>
      <c r="AB53" s="6">
        <v>-2.629999999999999</v>
      </c>
      <c r="AC53" s="6">
        <v>2.629999999999999</v>
      </c>
      <c r="AD53" s="22" t="s">
        <v>3140</v>
      </c>
      <c r="AE53" s="23">
        <f t="shared" si="3"/>
        <v>16.754999999999999</v>
      </c>
      <c r="AF53" s="24">
        <f t="shared" si="1"/>
        <v>0</v>
      </c>
      <c r="AG53" s="23">
        <f t="shared" si="2"/>
        <v>1</v>
      </c>
    </row>
    <row r="54" spans="1:33" x14ac:dyDescent="0.25">
      <c r="A54" s="12" t="s">
        <v>31</v>
      </c>
      <c r="B54" s="9">
        <v>46174</v>
      </c>
      <c r="C54" s="10" t="s">
        <v>123</v>
      </c>
      <c r="D54" s="10" t="s">
        <v>124</v>
      </c>
      <c r="E54" s="10" t="s">
        <v>51</v>
      </c>
      <c r="F54" s="10" t="s">
        <v>35</v>
      </c>
      <c r="G54" s="10" t="s">
        <v>3146</v>
      </c>
      <c r="H54" s="8" t="s">
        <v>36</v>
      </c>
      <c r="I54" s="11">
        <v>29.81</v>
      </c>
      <c r="J54" s="6">
        <v>27.33577</v>
      </c>
      <c r="K54" s="6">
        <v>0.91700000000000004</v>
      </c>
      <c r="L54" s="6">
        <v>28.14</v>
      </c>
      <c r="M54" s="11">
        <v>25.804379999999998</v>
      </c>
      <c r="N54" s="11">
        <f t="shared" si="0"/>
        <v>25.805</v>
      </c>
      <c r="O54" s="6">
        <v>0.91699999999999993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1.67</v>
      </c>
      <c r="Z54" s="6">
        <v>1.53139</v>
      </c>
      <c r="AA54" s="6">
        <v>0.91700000000000004</v>
      </c>
      <c r="AB54" s="6">
        <v>-1.6699999999999982</v>
      </c>
      <c r="AC54" s="6">
        <v>1.6699999999999982</v>
      </c>
      <c r="AD54" s="22" t="s">
        <v>3140</v>
      </c>
      <c r="AE54" s="23">
        <f t="shared" si="3"/>
        <v>25.805</v>
      </c>
      <c r="AF54" s="24">
        <f t="shared" si="1"/>
        <v>0</v>
      </c>
      <c r="AG54" s="23">
        <f t="shared" si="2"/>
        <v>1</v>
      </c>
    </row>
    <row r="55" spans="1:33" x14ac:dyDescent="0.25">
      <c r="A55" s="12" t="s">
        <v>31</v>
      </c>
      <c r="B55" s="9">
        <v>46174</v>
      </c>
      <c r="C55" s="10" t="s">
        <v>125</v>
      </c>
      <c r="D55" s="10" t="s">
        <v>126</v>
      </c>
      <c r="E55" s="10" t="s">
        <v>51</v>
      </c>
      <c r="F55" s="10" t="s">
        <v>35</v>
      </c>
      <c r="G55" s="10" t="s">
        <v>3146</v>
      </c>
      <c r="H55" s="8" t="s">
        <v>36</v>
      </c>
      <c r="I55" s="11">
        <v>32.74</v>
      </c>
      <c r="J55" s="6">
        <v>30.022580000000001</v>
      </c>
      <c r="K55" s="6">
        <v>0.91700000000000004</v>
      </c>
      <c r="L55" s="6">
        <v>29.45</v>
      </c>
      <c r="M55" s="11">
        <v>27.005649999999999</v>
      </c>
      <c r="N55" s="11">
        <f t="shared" si="0"/>
        <v>27.006</v>
      </c>
      <c r="O55" s="6">
        <v>0.91700000000000004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3.29</v>
      </c>
      <c r="Z55" s="6">
        <v>3.0169299999999999</v>
      </c>
      <c r="AA55" s="6">
        <v>0.91699999999999993</v>
      </c>
      <c r="AB55" s="6">
        <v>-3.2900000000000027</v>
      </c>
      <c r="AC55" s="6">
        <v>3.2900000000000027</v>
      </c>
      <c r="AD55" s="22" t="s">
        <v>3140</v>
      </c>
      <c r="AE55" s="23">
        <f t="shared" si="3"/>
        <v>27.006</v>
      </c>
      <c r="AF55" s="24">
        <f t="shared" si="1"/>
        <v>0</v>
      </c>
      <c r="AG55" s="23">
        <f t="shared" si="2"/>
        <v>1</v>
      </c>
    </row>
    <row r="56" spans="1:33" x14ac:dyDescent="0.25">
      <c r="A56" s="12" t="s">
        <v>31</v>
      </c>
      <c r="B56" s="9">
        <v>46174</v>
      </c>
      <c r="C56" s="10" t="s">
        <v>127</v>
      </c>
      <c r="D56" s="10" t="s">
        <v>128</v>
      </c>
      <c r="E56" s="10" t="s">
        <v>51</v>
      </c>
      <c r="F56" s="10" t="s">
        <v>35</v>
      </c>
      <c r="G56" s="10" t="s">
        <v>3146</v>
      </c>
      <c r="H56" s="8" t="s">
        <v>36</v>
      </c>
      <c r="I56" s="11">
        <v>25.74</v>
      </c>
      <c r="J56" s="6">
        <v>23.603580000000001</v>
      </c>
      <c r="K56" s="6">
        <v>0.91700000000000004</v>
      </c>
      <c r="L56" s="6">
        <v>24.15</v>
      </c>
      <c r="M56" s="11">
        <v>22.14555</v>
      </c>
      <c r="N56" s="11">
        <f t="shared" si="0"/>
        <v>22.146000000000001</v>
      </c>
      <c r="O56" s="6">
        <v>0.91700000000000004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1.59</v>
      </c>
      <c r="Z56" s="6">
        <v>1.4580299999999999</v>
      </c>
      <c r="AA56" s="6">
        <v>0.91699999999999993</v>
      </c>
      <c r="AB56" s="6">
        <v>-1.59</v>
      </c>
      <c r="AC56" s="6">
        <v>1.59</v>
      </c>
      <c r="AD56" s="22" t="s">
        <v>3140</v>
      </c>
      <c r="AE56" s="23">
        <f t="shared" si="3"/>
        <v>22.146000000000001</v>
      </c>
      <c r="AF56" s="24">
        <f t="shared" si="1"/>
        <v>0</v>
      </c>
      <c r="AG56" s="23">
        <f t="shared" si="2"/>
        <v>1</v>
      </c>
    </row>
    <row r="57" spans="1:33" hidden="1" x14ac:dyDescent="0.25">
      <c r="A57" s="12" t="s">
        <v>31</v>
      </c>
      <c r="B57" s="9">
        <v>46174</v>
      </c>
      <c r="C57" s="10" t="s">
        <v>129</v>
      </c>
      <c r="D57" s="10" t="s">
        <v>130</v>
      </c>
      <c r="E57" s="10" t="s">
        <v>51</v>
      </c>
      <c r="F57" s="10" t="s">
        <v>35</v>
      </c>
      <c r="G57" s="10" t="s">
        <v>3145</v>
      </c>
      <c r="H57" s="8" t="s">
        <v>41</v>
      </c>
      <c r="I57" s="11">
        <v>59.08</v>
      </c>
      <c r="J57" s="6">
        <v>44.31</v>
      </c>
      <c r="K57" s="6">
        <v>0.75000000000000011</v>
      </c>
      <c r="L57" s="6">
        <v>55.41</v>
      </c>
      <c r="M57" s="11">
        <v>41.557499999999997</v>
      </c>
      <c r="N57" s="11">
        <f t="shared" si="0"/>
        <v>41.558</v>
      </c>
      <c r="O57" s="6">
        <v>0.75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3.67</v>
      </c>
      <c r="Z57" s="6">
        <v>2.7524999999999999</v>
      </c>
      <c r="AA57" s="6">
        <v>0.75</v>
      </c>
      <c r="AB57" s="6">
        <v>-3.6700000000000017</v>
      </c>
      <c r="AC57" s="6">
        <v>3.6700000000000017</v>
      </c>
      <c r="AD57" s="22" t="s">
        <v>3140</v>
      </c>
      <c r="AE57" s="23">
        <f t="shared" si="3"/>
        <v>41.558</v>
      </c>
      <c r="AF57" s="24">
        <f t="shared" si="1"/>
        <v>0</v>
      </c>
      <c r="AG57" s="23">
        <f t="shared" si="2"/>
        <v>1</v>
      </c>
    </row>
    <row r="58" spans="1:33" x14ac:dyDescent="0.25">
      <c r="A58" s="12" t="s">
        <v>31</v>
      </c>
      <c r="B58" s="9">
        <v>46174</v>
      </c>
      <c r="C58" s="10" t="s">
        <v>131</v>
      </c>
      <c r="D58" s="10" t="s">
        <v>132</v>
      </c>
      <c r="E58" s="10" t="s">
        <v>51</v>
      </c>
      <c r="F58" s="10" t="s">
        <v>133</v>
      </c>
      <c r="G58" s="10" t="s">
        <v>3146</v>
      </c>
      <c r="H58" s="8" t="s">
        <v>36</v>
      </c>
      <c r="I58" s="11">
        <v>16.45</v>
      </c>
      <c r="J58" s="6">
        <v>15.08465</v>
      </c>
      <c r="K58" s="6">
        <v>0.91700000000000004</v>
      </c>
      <c r="L58" s="6">
        <v>16.45</v>
      </c>
      <c r="M58" s="11">
        <v>15.08465</v>
      </c>
      <c r="N58" s="11">
        <f t="shared" si="0"/>
        <v>15.084999999999999</v>
      </c>
      <c r="O58" s="6">
        <v>0.91700000000000004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23" t="s">
        <v>3142</v>
      </c>
      <c r="AE58" s="23">
        <f t="shared" si="3"/>
        <v>15.084999999999999</v>
      </c>
      <c r="AF58" s="24">
        <f t="shared" si="1"/>
        <v>0</v>
      </c>
      <c r="AG58" s="23">
        <f t="shared" si="2"/>
        <v>1</v>
      </c>
    </row>
    <row r="59" spans="1:33" x14ac:dyDescent="0.25">
      <c r="A59" s="12" t="s">
        <v>31</v>
      </c>
      <c r="B59" s="9">
        <v>46174</v>
      </c>
      <c r="C59" s="10" t="s">
        <v>134</v>
      </c>
      <c r="D59" s="10" t="s">
        <v>135</v>
      </c>
      <c r="E59" s="10" t="s">
        <v>51</v>
      </c>
      <c r="F59" s="10" t="s">
        <v>133</v>
      </c>
      <c r="G59" s="10" t="s">
        <v>3146</v>
      </c>
      <c r="H59" s="8" t="s">
        <v>36</v>
      </c>
      <c r="I59" s="11">
        <v>51.98</v>
      </c>
      <c r="J59" s="6">
        <v>47.665660000000003</v>
      </c>
      <c r="K59" s="6">
        <v>0.91700000000000015</v>
      </c>
      <c r="L59" s="6">
        <v>51.98</v>
      </c>
      <c r="M59" s="11">
        <v>47.665660000000003</v>
      </c>
      <c r="N59" s="11">
        <f t="shared" si="0"/>
        <v>47.665999999999997</v>
      </c>
      <c r="O59" s="6">
        <v>0.91700000000000015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23" t="s">
        <v>3142</v>
      </c>
      <c r="AE59" s="23">
        <f t="shared" si="3"/>
        <v>47.665999999999997</v>
      </c>
      <c r="AF59" s="24">
        <f t="shared" si="1"/>
        <v>0</v>
      </c>
      <c r="AG59" s="23">
        <f t="shared" si="2"/>
        <v>1</v>
      </c>
    </row>
    <row r="60" spans="1:33" x14ac:dyDescent="0.25">
      <c r="A60" s="12" t="s">
        <v>31</v>
      </c>
      <c r="B60" s="9">
        <v>46174</v>
      </c>
      <c r="C60" s="10" t="s">
        <v>136</v>
      </c>
      <c r="D60" s="10" t="s">
        <v>137</v>
      </c>
      <c r="E60" s="10" t="s">
        <v>51</v>
      </c>
      <c r="F60" s="10" t="s">
        <v>35</v>
      </c>
      <c r="G60" s="10" t="s">
        <v>3146</v>
      </c>
      <c r="H60" s="8" t="s">
        <v>36</v>
      </c>
      <c r="I60" s="11">
        <v>46.18</v>
      </c>
      <c r="J60" s="6">
        <v>42.347059999999999</v>
      </c>
      <c r="K60" s="6">
        <v>0.91700000000000004</v>
      </c>
      <c r="L60" s="6">
        <v>44.55</v>
      </c>
      <c r="M60" s="11">
        <v>40.852350000000001</v>
      </c>
      <c r="N60" s="11">
        <f t="shared" si="0"/>
        <v>40.852999999999994</v>
      </c>
      <c r="O60" s="6">
        <v>0.91700000000000004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1.63</v>
      </c>
      <c r="Z60" s="6">
        <v>1.49471</v>
      </c>
      <c r="AA60" s="6">
        <v>0.91700000000000004</v>
      </c>
      <c r="AB60" s="6">
        <v>-1.6300000000000026</v>
      </c>
      <c r="AC60" s="6">
        <v>1.6300000000000026</v>
      </c>
      <c r="AD60" s="22" t="s">
        <v>3140</v>
      </c>
      <c r="AE60" s="23">
        <f t="shared" si="3"/>
        <v>40.852999999999994</v>
      </c>
      <c r="AF60" s="24">
        <f t="shared" si="1"/>
        <v>0</v>
      </c>
      <c r="AG60" s="23">
        <f t="shared" si="2"/>
        <v>1</v>
      </c>
    </row>
    <row r="61" spans="1:33" x14ac:dyDescent="0.25">
      <c r="A61" s="12" t="s">
        <v>31</v>
      </c>
      <c r="B61" s="9">
        <v>46174</v>
      </c>
      <c r="C61" s="10" t="s">
        <v>138</v>
      </c>
      <c r="D61" s="10" t="s">
        <v>139</v>
      </c>
      <c r="E61" s="10" t="s">
        <v>51</v>
      </c>
      <c r="F61" s="10" t="s">
        <v>35</v>
      </c>
      <c r="G61" s="10" t="s">
        <v>3146</v>
      </c>
      <c r="H61" s="8" t="s">
        <v>36</v>
      </c>
      <c r="I61" s="11">
        <v>21.53</v>
      </c>
      <c r="J61" s="6">
        <v>19.743010000000002</v>
      </c>
      <c r="K61" s="6">
        <v>0.91700000000000004</v>
      </c>
      <c r="L61" s="6">
        <v>20.43</v>
      </c>
      <c r="M61" s="11">
        <v>18.734310000000001</v>
      </c>
      <c r="N61" s="11">
        <f t="shared" si="0"/>
        <v>18.735000000000003</v>
      </c>
      <c r="O61" s="6">
        <v>0.91700000000000004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1.1000000000000001</v>
      </c>
      <c r="Z61" s="6">
        <v>1.0086999999999999</v>
      </c>
      <c r="AA61" s="6">
        <v>0.91699999999999982</v>
      </c>
      <c r="AB61" s="6">
        <v>-1.1000000000000014</v>
      </c>
      <c r="AC61" s="6">
        <v>1.1000000000000014</v>
      </c>
      <c r="AD61" s="22" t="s">
        <v>3140</v>
      </c>
      <c r="AE61" s="23">
        <f t="shared" si="3"/>
        <v>18.735000000000003</v>
      </c>
      <c r="AF61" s="24">
        <f t="shared" si="1"/>
        <v>0</v>
      </c>
      <c r="AG61" s="23">
        <f t="shared" si="2"/>
        <v>1</v>
      </c>
    </row>
    <row r="62" spans="1:33" x14ac:dyDescent="0.25">
      <c r="A62" s="12" t="s">
        <v>31</v>
      </c>
      <c r="B62" s="9">
        <v>46174</v>
      </c>
      <c r="C62" s="10" t="s">
        <v>140</v>
      </c>
      <c r="D62" s="10" t="s">
        <v>141</v>
      </c>
      <c r="E62" s="10" t="s">
        <v>51</v>
      </c>
      <c r="F62" s="10" t="s">
        <v>35</v>
      </c>
      <c r="G62" s="10" t="s">
        <v>3146</v>
      </c>
      <c r="H62" s="8" t="s">
        <v>36</v>
      </c>
      <c r="I62" s="11">
        <v>39.21</v>
      </c>
      <c r="J62" s="6">
        <v>35.955570000000002</v>
      </c>
      <c r="K62" s="6">
        <v>0.91700000000000004</v>
      </c>
      <c r="L62" s="6">
        <v>37.64</v>
      </c>
      <c r="M62" s="11">
        <v>34.515880000000003</v>
      </c>
      <c r="N62" s="11">
        <f t="shared" si="0"/>
        <v>34.515999999999998</v>
      </c>
      <c r="O62" s="6">
        <v>0.91700000000000004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1.57</v>
      </c>
      <c r="Z62" s="6">
        <v>1.4396899999999999</v>
      </c>
      <c r="AA62" s="6">
        <v>0.91699999999999993</v>
      </c>
      <c r="AB62" s="6">
        <v>-1.5700000000000003</v>
      </c>
      <c r="AC62" s="6">
        <v>1.5700000000000003</v>
      </c>
      <c r="AD62" s="22" t="s">
        <v>3140</v>
      </c>
      <c r="AE62" s="23">
        <f t="shared" si="3"/>
        <v>34.515999999999998</v>
      </c>
      <c r="AF62" s="24">
        <f t="shared" si="1"/>
        <v>0</v>
      </c>
      <c r="AG62" s="23">
        <f t="shared" si="2"/>
        <v>1</v>
      </c>
    </row>
    <row r="63" spans="1:33" ht="20" hidden="1" customHeight="1" x14ac:dyDescent="0.25">
      <c r="A63" s="12" t="s">
        <v>31</v>
      </c>
      <c r="B63" s="9">
        <v>46174</v>
      </c>
      <c r="C63" s="10" t="s">
        <v>142</v>
      </c>
      <c r="D63" s="10" t="s">
        <v>143</v>
      </c>
      <c r="E63" s="10" t="s">
        <v>51</v>
      </c>
      <c r="F63" s="10" t="s">
        <v>35</v>
      </c>
      <c r="G63" s="10" t="s">
        <v>3145</v>
      </c>
      <c r="H63" s="8" t="s">
        <v>48</v>
      </c>
      <c r="I63" s="11">
        <v>20.23</v>
      </c>
      <c r="J63" s="6">
        <v>15.172499999999999</v>
      </c>
      <c r="K63" s="6">
        <v>0.75</v>
      </c>
      <c r="L63" s="6">
        <v>17.57</v>
      </c>
      <c r="M63" s="11">
        <v>13.1775</v>
      </c>
      <c r="N63" s="11">
        <f t="shared" si="0"/>
        <v>13.177999999999999</v>
      </c>
      <c r="O63" s="6">
        <v>0.75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2.66</v>
      </c>
      <c r="Z63" s="6">
        <v>1.9950000000000001</v>
      </c>
      <c r="AA63" s="6">
        <v>0.75</v>
      </c>
      <c r="AB63" s="6">
        <v>-2.66</v>
      </c>
      <c r="AC63" s="6">
        <v>2.66</v>
      </c>
      <c r="AD63" s="22" t="s">
        <v>3140</v>
      </c>
      <c r="AE63" s="23">
        <f t="shared" si="3"/>
        <v>13.177999999999999</v>
      </c>
      <c r="AF63" s="24">
        <f t="shared" si="1"/>
        <v>0</v>
      </c>
      <c r="AG63" s="23">
        <f t="shared" si="2"/>
        <v>1</v>
      </c>
    </row>
    <row r="64" spans="1:33" x14ac:dyDescent="0.25">
      <c r="A64" s="12" t="s">
        <v>31</v>
      </c>
      <c r="B64" s="9">
        <v>46174</v>
      </c>
      <c r="C64" s="10" t="s">
        <v>144</v>
      </c>
      <c r="D64" s="10" t="s">
        <v>145</v>
      </c>
      <c r="E64" s="10" t="s">
        <v>51</v>
      </c>
      <c r="F64" s="10" t="s">
        <v>35</v>
      </c>
      <c r="G64" s="10" t="s">
        <v>3146</v>
      </c>
      <c r="H64" s="8" t="s">
        <v>36</v>
      </c>
      <c r="I64" s="11">
        <v>56.72</v>
      </c>
      <c r="J64" s="6">
        <v>52.012239999999998</v>
      </c>
      <c r="K64" s="6">
        <v>0.91700000000000004</v>
      </c>
      <c r="L64" s="6">
        <v>52.57</v>
      </c>
      <c r="M64" s="11">
        <v>48.206690000000002</v>
      </c>
      <c r="N64" s="11">
        <f t="shared" si="0"/>
        <v>48.207000000000001</v>
      </c>
      <c r="O64" s="6">
        <v>0.91700000000000004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4.1500000000000004</v>
      </c>
      <c r="Z64" s="6">
        <v>3.8055500000000002</v>
      </c>
      <c r="AA64" s="6">
        <v>0.91699999999999993</v>
      </c>
      <c r="AB64" s="6">
        <v>-4.1499999999999986</v>
      </c>
      <c r="AC64" s="6">
        <v>4.1499999999999986</v>
      </c>
      <c r="AD64" s="22" t="s">
        <v>3140</v>
      </c>
      <c r="AE64" s="23">
        <f t="shared" si="3"/>
        <v>48.207000000000001</v>
      </c>
      <c r="AF64" s="24">
        <f t="shared" si="1"/>
        <v>0</v>
      </c>
      <c r="AG64" s="23">
        <f t="shared" si="2"/>
        <v>1</v>
      </c>
    </row>
    <row r="65" spans="1:33" x14ac:dyDescent="0.25">
      <c r="A65" s="12" t="s">
        <v>31</v>
      </c>
      <c r="B65" s="9">
        <v>46174</v>
      </c>
      <c r="C65" s="10" t="s">
        <v>146</v>
      </c>
      <c r="D65" s="10" t="s">
        <v>147</v>
      </c>
      <c r="E65" s="10" t="s">
        <v>51</v>
      </c>
      <c r="F65" s="10" t="s">
        <v>35</v>
      </c>
      <c r="G65" s="10" t="s">
        <v>3146</v>
      </c>
      <c r="H65" s="8" t="s">
        <v>36</v>
      </c>
      <c r="I65" s="11">
        <v>33.32</v>
      </c>
      <c r="J65" s="6">
        <v>30.55444</v>
      </c>
      <c r="K65" s="6">
        <v>0.91699999999999993</v>
      </c>
      <c r="L65" s="6">
        <v>32.08</v>
      </c>
      <c r="M65" s="11">
        <v>29.417359999999999</v>
      </c>
      <c r="N65" s="11">
        <f t="shared" si="0"/>
        <v>29.418000000000003</v>
      </c>
      <c r="O65" s="6">
        <v>0.91700000000000004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1.24</v>
      </c>
      <c r="Z65" s="6">
        <v>1.1370800000000001</v>
      </c>
      <c r="AA65" s="6">
        <v>0.91700000000000004</v>
      </c>
      <c r="AB65" s="6">
        <v>-1.240000000000002</v>
      </c>
      <c r="AC65" s="6">
        <v>1.240000000000002</v>
      </c>
      <c r="AD65" s="22" t="s">
        <v>3140</v>
      </c>
      <c r="AE65" s="23">
        <f t="shared" si="3"/>
        <v>29.418000000000003</v>
      </c>
      <c r="AF65" s="24">
        <f t="shared" si="1"/>
        <v>0</v>
      </c>
      <c r="AG65" s="23">
        <f t="shared" si="2"/>
        <v>1</v>
      </c>
    </row>
    <row r="66" spans="1:33" x14ac:dyDescent="0.25">
      <c r="A66" s="12" t="s">
        <v>31</v>
      </c>
      <c r="B66" s="9">
        <v>46174</v>
      </c>
      <c r="C66" s="10" t="s">
        <v>148</v>
      </c>
      <c r="D66" s="10" t="s">
        <v>149</v>
      </c>
      <c r="E66" s="10" t="s">
        <v>51</v>
      </c>
      <c r="F66" s="10" t="s">
        <v>35</v>
      </c>
      <c r="G66" s="10" t="s">
        <v>3146</v>
      </c>
      <c r="H66" s="8" t="s">
        <v>36</v>
      </c>
      <c r="I66" s="11">
        <v>37.17</v>
      </c>
      <c r="J66" s="6">
        <v>34.084890000000001</v>
      </c>
      <c r="K66" s="6">
        <v>0.91700000000000004</v>
      </c>
      <c r="L66" s="6">
        <v>35.18</v>
      </c>
      <c r="M66" s="11">
        <v>32.260060000000003</v>
      </c>
      <c r="N66" s="11">
        <f t="shared" si="0"/>
        <v>32.260999999999996</v>
      </c>
      <c r="O66" s="6">
        <v>0.91700000000000004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1.99</v>
      </c>
      <c r="Z66" s="6">
        <v>1.82483</v>
      </c>
      <c r="AA66" s="6">
        <v>0.91699999999999993</v>
      </c>
      <c r="AB66" s="6">
        <v>-1.990000000000002</v>
      </c>
      <c r="AC66" s="6">
        <v>1.990000000000002</v>
      </c>
      <c r="AD66" s="22" t="s">
        <v>3140</v>
      </c>
      <c r="AE66" s="23">
        <f t="shared" si="3"/>
        <v>32.260999999999996</v>
      </c>
      <c r="AF66" s="24">
        <f t="shared" si="1"/>
        <v>0</v>
      </c>
      <c r="AG66" s="23">
        <f t="shared" si="2"/>
        <v>1</v>
      </c>
    </row>
    <row r="67" spans="1:33" x14ac:dyDescent="0.25">
      <c r="A67" s="12" t="s">
        <v>31</v>
      </c>
      <c r="B67" s="9">
        <v>46174</v>
      </c>
      <c r="C67" s="10" t="s">
        <v>150</v>
      </c>
      <c r="D67" s="10" t="s">
        <v>151</v>
      </c>
      <c r="E67" s="10" t="s">
        <v>51</v>
      </c>
      <c r="F67" s="10" t="s">
        <v>35</v>
      </c>
      <c r="G67" s="10" t="s">
        <v>3146</v>
      </c>
      <c r="H67" s="8" t="s">
        <v>36</v>
      </c>
      <c r="I67" s="11">
        <v>25.4</v>
      </c>
      <c r="J67" s="6">
        <v>23.291799999999999</v>
      </c>
      <c r="K67" s="6">
        <v>0.91700000000000004</v>
      </c>
      <c r="L67" s="6">
        <v>24.42</v>
      </c>
      <c r="M67" s="11">
        <v>22.393139999999999</v>
      </c>
      <c r="N67" s="11">
        <f t="shared" ref="N67:N130" si="4">ROUNDUP(M67,3)</f>
        <v>22.394000000000002</v>
      </c>
      <c r="O67" s="6">
        <v>0.91699999999999993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0.98</v>
      </c>
      <c r="Z67" s="6">
        <v>0.89866000000000001</v>
      </c>
      <c r="AA67" s="6">
        <v>0.91700000000000004</v>
      </c>
      <c r="AB67" s="6">
        <v>-0.97999999999999687</v>
      </c>
      <c r="AC67" s="6">
        <v>0.97999999999999687</v>
      </c>
      <c r="AD67" s="22" t="s">
        <v>3140</v>
      </c>
      <c r="AE67" s="23">
        <f t="shared" ref="AE67:AE130" si="5">_xlfn.MINIFS(N:N,D:D,D67)</f>
        <v>22.394000000000002</v>
      </c>
      <c r="AF67" s="24">
        <f t="shared" ref="AF67:AF130" si="6">N67-AE67</f>
        <v>0</v>
      </c>
      <c r="AG67" s="23">
        <f t="shared" ref="AG67:AG130" si="7">COUNTIF(D:D,D67)</f>
        <v>1</v>
      </c>
    </row>
    <row r="68" spans="1:33" ht="20" hidden="1" customHeight="1" x14ac:dyDescent="0.25">
      <c r="A68" s="12" t="s">
        <v>31</v>
      </c>
      <c r="B68" s="9">
        <v>46174</v>
      </c>
      <c r="C68" s="10" t="s">
        <v>152</v>
      </c>
      <c r="D68" s="10" t="s">
        <v>153</v>
      </c>
      <c r="E68" s="10" t="s">
        <v>51</v>
      </c>
      <c r="F68" s="10" t="s">
        <v>35</v>
      </c>
      <c r="G68" s="10" t="s">
        <v>3145</v>
      </c>
      <c r="H68" s="8" t="s">
        <v>48</v>
      </c>
      <c r="I68" s="11">
        <v>36.36</v>
      </c>
      <c r="J68" s="6">
        <v>27.27</v>
      </c>
      <c r="K68" s="6">
        <v>0.75</v>
      </c>
      <c r="L68" s="6">
        <v>35.9</v>
      </c>
      <c r="M68" s="11">
        <v>26.925000000000001</v>
      </c>
      <c r="N68" s="11">
        <f t="shared" si="4"/>
        <v>26.925000000000001</v>
      </c>
      <c r="O68" s="6">
        <v>0.75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0.46</v>
      </c>
      <c r="Z68" s="6">
        <v>0.34499999999999997</v>
      </c>
      <c r="AA68" s="6">
        <v>0.74999999999999989</v>
      </c>
      <c r="AB68" s="6">
        <v>-0.46000000000000085</v>
      </c>
      <c r="AC68" s="6">
        <v>0.46000000000000085</v>
      </c>
      <c r="AD68" s="22" t="s">
        <v>3140</v>
      </c>
      <c r="AE68" s="23">
        <f t="shared" si="5"/>
        <v>26.925000000000001</v>
      </c>
      <c r="AF68" s="24">
        <f t="shared" si="6"/>
        <v>0</v>
      </c>
      <c r="AG68" s="23">
        <f t="shared" si="7"/>
        <v>1</v>
      </c>
    </row>
    <row r="69" spans="1:33" x14ac:dyDescent="0.25">
      <c r="A69" s="12" t="s">
        <v>31</v>
      </c>
      <c r="B69" s="9">
        <v>46174</v>
      </c>
      <c r="C69" s="10" t="s">
        <v>154</v>
      </c>
      <c r="D69" s="10" t="s">
        <v>155</v>
      </c>
      <c r="E69" s="10" t="s">
        <v>51</v>
      </c>
      <c r="F69" s="10" t="s">
        <v>35</v>
      </c>
      <c r="G69" s="10" t="s">
        <v>3146</v>
      </c>
      <c r="H69" s="8" t="s">
        <v>36</v>
      </c>
      <c r="I69" s="11">
        <v>39.82</v>
      </c>
      <c r="J69" s="6">
        <v>36.514940000000003</v>
      </c>
      <c r="K69" s="6">
        <v>0.91700000000000004</v>
      </c>
      <c r="L69" s="6">
        <v>37.299999999999997</v>
      </c>
      <c r="M69" s="11">
        <v>34.204099999999997</v>
      </c>
      <c r="N69" s="11">
        <f t="shared" si="4"/>
        <v>34.204999999999998</v>
      </c>
      <c r="O69" s="6">
        <v>0.91700000000000004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2.52</v>
      </c>
      <c r="Z69" s="6">
        <v>2.3108399999999998</v>
      </c>
      <c r="AA69" s="6">
        <v>0.91699999999999993</v>
      </c>
      <c r="AB69" s="6">
        <v>-2.5200000000000031</v>
      </c>
      <c r="AC69" s="6">
        <v>2.5200000000000031</v>
      </c>
      <c r="AD69" s="22" t="s">
        <v>3140</v>
      </c>
      <c r="AE69" s="23">
        <f t="shared" si="5"/>
        <v>34.204999999999998</v>
      </c>
      <c r="AF69" s="24">
        <f t="shared" si="6"/>
        <v>0</v>
      </c>
      <c r="AG69" s="23">
        <f t="shared" si="7"/>
        <v>1</v>
      </c>
    </row>
    <row r="70" spans="1:33" x14ac:dyDescent="0.25">
      <c r="A70" s="12" t="s">
        <v>31</v>
      </c>
      <c r="B70" s="9">
        <v>46174</v>
      </c>
      <c r="C70" s="10" t="s">
        <v>156</v>
      </c>
      <c r="D70" s="10" t="s">
        <v>157</v>
      </c>
      <c r="E70" s="10" t="s">
        <v>51</v>
      </c>
      <c r="F70" s="10" t="s">
        <v>35</v>
      </c>
      <c r="G70" s="10" t="s">
        <v>3146</v>
      </c>
      <c r="H70" s="8" t="s">
        <v>36</v>
      </c>
      <c r="I70" s="11">
        <v>74.48</v>
      </c>
      <c r="J70" s="6">
        <v>68.298159999999996</v>
      </c>
      <c r="K70" s="6">
        <v>0.91699999999999993</v>
      </c>
      <c r="L70" s="6">
        <v>68.95</v>
      </c>
      <c r="M70" s="11">
        <v>63.227150000000002</v>
      </c>
      <c r="N70" s="11">
        <f t="shared" si="4"/>
        <v>63.227999999999994</v>
      </c>
      <c r="O70" s="6">
        <v>0.91700000000000004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5.53</v>
      </c>
      <c r="Z70" s="6">
        <v>5.0710100000000002</v>
      </c>
      <c r="AA70" s="6">
        <v>0.91700000000000004</v>
      </c>
      <c r="AB70" s="6">
        <v>-5.5300000000000011</v>
      </c>
      <c r="AC70" s="6">
        <v>5.5300000000000011</v>
      </c>
      <c r="AD70" s="22" t="s">
        <v>3140</v>
      </c>
      <c r="AE70" s="23">
        <f t="shared" si="5"/>
        <v>63.227999999999994</v>
      </c>
      <c r="AF70" s="24">
        <f t="shared" si="6"/>
        <v>0</v>
      </c>
      <c r="AG70" s="23">
        <f t="shared" si="7"/>
        <v>1</v>
      </c>
    </row>
    <row r="71" spans="1:33" ht="12.5" hidden="1" customHeight="1" x14ac:dyDescent="0.25">
      <c r="A71" s="12" t="s">
        <v>31</v>
      </c>
      <c r="B71" s="9">
        <v>46174</v>
      </c>
      <c r="C71" s="8" t="s">
        <v>158</v>
      </c>
      <c r="D71" s="10" t="s">
        <v>159</v>
      </c>
      <c r="E71" s="10" t="s">
        <v>51</v>
      </c>
      <c r="F71" s="10" t="s">
        <v>35</v>
      </c>
      <c r="G71" s="10" t="s">
        <v>3145</v>
      </c>
      <c r="H71" s="8" t="s">
        <v>48</v>
      </c>
      <c r="I71" s="11">
        <v>20.54</v>
      </c>
      <c r="J71" s="6">
        <v>15.404999999999999</v>
      </c>
      <c r="K71" s="6">
        <v>0.75</v>
      </c>
      <c r="L71" s="6">
        <v>16.079999999999998</v>
      </c>
      <c r="M71" s="11">
        <v>12.06</v>
      </c>
      <c r="N71" s="11">
        <f t="shared" si="4"/>
        <v>12.06</v>
      </c>
      <c r="O71" s="6">
        <v>0.75000000000000011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4.46</v>
      </c>
      <c r="Z71" s="6">
        <v>3.3450000000000002</v>
      </c>
      <c r="AA71" s="6">
        <v>0.75</v>
      </c>
      <c r="AB71" s="6">
        <v>-4.4600000000000009</v>
      </c>
      <c r="AC71" s="6">
        <v>4.4600000000000009</v>
      </c>
      <c r="AD71" s="22" t="s">
        <v>3140</v>
      </c>
      <c r="AE71" s="23">
        <f t="shared" si="5"/>
        <v>12.06</v>
      </c>
      <c r="AF71" s="24">
        <f t="shared" si="6"/>
        <v>0</v>
      </c>
      <c r="AG71" s="23">
        <f t="shared" si="7"/>
        <v>1</v>
      </c>
    </row>
    <row r="72" spans="1:33" ht="12.5" hidden="1" customHeight="1" x14ac:dyDescent="0.25">
      <c r="A72" s="12" t="s">
        <v>31</v>
      </c>
      <c r="B72" s="9">
        <v>46174</v>
      </c>
      <c r="C72" s="12" t="s">
        <v>158</v>
      </c>
      <c r="D72" s="10" t="s">
        <v>160</v>
      </c>
      <c r="E72" s="10" t="s">
        <v>51</v>
      </c>
      <c r="F72" s="10" t="s">
        <v>35</v>
      </c>
      <c r="G72" s="10" t="s">
        <v>3145</v>
      </c>
      <c r="H72" s="8" t="s">
        <v>48</v>
      </c>
      <c r="I72" s="11">
        <v>14.28</v>
      </c>
      <c r="J72" s="6">
        <v>10.71</v>
      </c>
      <c r="K72" s="6">
        <v>0.75000000000000011</v>
      </c>
      <c r="L72" s="6">
        <v>13.15</v>
      </c>
      <c r="M72" s="11">
        <v>9.8625000000000007</v>
      </c>
      <c r="N72" s="11">
        <f t="shared" si="4"/>
        <v>9.8629999999999995</v>
      </c>
      <c r="O72" s="6">
        <v>0.75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1.1299999999999999</v>
      </c>
      <c r="Z72" s="6">
        <v>0.84750000000000003</v>
      </c>
      <c r="AA72" s="6">
        <v>0.75000000000000011</v>
      </c>
      <c r="AB72" s="6">
        <v>-1.129999999999999</v>
      </c>
      <c r="AC72" s="6">
        <v>1.129999999999999</v>
      </c>
      <c r="AD72" s="22" t="s">
        <v>3140</v>
      </c>
      <c r="AE72" s="23">
        <f t="shared" si="5"/>
        <v>9.8629999999999995</v>
      </c>
      <c r="AF72" s="24">
        <f t="shared" si="6"/>
        <v>0</v>
      </c>
      <c r="AG72" s="23">
        <f t="shared" si="7"/>
        <v>1</v>
      </c>
    </row>
    <row r="73" spans="1:33" ht="12.5" customHeight="1" x14ac:dyDescent="0.25">
      <c r="A73" s="12" t="s">
        <v>31</v>
      </c>
      <c r="B73" s="9">
        <v>46174</v>
      </c>
      <c r="C73" s="12" t="s">
        <v>158</v>
      </c>
      <c r="D73" s="10" t="s">
        <v>161</v>
      </c>
      <c r="E73" s="10" t="s">
        <v>51</v>
      </c>
      <c r="F73" s="10" t="s">
        <v>35</v>
      </c>
      <c r="G73" s="10" t="s">
        <v>3146</v>
      </c>
      <c r="H73" s="8" t="s">
        <v>36</v>
      </c>
      <c r="I73" s="11">
        <v>48.23</v>
      </c>
      <c r="J73" s="6">
        <v>44.226909999999997</v>
      </c>
      <c r="K73" s="6">
        <v>0.91700000000000004</v>
      </c>
      <c r="L73" s="6">
        <v>45.61</v>
      </c>
      <c r="M73" s="11">
        <v>41.824370000000002</v>
      </c>
      <c r="N73" s="11">
        <f t="shared" si="4"/>
        <v>41.824999999999996</v>
      </c>
      <c r="O73" s="6">
        <v>0.91700000000000004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2.62</v>
      </c>
      <c r="Z73" s="6">
        <v>2.4025400000000001</v>
      </c>
      <c r="AA73" s="6">
        <v>0.91700000000000004</v>
      </c>
      <c r="AB73" s="6">
        <v>-2.6199999999999974</v>
      </c>
      <c r="AC73" s="6">
        <v>2.6199999999999974</v>
      </c>
      <c r="AD73" s="22" t="s">
        <v>3140</v>
      </c>
      <c r="AE73" s="23">
        <f t="shared" si="5"/>
        <v>41.824999999999996</v>
      </c>
      <c r="AF73" s="24">
        <f t="shared" si="6"/>
        <v>0</v>
      </c>
      <c r="AG73" s="23">
        <f t="shared" si="7"/>
        <v>1</v>
      </c>
    </row>
    <row r="74" spans="1:33" ht="12.5" customHeight="1" x14ac:dyDescent="0.25">
      <c r="A74" s="12" t="s">
        <v>31</v>
      </c>
      <c r="B74" s="9">
        <v>46174</v>
      </c>
      <c r="C74" s="12" t="s">
        <v>158</v>
      </c>
      <c r="D74" s="10" t="s">
        <v>162</v>
      </c>
      <c r="E74" s="10" t="s">
        <v>51</v>
      </c>
      <c r="F74" s="10" t="s">
        <v>35</v>
      </c>
      <c r="G74" s="10" t="s">
        <v>3146</v>
      </c>
      <c r="H74" s="8" t="s">
        <v>36</v>
      </c>
      <c r="I74" s="11">
        <v>42.13</v>
      </c>
      <c r="J74" s="6">
        <v>38.633209999999998</v>
      </c>
      <c r="K74" s="6">
        <v>0.91699999999999993</v>
      </c>
      <c r="L74" s="6">
        <v>39.43</v>
      </c>
      <c r="M74" s="11">
        <v>36.157310000000003</v>
      </c>
      <c r="N74" s="11">
        <f t="shared" si="4"/>
        <v>36.157999999999994</v>
      </c>
      <c r="O74" s="6">
        <v>0.91700000000000004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2.7</v>
      </c>
      <c r="Z74" s="6">
        <v>2.4759000000000002</v>
      </c>
      <c r="AA74" s="6">
        <v>0.91700000000000004</v>
      </c>
      <c r="AB74" s="6">
        <v>-2.7000000000000028</v>
      </c>
      <c r="AC74" s="6">
        <v>2.7000000000000028</v>
      </c>
      <c r="AD74" s="22" t="s">
        <v>3140</v>
      </c>
      <c r="AE74" s="23">
        <f t="shared" si="5"/>
        <v>36.157999999999994</v>
      </c>
      <c r="AF74" s="24">
        <f t="shared" si="6"/>
        <v>0</v>
      </c>
      <c r="AG74" s="23">
        <f t="shared" si="7"/>
        <v>1</v>
      </c>
    </row>
    <row r="75" spans="1:33" ht="12.5" customHeight="1" x14ac:dyDescent="0.25">
      <c r="A75" s="12" t="s">
        <v>31</v>
      </c>
      <c r="B75" s="9">
        <v>46174</v>
      </c>
      <c r="C75" s="12" t="s">
        <v>158</v>
      </c>
      <c r="D75" s="10" t="s">
        <v>163</v>
      </c>
      <c r="E75" s="10" t="s">
        <v>51</v>
      </c>
      <c r="F75" s="10" t="s">
        <v>35</v>
      </c>
      <c r="G75" s="10" t="s">
        <v>3146</v>
      </c>
      <c r="H75" s="8" t="s">
        <v>36</v>
      </c>
      <c r="I75" s="11">
        <v>37.450000000000003</v>
      </c>
      <c r="J75" s="6">
        <v>34.341650000000001</v>
      </c>
      <c r="K75" s="6">
        <v>0.91699999999999993</v>
      </c>
      <c r="L75" s="6">
        <v>35.83</v>
      </c>
      <c r="M75" s="11">
        <v>32.856110000000001</v>
      </c>
      <c r="N75" s="11">
        <f t="shared" si="4"/>
        <v>32.856999999999999</v>
      </c>
      <c r="O75" s="6">
        <v>0.91700000000000004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1.62</v>
      </c>
      <c r="Z75" s="6">
        <v>1.4855400000000001</v>
      </c>
      <c r="AA75" s="6">
        <v>0.91700000000000004</v>
      </c>
      <c r="AB75" s="6">
        <v>-1.6200000000000045</v>
      </c>
      <c r="AC75" s="6">
        <v>1.6200000000000045</v>
      </c>
      <c r="AD75" s="22" t="s">
        <v>3140</v>
      </c>
      <c r="AE75" s="23">
        <f t="shared" si="5"/>
        <v>32.856999999999999</v>
      </c>
      <c r="AF75" s="24">
        <f t="shared" si="6"/>
        <v>0</v>
      </c>
      <c r="AG75" s="23">
        <f t="shared" si="7"/>
        <v>1</v>
      </c>
    </row>
    <row r="76" spans="1:33" ht="12.5" customHeight="1" x14ac:dyDescent="0.25">
      <c r="A76" s="12" t="s">
        <v>31</v>
      </c>
      <c r="B76" s="9">
        <v>46174</v>
      </c>
      <c r="C76" s="12" t="s">
        <v>158</v>
      </c>
      <c r="D76" s="10" t="s">
        <v>164</v>
      </c>
      <c r="E76" s="10" t="s">
        <v>51</v>
      </c>
      <c r="F76" s="10" t="s">
        <v>35</v>
      </c>
      <c r="G76" s="10" t="s">
        <v>3146</v>
      </c>
      <c r="H76" s="8" t="s">
        <v>36</v>
      </c>
      <c r="I76" s="11">
        <v>41.8</v>
      </c>
      <c r="J76" s="6">
        <v>38.330599999999997</v>
      </c>
      <c r="K76" s="6">
        <v>0.91700000000000004</v>
      </c>
      <c r="L76" s="6">
        <v>40.57</v>
      </c>
      <c r="M76" s="11">
        <v>37.202689999999997</v>
      </c>
      <c r="N76" s="11">
        <f t="shared" si="4"/>
        <v>37.202999999999996</v>
      </c>
      <c r="O76" s="6">
        <v>0.91699999999999993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1.23</v>
      </c>
      <c r="Z76" s="6">
        <v>1.12791</v>
      </c>
      <c r="AA76" s="6">
        <v>0.91700000000000004</v>
      </c>
      <c r="AB76" s="6">
        <v>-1.2299999999999969</v>
      </c>
      <c r="AC76" s="6">
        <v>1.2299999999999969</v>
      </c>
      <c r="AD76" s="22" t="s">
        <v>3140</v>
      </c>
      <c r="AE76" s="23">
        <f t="shared" si="5"/>
        <v>37.202999999999996</v>
      </c>
      <c r="AF76" s="24">
        <f t="shared" si="6"/>
        <v>0</v>
      </c>
      <c r="AG76" s="23">
        <f t="shared" si="7"/>
        <v>1</v>
      </c>
    </row>
    <row r="77" spans="1:33" ht="12.5" customHeight="1" x14ac:dyDescent="0.25">
      <c r="A77" s="12" t="s">
        <v>31</v>
      </c>
      <c r="B77" s="9">
        <v>46174</v>
      </c>
      <c r="C77" s="12" t="s">
        <v>158</v>
      </c>
      <c r="D77" s="10" t="s">
        <v>165</v>
      </c>
      <c r="E77" s="10" t="s">
        <v>51</v>
      </c>
      <c r="F77" s="10" t="s">
        <v>35</v>
      </c>
      <c r="G77" s="10" t="s">
        <v>3146</v>
      </c>
      <c r="H77" s="8" t="s">
        <v>36</v>
      </c>
      <c r="I77" s="11">
        <v>21.33</v>
      </c>
      <c r="J77" s="6">
        <v>19.559609999999999</v>
      </c>
      <c r="K77" s="6">
        <v>0.91700000000000004</v>
      </c>
      <c r="L77" s="6">
        <v>20.68</v>
      </c>
      <c r="M77" s="11">
        <v>18.963560000000001</v>
      </c>
      <c r="N77" s="11">
        <f t="shared" si="4"/>
        <v>18.964000000000002</v>
      </c>
      <c r="O77" s="6">
        <v>0.91700000000000004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0.65</v>
      </c>
      <c r="Z77" s="6">
        <v>0.59604999999999997</v>
      </c>
      <c r="AA77" s="6">
        <v>0.91699999999999993</v>
      </c>
      <c r="AB77" s="6">
        <v>-0.64999999999999858</v>
      </c>
      <c r="AC77" s="6">
        <v>0.64999999999999858</v>
      </c>
      <c r="AD77" s="22" t="s">
        <v>3140</v>
      </c>
      <c r="AE77" s="23">
        <f t="shared" si="5"/>
        <v>18.964000000000002</v>
      </c>
      <c r="AF77" s="24">
        <f t="shared" si="6"/>
        <v>0</v>
      </c>
      <c r="AG77" s="23">
        <f t="shared" si="7"/>
        <v>1</v>
      </c>
    </row>
    <row r="78" spans="1:33" ht="12.5" customHeight="1" x14ac:dyDescent="0.25">
      <c r="A78" s="12" t="s">
        <v>31</v>
      </c>
      <c r="B78" s="9">
        <v>46174</v>
      </c>
      <c r="C78" s="12" t="s">
        <v>158</v>
      </c>
      <c r="D78" s="10" t="s">
        <v>166</v>
      </c>
      <c r="E78" s="10" t="s">
        <v>51</v>
      </c>
      <c r="F78" s="10" t="s">
        <v>35</v>
      </c>
      <c r="G78" s="10" t="s">
        <v>3146</v>
      </c>
      <c r="H78" s="8" t="s">
        <v>36</v>
      </c>
      <c r="I78" s="11">
        <v>33.44</v>
      </c>
      <c r="J78" s="6">
        <v>30.664480000000001</v>
      </c>
      <c r="K78" s="6">
        <v>0.91700000000000015</v>
      </c>
      <c r="L78" s="6">
        <v>31.1</v>
      </c>
      <c r="M78" s="11">
        <v>28.518699999999999</v>
      </c>
      <c r="N78" s="11">
        <f t="shared" si="4"/>
        <v>28.519000000000002</v>
      </c>
      <c r="O78" s="6">
        <v>0.91699999999999993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2.34</v>
      </c>
      <c r="Z78" s="6">
        <v>2.1457799999999998</v>
      </c>
      <c r="AA78" s="6">
        <v>0.91699999999999993</v>
      </c>
      <c r="AB78" s="6">
        <v>-2.3399999999999963</v>
      </c>
      <c r="AC78" s="6">
        <v>2.3399999999999963</v>
      </c>
      <c r="AD78" s="22" t="s">
        <v>3140</v>
      </c>
      <c r="AE78" s="23">
        <f t="shared" si="5"/>
        <v>28.519000000000002</v>
      </c>
      <c r="AF78" s="24">
        <f t="shared" si="6"/>
        <v>0</v>
      </c>
      <c r="AG78" s="23">
        <f t="shared" si="7"/>
        <v>1</v>
      </c>
    </row>
    <row r="79" spans="1:33" ht="12.5" hidden="1" customHeight="1" x14ac:dyDescent="0.25">
      <c r="A79" s="12" t="s">
        <v>31</v>
      </c>
      <c r="B79" s="9">
        <v>46174</v>
      </c>
      <c r="C79" s="13" t="s">
        <v>158</v>
      </c>
      <c r="D79" s="10" t="s">
        <v>167</v>
      </c>
      <c r="E79" s="10" t="s">
        <v>51</v>
      </c>
      <c r="F79" s="10" t="s">
        <v>35</v>
      </c>
      <c r="G79" s="10" t="s">
        <v>3145</v>
      </c>
      <c r="H79" s="8" t="s">
        <v>41</v>
      </c>
      <c r="I79" s="11">
        <v>32.75</v>
      </c>
      <c r="J79" s="6">
        <v>24.5625</v>
      </c>
      <c r="K79" s="6">
        <v>0.75</v>
      </c>
      <c r="L79" s="6">
        <v>30.9</v>
      </c>
      <c r="M79" s="11">
        <v>23.175000000000001</v>
      </c>
      <c r="N79" s="11">
        <f t="shared" si="4"/>
        <v>23.175000000000001</v>
      </c>
      <c r="O79" s="6">
        <v>0.75000000000000011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1.85</v>
      </c>
      <c r="Z79" s="6">
        <v>1.3875</v>
      </c>
      <c r="AA79" s="6">
        <v>0.74999999999999989</v>
      </c>
      <c r="AB79" s="6">
        <v>-1.8500000000000014</v>
      </c>
      <c r="AC79" s="6">
        <v>1.8500000000000014</v>
      </c>
      <c r="AD79" s="22" t="s">
        <v>3140</v>
      </c>
      <c r="AE79" s="23">
        <f t="shared" si="5"/>
        <v>23.175000000000001</v>
      </c>
      <c r="AF79" s="24">
        <f t="shared" si="6"/>
        <v>0</v>
      </c>
      <c r="AG79" s="23">
        <f t="shared" si="7"/>
        <v>1</v>
      </c>
    </row>
    <row r="80" spans="1:33" x14ac:dyDescent="0.25">
      <c r="A80" s="12" t="s">
        <v>31</v>
      </c>
      <c r="B80" s="9">
        <v>46174</v>
      </c>
      <c r="C80" s="10" t="s">
        <v>168</v>
      </c>
      <c r="D80" s="10" t="s">
        <v>169</v>
      </c>
      <c r="E80" s="10" t="s">
        <v>51</v>
      </c>
      <c r="F80" s="10" t="s">
        <v>35</v>
      </c>
      <c r="G80" s="10" t="s">
        <v>3146</v>
      </c>
      <c r="H80" s="8" t="s">
        <v>36</v>
      </c>
      <c r="I80" s="11">
        <v>30.94</v>
      </c>
      <c r="J80" s="6">
        <v>28.371980000000001</v>
      </c>
      <c r="K80" s="6">
        <v>0.91700000000000004</v>
      </c>
      <c r="L80" s="6">
        <v>29.85</v>
      </c>
      <c r="M80" s="11">
        <v>27.372450000000001</v>
      </c>
      <c r="N80" s="11">
        <f t="shared" si="4"/>
        <v>27.373000000000001</v>
      </c>
      <c r="O80" s="6">
        <v>0.91699999999999993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1.0900000000000001</v>
      </c>
      <c r="Z80" s="6">
        <v>0.99953000000000003</v>
      </c>
      <c r="AA80" s="6">
        <v>0.91699999999999993</v>
      </c>
      <c r="AB80" s="6">
        <v>-1.0899999999999999</v>
      </c>
      <c r="AC80" s="6">
        <v>1.0899999999999999</v>
      </c>
      <c r="AD80" s="22" t="s">
        <v>3140</v>
      </c>
      <c r="AE80" s="23">
        <f t="shared" si="5"/>
        <v>27.373000000000001</v>
      </c>
      <c r="AF80" s="24">
        <f t="shared" si="6"/>
        <v>0</v>
      </c>
      <c r="AG80" s="23">
        <f t="shared" si="7"/>
        <v>1</v>
      </c>
    </row>
    <row r="81" spans="1:33" ht="12.5" customHeight="1" x14ac:dyDescent="0.25">
      <c r="A81" s="12" t="s">
        <v>31</v>
      </c>
      <c r="B81" s="9">
        <v>46174</v>
      </c>
      <c r="C81" s="8" t="s">
        <v>170</v>
      </c>
      <c r="D81" s="10" t="s">
        <v>171</v>
      </c>
      <c r="E81" s="10" t="s">
        <v>51</v>
      </c>
      <c r="F81" s="10" t="s">
        <v>35</v>
      </c>
      <c r="G81" s="10" t="s">
        <v>3146</v>
      </c>
      <c r="H81" s="8" t="s">
        <v>36</v>
      </c>
      <c r="I81" s="11">
        <v>46.72</v>
      </c>
      <c r="J81" s="6">
        <v>42.842239999999997</v>
      </c>
      <c r="K81" s="6">
        <v>0.91699999999999993</v>
      </c>
      <c r="L81" s="6">
        <v>45.31</v>
      </c>
      <c r="M81" s="11">
        <v>41.54927</v>
      </c>
      <c r="N81" s="11">
        <f t="shared" si="4"/>
        <v>41.55</v>
      </c>
      <c r="O81" s="6">
        <v>0.91699999999999993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1.41</v>
      </c>
      <c r="Z81" s="6">
        <v>1.29297</v>
      </c>
      <c r="AA81" s="6">
        <v>0.91700000000000004</v>
      </c>
      <c r="AB81" s="6">
        <v>-1.4099999999999966</v>
      </c>
      <c r="AC81" s="6">
        <v>1.4099999999999966</v>
      </c>
      <c r="AD81" s="22" t="s">
        <v>3140</v>
      </c>
      <c r="AE81" s="23">
        <f t="shared" si="5"/>
        <v>41.55</v>
      </c>
      <c r="AF81" s="24">
        <f t="shared" si="6"/>
        <v>0</v>
      </c>
      <c r="AG81" s="23">
        <f t="shared" si="7"/>
        <v>1</v>
      </c>
    </row>
    <row r="82" spans="1:33" ht="12.5" hidden="1" customHeight="1" x14ac:dyDescent="0.25">
      <c r="A82" s="12" t="s">
        <v>31</v>
      </c>
      <c r="B82" s="9">
        <v>46174</v>
      </c>
      <c r="C82" s="12" t="s">
        <v>170</v>
      </c>
      <c r="D82" s="10" t="s">
        <v>172</v>
      </c>
      <c r="E82" s="10" t="s">
        <v>51</v>
      </c>
      <c r="F82" s="10" t="s">
        <v>35</v>
      </c>
      <c r="G82" s="10" t="s">
        <v>3145</v>
      </c>
      <c r="H82" s="8" t="s">
        <v>41</v>
      </c>
      <c r="I82" s="11">
        <v>15.4</v>
      </c>
      <c r="J82" s="6">
        <v>11.55</v>
      </c>
      <c r="K82" s="6">
        <v>0.75</v>
      </c>
      <c r="L82" s="6">
        <v>14.12</v>
      </c>
      <c r="M82" s="11">
        <v>10.59</v>
      </c>
      <c r="N82" s="11">
        <f t="shared" si="4"/>
        <v>10.59</v>
      </c>
      <c r="O82" s="6">
        <v>0.75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1.28</v>
      </c>
      <c r="Z82" s="6">
        <v>0.96</v>
      </c>
      <c r="AA82" s="6">
        <v>0.75</v>
      </c>
      <c r="AB82" s="6">
        <v>-1.2800000000000011</v>
      </c>
      <c r="AC82" s="6">
        <v>1.2800000000000011</v>
      </c>
      <c r="AD82" s="22" t="s">
        <v>3140</v>
      </c>
      <c r="AE82" s="23">
        <f t="shared" si="5"/>
        <v>10.59</v>
      </c>
      <c r="AF82" s="24">
        <f t="shared" si="6"/>
        <v>0</v>
      </c>
      <c r="AG82" s="23">
        <f t="shared" si="7"/>
        <v>1</v>
      </c>
    </row>
    <row r="83" spans="1:33" ht="12.5" customHeight="1" x14ac:dyDescent="0.25">
      <c r="A83" s="12" t="s">
        <v>31</v>
      </c>
      <c r="B83" s="9">
        <v>46174</v>
      </c>
      <c r="C83" s="12" t="s">
        <v>170</v>
      </c>
      <c r="D83" s="10" t="s">
        <v>173</v>
      </c>
      <c r="E83" s="10" t="s">
        <v>51</v>
      </c>
      <c r="F83" s="10" t="s">
        <v>35</v>
      </c>
      <c r="G83" s="10" t="s">
        <v>3146</v>
      </c>
      <c r="H83" s="8" t="s">
        <v>36</v>
      </c>
      <c r="I83" s="11">
        <v>2.93</v>
      </c>
      <c r="J83" s="6">
        <v>2.6868099999999999</v>
      </c>
      <c r="K83" s="6">
        <v>0.91699999999999993</v>
      </c>
      <c r="L83" s="6">
        <v>2.9</v>
      </c>
      <c r="M83" s="11">
        <v>2.6593</v>
      </c>
      <c r="N83" s="11">
        <f t="shared" si="4"/>
        <v>2.6599999999999997</v>
      </c>
      <c r="O83" s="6">
        <v>0.91700000000000004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0.03</v>
      </c>
      <c r="Z83" s="6">
        <v>2.751E-2</v>
      </c>
      <c r="AA83" s="6">
        <v>0.91700000000000004</v>
      </c>
      <c r="AB83" s="6">
        <v>-3.0000000000000249E-2</v>
      </c>
      <c r="AC83" s="6">
        <v>3.0000000000000249E-2</v>
      </c>
      <c r="AD83" s="22" t="s">
        <v>3140</v>
      </c>
      <c r="AE83" s="23">
        <f t="shared" si="5"/>
        <v>2.6599999999999997</v>
      </c>
      <c r="AF83" s="24">
        <f t="shared" si="6"/>
        <v>0</v>
      </c>
      <c r="AG83" s="23">
        <f t="shared" si="7"/>
        <v>1</v>
      </c>
    </row>
    <row r="84" spans="1:33" ht="12.5" customHeight="1" x14ac:dyDescent="0.25">
      <c r="A84" s="12" t="s">
        <v>31</v>
      </c>
      <c r="B84" s="9">
        <v>46174</v>
      </c>
      <c r="C84" s="13" t="s">
        <v>170</v>
      </c>
      <c r="D84" s="10" t="s">
        <v>174</v>
      </c>
      <c r="E84" s="10" t="s">
        <v>51</v>
      </c>
      <c r="F84" s="10" t="s">
        <v>35</v>
      </c>
      <c r="G84" s="10" t="s">
        <v>3146</v>
      </c>
      <c r="H84" s="8" t="s">
        <v>36</v>
      </c>
      <c r="I84" s="11">
        <v>1.921</v>
      </c>
      <c r="J84" s="6">
        <v>1.761557</v>
      </c>
      <c r="K84" s="6">
        <v>0.91700000000000004</v>
      </c>
      <c r="L84" s="6">
        <v>1.861</v>
      </c>
      <c r="M84" s="11">
        <v>1.706537</v>
      </c>
      <c r="N84" s="11">
        <f t="shared" si="4"/>
        <v>1.7069999999999999</v>
      </c>
      <c r="O84" s="6">
        <v>0.91700000000000004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0.06</v>
      </c>
      <c r="Z84" s="6">
        <v>5.5019999999999999E-2</v>
      </c>
      <c r="AA84" s="6">
        <v>0.91700000000000004</v>
      </c>
      <c r="AB84" s="6">
        <v>-6.0000000000000053E-2</v>
      </c>
      <c r="AC84" s="6">
        <v>6.0000000000000053E-2</v>
      </c>
      <c r="AD84" s="22" t="s">
        <v>3140</v>
      </c>
      <c r="AE84" s="23">
        <f t="shared" si="5"/>
        <v>1.7069999999999999</v>
      </c>
      <c r="AF84" s="24">
        <f t="shared" si="6"/>
        <v>0</v>
      </c>
      <c r="AG84" s="23">
        <f t="shared" si="7"/>
        <v>1</v>
      </c>
    </row>
    <row r="85" spans="1:33" x14ac:dyDescent="0.25">
      <c r="A85" s="12" t="s">
        <v>31</v>
      </c>
      <c r="B85" s="9">
        <v>46174</v>
      </c>
      <c r="C85" s="10" t="s">
        <v>175</v>
      </c>
      <c r="D85" s="10" t="s">
        <v>176</v>
      </c>
      <c r="E85" s="10" t="s">
        <v>51</v>
      </c>
      <c r="F85" s="10" t="s">
        <v>35</v>
      </c>
      <c r="G85" s="10" t="s">
        <v>3146</v>
      </c>
      <c r="H85" s="8" t="s">
        <v>36</v>
      </c>
      <c r="I85" s="11">
        <v>25.18</v>
      </c>
      <c r="J85" s="6">
        <v>23.090060000000001</v>
      </c>
      <c r="K85" s="6">
        <v>0.91700000000000004</v>
      </c>
      <c r="L85" s="6">
        <v>23.24</v>
      </c>
      <c r="M85" s="11">
        <v>21.31108</v>
      </c>
      <c r="N85" s="11">
        <f t="shared" si="4"/>
        <v>21.312000000000001</v>
      </c>
      <c r="O85" s="6">
        <v>0.91700000000000004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1.94</v>
      </c>
      <c r="Z85" s="6">
        <v>1.77898</v>
      </c>
      <c r="AA85" s="6">
        <v>0.91700000000000004</v>
      </c>
      <c r="AB85" s="6">
        <v>-1.9400000000000013</v>
      </c>
      <c r="AC85" s="6">
        <v>1.9400000000000013</v>
      </c>
      <c r="AD85" s="22" t="s">
        <v>3140</v>
      </c>
      <c r="AE85" s="23">
        <f t="shared" si="5"/>
        <v>21.312000000000001</v>
      </c>
      <c r="AF85" s="24">
        <f t="shared" si="6"/>
        <v>0</v>
      </c>
      <c r="AG85" s="23">
        <f t="shared" si="7"/>
        <v>1</v>
      </c>
    </row>
    <row r="86" spans="1:33" x14ac:dyDescent="0.25">
      <c r="A86" s="12" t="s">
        <v>31</v>
      </c>
      <c r="B86" s="9">
        <v>46174</v>
      </c>
      <c r="C86" s="10" t="s">
        <v>177</v>
      </c>
      <c r="D86" s="10" t="s">
        <v>178</v>
      </c>
      <c r="E86" s="10" t="s">
        <v>51</v>
      </c>
      <c r="F86" s="10" t="s">
        <v>35</v>
      </c>
      <c r="G86" s="10" t="s">
        <v>3146</v>
      </c>
      <c r="H86" s="8" t="s">
        <v>36</v>
      </c>
      <c r="I86" s="11">
        <v>40.68</v>
      </c>
      <c r="J86" s="6">
        <v>37.303559999999997</v>
      </c>
      <c r="K86" s="6">
        <v>0.91699999999999993</v>
      </c>
      <c r="L86" s="6">
        <v>38.89</v>
      </c>
      <c r="M86" s="11">
        <v>35.662129999999998</v>
      </c>
      <c r="N86" s="11">
        <f t="shared" si="4"/>
        <v>35.662999999999997</v>
      </c>
      <c r="O86" s="6">
        <v>0.91699999999999993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1.79</v>
      </c>
      <c r="Z86" s="6">
        <v>1.6414299999999999</v>
      </c>
      <c r="AA86" s="6">
        <v>0.91699999999999993</v>
      </c>
      <c r="AB86" s="6">
        <v>-1.7899999999999991</v>
      </c>
      <c r="AC86" s="6">
        <v>1.7899999999999991</v>
      </c>
      <c r="AD86" s="22" t="s">
        <v>3140</v>
      </c>
      <c r="AE86" s="23">
        <f t="shared" si="5"/>
        <v>35.662999999999997</v>
      </c>
      <c r="AF86" s="24">
        <f t="shared" si="6"/>
        <v>0</v>
      </c>
      <c r="AG86" s="23">
        <f t="shared" si="7"/>
        <v>1</v>
      </c>
    </row>
    <row r="87" spans="1:33" ht="12.5" hidden="1" customHeight="1" x14ac:dyDescent="0.25">
      <c r="A87" s="12" t="s">
        <v>31</v>
      </c>
      <c r="B87" s="9">
        <v>46175</v>
      </c>
      <c r="C87" s="10" t="s">
        <v>179</v>
      </c>
      <c r="D87" s="10" t="s">
        <v>180</v>
      </c>
      <c r="E87" s="10" t="s">
        <v>34</v>
      </c>
      <c r="F87" s="10" t="s">
        <v>35</v>
      </c>
      <c r="G87" s="10" t="s">
        <v>3145</v>
      </c>
      <c r="H87" s="8" t="s">
        <v>41</v>
      </c>
      <c r="I87" s="11">
        <v>13.84</v>
      </c>
      <c r="J87" s="6">
        <v>10.38</v>
      </c>
      <c r="K87" s="6">
        <v>0.75000000000000011</v>
      </c>
      <c r="L87" s="6">
        <v>13.08</v>
      </c>
      <c r="M87" s="11">
        <v>9.81</v>
      </c>
      <c r="N87" s="11">
        <f t="shared" si="4"/>
        <v>9.81</v>
      </c>
      <c r="O87" s="6">
        <v>0.75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0.76</v>
      </c>
      <c r="Z87" s="6">
        <v>0.56999999999999995</v>
      </c>
      <c r="AA87" s="6">
        <v>0.74999999999999989</v>
      </c>
      <c r="AB87" s="6">
        <v>-0.75999999999999979</v>
      </c>
      <c r="AC87" s="6">
        <v>0.75999999999999979</v>
      </c>
      <c r="AD87" s="22" t="s">
        <v>3140</v>
      </c>
      <c r="AE87" s="23">
        <f t="shared" si="5"/>
        <v>9.81</v>
      </c>
      <c r="AF87" s="24">
        <f t="shared" si="6"/>
        <v>0</v>
      </c>
      <c r="AG87" s="23">
        <f t="shared" si="7"/>
        <v>1</v>
      </c>
    </row>
    <row r="88" spans="1:33" ht="12.5" hidden="1" customHeight="1" x14ac:dyDescent="0.25">
      <c r="A88" s="12" t="s">
        <v>31</v>
      </c>
      <c r="B88" s="9">
        <v>46175</v>
      </c>
      <c r="C88" s="10" t="s">
        <v>181</v>
      </c>
      <c r="D88" s="10" t="s">
        <v>182</v>
      </c>
      <c r="E88" s="10" t="s">
        <v>34</v>
      </c>
      <c r="F88" s="10" t="s">
        <v>35</v>
      </c>
      <c r="G88" s="10" t="s">
        <v>3145</v>
      </c>
      <c r="H88" s="8" t="s">
        <v>41</v>
      </c>
      <c r="I88" s="11">
        <v>33.69</v>
      </c>
      <c r="J88" s="6">
        <v>25.267499999999998</v>
      </c>
      <c r="K88" s="6">
        <v>0.75</v>
      </c>
      <c r="L88" s="6">
        <v>31.18</v>
      </c>
      <c r="M88" s="11">
        <v>23.385000000000002</v>
      </c>
      <c r="N88" s="11">
        <f t="shared" si="4"/>
        <v>23.385000000000002</v>
      </c>
      <c r="O88" s="6">
        <v>0.75000000000000011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2.5099999999999998</v>
      </c>
      <c r="Z88" s="6">
        <v>1.8825000000000001</v>
      </c>
      <c r="AA88" s="6">
        <v>0.75000000000000011</v>
      </c>
      <c r="AB88" s="6">
        <v>-2.509999999999998</v>
      </c>
      <c r="AC88" s="6">
        <v>2.509999999999998</v>
      </c>
      <c r="AD88" s="22" t="s">
        <v>3140</v>
      </c>
      <c r="AE88" s="23">
        <f t="shared" si="5"/>
        <v>23.385000000000002</v>
      </c>
      <c r="AF88" s="24">
        <f t="shared" si="6"/>
        <v>0</v>
      </c>
      <c r="AG88" s="23">
        <f t="shared" si="7"/>
        <v>1</v>
      </c>
    </row>
    <row r="89" spans="1:33" ht="12.5" hidden="1" customHeight="1" x14ac:dyDescent="0.25">
      <c r="A89" s="12" t="s">
        <v>31</v>
      </c>
      <c r="B89" s="9">
        <v>46175</v>
      </c>
      <c r="C89" s="10" t="s">
        <v>183</v>
      </c>
      <c r="D89" s="10" t="s">
        <v>184</v>
      </c>
      <c r="E89" s="10" t="s">
        <v>34</v>
      </c>
      <c r="F89" s="10" t="s">
        <v>35</v>
      </c>
      <c r="G89" s="10" t="s">
        <v>3145</v>
      </c>
      <c r="H89" s="8" t="s">
        <v>48</v>
      </c>
      <c r="I89" s="11">
        <v>188.61</v>
      </c>
      <c r="J89" s="6">
        <v>141.45750000000001</v>
      </c>
      <c r="K89" s="6">
        <v>0.75</v>
      </c>
      <c r="L89" s="6">
        <v>188.61</v>
      </c>
      <c r="M89" s="11">
        <v>141.45750000000001</v>
      </c>
      <c r="N89" s="11">
        <f t="shared" si="4"/>
        <v>141.458</v>
      </c>
      <c r="O89" s="6">
        <v>0.75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23" t="s">
        <v>3143</v>
      </c>
      <c r="AE89" s="23">
        <f t="shared" si="5"/>
        <v>116.693</v>
      </c>
      <c r="AF89" s="24">
        <f t="shared" si="6"/>
        <v>24.765000000000001</v>
      </c>
      <c r="AG89" s="23">
        <f t="shared" si="7"/>
        <v>2</v>
      </c>
    </row>
    <row r="90" spans="1:33" ht="12.5" customHeight="1" x14ac:dyDescent="0.25">
      <c r="A90" s="12" t="s">
        <v>31</v>
      </c>
      <c r="B90" s="9">
        <v>46175</v>
      </c>
      <c r="C90" s="10" t="s">
        <v>185</v>
      </c>
      <c r="D90" s="10" t="s">
        <v>186</v>
      </c>
      <c r="E90" s="10" t="s">
        <v>34</v>
      </c>
      <c r="F90" s="10" t="s">
        <v>35</v>
      </c>
      <c r="G90" s="10" t="s">
        <v>3146</v>
      </c>
      <c r="H90" s="8" t="s">
        <v>36</v>
      </c>
      <c r="I90" s="11">
        <v>87.72</v>
      </c>
      <c r="J90" s="6">
        <v>80.439239999999998</v>
      </c>
      <c r="K90" s="6">
        <v>0.91700000000000004</v>
      </c>
      <c r="L90" s="6">
        <v>82.82</v>
      </c>
      <c r="M90" s="11">
        <v>75.945939999999993</v>
      </c>
      <c r="N90" s="11">
        <f t="shared" si="4"/>
        <v>75.945999999999998</v>
      </c>
      <c r="O90" s="6">
        <v>0.91700000000000004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4.9000000000000004</v>
      </c>
      <c r="Z90" s="6">
        <v>4.4932999999999996</v>
      </c>
      <c r="AA90" s="6">
        <v>0.91699999999999982</v>
      </c>
      <c r="AB90" s="6">
        <v>-4.9000000000000057</v>
      </c>
      <c r="AC90" s="6">
        <v>4.9000000000000057</v>
      </c>
      <c r="AD90" s="22" t="s">
        <v>3140</v>
      </c>
      <c r="AE90" s="23">
        <f t="shared" si="5"/>
        <v>75.945999999999998</v>
      </c>
      <c r="AF90" s="24">
        <f t="shared" si="6"/>
        <v>0</v>
      </c>
      <c r="AG90" s="23">
        <f t="shared" si="7"/>
        <v>1</v>
      </c>
    </row>
    <row r="91" spans="1:33" ht="12.5" customHeight="1" x14ac:dyDescent="0.25">
      <c r="A91" s="12" t="s">
        <v>31</v>
      </c>
      <c r="B91" s="9">
        <v>46175</v>
      </c>
      <c r="C91" s="10" t="s">
        <v>187</v>
      </c>
      <c r="D91" s="10" t="s">
        <v>188</v>
      </c>
      <c r="E91" s="10" t="s">
        <v>34</v>
      </c>
      <c r="F91" s="10" t="s">
        <v>35</v>
      </c>
      <c r="G91" s="10" t="s">
        <v>3146</v>
      </c>
      <c r="H91" s="8" t="s">
        <v>36</v>
      </c>
      <c r="I91" s="11">
        <v>89.98</v>
      </c>
      <c r="J91" s="6">
        <v>82.511660000000006</v>
      </c>
      <c r="K91" s="6">
        <v>0.91700000000000004</v>
      </c>
      <c r="L91" s="6">
        <v>84.9</v>
      </c>
      <c r="M91" s="11">
        <v>77.853300000000004</v>
      </c>
      <c r="N91" s="11">
        <f t="shared" si="4"/>
        <v>77.853999999999999</v>
      </c>
      <c r="O91" s="6">
        <v>0.91700000000000004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5.08</v>
      </c>
      <c r="Z91" s="6">
        <v>4.6583600000000001</v>
      </c>
      <c r="AA91" s="6">
        <v>0.91700000000000004</v>
      </c>
      <c r="AB91" s="6">
        <v>-5.0799999999999983</v>
      </c>
      <c r="AC91" s="6">
        <v>5.0799999999999983</v>
      </c>
      <c r="AD91" s="22" t="s">
        <v>3140</v>
      </c>
      <c r="AE91" s="23">
        <f t="shared" si="5"/>
        <v>77.853999999999999</v>
      </c>
      <c r="AF91" s="24">
        <f t="shared" si="6"/>
        <v>0</v>
      </c>
      <c r="AG91" s="23">
        <f t="shared" si="7"/>
        <v>1</v>
      </c>
    </row>
    <row r="92" spans="1:33" x14ac:dyDescent="0.25">
      <c r="A92" s="12" t="s">
        <v>31</v>
      </c>
      <c r="B92" s="9">
        <v>46175</v>
      </c>
      <c r="C92" s="10" t="s">
        <v>189</v>
      </c>
      <c r="D92" s="10" t="s">
        <v>190</v>
      </c>
      <c r="E92" s="10" t="s">
        <v>51</v>
      </c>
      <c r="F92" s="10" t="s">
        <v>35</v>
      </c>
      <c r="G92" s="10" t="s">
        <v>3146</v>
      </c>
      <c r="H92" s="8" t="s">
        <v>36</v>
      </c>
      <c r="I92" s="11">
        <v>39.9</v>
      </c>
      <c r="J92" s="6">
        <v>36.588299999999997</v>
      </c>
      <c r="K92" s="6">
        <v>0.91699999999999993</v>
      </c>
      <c r="L92" s="6">
        <v>38.78</v>
      </c>
      <c r="M92" s="11">
        <v>35.561259999999997</v>
      </c>
      <c r="N92" s="11">
        <f t="shared" si="4"/>
        <v>35.561999999999998</v>
      </c>
      <c r="O92" s="6">
        <v>0.91699999999999993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1.1200000000000001</v>
      </c>
      <c r="Z92" s="6">
        <v>1.02704</v>
      </c>
      <c r="AA92" s="6">
        <v>0.91699999999999982</v>
      </c>
      <c r="AB92" s="6">
        <v>-1.1199999999999974</v>
      </c>
      <c r="AC92" s="6">
        <v>1.1199999999999974</v>
      </c>
      <c r="AD92" s="22" t="s">
        <v>3140</v>
      </c>
      <c r="AE92" s="23">
        <f t="shared" si="5"/>
        <v>35.561999999999998</v>
      </c>
      <c r="AF92" s="24">
        <f t="shared" si="6"/>
        <v>0</v>
      </c>
      <c r="AG92" s="23">
        <f t="shared" si="7"/>
        <v>1</v>
      </c>
    </row>
    <row r="93" spans="1:33" x14ac:dyDescent="0.25">
      <c r="A93" s="12" t="s">
        <v>31</v>
      </c>
      <c r="B93" s="9">
        <v>46175</v>
      </c>
      <c r="C93" s="10" t="s">
        <v>191</v>
      </c>
      <c r="D93" s="10" t="s">
        <v>192</v>
      </c>
      <c r="E93" s="10" t="s">
        <v>51</v>
      </c>
      <c r="F93" s="10" t="s">
        <v>35</v>
      </c>
      <c r="G93" s="10" t="s">
        <v>3146</v>
      </c>
      <c r="H93" s="8" t="s">
        <v>36</v>
      </c>
      <c r="I93" s="11">
        <v>40.520000000000003</v>
      </c>
      <c r="J93" s="6">
        <v>37.156840000000003</v>
      </c>
      <c r="K93" s="6">
        <v>0.91700000000000004</v>
      </c>
      <c r="L93" s="6">
        <v>37.65</v>
      </c>
      <c r="M93" s="11">
        <v>34.52505</v>
      </c>
      <c r="N93" s="11">
        <f t="shared" si="4"/>
        <v>34.525999999999996</v>
      </c>
      <c r="O93" s="6">
        <v>0.91700000000000004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2.87</v>
      </c>
      <c r="Z93" s="6">
        <v>2.6317900000000001</v>
      </c>
      <c r="AA93" s="6">
        <v>0.91700000000000004</v>
      </c>
      <c r="AB93" s="6">
        <v>-2.8700000000000045</v>
      </c>
      <c r="AC93" s="6">
        <v>2.8700000000000045</v>
      </c>
      <c r="AD93" s="22" t="s">
        <v>3140</v>
      </c>
      <c r="AE93" s="23">
        <f t="shared" si="5"/>
        <v>34.525999999999996</v>
      </c>
      <c r="AF93" s="24">
        <f t="shared" si="6"/>
        <v>0</v>
      </c>
      <c r="AG93" s="23">
        <f t="shared" si="7"/>
        <v>1</v>
      </c>
    </row>
    <row r="94" spans="1:33" x14ac:dyDescent="0.25">
      <c r="A94" s="12" t="s">
        <v>31</v>
      </c>
      <c r="B94" s="9">
        <v>46175</v>
      </c>
      <c r="C94" s="10" t="s">
        <v>193</v>
      </c>
      <c r="D94" s="10" t="s">
        <v>194</v>
      </c>
      <c r="E94" s="10" t="s">
        <v>51</v>
      </c>
      <c r="F94" s="10" t="s">
        <v>35</v>
      </c>
      <c r="G94" s="10" t="s">
        <v>3146</v>
      </c>
      <c r="H94" s="8" t="s">
        <v>36</v>
      </c>
      <c r="I94" s="11">
        <v>19.88</v>
      </c>
      <c r="J94" s="6">
        <v>18.229959999999998</v>
      </c>
      <c r="K94" s="6">
        <v>0.91699999999999993</v>
      </c>
      <c r="L94" s="6">
        <v>18.78</v>
      </c>
      <c r="M94" s="11">
        <v>17.221260000000001</v>
      </c>
      <c r="N94" s="11">
        <f t="shared" si="4"/>
        <v>17.222000000000001</v>
      </c>
      <c r="O94" s="6">
        <v>0.91700000000000004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1.1000000000000001</v>
      </c>
      <c r="Z94" s="6">
        <v>1.0086999999999999</v>
      </c>
      <c r="AA94" s="6">
        <v>0.91699999999999982</v>
      </c>
      <c r="AB94" s="6">
        <v>-1.0999999999999979</v>
      </c>
      <c r="AC94" s="6">
        <v>1.0999999999999979</v>
      </c>
      <c r="AD94" s="22" t="s">
        <v>3140</v>
      </c>
      <c r="AE94" s="23">
        <f t="shared" si="5"/>
        <v>17.222000000000001</v>
      </c>
      <c r="AF94" s="24">
        <f t="shared" si="6"/>
        <v>0</v>
      </c>
      <c r="AG94" s="23">
        <f t="shared" si="7"/>
        <v>1</v>
      </c>
    </row>
    <row r="95" spans="1:33" x14ac:dyDescent="0.25">
      <c r="A95" s="12" t="s">
        <v>31</v>
      </c>
      <c r="B95" s="9">
        <v>46175</v>
      </c>
      <c r="C95" s="10" t="s">
        <v>195</v>
      </c>
      <c r="D95" s="10" t="s">
        <v>196</v>
      </c>
      <c r="E95" s="10" t="s">
        <v>51</v>
      </c>
      <c r="F95" s="10" t="s">
        <v>35</v>
      </c>
      <c r="G95" s="10" t="s">
        <v>3146</v>
      </c>
      <c r="H95" s="8" t="s">
        <v>36</v>
      </c>
      <c r="I95" s="11">
        <v>27.57</v>
      </c>
      <c r="J95" s="6">
        <v>25.281690000000001</v>
      </c>
      <c r="K95" s="6">
        <v>0.91700000000000004</v>
      </c>
      <c r="L95" s="6">
        <v>25.73</v>
      </c>
      <c r="M95" s="11">
        <v>23.59441</v>
      </c>
      <c r="N95" s="11">
        <f t="shared" si="4"/>
        <v>23.595000000000002</v>
      </c>
      <c r="O95" s="6">
        <v>0.91699999999999993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1.84</v>
      </c>
      <c r="Z95" s="6">
        <v>1.6872799999999999</v>
      </c>
      <c r="AA95" s="6">
        <v>0.91699999999999993</v>
      </c>
      <c r="AB95" s="6">
        <v>-1.84</v>
      </c>
      <c r="AC95" s="6">
        <v>1.84</v>
      </c>
      <c r="AD95" s="22" t="s">
        <v>3140</v>
      </c>
      <c r="AE95" s="23">
        <f t="shared" si="5"/>
        <v>23.595000000000002</v>
      </c>
      <c r="AF95" s="24">
        <f t="shared" si="6"/>
        <v>0</v>
      </c>
      <c r="AG95" s="23">
        <f t="shared" si="7"/>
        <v>1</v>
      </c>
    </row>
    <row r="96" spans="1:33" x14ac:dyDescent="0.25">
      <c r="A96" s="12" t="s">
        <v>31</v>
      </c>
      <c r="B96" s="9">
        <v>46175</v>
      </c>
      <c r="C96" s="10" t="s">
        <v>197</v>
      </c>
      <c r="D96" s="10" t="s">
        <v>198</v>
      </c>
      <c r="E96" s="10" t="s">
        <v>51</v>
      </c>
      <c r="F96" s="10" t="s">
        <v>35</v>
      </c>
      <c r="G96" s="10" t="s">
        <v>3146</v>
      </c>
      <c r="H96" s="8" t="s">
        <v>36</v>
      </c>
      <c r="I96" s="11">
        <v>1.41</v>
      </c>
      <c r="J96" s="6">
        <v>1.29297</v>
      </c>
      <c r="K96" s="6">
        <v>0.91700000000000004</v>
      </c>
      <c r="L96" s="6">
        <v>1.27</v>
      </c>
      <c r="M96" s="11">
        <v>1.16459</v>
      </c>
      <c r="N96" s="11">
        <f t="shared" si="4"/>
        <v>1.1649999999999998</v>
      </c>
      <c r="O96" s="6">
        <v>0.91700000000000004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0.14000000000000001</v>
      </c>
      <c r="Z96" s="6">
        <v>0.12837999999999999</v>
      </c>
      <c r="AA96" s="6">
        <v>0.91699999999999982</v>
      </c>
      <c r="AB96" s="6">
        <v>-0.1399999999999999</v>
      </c>
      <c r="AC96" s="6">
        <v>0.1399999999999999</v>
      </c>
      <c r="AD96" s="22" t="s">
        <v>3140</v>
      </c>
      <c r="AE96" s="23">
        <f t="shared" si="5"/>
        <v>1.1649999999999998</v>
      </c>
      <c r="AF96" s="24">
        <f t="shared" si="6"/>
        <v>0</v>
      </c>
      <c r="AG96" s="23">
        <f t="shared" si="7"/>
        <v>2</v>
      </c>
    </row>
    <row r="97" spans="1:33" x14ac:dyDescent="0.25">
      <c r="A97" s="12" t="s">
        <v>31</v>
      </c>
      <c r="B97" s="9">
        <v>46175</v>
      </c>
      <c r="C97" s="10" t="s">
        <v>199</v>
      </c>
      <c r="D97" s="10" t="s">
        <v>200</v>
      </c>
      <c r="E97" s="10" t="s">
        <v>51</v>
      </c>
      <c r="F97" s="10" t="s">
        <v>35</v>
      </c>
      <c r="G97" s="10" t="s">
        <v>3146</v>
      </c>
      <c r="H97" s="8" t="s">
        <v>36</v>
      </c>
      <c r="I97" s="11">
        <v>40.28</v>
      </c>
      <c r="J97" s="6">
        <v>36.93676</v>
      </c>
      <c r="K97" s="6">
        <v>0.91699999999999993</v>
      </c>
      <c r="L97" s="6">
        <v>37.67</v>
      </c>
      <c r="M97" s="11">
        <v>34.543390000000002</v>
      </c>
      <c r="N97" s="11">
        <f t="shared" si="4"/>
        <v>34.543999999999997</v>
      </c>
      <c r="O97" s="6">
        <v>0.91700000000000004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2.61</v>
      </c>
      <c r="Z97" s="6">
        <v>2.39337</v>
      </c>
      <c r="AA97" s="6">
        <v>0.91700000000000004</v>
      </c>
      <c r="AB97" s="6">
        <v>-2.6099999999999994</v>
      </c>
      <c r="AC97" s="6">
        <v>2.6099999999999994</v>
      </c>
      <c r="AD97" s="22" t="s">
        <v>3140</v>
      </c>
      <c r="AE97" s="23">
        <f t="shared" si="5"/>
        <v>34.543999999999997</v>
      </c>
      <c r="AF97" s="24">
        <f t="shared" si="6"/>
        <v>0</v>
      </c>
      <c r="AG97" s="23">
        <f t="shared" si="7"/>
        <v>1</v>
      </c>
    </row>
    <row r="98" spans="1:33" x14ac:dyDescent="0.25">
      <c r="A98" s="12" t="s">
        <v>31</v>
      </c>
      <c r="B98" s="9">
        <v>46175</v>
      </c>
      <c r="C98" s="10" t="s">
        <v>201</v>
      </c>
      <c r="D98" s="10" t="s">
        <v>202</v>
      </c>
      <c r="E98" s="10" t="s">
        <v>51</v>
      </c>
      <c r="F98" s="10" t="s">
        <v>35</v>
      </c>
      <c r="G98" s="10" t="s">
        <v>3146</v>
      </c>
      <c r="H98" s="8" t="s">
        <v>36</v>
      </c>
      <c r="I98" s="11">
        <v>40.29</v>
      </c>
      <c r="J98" s="6">
        <v>36.945929999999997</v>
      </c>
      <c r="K98" s="6">
        <v>0.91699999999999993</v>
      </c>
      <c r="L98" s="6">
        <v>37.729999999999997</v>
      </c>
      <c r="M98" s="11">
        <v>34.598410000000001</v>
      </c>
      <c r="N98" s="11">
        <f t="shared" si="4"/>
        <v>34.598999999999997</v>
      </c>
      <c r="O98" s="6">
        <v>0.91700000000000015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2.56</v>
      </c>
      <c r="Z98" s="6">
        <v>2.3475199999999998</v>
      </c>
      <c r="AA98" s="6">
        <v>0.91699999999999993</v>
      </c>
      <c r="AB98" s="6">
        <v>-2.5600000000000023</v>
      </c>
      <c r="AC98" s="6">
        <v>2.5600000000000023</v>
      </c>
      <c r="AD98" s="22" t="s">
        <v>3140</v>
      </c>
      <c r="AE98" s="23">
        <f t="shared" si="5"/>
        <v>34.598999999999997</v>
      </c>
      <c r="AF98" s="24">
        <f t="shared" si="6"/>
        <v>0</v>
      </c>
      <c r="AG98" s="23">
        <f t="shared" si="7"/>
        <v>1</v>
      </c>
    </row>
    <row r="99" spans="1:33" x14ac:dyDescent="0.25">
      <c r="A99" s="12" t="s">
        <v>31</v>
      </c>
      <c r="B99" s="9">
        <v>46175</v>
      </c>
      <c r="C99" s="10" t="s">
        <v>203</v>
      </c>
      <c r="D99" s="10" t="s">
        <v>204</v>
      </c>
      <c r="E99" s="10" t="s">
        <v>51</v>
      </c>
      <c r="F99" s="10" t="s">
        <v>35</v>
      </c>
      <c r="G99" s="10" t="s">
        <v>3146</v>
      </c>
      <c r="H99" s="8" t="s">
        <v>36</v>
      </c>
      <c r="I99" s="11">
        <v>32.43</v>
      </c>
      <c r="J99" s="6">
        <v>29.738309999999998</v>
      </c>
      <c r="K99" s="6">
        <v>0.91699999999999993</v>
      </c>
      <c r="L99" s="6">
        <v>31.21</v>
      </c>
      <c r="M99" s="11">
        <v>28.61957</v>
      </c>
      <c r="N99" s="11">
        <f t="shared" si="4"/>
        <v>28.62</v>
      </c>
      <c r="O99" s="6">
        <v>0.91699999999999993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1.22</v>
      </c>
      <c r="Z99" s="6">
        <v>1.1187400000000001</v>
      </c>
      <c r="AA99" s="6">
        <v>0.91700000000000004</v>
      </c>
      <c r="AB99" s="6">
        <v>-1.2199999999999989</v>
      </c>
      <c r="AC99" s="6">
        <v>1.2199999999999989</v>
      </c>
      <c r="AD99" s="22" t="s">
        <v>3140</v>
      </c>
      <c r="AE99" s="23">
        <f t="shared" si="5"/>
        <v>28.62</v>
      </c>
      <c r="AF99" s="24">
        <f t="shared" si="6"/>
        <v>0</v>
      </c>
      <c r="AG99" s="23">
        <f t="shared" si="7"/>
        <v>1</v>
      </c>
    </row>
    <row r="100" spans="1:33" x14ac:dyDescent="0.25">
      <c r="A100" s="12" t="s">
        <v>31</v>
      </c>
      <c r="B100" s="9">
        <v>46175</v>
      </c>
      <c r="C100" s="10" t="s">
        <v>205</v>
      </c>
      <c r="D100" s="10" t="s">
        <v>206</v>
      </c>
      <c r="E100" s="10" t="s">
        <v>51</v>
      </c>
      <c r="F100" s="10" t="s">
        <v>35</v>
      </c>
      <c r="G100" s="10" t="s">
        <v>3146</v>
      </c>
      <c r="H100" s="8" t="s">
        <v>36</v>
      </c>
      <c r="I100" s="11">
        <v>34.74</v>
      </c>
      <c r="J100" s="6">
        <v>31.856580000000001</v>
      </c>
      <c r="K100" s="6">
        <v>0.91699999999999993</v>
      </c>
      <c r="L100" s="6">
        <v>32.89</v>
      </c>
      <c r="M100" s="11">
        <v>30.160129999999999</v>
      </c>
      <c r="N100" s="11">
        <f t="shared" si="4"/>
        <v>30.161000000000001</v>
      </c>
      <c r="O100" s="6">
        <v>0.91699999999999993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1.85</v>
      </c>
      <c r="Z100" s="6">
        <v>1.69645</v>
      </c>
      <c r="AA100" s="6">
        <v>0.91699999999999993</v>
      </c>
      <c r="AB100" s="6">
        <v>-1.8500000000000014</v>
      </c>
      <c r="AC100" s="6">
        <v>1.8500000000000014</v>
      </c>
      <c r="AD100" s="22" t="s">
        <v>3140</v>
      </c>
      <c r="AE100" s="23">
        <f t="shared" si="5"/>
        <v>30.161000000000001</v>
      </c>
      <c r="AF100" s="24">
        <f t="shared" si="6"/>
        <v>0</v>
      </c>
      <c r="AG100" s="23">
        <f t="shared" si="7"/>
        <v>1</v>
      </c>
    </row>
    <row r="101" spans="1:33" x14ac:dyDescent="0.25">
      <c r="A101" s="12" t="s">
        <v>31</v>
      </c>
      <c r="B101" s="9">
        <v>46175</v>
      </c>
      <c r="C101" s="10" t="s">
        <v>207</v>
      </c>
      <c r="D101" s="10" t="s">
        <v>208</v>
      </c>
      <c r="E101" s="10" t="s">
        <v>51</v>
      </c>
      <c r="F101" s="10" t="s">
        <v>35</v>
      </c>
      <c r="G101" s="10" t="s">
        <v>3146</v>
      </c>
      <c r="H101" s="8" t="s">
        <v>36</v>
      </c>
      <c r="I101" s="11">
        <v>11.42</v>
      </c>
      <c r="J101" s="6">
        <v>10.47214</v>
      </c>
      <c r="K101" s="6">
        <v>0.91699999999999993</v>
      </c>
      <c r="L101" s="6">
        <v>11.27</v>
      </c>
      <c r="M101" s="11">
        <v>10.33459</v>
      </c>
      <c r="N101" s="11">
        <f t="shared" si="4"/>
        <v>10.334999999999999</v>
      </c>
      <c r="O101" s="6">
        <v>0.91700000000000004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0.15</v>
      </c>
      <c r="Z101" s="6">
        <v>0.13755000000000001</v>
      </c>
      <c r="AA101" s="6">
        <v>0.91700000000000004</v>
      </c>
      <c r="AB101" s="6">
        <v>-0.15000000000000036</v>
      </c>
      <c r="AC101" s="6">
        <v>0.15000000000000036</v>
      </c>
      <c r="AD101" s="22" t="s">
        <v>3140</v>
      </c>
      <c r="AE101" s="23">
        <f t="shared" si="5"/>
        <v>10.334999999999999</v>
      </c>
      <c r="AF101" s="24">
        <f t="shared" si="6"/>
        <v>0</v>
      </c>
      <c r="AG101" s="23">
        <f t="shared" si="7"/>
        <v>1</v>
      </c>
    </row>
    <row r="102" spans="1:33" ht="20" hidden="1" customHeight="1" x14ac:dyDescent="0.25">
      <c r="A102" s="12" t="s">
        <v>31</v>
      </c>
      <c r="B102" s="9">
        <v>46175</v>
      </c>
      <c r="C102" s="10" t="s">
        <v>209</v>
      </c>
      <c r="D102" s="10" t="s">
        <v>210</v>
      </c>
      <c r="E102" s="10" t="s">
        <v>51</v>
      </c>
      <c r="F102" s="10" t="s">
        <v>35</v>
      </c>
      <c r="G102" s="10" t="s">
        <v>3145</v>
      </c>
      <c r="H102" s="8" t="s">
        <v>48</v>
      </c>
      <c r="I102" s="11">
        <v>14.86</v>
      </c>
      <c r="J102" s="6">
        <v>11.145</v>
      </c>
      <c r="K102" s="6">
        <v>0.75</v>
      </c>
      <c r="L102" s="6">
        <v>13.28</v>
      </c>
      <c r="M102" s="11">
        <v>9.9600000000000009</v>
      </c>
      <c r="N102" s="11">
        <f t="shared" si="4"/>
        <v>9.9600000000000009</v>
      </c>
      <c r="O102" s="6">
        <v>0.75000000000000011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1.58</v>
      </c>
      <c r="Z102" s="6">
        <v>1.1850000000000001</v>
      </c>
      <c r="AA102" s="6">
        <v>0.75</v>
      </c>
      <c r="AB102" s="6">
        <v>-1.58</v>
      </c>
      <c r="AC102" s="6">
        <v>1.58</v>
      </c>
      <c r="AD102" s="22" t="s">
        <v>3140</v>
      </c>
      <c r="AE102" s="23">
        <f t="shared" si="5"/>
        <v>9.9600000000000009</v>
      </c>
      <c r="AF102" s="24">
        <f t="shared" si="6"/>
        <v>0</v>
      </c>
      <c r="AG102" s="23">
        <f t="shared" si="7"/>
        <v>1</v>
      </c>
    </row>
    <row r="103" spans="1:33" ht="12.5" customHeight="1" x14ac:dyDescent="0.25">
      <c r="A103" s="12" t="s">
        <v>31</v>
      </c>
      <c r="B103" s="9">
        <v>46175</v>
      </c>
      <c r="C103" s="8" t="s">
        <v>211</v>
      </c>
      <c r="D103" s="10" t="s">
        <v>212</v>
      </c>
      <c r="E103" s="10" t="s">
        <v>51</v>
      </c>
      <c r="F103" s="10" t="s">
        <v>35</v>
      </c>
      <c r="G103" s="10" t="s">
        <v>3146</v>
      </c>
      <c r="H103" s="8" t="s">
        <v>36</v>
      </c>
      <c r="I103" s="11">
        <v>31.63</v>
      </c>
      <c r="J103" s="6">
        <v>29.004709999999999</v>
      </c>
      <c r="K103" s="6">
        <v>0.91700000000000004</v>
      </c>
      <c r="L103" s="6">
        <v>30.48</v>
      </c>
      <c r="M103" s="11">
        <v>27.95016</v>
      </c>
      <c r="N103" s="11">
        <f t="shared" si="4"/>
        <v>27.951000000000001</v>
      </c>
      <c r="O103" s="6">
        <v>0.91700000000000004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1.1499999999999999</v>
      </c>
      <c r="Z103" s="6">
        <v>1.0545500000000001</v>
      </c>
      <c r="AA103" s="6">
        <v>0.91700000000000015</v>
      </c>
      <c r="AB103" s="6">
        <v>-1.1499999999999986</v>
      </c>
      <c r="AC103" s="6">
        <v>1.1499999999999986</v>
      </c>
      <c r="AD103" s="22" t="s">
        <v>3140</v>
      </c>
      <c r="AE103" s="23">
        <f t="shared" si="5"/>
        <v>27.951000000000001</v>
      </c>
      <c r="AF103" s="24">
        <f t="shared" si="6"/>
        <v>0</v>
      </c>
      <c r="AG103" s="23">
        <f t="shared" si="7"/>
        <v>1</v>
      </c>
    </row>
    <row r="104" spans="1:33" ht="12.5" customHeight="1" x14ac:dyDescent="0.25">
      <c r="A104" s="12" t="s">
        <v>31</v>
      </c>
      <c r="B104" s="9">
        <v>46175</v>
      </c>
      <c r="C104" s="12" t="s">
        <v>211</v>
      </c>
      <c r="D104" s="10" t="s">
        <v>213</v>
      </c>
      <c r="E104" s="10" t="s">
        <v>51</v>
      </c>
      <c r="F104" s="10" t="s">
        <v>35</v>
      </c>
      <c r="G104" s="10" t="s">
        <v>3146</v>
      </c>
      <c r="H104" s="8" t="s">
        <v>36</v>
      </c>
      <c r="I104" s="11">
        <v>8.82</v>
      </c>
      <c r="J104" s="6">
        <v>8.0879399999999997</v>
      </c>
      <c r="K104" s="6">
        <v>0.91699999999999993</v>
      </c>
      <c r="L104" s="6">
        <v>8.4600000000000009</v>
      </c>
      <c r="M104" s="11">
        <v>7.7578199999999997</v>
      </c>
      <c r="N104" s="11">
        <f t="shared" si="4"/>
        <v>7.758</v>
      </c>
      <c r="O104" s="6">
        <v>0.91699999999999993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0.36</v>
      </c>
      <c r="Z104" s="6">
        <v>0.33012000000000002</v>
      </c>
      <c r="AA104" s="6">
        <v>0.91700000000000015</v>
      </c>
      <c r="AB104" s="6">
        <v>-0.35999999999999943</v>
      </c>
      <c r="AC104" s="6">
        <v>0.35999999999999943</v>
      </c>
      <c r="AD104" s="22" t="s">
        <v>3140</v>
      </c>
      <c r="AE104" s="23">
        <f t="shared" si="5"/>
        <v>7.758</v>
      </c>
      <c r="AF104" s="24">
        <f t="shared" si="6"/>
        <v>0</v>
      </c>
      <c r="AG104" s="23">
        <f t="shared" si="7"/>
        <v>1</v>
      </c>
    </row>
    <row r="105" spans="1:33" ht="12.5" customHeight="1" x14ac:dyDescent="0.25">
      <c r="A105" s="12" t="s">
        <v>31</v>
      </c>
      <c r="B105" s="9">
        <v>46175</v>
      </c>
      <c r="C105" s="13" t="s">
        <v>211</v>
      </c>
      <c r="D105" s="10" t="s">
        <v>214</v>
      </c>
      <c r="E105" s="10" t="s">
        <v>51</v>
      </c>
      <c r="F105" s="10" t="s">
        <v>35</v>
      </c>
      <c r="G105" s="10" t="s">
        <v>3146</v>
      </c>
      <c r="H105" s="8" t="s">
        <v>36</v>
      </c>
      <c r="I105" s="11">
        <v>10.86</v>
      </c>
      <c r="J105" s="6">
        <v>9.9586199999999998</v>
      </c>
      <c r="K105" s="6">
        <v>0.91700000000000004</v>
      </c>
      <c r="L105" s="6">
        <v>10.57</v>
      </c>
      <c r="M105" s="11">
        <v>9.6926900000000007</v>
      </c>
      <c r="N105" s="11">
        <f t="shared" si="4"/>
        <v>9.6929999999999996</v>
      </c>
      <c r="O105" s="6">
        <v>0.91700000000000004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0.28999999999999998</v>
      </c>
      <c r="Z105" s="6">
        <v>0.26593</v>
      </c>
      <c r="AA105" s="6">
        <v>0.91700000000000004</v>
      </c>
      <c r="AB105" s="6">
        <v>-0.28999999999999915</v>
      </c>
      <c r="AC105" s="6">
        <v>0.28999999999999915</v>
      </c>
      <c r="AD105" s="22" t="s">
        <v>3140</v>
      </c>
      <c r="AE105" s="23">
        <f t="shared" si="5"/>
        <v>9.6929999999999996</v>
      </c>
      <c r="AF105" s="24">
        <f t="shared" si="6"/>
        <v>0</v>
      </c>
      <c r="AG105" s="23">
        <f t="shared" si="7"/>
        <v>1</v>
      </c>
    </row>
    <row r="106" spans="1:33" ht="12.5" customHeight="1" x14ac:dyDescent="0.25">
      <c r="A106" s="12" t="s">
        <v>31</v>
      </c>
      <c r="B106" s="9">
        <v>46175</v>
      </c>
      <c r="C106" s="8" t="s">
        <v>215</v>
      </c>
      <c r="D106" s="10" t="s">
        <v>216</v>
      </c>
      <c r="E106" s="10" t="s">
        <v>51</v>
      </c>
      <c r="F106" s="10" t="s">
        <v>35</v>
      </c>
      <c r="G106" s="10" t="s">
        <v>3146</v>
      </c>
      <c r="H106" s="8" t="s">
        <v>36</v>
      </c>
      <c r="I106" s="11">
        <v>47.45</v>
      </c>
      <c r="J106" s="6">
        <v>43.511650000000003</v>
      </c>
      <c r="K106" s="6">
        <v>0.91700000000000004</v>
      </c>
      <c r="L106" s="6">
        <v>45.48</v>
      </c>
      <c r="M106" s="11">
        <v>41.705159999999999</v>
      </c>
      <c r="N106" s="11">
        <f t="shared" si="4"/>
        <v>41.705999999999996</v>
      </c>
      <c r="O106" s="6">
        <v>0.91700000000000004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1.97</v>
      </c>
      <c r="Z106" s="6">
        <v>1.8064899999999999</v>
      </c>
      <c r="AA106" s="6">
        <v>0.91699999999999993</v>
      </c>
      <c r="AB106" s="6">
        <v>-1.970000000000006</v>
      </c>
      <c r="AC106" s="6">
        <v>1.970000000000006</v>
      </c>
      <c r="AD106" s="22" t="s">
        <v>3140</v>
      </c>
      <c r="AE106" s="23">
        <f t="shared" si="5"/>
        <v>41.705999999999996</v>
      </c>
      <c r="AF106" s="24">
        <f t="shared" si="6"/>
        <v>0</v>
      </c>
      <c r="AG106" s="23">
        <f t="shared" si="7"/>
        <v>1</v>
      </c>
    </row>
    <row r="107" spans="1:33" ht="12.5" customHeight="1" x14ac:dyDescent="0.25">
      <c r="A107" s="12" t="s">
        <v>31</v>
      </c>
      <c r="B107" s="9">
        <v>46175</v>
      </c>
      <c r="C107" s="13" t="s">
        <v>215</v>
      </c>
      <c r="D107" s="10" t="s">
        <v>217</v>
      </c>
      <c r="E107" s="10" t="s">
        <v>51</v>
      </c>
      <c r="F107" s="10" t="s">
        <v>35</v>
      </c>
      <c r="G107" s="10" t="s">
        <v>3146</v>
      </c>
      <c r="H107" s="8" t="s">
        <v>36</v>
      </c>
      <c r="I107" s="11">
        <v>33.71</v>
      </c>
      <c r="J107" s="6">
        <v>30.91207</v>
      </c>
      <c r="K107" s="6">
        <v>0.91699999999999993</v>
      </c>
      <c r="L107" s="6">
        <v>31.03</v>
      </c>
      <c r="M107" s="11">
        <v>28.454509999999999</v>
      </c>
      <c r="N107" s="11">
        <f t="shared" si="4"/>
        <v>28.455000000000002</v>
      </c>
      <c r="O107" s="6">
        <v>0.91699999999999993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2.68</v>
      </c>
      <c r="Z107" s="6">
        <v>2.45756</v>
      </c>
      <c r="AA107" s="6">
        <v>0.91699999999999993</v>
      </c>
      <c r="AB107" s="6">
        <v>-2.68</v>
      </c>
      <c r="AC107" s="6">
        <v>2.68</v>
      </c>
      <c r="AD107" s="22" t="s">
        <v>3140</v>
      </c>
      <c r="AE107" s="23">
        <f t="shared" si="5"/>
        <v>28.455000000000002</v>
      </c>
      <c r="AF107" s="24">
        <f t="shared" si="6"/>
        <v>0</v>
      </c>
      <c r="AG107" s="23">
        <f t="shared" si="7"/>
        <v>1</v>
      </c>
    </row>
    <row r="108" spans="1:33" x14ac:dyDescent="0.25">
      <c r="A108" s="12" t="s">
        <v>31</v>
      </c>
      <c r="B108" s="9">
        <v>46175</v>
      </c>
      <c r="C108" s="10" t="s">
        <v>218</v>
      </c>
      <c r="D108" s="10" t="s">
        <v>219</v>
      </c>
      <c r="E108" s="10" t="s">
        <v>51</v>
      </c>
      <c r="F108" s="10" t="s">
        <v>35</v>
      </c>
      <c r="G108" s="10" t="s">
        <v>3146</v>
      </c>
      <c r="H108" s="8" t="s">
        <v>36</v>
      </c>
      <c r="I108" s="11">
        <v>24.74</v>
      </c>
      <c r="J108" s="6">
        <v>22.686579999999999</v>
      </c>
      <c r="K108" s="6">
        <v>0.91700000000000004</v>
      </c>
      <c r="L108" s="6">
        <v>23.32</v>
      </c>
      <c r="M108" s="11">
        <v>21.384440000000001</v>
      </c>
      <c r="N108" s="11">
        <f t="shared" si="4"/>
        <v>21.385000000000002</v>
      </c>
      <c r="O108" s="6">
        <v>0.91700000000000004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1.42</v>
      </c>
      <c r="Z108" s="6">
        <v>1.3021400000000001</v>
      </c>
      <c r="AA108" s="6">
        <v>0.91700000000000015</v>
      </c>
      <c r="AB108" s="6">
        <v>-1.4199999999999982</v>
      </c>
      <c r="AC108" s="6">
        <v>1.4199999999999982</v>
      </c>
      <c r="AD108" s="22" t="s">
        <v>3140</v>
      </c>
      <c r="AE108" s="23">
        <f t="shared" si="5"/>
        <v>21.385000000000002</v>
      </c>
      <c r="AF108" s="24">
        <f t="shared" si="6"/>
        <v>0</v>
      </c>
      <c r="AG108" s="23">
        <f t="shared" si="7"/>
        <v>1</v>
      </c>
    </row>
    <row r="109" spans="1:33" hidden="1" x14ac:dyDescent="0.25">
      <c r="A109" s="12" t="s">
        <v>31</v>
      </c>
      <c r="B109" s="9">
        <v>46175</v>
      </c>
      <c r="C109" s="10" t="s">
        <v>220</v>
      </c>
      <c r="D109" s="10" t="s">
        <v>221</v>
      </c>
      <c r="E109" s="10" t="s">
        <v>51</v>
      </c>
      <c r="F109" s="10" t="s">
        <v>35</v>
      </c>
      <c r="G109" s="10" t="s">
        <v>3145</v>
      </c>
      <c r="H109" s="8" t="s">
        <v>41</v>
      </c>
      <c r="I109" s="11">
        <v>26.77</v>
      </c>
      <c r="J109" s="6">
        <v>20.077500000000001</v>
      </c>
      <c r="K109" s="6">
        <v>0.75</v>
      </c>
      <c r="L109" s="6">
        <v>25.12</v>
      </c>
      <c r="M109" s="11">
        <v>18.84</v>
      </c>
      <c r="N109" s="11">
        <f t="shared" si="4"/>
        <v>18.84</v>
      </c>
      <c r="O109" s="6">
        <v>0.75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1.65</v>
      </c>
      <c r="Z109" s="6">
        <v>1.2375</v>
      </c>
      <c r="AA109" s="6">
        <v>0.75000000000000011</v>
      </c>
      <c r="AB109" s="6">
        <v>-1.6499999999999986</v>
      </c>
      <c r="AC109" s="6">
        <v>1.6499999999999986</v>
      </c>
      <c r="AD109" s="23" t="s">
        <v>3143</v>
      </c>
      <c r="AE109" s="23">
        <f t="shared" si="5"/>
        <v>17.363</v>
      </c>
      <c r="AF109" s="24">
        <f t="shared" si="6"/>
        <v>1.4770000000000003</v>
      </c>
      <c r="AG109" s="23">
        <f t="shared" si="7"/>
        <v>2</v>
      </c>
    </row>
    <row r="110" spans="1:33" x14ac:dyDescent="0.25">
      <c r="A110" s="12" t="s">
        <v>31</v>
      </c>
      <c r="B110" s="9">
        <v>46175</v>
      </c>
      <c r="C110" s="10" t="s">
        <v>222</v>
      </c>
      <c r="D110" s="10" t="s">
        <v>223</v>
      </c>
      <c r="E110" s="10" t="s">
        <v>51</v>
      </c>
      <c r="F110" s="10" t="s">
        <v>35</v>
      </c>
      <c r="G110" s="10" t="s">
        <v>3146</v>
      </c>
      <c r="H110" s="8" t="s">
        <v>36</v>
      </c>
      <c r="I110" s="11">
        <v>6.61</v>
      </c>
      <c r="J110" s="6">
        <v>6.0613700000000001</v>
      </c>
      <c r="K110" s="6">
        <v>0.91699999999999993</v>
      </c>
      <c r="L110" s="6">
        <v>6.42</v>
      </c>
      <c r="M110" s="11">
        <v>5.8871399999999996</v>
      </c>
      <c r="N110" s="11">
        <f t="shared" si="4"/>
        <v>5.8879999999999999</v>
      </c>
      <c r="O110" s="6">
        <v>0.91699999999999993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0.19</v>
      </c>
      <c r="Z110" s="6">
        <v>0.17423</v>
      </c>
      <c r="AA110" s="6">
        <v>0.91699999999999993</v>
      </c>
      <c r="AB110" s="6">
        <v>-0.19000000000000039</v>
      </c>
      <c r="AC110" s="6">
        <v>0.19000000000000039</v>
      </c>
      <c r="AD110" s="22" t="s">
        <v>3140</v>
      </c>
      <c r="AE110" s="23">
        <f t="shared" si="5"/>
        <v>5.8879999999999999</v>
      </c>
      <c r="AF110" s="24">
        <f t="shared" si="6"/>
        <v>0</v>
      </c>
      <c r="AG110" s="23">
        <f t="shared" si="7"/>
        <v>1</v>
      </c>
    </row>
    <row r="111" spans="1:33" x14ac:dyDescent="0.25">
      <c r="A111" s="12" t="s">
        <v>31</v>
      </c>
      <c r="B111" s="9">
        <v>46175</v>
      </c>
      <c r="C111" s="10" t="s">
        <v>224</v>
      </c>
      <c r="D111" s="10" t="s">
        <v>225</v>
      </c>
      <c r="E111" s="10" t="s">
        <v>51</v>
      </c>
      <c r="F111" s="10" t="s">
        <v>35</v>
      </c>
      <c r="G111" s="10" t="s">
        <v>3146</v>
      </c>
      <c r="H111" s="8" t="s">
        <v>36</v>
      </c>
      <c r="I111" s="11">
        <v>4.05</v>
      </c>
      <c r="J111" s="6">
        <v>3.7138499999999999</v>
      </c>
      <c r="K111" s="6">
        <v>0.91700000000000004</v>
      </c>
      <c r="L111" s="6">
        <v>4.05</v>
      </c>
      <c r="M111" s="11">
        <v>3.7138499999999999</v>
      </c>
      <c r="N111" s="11">
        <f t="shared" si="4"/>
        <v>3.714</v>
      </c>
      <c r="O111" s="6">
        <v>0.91700000000000004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22" t="s">
        <v>3140</v>
      </c>
      <c r="AE111" s="23">
        <f t="shared" si="5"/>
        <v>3.714</v>
      </c>
      <c r="AF111" s="24">
        <f t="shared" si="6"/>
        <v>0</v>
      </c>
      <c r="AG111" s="23">
        <f t="shared" si="7"/>
        <v>2</v>
      </c>
    </row>
    <row r="112" spans="1:33" x14ac:dyDescent="0.25">
      <c r="A112" s="12" t="s">
        <v>31</v>
      </c>
      <c r="B112" s="9">
        <v>46175</v>
      </c>
      <c r="C112" s="10" t="s">
        <v>226</v>
      </c>
      <c r="D112" s="10" t="s">
        <v>225</v>
      </c>
      <c r="E112" s="10" t="s">
        <v>51</v>
      </c>
      <c r="F112" s="10" t="s">
        <v>133</v>
      </c>
      <c r="G112" s="10" t="s">
        <v>3146</v>
      </c>
      <c r="H112" s="8" t="s">
        <v>36</v>
      </c>
      <c r="I112" s="11">
        <v>4.09</v>
      </c>
      <c r="J112" s="6">
        <v>3.7505299999999999</v>
      </c>
      <c r="K112" s="6">
        <v>0.91700000000000004</v>
      </c>
      <c r="L112" s="6">
        <v>4.09</v>
      </c>
      <c r="M112" s="11">
        <v>3.7505299999999999</v>
      </c>
      <c r="N112" s="11">
        <f t="shared" si="4"/>
        <v>3.7509999999999999</v>
      </c>
      <c r="O112" s="6">
        <v>0.91700000000000004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23" t="s">
        <v>3142</v>
      </c>
      <c r="AE112" s="23">
        <f t="shared" si="5"/>
        <v>3.714</v>
      </c>
      <c r="AF112" s="24">
        <f t="shared" si="6"/>
        <v>3.6999999999999922E-2</v>
      </c>
      <c r="AG112" s="23">
        <f t="shared" si="7"/>
        <v>2</v>
      </c>
    </row>
    <row r="113" spans="1:33" x14ac:dyDescent="0.25">
      <c r="A113" s="12" t="s">
        <v>31</v>
      </c>
      <c r="B113" s="9">
        <v>46175</v>
      </c>
      <c r="C113" s="10" t="s">
        <v>227</v>
      </c>
      <c r="D113" s="10" t="s">
        <v>228</v>
      </c>
      <c r="E113" s="10" t="s">
        <v>51</v>
      </c>
      <c r="F113" s="10" t="s">
        <v>35</v>
      </c>
      <c r="G113" s="10" t="s">
        <v>3146</v>
      </c>
      <c r="H113" s="8" t="s">
        <v>36</v>
      </c>
      <c r="I113" s="11">
        <v>27.76</v>
      </c>
      <c r="J113" s="6">
        <v>25.455919999999999</v>
      </c>
      <c r="K113" s="6">
        <v>0.91699999999999993</v>
      </c>
      <c r="L113" s="6">
        <v>26.33</v>
      </c>
      <c r="M113" s="11">
        <v>24.14461</v>
      </c>
      <c r="N113" s="11">
        <f t="shared" si="4"/>
        <v>24.145</v>
      </c>
      <c r="O113" s="6">
        <v>0.91700000000000004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1.43</v>
      </c>
      <c r="Z113" s="6">
        <v>1.31131</v>
      </c>
      <c r="AA113" s="6">
        <v>0.91700000000000004</v>
      </c>
      <c r="AB113" s="6">
        <v>-1.4300000000000033</v>
      </c>
      <c r="AC113" s="6">
        <v>1.4300000000000033</v>
      </c>
      <c r="AD113" s="22" t="s">
        <v>3140</v>
      </c>
      <c r="AE113" s="23">
        <f t="shared" si="5"/>
        <v>24.145</v>
      </c>
      <c r="AF113" s="24">
        <f t="shared" si="6"/>
        <v>0</v>
      </c>
      <c r="AG113" s="23">
        <f t="shared" si="7"/>
        <v>1</v>
      </c>
    </row>
    <row r="114" spans="1:33" ht="12.5" customHeight="1" x14ac:dyDescent="0.25">
      <c r="A114" s="12" t="s">
        <v>31</v>
      </c>
      <c r="B114" s="9">
        <v>46175</v>
      </c>
      <c r="C114" s="8" t="s">
        <v>229</v>
      </c>
      <c r="D114" s="10" t="s">
        <v>230</v>
      </c>
      <c r="E114" s="10" t="s">
        <v>51</v>
      </c>
      <c r="F114" s="10" t="s">
        <v>35</v>
      </c>
      <c r="G114" s="10" t="s">
        <v>3146</v>
      </c>
      <c r="H114" s="8" t="s">
        <v>36</v>
      </c>
      <c r="I114" s="11">
        <v>40.94</v>
      </c>
      <c r="J114" s="6">
        <v>37.541980000000002</v>
      </c>
      <c r="K114" s="6">
        <v>0.91700000000000015</v>
      </c>
      <c r="L114" s="6">
        <v>39.67</v>
      </c>
      <c r="M114" s="11">
        <v>36.377389999999998</v>
      </c>
      <c r="N114" s="11">
        <f t="shared" si="4"/>
        <v>36.378</v>
      </c>
      <c r="O114" s="6">
        <v>0.91699999999999993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1.27</v>
      </c>
      <c r="Z114" s="6">
        <v>1.16459</v>
      </c>
      <c r="AA114" s="6">
        <v>0.91700000000000004</v>
      </c>
      <c r="AB114" s="6">
        <v>-1.269999999999996</v>
      </c>
      <c r="AC114" s="6">
        <v>1.269999999999996</v>
      </c>
      <c r="AD114" s="22" t="s">
        <v>3140</v>
      </c>
      <c r="AE114" s="23">
        <f t="shared" si="5"/>
        <v>36.378</v>
      </c>
      <c r="AF114" s="24">
        <f t="shared" si="6"/>
        <v>0</v>
      </c>
      <c r="AG114" s="23">
        <f t="shared" si="7"/>
        <v>1</v>
      </c>
    </row>
    <row r="115" spans="1:33" ht="12.5" customHeight="1" x14ac:dyDescent="0.25">
      <c r="A115" s="12" t="s">
        <v>31</v>
      </c>
      <c r="B115" s="9">
        <v>46175</v>
      </c>
      <c r="C115" s="12" t="s">
        <v>229</v>
      </c>
      <c r="D115" s="10" t="s">
        <v>231</v>
      </c>
      <c r="E115" s="10" t="s">
        <v>51</v>
      </c>
      <c r="F115" s="10" t="s">
        <v>35</v>
      </c>
      <c r="G115" s="10" t="s">
        <v>3146</v>
      </c>
      <c r="H115" s="8" t="s">
        <v>36</v>
      </c>
      <c r="I115" s="11">
        <v>10.08</v>
      </c>
      <c r="J115" s="6">
        <v>9.2433599999999991</v>
      </c>
      <c r="K115" s="6">
        <v>0.91699999999999993</v>
      </c>
      <c r="L115" s="6">
        <v>9.77</v>
      </c>
      <c r="M115" s="11">
        <v>8.9590899999999998</v>
      </c>
      <c r="N115" s="11">
        <f t="shared" si="4"/>
        <v>8.9599999999999991</v>
      </c>
      <c r="O115" s="6">
        <v>0.91700000000000004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0.31</v>
      </c>
      <c r="Z115" s="6">
        <v>0.28427000000000002</v>
      </c>
      <c r="AA115" s="6">
        <v>0.91700000000000004</v>
      </c>
      <c r="AB115" s="6">
        <v>-0.3100000000000005</v>
      </c>
      <c r="AC115" s="6">
        <v>0.3100000000000005</v>
      </c>
      <c r="AD115" s="22" t="s">
        <v>3140</v>
      </c>
      <c r="AE115" s="23">
        <f t="shared" si="5"/>
        <v>8.9599999999999991</v>
      </c>
      <c r="AF115" s="24">
        <f t="shared" si="6"/>
        <v>0</v>
      </c>
      <c r="AG115" s="23">
        <f t="shared" si="7"/>
        <v>2</v>
      </c>
    </row>
    <row r="116" spans="1:33" ht="12.5" hidden="1" customHeight="1" x14ac:dyDescent="0.25">
      <c r="A116" s="12" t="s">
        <v>31</v>
      </c>
      <c r="B116" s="9">
        <v>46175</v>
      </c>
      <c r="C116" s="13" t="s">
        <v>229</v>
      </c>
      <c r="D116" s="10" t="s">
        <v>232</v>
      </c>
      <c r="E116" s="10" t="s">
        <v>51</v>
      </c>
      <c r="F116" s="10" t="s">
        <v>35</v>
      </c>
      <c r="G116" s="10" t="s">
        <v>3145</v>
      </c>
      <c r="H116" s="8" t="s">
        <v>48</v>
      </c>
      <c r="I116" s="11">
        <v>42.2</v>
      </c>
      <c r="J116" s="6">
        <v>31.65</v>
      </c>
      <c r="K116" s="6">
        <v>0.74999999999999989</v>
      </c>
      <c r="L116" s="6">
        <v>37.549999999999997</v>
      </c>
      <c r="M116" s="11">
        <v>28.162500000000001</v>
      </c>
      <c r="N116" s="11">
        <f t="shared" si="4"/>
        <v>28.163</v>
      </c>
      <c r="O116" s="6">
        <v>0.75000000000000011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4.6500000000000004</v>
      </c>
      <c r="Z116" s="6">
        <v>3.4874999999999998</v>
      </c>
      <c r="AA116" s="6">
        <v>0.74999999999999989</v>
      </c>
      <c r="AB116" s="6">
        <v>-4.6500000000000057</v>
      </c>
      <c r="AC116" s="6">
        <v>4.6500000000000057</v>
      </c>
      <c r="AD116" s="22" t="s">
        <v>3140</v>
      </c>
      <c r="AE116" s="23">
        <f t="shared" si="5"/>
        <v>28.163</v>
      </c>
      <c r="AF116" s="24">
        <f t="shared" si="6"/>
        <v>0</v>
      </c>
      <c r="AG116" s="23">
        <f t="shared" si="7"/>
        <v>1</v>
      </c>
    </row>
    <row r="117" spans="1:33" ht="12.5" customHeight="1" x14ac:dyDescent="0.25">
      <c r="A117" s="12" t="s">
        <v>31</v>
      </c>
      <c r="B117" s="9">
        <v>46175</v>
      </c>
      <c r="C117" s="8" t="s">
        <v>233</v>
      </c>
      <c r="D117" s="10" t="s">
        <v>234</v>
      </c>
      <c r="E117" s="10" t="s">
        <v>51</v>
      </c>
      <c r="F117" s="10" t="s">
        <v>35</v>
      </c>
      <c r="G117" s="10" t="s">
        <v>3146</v>
      </c>
      <c r="H117" s="8" t="s">
        <v>36</v>
      </c>
      <c r="I117" s="11">
        <v>8.67</v>
      </c>
      <c r="J117" s="6">
        <v>7.9503899999999996</v>
      </c>
      <c r="K117" s="6">
        <v>0.91699999999999993</v>
      </c>
      <c r="L117" s="6">
        <v>8.48</v>
      </c>
      <c r="M117" s="11">
        <v>7.77616</v>
      </c>
      <c r="N117" s="11">
        <f t="shared" si="4"/>
        <v>7.7770000000000001</v>
      </c>
      <c r="O117" s="6">
        <v>0.91699999999999993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0.19</v>
      </c>
      <c r="Z117" s="6">
        <v>0.17423</v>
      </c>
      <c r="AA117" s="6">
        <v>0.91699999999999993</v>
      </c>
      <c r="AB117" s="6">
        <v>-0.1899999999999995</v>
      </c>
      <c r="AC117" s="6">
        <v>0.1899999999999995</v>
      </c>
      <c r="AD117" s="22" t="s">
        <v>3140</v>
      </c>
      <c r="AE117" s="23">
        <f t="shared" si="5"/>
        <v>7.7770000000000001</v>
      </c>
      <c r="AF117" s="24">
        <f t="shared" si="6"/>
        <v>0</v>
      </c>
      <c r="AG117" s="23">
        <f t="shared" si="7"/>
        <v>1</v>
      </c>
    </row>
    <row r="118" spans="1:33" ht="12.5" customHeight="1" x14ac:dyDescent="0.25">
      <c r="A118" s="12" t="s">
        <v>31</v>
      </c>
      <c r="B118" s="9">
        <v>46175</v>
      </c>
      <c r="C118" s="12" t="s">
        <v>233</v>
      </c>
      <c r="D118" s="10" t="s">
        <v>235</v>
      </c>
      <c r="E118" s="10" t="s">
        <v>51</v>
      </c>
      <c r="F118" s="10" t="s">
        <v>35</v>
      </c>
      <c r="G118" s="10" t="s">
        <v>3146</v>
      </c>
      <c r="H118" s="8" t="s">
        <v>36</v>
      </c>
      <c r="I118" s="11">
        <v>14.3</v>
      </c>
      <c r="J118" s="6">
        <v>13.113099999999999</v>
      </c>
      <c r="K118" s="6">
        <v>0.91699999999999993</v>
      </c>
      <c r="L118" s="6">
        <v>13.96</v>
      </c>
      <c r="M118" s="11">
        <v>12.80132</v>
      </c>
      <c r="N118" s="11">
        <f t="shared" si="4"/>
        <v>12.802</v>
      </c>
      <c r="O118" s="6">
        <v>0.91699999999999993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0.34</v>
      </c>
      <c r="Z118" s="6">
        <v>0.31178</v>
      </c>
      <c r="AA118" s="6">
        <v>0.91699999999999993</v>
      </c>
      <c r="AB118" s="6">
        <v>-0.33999999999999986</v>
      </c>
      <c r="AC118" s="6">
        <v>0.33999999999999986</v>
      </c>
      <c r="AD118" s="22" t="s">
        <v>3140</v>
      </c>
      <c r="AE118" s="23">
        <f t="shared" si="5"/>
        <v>12.802</v>
      </c>
      <c r="AF118" s="24">
        <f t="shared" si="6"/>
        <v>0</v>
      </c>
      <c r="AG118" s="23">
        <f t="shared" si="7"/>
        <v>1</v>
      </c>
    </row>
    <row r="119" spans="1:33" ht="12.5" customHeight="1" x14ac:dyDescent="0.25">
      <c r="A119" s="12" t="s">
        <v>31</v>
      </c>
      <c r="B119" s="9">
        <v>46175</v>
      </c>
      <c r="C119" s="13" t="s">
        <v>233</v>
      </c>
      <c r="D119" s="10" t="s">
        <v>236</v>
      </c>
      <c r="E119" s="10" t="s">
        <v>51</v>
      </c>
      <c r="F119" s="10" t="s">
        <v>35</v>
      </c>
      <c r="G119" s="10" t="s">
        <v>3146</v>
      </c>
      <c r="H119" s="8" t="s">
        <v>36</v>
      </c>
      <c r="I119" s="11">
        <v>24.45</v>
      </c>
      <c r="J119" s="6">
        <v>22.420649999999998</v>
      </c>
      <c r="K119" s="6">
        <v>0.91699999999999993</v>
      </c>
      <c r="L119" s="6">
        <v>24.08</v>
      </c>
      <c r="M119" s="11">
        <v>22.08136</v>
      </c>
      <c r="N119" s="11">
        <f t="shared" si="4"/>
        <v>22.082000000000001</v>
      </c>
      <c r="O119" s="6">
        <v>0.91700000000000004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0.37</v>
      </c>
      <c r="Z119" s="6">
        <v>0.33928999999999998</v>
      </c>
      <c r="AA119" s="6">
        <v>0.91699999999999993</v>
      </c>
      <c r="AB119" s="6">
        <v>-0.37000000000000099</v>
      </c>
      <c r="AC119" s="6">
        <v>0.37000000000000099</v>
      </c>
      <c r="AD119" s="22" t="s">
        <v>3140</v>
      </c>
      <c r="AE119" s="23">
        <f t="shared" si="5"/>
        <v>22.082000000000001</v>
      </c>
      <c r="AF119" s="24">
        <f t="shared" si="6"/>
        <v>0</v>
      </c>
      <c r="AG119" s="23">
        <f t="shared" si="7"/>
        <v>1</v>
      </c>
    </row>
    <row r="120" spans="1:33" ht="12.5" customHeight="1" x14ac:dyDescent="0.25">
      <c r="A120" s="12" t="s">
        <v>31</v>
      </c>
      <c r="B120" s="9">
        <v>46175</v>
      </c>
      <c r="C120" s="8" t="s">
        <v>237</v>
      </c>
      <c r="D120" s="10" t="s">
        <v>238</v>
      </c>
      <c r="E120" s="10" t="s">
        <v>51</v>
      </c>
      <c r="F120" s="10" t="s">
        <v>35</v>
      </c>
      <c r="G120" s="10" t="s">
        <v>3146</v>
      </c>
      <c r="H120" s="8" t="s">
        <v>36</v>
      </c>
      <c r="I120" s="11">
        <v>48.72</v>
      </c>
      <c r="J120" s="6">
        <v>44.67624</v>
      </c>
      <c r="K120" s="6">
        <v>0.91700000000000004</v>
      </c>
      <c r="L120" s="6">
        <v>46.77</v>
      </c>
      <c r="M120" s="11">
        <v>42.888089999999998</v>
      </c>
      <c r="N120" s="11">
        <f t="shared" si="4"/>
        <v>42.888999999999996</v>
      </c>
      <c r="O120" s="6">
        <v>0.91699999999999993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1.95</v>
      </c>
      <c r="Z120" s="6">
        <v>1.7881499999999999</v>
      </c>
      <c r="AA120" s="6">
        <v>0.91699999999999993</v>
      </c>
      <c r="AB120" s="6">
        <v>-1.9499999999999957</v>
      </c>
      <c r="AC120" s="6">
        <v>1.9499999999999957</v>
      </c>
      <c r="AD120" s="22" t="s">
        <v>3140</v>
      </c>
      <c r="AE120" s="23">
        <f t="shared" si="5"/>
        <v>42.888999999999996</v>
      </c>
      <c r="AF120" s="24">
        <f t="shared" si="6"/>
        <v>0</v>
      </c>
      <c r="AG120" s="23">
        <f t="shared" si="7"/>
        <v>1</v>
      </c>
    </row>
    <row r="121" spans="1:33" ht="12.5" customHeight="1" x14ac:dyDescent="0.25">
      <c r="A121" s="12" t="s">
        <v>31</v>
      </c>
      <c r="B121" s="9">
        <v>46175</v>
      </c>
      <c r="C121" s="12" t="s">
        <v>237</v>
      </c>
      <c r="D121" s="10" t="s">
        <v>239</v>
      </c>
      <c r="E121" s="10" t="s">
        <v>51</v>
      </c>
      <c r="F121" s="10" t="s">
        <v>35</v>
      </c>
      <c r="G121" s="10" t="s">
        <v>3146</v>
      </c>
      <c r="H121" s="8" t="s">
        <v>36</v>
      </c>
      <c r="I121" s="11">
        <v>31.97</v>
      </c>
      <c r="J121" s="6">
        <v>29.316490000000002</v>
      </c>
      <c r="K121" s="6">
        <v>0.91700000000000004</v>
      </c>
      <c r="L121" s="6">
        <v>30.89</v>
      </c>
      <c r="M121" s="11">
        <v>28.326129999999999</v>
      </c>
      <c r="N121" s="11">
        <f t="shared" si="4"/>
        <v>28.327000000000002</v>
      </c>
      <c r="O121" s="6">
        <v>0.91699999999999993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1.08</v>
      </c>
      <c r="Z121" s="6">
        <v>0.99036000000000002</v>
      </c>
      <c r="AA121" s="6">
        <v>0.91699999999999993</v>
      </c>
      <c r="AB121" s="6">
        <v>-1.0799999999999983</v>
      </c>
      <c r="AC121" s="6">
        <v>1.0799999999999983</v>
      </c>
      <c r="AD121" s="22" t="s">
        <v>3140</v>
      </c>
      <c r="AE121" s="23">
        <f t="shared" si="5"/>
        <v>28.327000000000002</v>
      </c>
      <c r="AF121" s="24">
        <f t="shared" si="6"/>
        <v>0</v>
      </c>
      <c r="AG121" s="23">
        <f t="shared" si="7"/>
        <v>1</v>
      </c>
    </row>
    <row r="122" spans="1:33" ht="12.5" hidden="1" customHeight="1" x14ac:dyDescent="0.25">
      <c r="A122" s="12" t="s">
        <v>31</v>
      </c>
      <c r="B122" s="9">
        <v>46175</v>
      </c>
      <c r="C122" s="12" t="s">
        <v>237</v>
      </c>
      <c r="D122" s="10" t="s">
        <v>240</v>
      </c>
      <c r="E122" s="10" t="s">
        <v>51</v>
      </c>
      <c r="F122" s="10" t="s">
        <v>35</v>
      </c>
      <c r="G122" s="10" t="s">
        <v>3145</v>
      </c>
      <c r="H122" s="8" t="s">
        <v>41</v>
      </c>
      <c r="I122" s="11">
        <v>6.32</v>
      </c>
      <c r="J122" s="6">
        <v>4.74</v>
      </c>
      <c r="K122" s="6">
        <v>0.75</v>
      </c>
      <c r="L122" s="6">
        <v>5.82</v>
      </c>
      <c r="M122" s="11">
        <v>4.3650000000000002</v>
      </c>
      <c r="N122" s="11">
        <f t="shared" si="4"/>
        <v>4.3650000000000002</v>
      </c>
      <c r="O122" s="6">
        <v>0.75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0.5</v>
      </c>
      <c r="Z122" s="6">
        <v>0.375</v>
      </c>
      <c r="AA122" s="6">
        <v>0.75</v>
      </c>
      <c r="AB122" s="6">
        <v>-0.5</v>
      </c>
      <c r="AC122" s="6">
        <v>0.5</v>
      </c>
      <c r="AD122" s="22" t="s">
        <v>3140</v>
      </c>
      <c r="AE122" s="23">
        <f t="shared" si="5"/>
        <v>4.3650000000000002</v>
      </c>
      <c r="AF122" s="24">
        <f t="shared" si="6"/>
        <v>0</v>
      </c>
      <c r="AG122" s="23">
        <f t="shared" si="7"/>
        <v>1</v>
      </c>
    </row>
    <row r="123" spans="1:33" ht="12.5" customHeight="1" x14ac:dyDescent="0.25">
      <c r="A123" s="12" t="s">
        <v>31</v>
      </c>
      <c r="B123" s="9">
        <v>46175</v>
      </c>
      <c r="C123" s="13" t="s">
        <v>237</v>
      </c>
      <c r="D123" s="10" t="s">
        <v>241</v>
      </c>
      <c r="E123" s="10" t="s">
        <v>51</v>
      </c>
      <c r="F123" s="10" t="s">
        <v>35</v>
      </c>
      <c r="G123" s="10" t="s">
        <v>3146</v>
      </c>
      <c r="H123" s="8" t="s">
        <v>36</v>
      </c>
      <c r="I123" s="11">
        <v>20.57</v>
      </c>
      <c r="J123" s="6">
        <v>18.862690000000001</v>
      </c>
      <c r="K123" s="6">
        <v>0.91700000000000004</v>
      </c>
      <c r="L123" s="6">
        <v>19.46</v>
      </c>
      <c r="M123" s="11">
        <v>17.844819999999999</v>
      </c>
      <c r="N123" s="11">
        <f t="shared" si="4"/>
        <v>17.845000000000002</v>
      </c>
      <c r="O123" s="6">
        <v>0.91699999999999993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1.1100000000000001</v>
      </c>
      <c r="Z123" s="6">
        <v>1.0178700000000001</v>
      </c>
      <c r="AA123" s="6">
        <v>0.91699999999999993</v>
      </c>
      <c r="AB123" s="6">
        <v>-1.1099999999999994</v>
      </c>
      <c r="AC123" s="6">
        <v>1.1099999999999994</v>
      </c>
      <c r="AD123" s="22" t="s">
        <v>3140</v>
      </c>
      <c r="AE123" s="23">
        <f t="shared" si="5"/>
        <v>17.845000000000002</v>
      </c>
      <c r="AF123" s="24">
        <f t="shared" si="6"/>
        <v>0</v>
      </c>
      <c r="AG123" s="23">
        <f t="shared" si="7"/>
        <v>1</v>
      </c>
    </row>
    <row r="124" spans="1:33" x14ac:dyDescent="0.25">
      <c r="A124" s="12" t="s">
        <v>31</v>
      </c>
      <c r="B124" s="9">
        <v>46175</v>
      </c>
      <c r="C124" s="10" t="s">
        <v>242</v>
      </c>
      <c r="D124" s="10" t="s">
        <v>98</v>
      </c>
      <c r="E124" s="10" t="s">
        <v>51</v>
      </c>
      <c r="F124" s="10" t="s">
        <v>35</v>
      </c>
      <c r="G124" s="10" t="s">
        <v>3146</v>
      </c>
      <c r="H124" s="8" t="s">
        <v>36</v>
      </c>
      <c r="I124" s="11">
        <v>254.08</v>
      </c>
      <c r="J124" s="6">
        <v>232.99135999999999</v>
      </c>
      <c r="K124" s="6">
        <v>0.91699999999999993</v>
      </c>
      <c r="L124" s="6">
        <v>239.26</v>
      </c>
      <c r="M124" s="11">
        <v>219.40142</v>
      </c>
      <c r="N124" s="11">
        <f t="shared" si="4"/>
        <v>219.40200000000002</v>
      </c>
      <c r="O124" s="6">
        <v>0.91700000000000004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14.82</v>
      </c>
      <c r="Z124" s="6">
        <v>13.58994</v>
      </c>
      <c r="AA124" s="6">
        <v>0.91700000000000004</v>
      </c>
      <c r="AB124" s="6">
        <v>-14.820000000000022</v>
      </c>
      <c r="AC124" s="6">
        <v>14.820000000000022</v>
      </c>
      <c r="AD124" s="22" t="s">
        <v>3140</v>
      </c>
      <c r="AE124" s="23">
        <f t="shared" si="5"/>
        <v>219.40200000000002</v>
      </c>
      <c r="AF124" s="24">
        <f t="shared" si="6"/>
        <v>0</v>
      </c>
      <c r="AG124" s="23">
        <f t="shared" si="7"/>
        <v>2</v>
      </c>
    </row>
    <row r="125" spans="1:33" ht="20" hidden="1" customHeight="1" x14ac:dyDescent="0.25">
      <c r="A125" s="12" t="s">
        <v>31</v>
      </c>
      <c r="B125" s="9">
        <v>46175</v>
      </c>
      <c r="C125" s="10" t="s">
        <v>243</v>
      </c>
      <c r="D125" s="10" t="s">
        <v>244</v>
      </c>
      <c r="E125" s="10" t="s">
        <v>51</v>
      </c>
      <c r="F125" s="10" t="s">
        <v>35</v>
      </c>
      <c r="G125" s="10" t="s">
        <v>3145</v>
      </c>
      <c r="H125" s="8" t="s">
        <v>48</v>
      </c>
      <c r="I125" s="11">
        <v>29.19</v>
      </c>
      <c r="J125" s="6">
        <v>21.892499999999998</v>
      </c>
      <c r="K125" s="6">
        <v>0.74999999999999989</v>
      </c>
      <c r="L125" s="6">
        <v>25.17</v>
      </c>
      <c r="M125" s="11">
        <v>18.877500000000001</v>
      </c>
      <c r="N125" s="11">
        <f t="shared" si="4"/>
        <v>18.878</v>
      </c>
      <c r="O125" s="6">
        <v>0.75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4.0199999999999996</v>
      </c>
      <c r="Z125" s="6">
        <v>3.0150000000000001</v>
      </c>
      <c r="AA125" s="6">
        <v>0.75000000000000011</v>
      </c>
      <c r="AB125" s="6">
        <v>-4.0199999999999996</v>
      </c>
      <c r="AC125" s="6">
        <v>4.0199999999999996</v>
      </c>
      <c r="AD125" s="22" t="s">
        <v>3140</v>
      </c>
      <c r="AE125" s="23">
        <f t="shared" si="5"/>
        <v>18.878</v>
      </c>
      <c r="AF125" s="24">
        <f t="shared" si="6"/>
        <v>0</v>
      </c>
      <c r="AG125" s="23">
        <f t="shared" si="7"/>
        <v>1</v>
      </c>
    </row>
    <row r="126" spans="1:33" x14ac:dyDescent="0.25">
      <c r="A126" s="12" t="s">
        <v>31</v>
      </c>
      <c r="B126" s="9">
        <v>46175</v>
      </c>
      <c r="C126" s="10" t="s">
        <v>245</v>
      </c>
      <c r="D126" s="10" t="s">
        <v>99</v>
      </c>
      <c r="E126" s="10" t="s">
        <v>51</v>
      </c>
      <c r="F126" s="10" t="s">
        <v>35</v>
      </c>
      <c r="G126" s="10" t="s">
        <v>3146</v>
      </c>
      <c r="H126" s="8" t="s">
        <v>36</v>
      </c>
      <c r="I126" s="11">
        <v>30.1</v>
      </c>
      <c r="J126" s="6">
        <v>27.601700000000001</v>
      </c>
      <c r="K126" s="6">
        <v>0.91700000000000004</v>
      </c>
      <c r="L126" s="6">
        <v>28.56</v>
      </c>
      <c r="M126" s="11">
        <v>26.189520000000002</v>
      </c>
      <c r="N126" s="11">
        <f t="shared" si="4"/>
        <v>26.19</v>
      </c>
      <c r="O126" s="6">
        <v>0.91700000000000015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1.54</v>
      </c>
      <c r="Z126" s="6">
        <v>1.41218</v>
      </c>
      <c r="AA126" s="6">
        <v>0.91699999999999993</v>
      </c>
      <c r="AB126" s="6">
        <v>-1.5400000000000027</v>
      </c>
      <c r="AC126" s="6">
        <v>1.5400000000000027</v>
      </c>
      <c r="AD126" s="22" t="s">
        <v>3140</v>
      </c>
      <c r="AE126" s="23">
        <f t="shared" si="5"/>
        <v>26.19</v>
      </c>
      <c r="AF126" s="24">
        <f t="shared" si="6"/>
        <v>0</v>
      </c>
      <c r="AG126" s="23">
        <f t="shared" si="7"/>
        <v>2</v>
      </c>
    </row>
    <row r="127" spans="1:33" hidden="1" x14ac:dyDescent="0.25">
      <c r="A127" s="12" t="s">
        <v>31</v>
      </c>
      <c r="B127" s="9">
        <v>46175</v>
      </c>
      <c r="C127" s="10" t="s">
        <v>246</v>
      </c>
      <c r="D127" s="10" t="s">
        <v>247</v>
      </c>
      <c r="E127" s="10" t="s">
        <v>51</v>
      </c>
      <c r="F127" s="10" t="s">
        <v>35</v>
      </c>
      <c r="G127" s="10" t="s">
        <v>3145</v>
      </c>
      <c r="H127" s="8" t="s">
        <v>41</v>
      </c>
      <c r="I127" s="11">
        <v>7.55</v>
      </c>
      <c r="J127" s="6">
        <v>5.6624999999999996</v>
      </c>
      <c r="K127" s="6">
        <v>0.75</v>
      </c>
      <c r="L127" s="6">
        <v>6.83</v>
      </c>
      <c r="M127" s="11">
        <v>5.1224999999999996</v>
      </c>
      <c r="N127" s="11">
        <f t="shared" si="4"/>
        <v>5.1230000000000002</v>
      </c>
      <c r="O127" s="6">
        <v>0.74999999999999989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0.72</v>
      </c>
      <c r="Z127" s="6">
        <v>0.54</v>
      </c>
      <c r="AA127" s="6">
        <v>0.75000000000000011</v>
      </c>
      <c r="AB127" s="6">
        <v>-0.71999999999999975</v>
      </c>
      <c r="AC127" s="6">
        <v>0.71999999999999975</v>
      </c>
      <c r="AD127" s="22" t="s">
        <v>3140</v>
      </c>
      <c r="AE127" s="23">
        <f t="shared" si="5"/>
        <v>5.1230000000000002</v>
      </c>
      <c r="AF127" s="24">
        <f t="shared" si="6"/>
        <v>0</v>
      </c>
      <c r="AG127" s="23">
        <f t="shared" si="7"/>
        <v>1</v>
      </c>
    </row>
    <row r="128" spans="1:33" x14ac:dyDescent="0.25">
      <c r="A128" s="12" t="s">
        <v>31</v>
      </c>
      <c r="B128" s="9">
        <v>46175</v>
      </c>
      <c r="C128" s="10" t="s">
        <v>248</v>
      </c>
      <c r="D128" s="10" t="s">
        <v>249</v>
      </c>
      <c r="E128" s="10" t="s">
        <v>51</v>
      </c>
      <c r="F128" s="10" t="s">
        <v>35</v>
      </c>
      <c r="G128" s="10" t="s">
        <v>3146</v>
      </c>
      <c r="H128" s="8" t="s">
        <v>36</v>
      </c>
      <c r="I128" s="11">
        <v>10.97</v>
      </c>
      <c r="J128" s="6">
        <v>10.05949</v>
      </c>
      <c r="K128" s="6">
        <v>0.91699999999999993</v>
      </c>
      <c r="L128" s="6">
        <v>10.41</v>
      </c>
      <c r="M128" s="11">
        <v>9.5459700000000005</v>
      </c>
      <c r="N128" s="11">
        <f t="shared" si="4"/>
        <v>9.5459999999999994</v>
      </c>
      <c r="O128" s="6">
        <v>0.91700000000000004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0.56000000000000005</v>
      </c>
      <c r="Z128" s="6">
        <v>0.51351999999999998</v>
      </c>
      <c r="AA128" s="6">
        <v>0.91699999999999982</v>
      </c>
      <c r="AB128" s="6">
        <v>-0.5600000000000005</v>
      </c>
      <c r="AC128" s="6">
        <v>0.5600000000000005</v>
      </c>
      <c r="AD128" s="22" t="s">
        <v>3140</v>
      </c>
      <c r="AE128" s="23">
        <f t="shared" si="5"/>
        <v>9.5459999999999994</v>
      </c>
      <c r="AF128" s="24">
        <f t="shared" si="6"/>
        <v>0</v>
      </c>
      <c r="AG128" s="23">
        <f t="shared" si="7"/>
        <v>1</v>
      </c>
    </row>
    <row r="129" spans="1:33" hidden="1" x14ac:dyDescent="0.25">
      <c r="A129" s="12" t="s">
        <v>31</v>
      </c>
      <c r="B129" s="9">
        <v>46175</v>
      </c>
      <c r="C129" s="10" t="s">
        <v>250</v>
      </c>
      <c r="D129" s="10" t="s">
        <v>251</v>
      </c>
      <c r="E129" s="10" t="s">
        <v>51</v>
      </c>
      <c r="F129" s="10" t="s">
        <v>35</v>
      </c>
      <c r="G129" s="10" t="s">
        <v>3145</v>
      </c>
      <c r="H129" s="8" t="s">
        <v>41</v>
      </c>
      <c r="I129" s="11">
        <v>7.16</v>
      </c>
      <c r="J129" s="6">
        <v>5.37</v>
      </c>
      <c r="K129" s="6">
        <v>0.75</v>
      </c>
      <c r="L129" s="6">
        <v>6.38</v>
      </c>
      <c r="M129" s="11">
        <v>4.7850000000000001</v>
      </c>
      <c r="N129" s="11">
        <f t="shared" si="4"/>
        <v>4.7850000000000001</v>
      </c>
      <c r="O129" s="6">
        <v>0.75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0.78</v>
      </c>
      <c r="Z129" s="6">
        <v>0.58499999999999996</v>
      </c>
      <c r="AA129" s="6">
        <v>0.74999999999999989</v>
      </c>
      <c r="AB129" s="6">
        <v>-0.78000000000000025</v>
      </c>
      <c r="AC129" s="6">
        <v>0.78000000000000025</v>
      </c>
      <c r="AD129" s="22" t="s">
        <v>3140</v>
      </c>
      <c r="AE129" s="23">
        <f t="shared" si="5"/>
        <v>4.7850000000000001</v>
      </c>
      <c r="AF129" s="24">
        <f t="shared" si="6"/>
        <v>0</v>
      </c>
      <c r="AG129" s="23">
        <f t="shared" si="7"/>
        <v>1</v>
      </c>
    </row>
    <row r="130" spans="1:33" x14ac:dyDescent="0.25">
      <c r="A130" s="12" t="s">
        <v>31</v>
      </c>
      <c r="B130" s="9">
        <v>46175</v>
      </c>
      <c r="C130" s="10" t="s">
        <v>252</v>
      </c>
      <c r="D130" s="10" t="s">
        <v>253</v>
      </c>
      <c r="E130" s="10" t="s">
        <v>51</v>
      </c>
      <c r="F130" s="10" t="s">
        <v>35</v>
      </c>
      <c r="G130" s="10" t="s">
        <v>3146</v>
      </c>
      <c r="H130" s="8" t="s">
        <v>36</v>
      </c>
      <c r="I130" s="11">
        <v>7.99</v>
      </c>
      <c r="J130" s="6">
        <v>7.3268300000000002</v>
      </c>
      <c r="K130" s="6">
        <v>0.91700000000000004</v>
      </c>
      <c r="L130" s="6">
        <v>7.72</v>
      </c>
      <c r="M130" s="11">
        <v>7.0792400000000004</v>
      </c>
      <c r="N130" s="11">
        <f t="shared" si="4"/>
        <v>7.08</v>
      </c>
      <c r="O130" s="6">
        <v>0.91700000000000004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0.27</v>
      </c>
      <c r="Z130" s="6">
        <v>0.24759</v>
      </c>
      <c r="AA130" s="6">
        <v>0.91699999999999993</v>
      </c>
      <c r="AB130" s="6">
        <v>-0.27000000000000046</v>
      </c>
      <c r="AC130" s="6">
        <v>0.27000000000000046</v>
      </c>
      <c r="AD130" s="22" t="s">
        <v>3140</v>
      </c>
      <c r="AE130" s="23">
        <f t="shared" si="5"/>
        <v>7.08</v>
      </c>
      <c r="AF130" s="24">
        <f t="shared" si="6"/>
        <v>0</v>
      </c>
      <c r="AG130" s="23">
        <f t="shared" si="7"/>
        <v>1</v>
      </c>
    </row>
    <row r="131" spans="1:33" x14ac:dyDescent="0.25">
      <c r="A131" s="12" t="s">
        <v>31</v>
      </c>
      <c r="B131" s="9">
        <v>46175</v>
      </c>
      <c r="C131" s="10" t="s">
        <v>254</v>
      </c>
      <c r="D131" s="10" t="s">
        <v>255</v>
      </c>
      <c r="E131" s="10" t="s">
        <v>51</v>
      </c>
      <c r="F131" s="10" t="s">
        <v>35</v>
      </c>
      <c r="G131" s="10" t="s">
        <v>3146</v>
      </c>
      <c r="H131" s="8" t="s">
        <v>36</v>
      </c>
      <c r="I131" s="11">
        <v>12.96</v>
      </c>
      <c r="J131" s="6">
        <v>11.884320000000001</v>
      </c>
      <c r="K131" s="6">
        <v>0.91700000000000004</v>
      </c>
      <c r="L131" s="6">
        <v>12.74</v>
      </c>
      <c r="M131" s="11">
        <v>11.68258</v>
      </c>
      <c r="N131" s="11">
        <f t="shared" ref="N131:N194" si="8">ROUNDUP(M131,3)</f>
        <v>11.683</v>
      </c>
      <c r="O131" s="6">
        <v>0.91699999999999993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0.22</v>
      </c>
      <c r="Z131" s="6">
        <v>0.20174</v>
      </c>
      <c r="AA131" s="6">
        <v>0.91700000000000004</v>
      </c>
      <c r="AB131" s="6">
        <v>-0.22000000000000064</v>
      </c>
      <c r="AC131" s="6">
        <v>0.22000000000000064</v>
      </c>
      <c r="AD131" s="22" t="s">
        <v>3140</v>
      </c>
      <c r="AE131" s="23">
        <f t="shared" ref="AE131:AE194" si="9">_xlfn.MINIFS(N:N,D:D,D131)</f>
        <v>11.683</v>
      </c>
      <c r="AF131" s="24">
        <f t="shared" ref="AF131:AF194" si="10">N131-AE131</f>
        <v>0</v>
      </c>
      <c r="AG131" s="23">
        <f t="shared" ref="AG131:AG194" si="11">COUNTIF(D:D,D131)</f>
        <v>1</v>
      </c>
    </row>
    <row r="132" spans="1:33" ht="12.5" customHeight="1" x14ac:dyDescent="0.25">
      <c r="A132" s="12" t="s">
        <v>31</v>
      </c>
      <c r="B132" s="9">
        <v>46175</v>
      </c>
      <c r="C132" s="8" t="s">
        <v>256</v>
      </c>
      <c r="D132" s="10" t="s">
        <v>257</v>
      </c>
      <c r="E132" s="10" t="s">
        <v>51</v>
      </c>
      <c r="F132" s="10" t="s">
        <v>35</v>
      </c>
      <c r="G132" s="10" t="s">
        <v>3146</v>
      </c>
      <c r="H132" s="8" t="s">
        <v>36</v>
      </c>
      <c r="I132" s="11">
        <v>49.36</v>
      </c>
      <c r="J132" s="6">
        <v>45.263120000000001</v>
      </c>
      <c r="K132" s="6">
        <v>0.91700000000000004</v>
      </c>
      <c r="L132" s="6">
        <v>47.88</v>
      </c>
      <c r="M132" s="11">
        <v>43.90596</v>
      </c>
      <c r="N132" s="11">
        <f t="shared" si="8"/>
        <v>43.905999999999999</v>
      </c>
      <c r="O132" s="6">
        <v>0.91699999999999993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1.48</v>
      </c>
      <c r="Z132" s="6">
        <v>1.3571599999999999</v>
      </c>
      <c r="AA132" s="6">
        <v>0.91699999999999993</v>
      </c>
      <c r="AB132" s="6">
        <v>-1.4799999999999969</v>
      </c>
      <c r="AC132" s="6">
        <v>1.4799999999999969</v>
      </c>
      <c r="AD132" s="22" t="s">
        <v>3140</v>
      </c>
      <c r="AE132" s="23">
        <f t="shared" si="9"/>
        <v>43.905999999999999</v>
      </c>
      <c r="AF132" s="24">
        <f t="shared" si="10"/>
        <v>0</v>
      </c>
      <c r="AG132" s="23">
        <f t="shared" si="11"/>
        <v>1</v>
      </c>
    </row>
    <row r="133" spans="1:33" ht="12.5" customHeight="1" x14ac:dyDescent="0.25">
      <c r="A133" s="12" t="s">
        <v>31</v>
      </c>
      <c r="B133" s="9">
        <v>46175</v>
      </c>
      <c r="C133" s="12" t="s">
        <v>256</v>
      </c>
      <c r="D133" s="10" t="s">
        <v>258</v>
      </c>
      <c r="E133" s="10" t="s">
        <v>51</v>
      </c>
      <c r="F133" s="10" t="s">
        <v>35</v>
      </c>
      <c r="G133" s="10" t="s">
        <v>3146</v>
      </c>
      <c r="H133" s="8" t="s">
        <v>36</v>
      </c>
      <c r="I133" s="11">
        <v>7.74</v>
      </c>
      <c r="J133" s="6">
        <v>7.0975799999999998</v>
      </c>
      <c r="K133" s="6">
        <v>0.91699999999999993</v>
      </c>
      <c r="L133" s="6">
        <v>7.51</v>
      </c>
      <c r="M133" s="11">
        <v>6.8866699999999996</v>
      </c>
      <c r="N133" s="11">
        <f t="shared" si="8"/>
        <v>6.8870000000000005</v>
      </c>
      <c r="O133" s="6">
        <v>0.91699999999999993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0.23</v>
      </c>
      <c r="Z133" s="6">
        <v>0.21090999999999999</v>
      </c>
      <c r="AA133" s="6">
        <v>0.91699999999999993</v>
      </c>
      <c r="AB133" s="6">
        <v>-0.23000000000000043</v>
      </c>
      <c r="AC133" s="6">
        <v>0.23000000000000043</v>
      </c>
      <c r="AD133" s="22" t="s">
        <v>3140</v>
      </c>
      <c r="AE133" s="23">
        <f t="shared" si="9"/>
        <v>6.8870000000000005</v>
      </c>
      <c r="AF133" s="24">
        <f t="shared" si="10"/>
        <v>0</v>
      </c>
      <c r="AG133" s="23">
        <f t="shared" si="11"/>
        <v>1</v>
      </c>
    </row>
    <row r="134" spans="1:33" ht="12.5" customHeight="1" x14ac:dyDescent="0.25">
      <c r="A134" s="12" t="s">
        <v>31</v>
      </c>
      <c r="B134" s="9">
        <v>46175</v>
      </c>
      <c r="C134" s="12" t="s">
        <v>256</v>
      </c>
      <c r="D134" s="10" t="s">
        <v>259</v>
      </c>
      <c r="E134" s="10" t="s">
        <v>51</v>
      </c>
      <c r="F134" s="10" t="s">
        <v>35</v>
      </c>
      <c r="G134" s="10" t="s">
        <v>3146</v>
      </c>
      <c r="H134" s="8" t="s">
        <v>36</v>
      </c>
      <c r="I134" s="11">
        <v>7.73</v>
      </c>
      <c r="J134" s="6">
        <v>7.0884099999999997</v>
      </c>
      <c r="K134" s="6">
        <v>0.91699999999999993</v>
      </c>
      <c r="L134" s="6">
        <v>7.5</v>
      </c>
      <c r="M134" s="11">
        <v>6.8775000000000004</v>
      </c>
      <c r="N134" s="11">
        <f t="shared" si="8"/>
        <v>6.8780000000000001</v>
      </c>
      <c r="O134" s="6">
        <v>0.91700000000000004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0.23</v>
      </c>
      <c r="Z134" s="6">
        <v>0.21090999999999999</v>
      </c>
      <c r="AA134" s="6">
        <v>0.91699999999999993</v>
      </c>
      <c r="AB134" s="6">
        <v>-0.23000000000000043</v>
      </c>
      <c r="AC134" s="6">
        <v>0.23000000000000043</v>
      </c>
      <c r="AD134" s="22" t="s">
        <v>3140</v>
      </c>
      <c r="AE134" s="23">
        <f t="shared" si="9"/>
        <v>6.8780000000000001</v>
      </c>
      <c r="AF134" s="24">
        <f t="shared" si="10"/>
        <v>0</v>
      </c>
      <c r="AG134" s="23">
        <f t="shared" si="11"/>
        <v>1</v>
      </c>
    </row>
    <row r="135" spans="1:33" ht="12.5" customHeight="1" x14ac:dyDescent="0.25">
      <c r="A135" s="12" t="s">
        <v>31</v>
      </c>
      <c r="B135" s="9">
        <v>46175</v>
      </c>
      <c r="C135" s="12" t="s">
        <v>256</v>
      </c>
      <c r="D135" s="10" t="s">
        <v>260</v>
      </c>
      <c r="E135" s="10" t="s">
        <v>51</v>
      </c>
      <c r="F135" s="10" t="s">
        <v>35</v>
      </c>
      <c r="G135" s="10" t="s">
        <v>3146</v>
      </c>
      <c r="H135" s="8" t="s">
        <v>36</v>
      </c>
      <c r="I135" s="11">
        <v>8.84</v>
      </c>
      <c r="J135" s="6">
        <v>8.1062799999999999</v>
      </c>
      <c r="K135" s="6">
        <v>0.91700000000000004</v>
      </c>
      <c r="L135" s="6">
        <v>8.41</v>
      </c>
      <c r="M135" s="11">
        <v>7.71197</v>
      </c>
      <c r="N135" s="11">
        <f t="shared" si="8"/>
        <v>7.7120000000000006</v>
      </c>
      <c r="O135" s="6">
        <v>0.91700000000000004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0.43</v>
      </c>
      <c r="Z135" s="6">
        <v>0.39430999999999999</v>
      </c>
      <c r="AA135" s="6">
        <v>0.91700000000000004</v>
      </c>
      <c r="AB135" s="6">
        <v>-0.42999999999999972</v>
      </c>
      <c r="AC135" s="6">
        <v>0.42999999999999972</v>
      </c>
      <c r="AD135" s="22" t="s">
        <v>3140</v>
      </c>
      <c r="AE135" s="23">
        <f t="shared" si="9"/>
        <v>7.7120000000000006</v>
      </c>
      <c r="AF135" s="24">
        <f t="shared" si="10"/>
        <v>0</v>
      </c>
      <c r="AG135" s="23">
        <f t="shared" si="11"/>
        <v>2</v>
      </c>
    </row>
    <row r="136" spans="1:33" ht="12.5" customHeight="1" x14ac:dyDescent="0.25">
      <c r="A136" s="12" t="s">
        <v>31</v>
      </c>
      <c r="B136" s="9">
        <v>46175</v>
      </c>
      <c r="C136" s="13" t="s">
        <v>256</v>
      </c>
      <c r="D136" s="10" t="s">
        <v>261</v>
      </c>
      <c r="E136" s="10" t="s">
        <v>51</v>
      </c>
      <c r="F136" s="10" t="s">
        <v>35</v>
      </c>
      <c r="G136" s="10" t="s">
        <v>3146</v>
      </c>
      <c r="H136" s="8" t="s">
        <v>36</v>
      </c>
      <c r="I136" s="11">
        <v>7.63</v>
      </c>
      <c r="J136" s="6">
        <v>6.9967100000000002</v>
      </c>
      <c r="K136" s="6">
        <v>0.91700000000000004</v>
      </c>
      <c r="L136" s="6">
        <v>7.28</v>
      </c>
      <c r="M136" s="11">
        <v>6.6757600000000004</v>
      </c>
      <c r="N136" s="11">
        <f t="shared" si="8"/>
        <v>6.6760000000000002</v>
      </c>
      <c r="O136" s="6">
        <v>0.91700000000000004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0.35</v>
      </c>
      <c r="Z136" s="6">
        <v>0.32095000000000001</v>
      </c>
      <c r="AA136" s="6">
        <v>0.91700000000000015</v>
      </c>
      <c r="AB136" s="6">
        <v>-0.34999999999999964</v>
      </c>
      <c r="AC136" s="6">
        <v>0.34999999999999964</v>
      </c>
      <c r="AD136" s="22" t="s">
        <v>3140</v>
      </c>
      <c r="AE136" s="23">
        <f t="shared" si="9"/>
        <v>6.6760000000000002</v>
      </c>
      <c r="AF136" s="24">
        <f t="shared" si="10"/>
        <v>0</v>
      </c>
      <c r="AG136" s="23">
        <f t="shared" si="11"/>
        <v>1</v>
      </c>
    </row>
    <row r="137" spans="1:33" x14ac:dyDescent="0.25">
      <c r="A137" s="12" t="s">
        <v>31</v>
      </c>
      <c r="B137" s="9">
        <v>46175</v>
      </c>
      <c r="C137" s="10" t="s">
        <v>262</v>
      </c>
      <c r="D137" s="10" t="s">
        <v>263</v>
      </c>
      <c r="E137" s="10" t="s">
        <v>51</v>
      </c>
      <c r="F137" s="10" t="s">
        <v>35</v>
      </c>
      <c r="G137" s="10" t="s">
        <v>3146</v>
      </c>
      <c r="H137" s="8" t="s">
        <v>36</v>
      </c>
      <c r="I137" s="11">
        <v>52.3</v>
      </c>
      <c r="J137" s="6">
        <v>47.959099999999999</v>
      </c>
      <c r="K137" s="6">
        <v>0.91700000000000004</v>
      </c>
      <c r="L137" s="6">
        <v>50.44</v>
      </c>
      <c r="M137" s="11">
        <v>46.253480000000003</v>
      </c>
      <c r="N137" s="11">
        <f t="shared" si="8"/>
        <v>46.253999999999998</v>
      </c>
      <c r="O137" s="6">
        <v>0.91700000000000015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1.86</v>
      </c>
      <c r="Z137" s="6">
        <v>1.7056199999999999</v>
      </c>
      <c r="AA137" s="6">
        <v>0.91699999999999993</v>
      </c>
      <c r="AB137" s="6">
        <v>-1.8599999999999994</v>
      </c>
      <c r="AC137" s="6">
        <v>1.8599999999999994</v>
      </c>
      <c r="AD137" s="22" t="s">
        <v>3140</v>
      </c>
      <c r="AE137" s="23">
        <f t="shared" si="9"/>
        <v>46.253999999999998</v>
      </c>
      <c r="AF137" s="24">
        <f t="shared" si="10"/>
        <v>0</v>
      </c>
      <c r="AG137" s="23">
        <f t="shared" si="11"/>
        <v>1</v>
      </c>
    </row>
    <row r="138" spans="1:33" ht="12.5" hidden="1" customHeight="1" x14ac:dyDescent="0.25">
      <c r="A138" s="12" t="s">
        <v>31</v>
      </c>
      <c r="B138" s="9">
        <v>46175</v>
      </c>
      <c r="C138" s="8" t="s">
        <v>264</v>
      </c>
      <c r="D138" s="10" t="s">
        <v>265</v>
      </c>
      <c r="E138" s="10" t="s">
        <v>51</v>
      </c>
      <c r="F138" s="10" t="s">
        <v>35</v>
      </c>
      <c r="G138" s="10" t="s">
        <v>3145</v>
      </c>
      <c r="H138" s="8" t="s">
        <v>48</v>
      </c>
      <c r="I138" s="11">
        <v>48.73</v>
      </c>
      <c r="J138" s="6">
        <v>36.547499999999999</v>
      </c>
      <c r="K138" s="6">
        <v>0.75</v>
      </c>
      <c r="L138" s="6">
        <v>45.14</v>
      </c>
      <c r="M138" s="11">
        <v>33.854999999999997</v>
      </c>
      <c r="N138" s="11">
        <f t="shared" si="8"/>
        <v>33.854999999999997</v>
      </c>
      <c r="O138" s="6">
        <v>0.74999999999999989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3.59</v>
      </c>
      <c r="Z138" s="6">
        <v>2.6924999999999999</v>
      </c>
      <c r="AA138" s="6">
        <v>0.75</v>
      </c>
      <c r="AB138" s="6">
        <v>-3.5899999999999963</v>
      </c>
      <c r="AC138" s="6">
        <v>3.5899999999999963</v>
      </c>
      <c r="AD138" s="22" t="s">
        <v>3140</v>
      </c>
      <c r="AE138" s="23">
        <f t="shared" si="9"/>
        <v>33.854999999999997</v>
      </c>
      <c r="AF138" s="24">
        <f t="shared" si="10"/>
        <v>0</v>
      </c>
      <c r="AG138" s="23">
        <f t="shared" si="11"/>
        <v>1</v>
      </c>
    </row>
    <row r="139" spans="1:33" ht="12.5" customHeight="1" x14ac:dyDescent="0.25">
      <c r="A139" s="12" t="s">
        <v>31</v>
      </c>
      <c r="B139" s="9">
        <v>46175</v>
      </c>
      <c r="C139" s="13" t="s">
        <v>264</v>
      </c>
      <c r="D139" s="10" t="s">
        <v>266</v>
      </c>
      <c r="E139" s="10" t="s">
        <v>51</v>
      </c>
      <c r="F139" s="10" t="s">
        <v>35</v>
      </c>
      <c r="G139" s="10" t="s">
        <v>3146</v>
      </c>
      <c r="H139" s="8" t="s">
        <v>36</v>
      </c>
      <c r="I139" s="11">
        <v>46.72</v>
      </c>
      <c r="J139" s="6">
        <v>42.842239999999997</v>
      </c>
      <c r="K139" s="6">
        <v>0.91699999999999993</v>
      </c>
      <c r="L139" s="6">
        <v>45.03</v>
      </c>
      <c r="M139" s="11">
        <v>41.29251</v>
      </c>
      <c r="N139" s="11">
        <f t="shared" si="8"/>
        <v>41.292999999999999</v>
      </c>
      <c r="O139" s="6">
        <v>0.91699999999999993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1.69</v>
      </c>
      <c r="Z139" s="6">
        <v>1.5497300000000001</v>
      </c>
      <c r="AA139" s="6">
        <v>0.91700000000000004</v>
      </c>
      <c r="AB139" s="6">
        <v>-1.6899999999999977</v>
      </c>
      <c r="AC139" s="6">
        <v>1.6899999999999977</v>
      </c>
      <c r="AD139" s="22" t="s">
        <v>3140</v>
      </c>
      <c r="AE139" s="23">
        <f t="shared" si="9"/>
        <v>41.292999999999999</v>
      </c>
      <c r="AF139" s="24">
        <f t="shared" si="10"/>
        <v>0</v>
      </c>
      <c r="AG139" s="23">
        <f t="shared" si="11"/>
        <v>1</v>
      </c>
    </row>
    <row r="140" spans="1:33" x14ac:dyDescent="0.25">
      <c r="A140" s="12" t="s">
        <v>31</v>
      </c>
      <c r="B140" s="9">
        <v>46175</v>
      </c>
      <c r="C140" s="10" t="s">
        <v>267</v>
      </c>
      <c r="D140" s="10" t="s">
        <v>268</v>
      </c>
      <c r="E140" s="10" t="s">
        <v>51</v>
      </c>
      <c r="F140" s="10" t="s">
        <v>35</v>
      </c>
      <c r="G140" s="10" t="s">
        <v>3146</v>
      </c>
      <c r="H140" s="8" t="s">
        <v>36</v>
      </c>
      <c r="I140" s="11">
        <v>2.77</v>
      </c>
      <c r="J140" s="6">
        <v>2.5400900000000002</v>
      </c>
      <c r="K140" s="6">
        <v>0.91700000000000004</v>
      </c>
      <c r="L140" s="6">
        <v>2.7</v>
      </c>
      <c r="M140" s="11">
        <v>2.4759000000000002</v>
      </c>
      <c r="N140" s="11">
        <f t="shared" si="8"/>
        <v>2.476</v>
      </c>
      <c r="O140" s="6">
        <v>0.91700000000000004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7.0000000000000007E-2</v>
      </c>
      <c r="Z140" s="6">
        <v>6.4189999999999997E-2</v>
      </c>
      <c r="AA140" s="6">
        <v>0.91699999999999982</v>
      </c>
      <c r="AB140" s="6">
        <v>-6.999999999999984E-2</v>
      </c>
      <c r="AC140" s="6">
        <v>6.999999999999984E-2</v>
      </c>
      <c r="AD140" s="22" t="s">
        <v>3140</v>
      </c>
      <c r="AE140" s="23">
        <f t="shared" si="9"/>
        <v>2.476</v>
      </c>
      <c r="AF140" s="24">
        <f t="shared" si="10"/>
        <v>0</v>
      </c>
      <c r="AG140" s="23">
        <f t="shared" si="11"/>
        <v>1</v>
      </c>
    </row>
    <row r="141" spans="1:33" ht="12.5" hidden="1" customHeight="1" x14ac:dyDescent="0.25">
      <c r="A141" s="12" t="s">
        <v>31</v>
      </c>
      <c r="B141" s="9">
        <v>46175</v>
      </c>
      <c r="C141" s="8" t="s">
        <v>269</v>
      </c>
      <c r="D141" s="10" t="s">
        <v>270</v>
      </c>
      <c r="E141" s="10" t="s">
        <v>51</v>
      </c>
      <c r="F141" s="10" t="s">
        <v>35</v>
      </c>
      <c r="G141" s="10" t="s">
        <v>3145</v>
      </c>
      <c r="H141" s="8" t="s">
        <v>41</v>
      </c>
      <c r="I141" s="11">
        <v>13.83</v>
      </c>
      <c r="J141" s="6">
        <v>10.3725</v>
      </c>
      <c r="K141" s="6">
        <v>0.75</v>
      </c>
      <c r="L141" s="6">
        <v>13.05</v>
      </c>
      <c r="M141" s="11">
        <v>9.7874999999999996</v>
      </c>
      <c r="N141" s="11">
        <f t="shared" si="8"/>
        <v>9.7880000000000003</v>
      </c>
      <c r="O141" s="6">
        <v>0.74999999999999989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0.78</v>
      </c>
      <c r="Z141" s="6">
        <v>0.58499999999999996</v>
      </c>
      <c r="AA141" s="6">
        <v>0.74999999999999989</v>
      </c>
      <c r="AB141" s="6">
        <v>-0.77999999999999936</v>
      </c>
      <c r="AC141" s="6">
        <v>0.77999999999999936</v>
      </c>
      <c r="AD141" s="22" t="s">
        <v>3140</v>
      </c>
      <c r="AE141" s="23">
        <f t="shared" si="9"/>
        <v>9.7880000000000003</v>
      </c>
      <c r="AF141" s="24">
        <f t="shared" si="10"/>
        <v>0</v>
      </c>
      <c r="AG141" s="23">
        <f t="shared" si="11"/>
        <v>1</v>
      </c>
    </row>
    <row r="142" spans="1:33" ht="12.5" customHeight="1" x14ac:dyDescent="0.25">
      <c r="A142" s="12" t="s">
        <v>31</v>
      </c>
      <c r="B142" s="9">
        <v>46175</v>
      </c>
      <c r="C142" s="12" t="s">
        <v>269</v>
      </c>
      <c r="D142" s="10" t="s">
        <v>271</v>
      </c>
      <c r="E142" s="10" t="s">
        <v>51</v>
      </c>
      <c r="F142" s="10" t="s">
        <v>35</v>
      </c>
      <c r="G142" s="10" t="s">
        <v>3146</v>
      </c>
      <c r="H142" s="8" t="s">
        <v>36</v>
      </c>
      <c r="I142" s="11">
        <v>9.7799999999999994</v>
      </c>
      <c r="J142" s="6">
        <v>8.9682600000000008</v>
      </c>
      <c r="K142" s="6">
        <v>0.91700000000000015</v>
      </c>
      <c r="L142" s="6">
        <v>9.09</v>
      </c>
      <c r="M142" s="11">
        <v>8.3355300000000003</v>
      </c>
      <c r="N142" s="11">
        <f t="shared" si="8"/>
        <v>8.3360000000000003</v>
      </c>
      <c r="O142" s="6">
        <v>0.91700000000000004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0.69</v>
      </c>
      <c r="Z142" s="6">
        <v>0.63273000000000001</v>
      </c>
      <c r="AA142" s="6">
        <v>0.91700000000000004</v>
      </c>
      <c r="AB142" s="6">
        <v>-0.6899999999999995</v>
      </c>
      <c r="AC142" s="6">
        <v>0.6899999999999995</v>
      </c>
      <c r="AD142" s="22" t="s">
        <v>3140</v>
      </c>
      <c r="AE142" s="23">
        <f t="shared" si="9"/>
        <v>8.3360000000000003</v>
      </c>
      <c r="AF142" s="24">
        <f t="shared" si="10"/>
        <v>0</v>
      </c>
      <c r="AG142" s="23">
        <f t="shared" si="11"/>
        <v>1</v>
      </c>
    </row>
    <row r="143" spans="1:33" ht="12.5" hidden="1" customHeight="1" x14ac:dyDescent="0.25">
      <c r="A143" s="12" t="s">
        <v>31</v>
      </c>
      <c r="B143" s="9">
        <v>46175</v>
      </c>
      <c r="C143" s="13" t="s">
        <v>269</v>
      </c>
      <c r="D143" s="10" t="s">
        <v>272</v>
      </c>
      <c r="E143" s="10" t="s">
        <v>51</v>
      </c>
      <c r="F143" s="10" t="s">
        <v>35</v>
      </c>
      <c r="G143" s="10" t="s">
        <v>3145</v>
      </c>
      <c r="H143" s="8" t="s">
        <v>48</v>
      </c>
      <c r="I143" s="11">
        <v>6.49</v>
      </c>
      <c r="J143" s="6">
        <v>4.8674999999999997</v>
      </c>
      <c r="K143" s="6">
        <v>0.74999999999999989</v>
      </c>
      <c r="L143" s="6">
        <v>5.85</v>
      </c>
      <c r="M143" s="11">
        <v>4.3875000000000002</v>
      </c>
      <c r="N143" s="11">
        <f t="shared" si="8"/>
        <v>4.3879999999999999</v>
      </c>
      <c r="O143" s="6">
        <v>0.75000000000000011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0.64</v>
      </c>
      <c r="Z143" s="6">
        <v>0.48</v>
      </c>
      <c r="AA143" s="6">
        <v>0.75</v>
      </c>
      <c r="AB143" s="6">
        <v>-0.64000000000000057</v>
      </c>
      <c r="AC143" s="6">
        <v>0.64000000000000057</v>
      </c>
      <c r="AD143" s="23" t="s">
        <v>3143</v>
      </c>
      <c r="AE143" s="23">
        <f t="shared" si="9"/>
        <v>4.26</v>
      </c>
      <c r="AF143" s="24">
        <f t="shared" si="10"/>
        <v>0.12800000000000011</v>
      </c>
      <c r="AG143" s="23">
        <f t="shared" si="11"/>
        <v>2</v>
      </c>
    </row>
    <row r="144" spans="1:33" ht="12.5" customHeight="1" x14ac:dyDescent="0.25">
      <c r="A144" s="12" t="s">
        <v>31</v>
      </c>
      <c r="B144" s="9">
        <v>46175</v>
      </c>
      <c r="C144" s="8" t="s">
        <v>273</v>
      </c>
      <c r="D144" s="10" t="s">
        <v>274</v>
      </c>
      <c r="E144" s="10" t="s">
        <v>51</v>
      </c>
      <c r="F144" s="10" t="s">
        <v>35</v>
      </c>
      <c r="G144" s="10" t="s">
        <v>3146</v>
      </c>
      <c r="H144" s="8" t="s">
        <v>36</v>
      </c>
      <c r="I144" s="11">
        <v>52.43</v>
      </c>
      <c r="J144" s="6">
        <v>48.078310000000002</v>
      </c>
      <c r="K144" s="6">
        <v>0.91700000000000004</v>
      </c>
      <c r="L144" s="6">
        <v>50.65</v>
      </c>
      <c r="M144" s="11">
        <v>46.44605</v>
      </c>
      <c r="N144" s="11">
        <f t="shared" si="8"/>
        <v>46.446999999999996</v>
      </c>
      <c r="O144" s="6">
        <v>0.91700000000000004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1.78</v>
      </c>
      <c r="Z144" s="6">
        <v>1.63226</v>
      </c>
      <c r="AA144" s="6">
        <v>0.91700000000000004</v>
      </c>
      <c r="AB144" s="6">
        <v>-1.7800000000000011</v>
      </c>
      <c r="AC144" s="6">
        <v>1.7800000000000011</v>
      </c>
      <c r="AD144" s="22" t="s">
        <v>3140</v>
      </c>
      <c r="AE144" s="23">
        <f t="shared" si="9"/>
        <v>46.446999999999996</v>
      </c>
      <c r="AF144" s="24">
        <f t="shared" si="10"/>
        <v>0</v>
      </c>
      <c r="AG144" s="23">
        <f t="shared" si="11"/>
        <v>1</v>
      </c>
    </row>
    <row r="145" spans="1:33" ht="12.5" customHeight="1" x14ac:dyDescent="0.25">
      <c r="A145" s="12" t="s">
        <v>31</v>
      </c>
      <c r="B145" s="9">
        <v>46175</v>
      </c>
      <c r="C145" s="12" t="s">
        <v>273</v>
      </c>
      <c r="D145" s="10" t="s">
        <v>275</v>
      </c>
      <c r="E145" s="10" t="s">
        <v>51</v>
      </c>
      <c r="F145" s="10" t="s">
        <v>35</v>
      </c>
      <c r="G145" s="10" t="s">
        <v>3146</v>
      </c>
      <c r="H145" s="8" t="s">
        <v>36</v>
      </c>
      <c r="I145" s="11">
        <v>3.89</v>
      </c>
      <c r="J145" s="6">
        <v>3.5671300000000001</v>
      </c>
      <c r="K145" s="6">
        <v>0.91700000000000004</v>
      </c>
      <c r="L145" s="6">
        <v>3.78</v>
      </c>
      <c r="M145" s="11">
        <v>3.4662600000000001</v>
      </c>
      <c r="N145" s="11">
        <f t="shared" si="8"/>
        <v>3.4670000000000001</v>
      </c>
      <c r="O145" s="6">
        <v>0.91700000000000004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0.11</v>
      </c>
      <c r="Z145" s="6">
        <v>0.10087</v>
      </c>
      <c r="AA145" s="6">
        <v>0.91700000000000004</v>
      </c>
      <c r="AB145" s="6">
        <v>-0.11000000000000032</v>
      </c>
      <c r="AC145" s="6">
        <v>0.11000000000000032</v>
      </c>
      <c r="AD145" s="22" t="s">
        <v>3140</v>
      </c>
      <c r="AE145" s="23">
        <f t="shared" si="9"/>
        <v>3.4670000000000001</v>
      </c>
      <c r="AF145" s="24">
        <f t="shared" si="10"/>
        <v>0</v>
      </c>
      <c r="AG145" s="23">
        <f t="shared" si="11"/>
        <v>2</v>
      </c>
    </row>
    <row r="146" spans="1:33" ht="12.5" customHeight="1" x14ac:dyDescent="0.25">
      <c r="A146" s="12" t="s">
        <v>31</v>
      </c>
      <c r="B146" s="9">
        <v>46175</v>
      </c>
      <c r="C146" s="12" t="s">
        <v>273</v>
      </c>
      <c r="D146" s="10" t="s">
        <v>276</v>
      </c>
      <c r="E146" s="10" t="s">
        <v>51</v>
      </c>
      <c r="F146" s="10" t="s">
        <v>35</v>
      </c>
      <c r="G146" s="10" t="s">
        <v>3146</v>
      </c>
      <c r="H146" s="8" t="s">
        <v>36</v>
      </c>
      <c r="I146" s="11">
        <v>4.2300000000000004</v>
      </c>
      <c r="J146" s="6">
        <v>3.8789099999999999</v>
      </c>
      <c r="K146" s="6">
        <v>0.91699999999999993</v>
      </c>
      <c r="L146" s="6">
        <v>4.03</v>
      </c>
      <c r="M146" s="11">
        <v>3.6955100000000001</v>
      </c>
      <c r="N146" s="11">
        <f t="shared" si="8"/>
        <v>3.6959999999999997</v>
      </c>
      <c r="O146" s="6">
        <v>0.91699999999999993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0.2</v>
      </c>
      <c r="Z146" s="6">
        <v>0.18340000000000001</v>
      </c>
      <c r="AA146" s="6">
        <v>0.91700000000000004</v>
      </c>
      <c r="AB146" s="6">
        <v>-0.20000000000000018</v>
      </c>
      <c r="AC146" s="6">
        <v>0.20000000000000018</v>
      </c>
      <c r="AD146" s="22" t="s">
        <v>3140</v>
      </c>
      <c r="AE146" s="23">
        <f t="shared" si="9"/>
        <v>3.6959999999999997</v>
      </c>
      <c r="AF146" s="24">
        <f t="shared" si="10"/>
        <v>0</v>
      </c>
      <c r="AG146" s="23">
        <f t="shared" si="11"/>
        <v>2</v>
      </c>
    </row>
    <row r="147" spans="1:33" ht="12.5" customHeight="1" x14ac:dyDescent="0.25">
      <c r="A147" s="12" t="s">
        <v>31</v>
      </c>
      <c r="B147" s="9">
        <v>46175</v>
      </c>
      <c r="C147" s="12" t="s">
        <v>273</v>
      </c>
      <c r="D147" s="10" t="s">
        <v>277</v>
      </c>
      <c r="E147" s="10" t="s">
        <v>51</v>
      </c>
      <c r="F147" s="10" t="s">
        <v>35</v>
      </c>
      <c r="G147" s="10" t="s">
        <v>3146</v>
      </c>
      <c r="H147" s="8" t="s">
        <v>36</v>
      </c>
      <c r="I147" s="11">
        <v>6.85</v>
      </c>
      <c r="J147" s="6">
        <v>6.2814500000000004</v>
      </c>
      <c r="K147" s="6">
        <v>0.91700000000000015</v>
      </c>
      <c r="L147" s="6">
        <v>6.55</v>
      </c>
      <c r="M147" s="11">
        <v>6.0063500000000003</v>
      </c>
      <c r="N147" s="11">
        <f t="shared" si="8"/>
        <v>6.0070000000000006</v>
      </c>
      <c r="O147" s="6">
        <v>0.91700000000000004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0.3</v>
      </c>
      <c r="Z147" s="6">
        <v>0.27510000000000001</v>
      </c>
      <c r="AA147" s="6">
        <v>0.91700000000000004</v>
      </c>
      <c r="AB147" s="6">
        <v>-0.29999999999999982</v>
      </c>
      <c r="AC147" s="6">
        <v>0.29999999999999982</v>
      </c>
      <c r="AD147" s="22" t="s">
        <v>3140</v>
      </c>
      <c r="AE147" s="23">
        <f t="shared" si="9"/>
        <v>6.0070000000000006</v>
      </c>
      <c r="AF147" s="24">
        <f t="shared" si="10"/>
        <v>0</v>
      </c>
      <c r="AG147" s="23">
        <f t="shared" si="11"/>
        <v>2</v>
      </c>
    </row>
    <row r="148" spans="1:33" ht="12.5" customHeight="1" x14ac:dyDescent="0.25">
      <c r="A148" s="12" t="s">
        <v>31</v>
      </c>
      <c r="B148" s="9">
        <v>46175</v>
      </c>
      <c r="C148" s="13" t="s">
        <v>273</v>
      </c>
      <c r="D148" s="10" t="s">
        <v>278</v>
      </c>
      <c r="E148" s="10" t="s">
        <v>51</v>
      </c>
      <c r="F148" s="10" t="s">
        <v>35</v>
      </c>
      <c r="G148" s="10" t="s">
        <v>3146</v>
      </c>
      <c r="H148" s="8" t="s">
        <v>36</v>
      </c>
      <c r="I148" s="11">
        <v>36.6</v>
      </c>
      <c r="J148" s="6">
        <v>33.562199999999997</v>
      </c>
      <c r="K148" s="6">
        <v>0.91699999999999993</v>
      </c>
      <c r="L148" s="6">
        <v>34.97</v>
      </c>
      <c r="M148" s="11">
        <v>32.067489999999999</v>
      </c>
      <c r="N148" s="11">
        <f t="shared" si="8"/>
        <v>32.067999999999998</v>
      </c>
      <c r="O148" s="6">
        <v>0.91700000000000004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1.63</v>
      </c>
      <c r="Z148" s="6">
        <v>1.49471</v>
      </c>
      <c r="AA148" s="6">
        <v>0.91700000000000004</v>
      </c>
      <c r="AB148" s="6">
        <v>-1.6300000000000026</v>
      </c>
      <c r="AC148" s="6">
        <v>1.6300000000000026</v>
      </c>
      <c r="AD148" s="22" t="s">
        <v>3140</v>
      </c>
      <c r="AE148" s="23">
        <f t="shared" si="9"/>
        <v>32.067999999999998</v>
      </c>
      <c r="AF148" s="24">
        <f t="shared" si="10"/>
        <v>0</v>
      </c>
      <c r="AG148" s="23">
        <f t="shared" si="11"/>
        <v>1</v>
      </c>
    </row>
    <row r="149" spans="1:33" ht="12.5" customHeight="1" x14ac:dyDescent="0.25">
      <c r="A149" s="12" t="s">
        <v>31</v>
      </c>
      <c r="B149" s="9">
        <v>46175</v>
      </c>
      <c r="C149" s="8" t="s">
        <v>279</v>
      </c>
      <c r="D149" s="10" t="s">
        <v>280</v>
      </c>
      <c r="E149" s="10" t="s">
        <v>51</v>
      </c>
      <c r="F149" s="10" t="s">
        <v>35</v>
      </c>
      <c r="G149" s="10" t="s">
        <v>3146</v>
      </c>
      <c r="H149" s="8" t="s">
        <v>36</v>
      </c>
      <c r="I149" s="11">
        <v>4.03</v>
      </c>
      <c r="J149" s="6">
        <v>3.6955100000000001</v>
      </c>
      <c r="K149" s="6">
        <v>0.91699999999999993</v>
      </c>
      <c r="L149" s="6">
        <v>3.88</v>
      </c>
      <c r="M149" s="11">
        <v>3.55796</v>
      </c>
      <c r="N149" s="11">
        <f t="shared" si="8"/>
        <v>3.5579999999999998</v>
      </c>
      <c r="O149" s="6">
        <v>0.91700000000000004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0.15</v>
      </c>
      <c r="Z149" s="6">
        <v>0.13755000000000001</v>
      </c>
      <c r="AA149" s="6">
        <v>0.91700000000000004</v>
      </c>
      <c r="AB149" s="6">
        <v>-0.15000000000000036</v>
      </c>
      <c r="AC149" s="6">
        <v>0.15000000000000036</v>
      </c>
      <c r="AD149" s="22" t="s">
        <v>3140</v>
      </c>
      <c r="AE149" s="23">
        <f t="shared" si="9"/>
        <v>3.5579999999999998</v>
      </c>
      <c r="AF149" s="24">
        <f t="shared" si="10"/>
        <v>0</v>
      </c>
      <c r="AG149" s="23">
        <f t="shared" si="11"/>
        <v>1</v>
      </c>
    </row>
    <row r="150" spans="1:33" ht="12.5" customHeight="1" x14ac:dyDescent="0.25">
      <c r="A150" s="12" t="s">
        <v>31</v>
      </c>
      <c r="B150" s="9">
        <v>46175</v>
      </c>
      <c r="C150" s="12" t="s">
        <v>279</v>
      </c>
      <c r="D150" s="10" t="s">
        <v>281</v>
      </c>
      <c r="E150" s="10" t="s">
        <v>51</v>
      </c>
      <c r="F150" s="10" t="s">
        <v>35</v>
      </c>
      <c r="G150" s="10" t="s">
        <v>3146</v>
      </c>
      <c r="H150" s="8" t="s">
        <v>36</v>
      </c>
      <c r="I150" s="11">
        <v>3.82</v>
      </c>
      <c r="J150" s="6">
        <v>3.5029400000000002</v>
      </c>
      <c r="K150" s="6">
        <v>0.91700000000000004</v>
      </c>
      <c r="L150" s="6">
        <v>3.67</v>
      </c>
      <c r="M150" s="11">
        <v>3.3653900000000001</v>
      </c>
      <c r="N150" s="11">
        <f t="shared" si="8"/>
        <v>3.3660000000000001</v>
      </c>
      <c r="O150" s="6">
        <v>0.91700000000000004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0.15</v>
      </c>
      <c r="Z150" s="6">
        <v>0.13755000000000001</v>
      </c>
      <c r="AA150" s="6">
        <v>0.91700000000000004</v>
      </c>
      <c r="AB150" s="6">
        <v>-0.14999999999999991</v>
      </c>
      <c r="AC150" s="6">
        <v>0.14999999999999991</v>
      </c>
      <c r="AD150" s="22" t="s">
        <v>3140</v>
      </c>
      <c r="AE150" s="23">
        <f t="shared" si="9"/>
        <v>3.3660000000000001</v>
      </c>
      <c r="AF150" s="24">
        <f t="shared" si="10"/>
        <v>0</v>
      </c>
      <c r="AG150" s="23">
        <f t="shared" si="11"/>
        <v>2</v>
      </c>
    </row>
    <row r="151" spans="1:33" ht="12.5" customHeight="1" x14ac:dyDescent="0.25">
      <c r="A151" s="12" t="s">
        <v>31</v>
      </c>
      <c r="B151" s="9">
        <v>46175</v>
      </c>
      <c r="C151" s="13" t="s">
        <v>279</v>
      </c>
      <c r="D151" s="10" t="s">
        <v>282</v>
      </c>
      <c r="E151" s="10" t="s">
        <v>51</v>
      </c>
      <c r="F151" s="10" t="s">
        <v>35</v>
      </c>
      <c r="G151" s="10" t="s">
        <v>3146</v>
      </c>
      <c r="H151" s="8" t="s">
        <v>36</v>
      </c>
      <c r="I151" s="11">
        <v>4.4539999999999997</v>
      </c>
      <c r="J151" s="6">
        <v>4.0843179999999997</v>
      </c>
      <c r="K151" s="6">
        <v>0.91699999999999993</v>
      </c>
      <c r="L151" s="6">
        <v>4.2939999999999996</v>
      </c>
      <c r="M151" s="11">
        <v>3.9375979999999999</v>
      </c>
      <c r="N151" s="11">
        <f t="shared" si="8"/>
        <v>3.9379999999999997</v>
      </c>
      <c r="O151" s="6">
        <v>0.91700000000000004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0.16</v>
      </c>
      <c r="Z151" s="6">
        <v>0.14671999999999999</v>
      </c>
      <c r="AA151" s="6">
        <v>0.91699999999999993</v>
      </c>
      <c r="AB151" s="6">
        <v>-0.16000000000000014</v>
      </c>
      <c r="AC151" s="6">
        <v>0.16000000000000014</v>
      </c>
      <c r="AD151" s="22" t="s">
        <v>3140</v>
      </c>
      <c r="AE151" s="23">
        <f t="shared" si="9"/>
        <v>3.9379999999999997</v>
      </c>
      <c r="AF151" s="24">
        <f t="shared" si="10"/>
        <v>0</v>
      </c>
      <c r="AG151" s="23">
        <f t="shared" si="11"/>
        <v>1</v>
      </c>
    </row>
    <row r="152" spans="1:33" x14ac:dyDescent="0.25">
      <c r="A152" s="12" t="s">
        <v>31</v>
      </c>
      <c r="B152" s="9">
        <v>46175</v>
      </c>
      <c r="C152" s="10" t="s">
        <v>283</v>
      </c>
      <c r="D152" s="10" t="s">
        <v>284</v>
      </c>
      <c r="E152" s="10" t="s">
        <v>51</v>
      </c>
      <c r="F152" s="10" t="s">
        <v>35</v>
      </c>
      <c r="G152" s="10" t="s">
        <v>3146</v>
      </c>
      <c r="H152" s="8" t="s">
        <v>36</v>
      </c>
      <c r="I152" s="11">
        <v>7.36</v>
      </c>
      <c r="J152" s="6">
        <v>6.7491199999999996</v>
      </c>
      <c r="K152" s="6">
        <v>0.91699999999999993</v>
      </c>
      <c r="L152" s="6">
        <v>7.01</v>
      </c>
      <c r="M152" s="11">
        <v>6.4281699999999997</v>
      </c>
      <c r="N152" s="11">
        <f t="shared" si="8"/>
        <v>6.4290000000000003</v>
      </c>
      <c r="O152" s="6">
        <v>0.91700000000000004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0.35</v>
      </c>
      <c r="Z152" s="6">
        <v>0.32095000000000001</v>
      </c>
      <c r="AA152" s="6">
        <v>0.91700000000000015</v>
      </c>
      <c r="AB152" s="6">
        <v>-0.35000000000000053</v>
      </c>
      <c r="AC152" s="6">
        <v>0.35000000000000053</v>
      </c>
      <c r="AD152" s="22" t="s">
        <v>3140</v>
      </c>
      <c r="AE152" s="23">
        <f t="shared" si="9"/>
        <v>6.4290000000000003</v>
      </c>
      <c r="AF152" s="24">
        <f t="shared" si="10"/>
        <v>0</v>
      </c>
      <c r="AG152" s="23">
        <f t="shared" si="11"/>
        <v>2</v>
      </c>
    </row>
    <row r="153" spans="1:33" ht="12.5" hidden="1" customHeight="1" x14ac:dyDescent="0.25">
      <c r="A153" s="12" t="s">
        <v>31</v>
      </c>
      <c r="B153" s="9">
        <v>46175</v>
      </c>
      <c r="C153" s="8" t="s">
        <v>285</v>
      </c>
      <c r="D153" s="10" t="s">
        <v>286</v>
      </c>
      <c r="E153" s="10" t="s">
        <v>51</v>
      </c>
      <c r="F153" s="10" t="s">
        <v>35</v>
      </c>
      <c r="G153" s="10" t="s">
        <v>3145</v>
      </c>
      <c r="H153" s="8" t="s">
        <v>48</v>
      </c>
      <c r="I153" s="11">
        <v>76.739999999999995</v>
      </c>
      <c r="J153" s="6">
        <v>57.555</v>
      </c>
      <c r="K153" s="6">
        <v>0.75</v>
      </c>
      <c r="L153" s="6">
        <v>67.16</v>
      </c>
      <c r="M153" s="11">
        <v>50.37</v>
      </c>
      <c r="N153" s="11">
        <f t="shared" si="8"/>
        <v>50.37</v>
      </c>
      <c r="O153" s="6">
        <v>0.75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9.58</v>
      </c>
      <c r="Z153" s="6">
        <v>7.1849999999999996</v>
      </c>
      <c r="AA153" s="6">
        <v>0.75</v>
      </c>
      <c r="AB153" s="6">
        <v>-9.5799999999999983</v>
      </c>
      <c r="AC153" s="6">
        <v>9.5799999999999983</v>
      </c>
      <c r="AD153" s="22" t="s">
        <v>3140</v>
      </c>
      <c r="AE153" s="23">
        <f t="shared" si="9"/>
        <v>50.37</v>
      </c>
      <c r="AF153" s="24">
        <f t="shared" si="10"/>
        <v>0</v>
      </c>
      <c r="AG153" s="23">
        <f t="shared" si="11"/>
        <v>1</v>
      </c>
    </row>
    <row r="154" spans="1:33" ht="12.5" customHeight="1" x14ac:dyDescent="0.25">
      <c r="A154" s="12" t="s">
        <v>31</v>
      </c>
      <c r="B154" s="9">
        <v>46175</v>
      </c>
      <c r="C154" s="12" t="s">
        <v>285</v>
      </c>
      <c r="D154" s="10" t="s">
        <v>287</v>
      </c>
      <c r="E154" s="10" t="s">
        <v>51</v>
      </c>
      <c r="F154" s="10" t="s">
        <v>35</v>
      </c>
      <c r="G154" s="10" t="s">
        <v>3146</v>
      </c>
      <c r="H154" s="8" t="s">
        <v>36</v>
      </c>
      <c r="I154" s="11">
        <v>17.61</v>
      </c>
      <c r="J154" s="6">
        <v>16.14837</v>
      </c>
      <c r="K154" s="6">
        <v>0.91700000000000004</v>
      </c>
      <c r="L154" s="6">
        <v>16.989999999999998</v>
      </c>
      <c r="M154" s="11">
        <v>15.579829999999999</v>
      </c>
      <c r="N154" s="11">
        <f t="shared" si="8"/>
        <v>15.58</v>
      </c>
      <c r="O154" s="6">
        <v>0.91700000000000004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0.62</v>
      </c>
      <c r="Z154" s="6">
        <v>0.56854000000000005</v>
      </c>
      <c r="AA154" s="6">
        <v>0.91700000000000004</v>
      </c>
      <c r="AB154" s="6">
        <v>-0.62000000000000099</v>
      </c>
      <c r="AC154" s="6">
        <v>0.62000000000000099</v>
      </c>
      <c r="AD154" s="22" t="s">
        <v>3140</v>
      </c>
      <c r="AE154" s="23">
        <f t="shared" si="9"/>
        <v>15.58</v>
      </c>
      <c r="AF154" s="24">
        <f t="shared" si="10"/>
        <v>0</v>
      </c>
      <c r="AG154" s="23">
        <f t="shared" si="11"/>
        <v>1</v>
      </c>
    </row>
    <row r="155" spans="1:33" ht="12.5" customHeight="1" x14ac:dyDescent="0.25">
      <c r="A155" s="12" t="s">
        <v>31</v>
      </c>
      <c r="B155" s="9">
        <v>46175</v>
      </c>
      <c r="C155" s="13" t="s">
        <v>285</v>
      </c>
      <c r="D155" s="10" t="s">
        <v>288</v>
      </c>
      <c r="E155" s="10" t="s">
        <v>51</v>
      </c>
      <c r="F155" s="10" t="s">
        <v>35</v>
      </c>
      <c r="G155" s="10" t="s">
        <v>3146</v>
      </c>
      <c r="H155" s="8" t="s">
        <v>36</v>
      </c>
      <c r="I155" s="11">
        <v>4.32</v>
      </c>
      <c r="J155" s="6">
        <v>3.9614400000000001</v>
      </c>
      <c r="K155" s="6">
        <v>0.91699999999999993</v>
      </c>
      <c r="L155" s="6">
        <v>3.79</v>
      </c>
      <c r="M155" s="11">
        <v>3.4754299999999998</v>
      </c>
      <c r="N155" s="11">
        <f t="shared" si="8"/>
        <v>3.476</v>
      </c>
      <c r="O155" s="6">
        <v>0.91699999999999993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0.53</v>
      </c>
      <c r="Z155" s="6">
        <v>0.48601</v>
      </c>
      <c r="AA155" s="6">
        <v>0.91699999999999993</v>
      </c>
      <c r="AB155" s="6">
        <v>-0.53000000000000025</v>
      </c>
      <c r="AC155" s="6">
        <v>0.53000000000000025</v>
      </c>
      <c r="AD155" s="22" t="s">
        <v>3140</v>
      </c>
      <c r="AE155" s="23">
        <f t="shared" si="9"/>
        <v>3.476</v>
      </c>
      <c r="AF155" s="24">
        <f t="shared" si="10"/>
        <v>0</v>
      </c>
      <c r="AG155" s="23">
        <f t="shared" si="11"/>
        <v>1</v>
      </c>
    </row>
    <row r="156" spans="1:33" ht="12.5" customHeight="1" x14ac:dyDescent="0.25">
      <c r="A156" s="12" t="s">
        <v>31</v>
      </c>
      <c r="B156" s="9">
        <v>46175</v>
      </c>
      <c r="C156" s="8" t="s">
        <v>289</v>
      </c>
      <c r="D156" s="10" t="s">
        <v>290</v>
      </c>
      <c r="E156" s="10" t="s">
        <v>51</v>
      </c>
      <c r="F156" s="10" t="s">
        <v>35</v>
      </c>
      <c r="G156" s="10" t="s">
        <v>3146</v>
      </c>
      <c r="H156" s="8" t="s">
        <v>36</v>
      </c>
      <c r="I156" s="11">
        <v>13.35</v>
      </c>
      <c r="J156" s="6">
        <v>12.241949999999999</v>
      </c>
      <c r="K156" s="6">
        <v>0.91699999999999993</v>
      </c>
      <c r="L156" s="6">
        <v>12.87</v>
      </c>
      <c r="M156" s="11">
        <v>11.80179</v>
      </c>
      <c r="N156" s="11">
        <f t="shared" si="8"/>
        <v>11.802</v>
      </c>
      <c r="O156" s="6">
        <v>0.91700000000000004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0.48</v>
      </c>
      <c r="Z156" s="6">
        <v>0.44016</v>
      </c>
      <c r="AA156" s="6">
        <v>0.91700000000000004</v>
      </c>
      <c r="AB156" s="6">
        <v>-0.48000000000000043</v>
      </c>
      <c r="AC156" s="6">
        <v>0.48000000000000043</v>
      </c>
      <c r="AD156" s="22" t="s">
        <v>3140</v>
      </c>
      <c r="AE156" s="23">
        <f t="shared" si="9"/>
        <v>11.802</v>
      </c>
      <c r="AF156" s="24">
        <f t="shared" si="10"/>
        <v>0</v>
      </c>
      <c r="AG156" s="23">
        <f t="shared" si="11"/>
        <v>2</v>
      </c>
    </row>
    <row r="157" spans="1:33" ht="12.5" customHeight="1" x14ac:dyDescent="0.25">
      <c r="A157" s="12" t="s">
        <v>31</v>
      </c>
      <c r="B157" s="9">
        <v>46175</v>
      </c>
      <c r="C157" s="12" t="s">
        <v>289</v>
      </c>
      <c r="D157" s="10" t="s">
        <v>291</v>
      </c>
      <c r="E157" s="10" t="s">
        <v>51</v>
      </c>
      <c r="F157" s="10" t="s">
        <v>35</v>
      </c>
      <c r="G157" s="10" t="s">
        <v>3146</v>
      </c>
      <c r="H157" s="8" t="s">
        <v>36</v>
      </c>
      <c r="I157" s="11">
        <v>8.36</v>
      </c>
      <c r="J157" s="6">
        <v>7.6661200000000003</v>
      </c>
      <c r="K157" s="6">
        <v>0.91700000000000015</v>
      </c>
      <c r="L157" s="6">
        <v>7.91</v>
      </c>
      <c r="M157" s="11">
        <v>7.2534700000000001</v>
      </c>
      <c r="N157" s="11">
        <f t="shared" si="8"/>
        <v>7.2540000000000004</v>
      </c>
      <c r="O157" s="6">
        <v>0.91700000000000004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0.45</v>
      </c>
      <c r="Z157" s="6">
        <v>0.41265000000000002</v>
      </c>
      <c r="AA157" s="6">
        <v>0.91700000000000004</v>
      </c>
      <c r="AB157" s="6">
        <v>-0.44999999999999929</v>
      </c>
      <c r="AC157" s="6">
        <v>0.44999999999999929</v>
      </c>
      <c r="AD157" s="22" t="s">
        <v>3140</v>
      </c>
      <c r="AE157" s="23">
        <f t="shared" si="9"/>
        <v>7.2540000000000004</v>
      </c>
      <c r="AF157" s="24">
        <f t="shared" si="10"/>
        <v>0</v>
      </c>
      <c r="AG157" s="23">
        <f t="shared" si="11"/>
        <v>2</v>
      </c>
    </row>
    <row r="158" spans="1:33" ht="12.5" customHeight="1" x14ac:dyDescent="0.25">
      <c r="A158" s="12" t="s">
        <v>31</v>
      </c>
      <c r="B158" s="9">
        <v>46175</v>
      </c>
      <c r="C158" s="12" t="s">
        <v>289</v>
      </c>
      <c r="D158" s="10" t="s">
        <v>292</v>
      </c>
      <c r="E158" s="10" t="s">
        <v>51</v>
      </c>
      <c r="F158" s="10" t="s">
        <v>35</v>
      </c>
      <c r="G158" s="10" t="s">
        <v>3146</v>
      </c>
      <c r="H158" s="8" t="s">
        <v>36</v>
      </c>
      <c r="I158" s="11">
        <v>14.82</v>
      </c>
      <c r="J158" s="6">
        <v>13.58994</v>
      </c>
      <c r="K158" s="6">
        <v>0.91700000000000004</v>
      </c>
      <c r="L158" s="6">
        <v>14.14</v>
      </c>
      <c r="M158" s="11">
        <v>12.966379999999999</v>
      </c>
      <c r="N158" s="11">
        <f t="shared" si="8"/>
        <v>12.966999999999999</v>
      </c>
      <c r="O158" s="6">
        <v>0.91699999999999993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0.68</v>
      </c>
      <c r="Z158" s="6">
        <v>0.62356</v>
      </c>
      <c r="AA158" s="6">
        <v>0.91699999999999993</v>
      </c>
      <c r="AB158" s="6">
        <v>-0.67999999999999972</v>
      </c>
      <c r="AC158" s="6">
        <v>0.67999999999999972</v>
      </c>
      <c r="AD158" s="22" t="s">
        <v>3140</v>
      </c>
      <c r="AE158" s="23">
        <f t="shared" si="9"/>
        <v>12.966999999999999</v>
      </c>
      <c r="AF158" s="24">
        <f t="shared" si="10"/>
        <v>0</v>
      </c>
      <c r="AG158" s="23">
        <f t="shared" si="11"/>
        <v>2</v>
      </c>
    </row>
    <row r="159" spans="1:33" ht="12.5" customHeight="1" x14ac:dyDescent="0.25">
      <c r="A159" s="12" t="s">
        <v>31</v>
      </c>
      <c r="B159" s="9">
        <v>46175</v>
      </c>
      <c r="C159" s="13" t="s">
        <v>289</v>
      </c>
      <c r="D159" s="10" t="s">
        <v>293</v>
      </c>
      <c r="E159" s="10" t="s">
        <v>51</v>
      </c>
      <c r="F159" s="10" t="s">
        <v>35</v>
      </c>
      <c r="G159" s="10" t="s">
        <v>3146</v>
      </c>
      <c r="H159" s="8" t="s">
        <v>36</v>
      </c>
      <c r="I159" s="11">
        <v>12.06</v>
      </c>
      <c r="J159" s="6">
        <v>11.05902</v>
      </c>
      <c r="K159" s="6">
        <v>0.91700000000000004</v>
      </c>
      <c r="L159" s="6">
        <v>11.37</v>
      </c>
      <c r="M159" s="11">
        <v>10.42629</v>
      </c>
      <c r="N159" s="11">
        <f t="shared" si="8"/>
        <v>10.427</v>
      </c>
      <c r="O159" s="6">
        <v>0.91700000000000004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0.69</v>
      </c>
      <c r="Z159" s="6">
        <v>0.63273000000000001</v>
      </c>
      <c r="AA159" s="6">
        <v>0.91700000000000004</v>
      </c>
      <c r="AB159" s="6">
        <v>-0.69000000000000128</v>
      </c>
      <c r="AC159" s="6">
        <v>0.69000000000000128</v>
      </c>
      <c r="AD159" s="22" t="s">
        <v>3140</v>
      </c>
      <c r="AE159" s="23">
        <f t="shared" si="9"/>
        <v>10.427</v>
      </c>
      <c r="AF159" s="24">
        <f t="shared" si="10"/>
        <v>0</v>
      </c>
      <c r="AG159" s="23">
        <f t="shared" si="11"/>
        <v>3</v>
      </c>
    </row>
    <row r="160" spans="1:33" x14ac:dyDescent="0.25">
      <c r="A160" s="12" t="s">
        <v>31</v>
      </c>
      <c r="B160" s="9">
        <v>46175</v>
      </c>
      <c r="C160" s="10" t="s">
        <v>294</v>
      </c>
      <c r="D160" s="10" t="s">
        <v>295</v>
      </c>
      <c r="E160" s="10" t="s">
        <v>51</v>
      </c>
      <c r="F160" s="10" t="s">
        <v>35</v>
      </c>
      <c r="G160" s="10" t="s">
        <v>3146</v>
      </c>
      <c r="H160" s="8" t="s">
        <v>36</v>
      </c>
      <c r="I160" s="11">
        <v>5.3</v>
      </c>
      <c r="J160" s="6">
        <v>4.8601000000000001</v>
      </c>
      <c r="K160" s="6">
        <v>0.91700000000000004</v>
      </c>
      <c r="L160" s="6">
        <v>4.9400000000000004</v>
      </c>
      <c r="M160" s="11">
        <v>4.5299800000000001</v>
      </c>
      <c r="N160" s="11">
        <f t="shared" si="8"/>
        <v>4.53</v>
      </c>
      <c r="O160" s="6">
        <v>0.91699999999999993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0.36</v>
      </c>
      <c r="Z160" s="6">
        <v>0.33012000000000002</v>
      </c>
      <c r="AA160" s="6">
        <v>0.91700000000000015</v>
      </c>
      <c r="AB160" s="6">
        <v>-0.35999999999999943</v>
      </c>
      <c r="AC160" s="6">
        <v>0.35999999999999943</v>
      </c>
      <c r="AD160" s="22" t="s">
        <v>3140</v>
      </c>
      <c r="AE160" s="23">
        <f t="shared" si="9"/>
        <v>4.53</v>
      </c>
      <c r="AF160" s="24">
        <f t="shared" si="10"/>
        <v>0</v>
      </c>
      <c r="AG160" s="23">
        <f t="shared" si="11"/>
        <v>2</v>
      </c>
    </row>
    <row r="161" spans="1:33" ht="20" hidden="1" customHeight="1" x14ac:dyDescent="0.25">
      <c r="A161" s="12" t="s">
        <v>31</v>
      </c>
      <c r="B161" s="9">
        <v>46175</v>
      </c>
      <c r="C161" s="10" t="s">
        <v>296</v>
      </c>
      <c r="D161" s="10" t="s">
        <v>297</v>
      </c>
      <c r="E161" s="10" t="s">
        <v>51</v>
      </c>
      <c r="F161" s="10" t="s">
        <v>35</v>
      </c>
      <c r="G161" s="10" t="s">
        <v>3145</v>
      </c>
      <c r="H161" s="8" t="s">
        <v>48</v>
      </c>
      <c r="I161" s="11">
        <v>75.510000000000005</v>
      </c>
      <c r="J161" s="6">
        <v>56.6325</v>
      </c>
      <c r="K161" s="6">
        <v>0.75</v>
      </c>
      <c r="L161" s="6">
        <v>75.510000000000005</v>
      </c>
      <c r="M161" s="11">
        <v>56.6325</v>
      </c>
      <c r="N161" s="11">
        <f t="shared" si="8"/>
        <v>56.632999999999996</v>
      </c>
      <c r="O161" s="6">
        <v>0.75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23" t="s">
        <v>3143</v>
      </c>
      <c r="AE161" s="23">
        <f t="shared" si="9"/>
        <v>50.407999999999994</v>
      </c>
      <c r="AF161" s="24">
        <f t="shared" si="10"/>
        <v>6.2250000000000014</v>
      </c>
      <c r="AG161" s="23">
        <f t="shared" si="11"/>
        <v>3</v>
      </c>
    </row>
    <row r="162" spans="1:33" ht="20" hidden="1" customHeight="1" x14ac:dyDescent="0.25">
      <c r="A162" s="12" t="s">
        <v>31</v>
      </c>
      <c r="B162" s="9">
        <v>46175</v>
      </c>
      <c r="C162" s="10" t="s">
        <v>298</v>
      </c>
      <c r="D162" s="10" t="s">
        <v>299</v>
      </c>
      <c r="E162" s="10" t="s">
        <v>51</v>
      </c>
      <c r="F162" s="10" t="s">
        <v>35</v>
      </c>
      <c r="G162" s="10" t="s">
        <v>3145</v>
      </c>
      <c r="H162" s="8" t="s">
        <v>48</v>
      </c>
      <c r="I162" s="11">
        <v>15.44</v>
      </c>
      <c r="J162" s="6">
        <v>11.58</v>
      </c>
      <c r="K162" s="6">
        <v>0.75</v>
      </c>
      <c r="L162" s="6">
        <v>14.35</v>
      </c>
      <c r="M162" s="11">
        <v>10.762499999999999</v>
      </c>
      <c r="N162" s="11">
        <f t="shared" si="8"/>
        <v>10.763</v>
      </c>
      <c r="O162" s="6">
        <v>0.75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1.0900000000000001</v>
      </c>
      <c r="Z162" s="6">
        <v>0.8175</v>
      </c>
      <c r="AA162" s="6">
        <v>0.75</v>
      </c>
      <c r="AB162" s="6">
        <v>-1.0899999999999999</v>
      </c>
      <c r="AC162" s="6">
        <v>1.0899999999999999</v>
      </c>
      <c r="AD162" s="22" t="s">
        <v>3140</v>
      </c>
      <c r="AE162" s="23">
        <f t="shared" si="9"/>
        <v>10.763</v>
      </c>
      <c r="AF162" s="24">
        <f t="shared" si="10"/>
        <v>0</v>
      </c>
      <c r="AG162" s="23">
        <f t="shared" si="11"/>
        <v>2</v>
      </c>
    </row>
    <row r="163" spans="1:33" x14ac:dyDescent="0.25">
      <c r="A163" s="12" t="s">
        <v>31</v>
      </c>
      <c r="B163" s="9">
        <v>46175</v>
      </c>
      <c r="C163" s="10" t="s">
        <v>300</v>
      </c>
      <c r="D163" s="10" t="s">
        <v>301</v>
      </c>
      <c r="E163" s="10" t="s">
        <v>51</v>
      </c>
      <c r="F163" s="10" t="s">
        <v>35</v>
      </c>
      <c r="G163" s="10" t="s">
        <v>3146</v>
      </c>
      <c r="H163" s="8" t="s">
        <v>36</v>
      </c>
      <c r="I163" s="11">
        <v>50.2</v>
      </c>
      <c r="J163" s="6">
        <v>46.0334</v>
      </c>
      <c r="K163" s="6">
        <v>0.91699999999999993</v>
      </c>
      <c r="L163" s="6">
        <v>46.56</v>
      </c>
      <c r="M163" s="11">
        <v>42.695520000000002</v>
      </c>
      <c r="N163" s="11">
        <f t="shared" si="8"/>
        <v>42.695999999999998</v>
      </c>
      <c r="O163" s="6">
        <v>0.91700000000000004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3.64</v>
      </c>
      <c r="Z163" s="6">
        <v>3.3378800000000002</v>
      </c>
      <c r="AA163" s="6">
        <v>0.91700000000000004</v>
      </c>
      <c r="AB163" s="6">
        <v>-3.6400000000000006</v>
      </c>
      <c r="AC163" s="6">
        <v>3.6400000000000006</v>
      </c>
      <c r="AD163" s="23" t="s">
        <v>3143</v>
      </c>
      <c r="AE163" s="23">
        <f t="shared" si="9"/>
        <v>36.478999999999999</v>
      </c>
      <c r="AF163" s="24">
        <f t="shared" si="10"/>
        <v>6.2169999999999987</v>
      </c>
      <c r="AG163" s="23">
        <f t="shared" si="11"/>
        <v>2</v>
      </c>
    </row>
    <row r="164" spans="1:33" ht="20" hidden="1" customHeight="1" x14ac:dyDescent="0.25">
      <c r="A164" s="12" t="s">
        <v>31</v>
      </c>
      <c r="B164" s="9">
        <v>46175</v>
      </c>
      <c r="C164" s="10" t="s">
        <v>302</v>
      </c>
      <c r="D164" s="10" t="s">
        <v>303</v>
      </c>
      <c r="E164" s="10" t="s">
        <v>51</v>
      </c>
      <c r="F164" s="10" t="s">
        <v>35</v>
      </c>
      <c r="G164" s="10" t="s">
        <v>3145</v>
      </c>
      <c r="H164" s="8" t="s">
        <v>48</v>
      </c>
      <c r="I164" s="11">
        <v>22.83</v>
      </c>
      <c r="J164" s="6">
        <v>17.122499999999999</v>
      </c>
      <c r="K164" s="6">
        <v>0.75</v>
      </c>
      <c r="L164" s="6">
        <v>21.12</v>
      </c>
      <c r="M164" s="11">
        <v>15.84</v>
      </c>
      <c r="N164" s="11">
        <f t="shared" si="8"/>
        <v>15.84</v>
      </c>
      <c r="O164" s="6">
        <v>0.75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1.71</v>
      </c>
      <c r="Z164" s="6">
        <v>1.2825</v>
      </c>
      <c r="AA164" s="6">
        <v>0.75</v>
      </c>
      <c r="AB164" s="6">
        <v>-1.7099999999999973</v>
      </c>
      <c r="AC164" s="6">
        <v>1.7099999999999973</v>
      </c>
      <c r="AD164" s="22" t="s">
        <v>3140</v>
      </c>
      <c r="AE164" s="23">
        <f t="shared" si="9"/>
        <v>15.84</v>
      </c>
      <c r="AF164" s="24">
        <f t="shared" si="10"/>
        <v>0</v>
      </c>
      <c r="AG164" s="23">
        <f t="shared" si="11"/>
        <v>1</v>
      </c>
    </row>
    <row r="165" spans="1:33" ht="20" hidden="1" customHeight="1" x14ac:dyDescent="0.25">
      <c r="A165" s="12" t="s">
        <v>31</v>
      </c>
      <c r="B165" s="9">
        <v>46175</v>
      </c>
      <c r="C165" s="10" t="s">
        <v>304</v>
      </c>
      <c r="D165" s="10" t="s">
        <v>305</v>
      </c>
      <c r="E165" s="10" t="s">
        <v>51</v>
      </c>
      <c r="F165" s="10" t="s">
        <v>35</v>
      </c>
      <c r="G165" s="10" t="s">
        <v>3145</v>
      </c>
      <c r="H165" s="8" t="s">
        <v>48</v>
      </c>
      <c r="I165" s="11">
        <v>31.41</v>
      </c>
      <c r="J165" s="6">
        <v>23.557500000000001</v>
      </c>
      <c r="K165" s="6">
        <v>0.75</v>
      </c>
      <c r="L165" s="6">
        <v>29.57</v>
      </c>
      <c r="M165" s="11">
        <v>22.177499999999998</v>
      </c>
      <c r="N165" s="11">
        <f t="shared" si="8"/>
        <v>22.178000000000001</v>
      </c>
      <c r="O165" s="6">
        <v>0.74999999999999989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1.84</v>
      </c>
      <c r="Z165" s="6">
        <v>1.38</v>
      </c>
      <c r="AA165" s="6">
        <v>0.74999999999999989</v>
      </c>
      <c r="AB165" s="6">
        <v>-1.84</v>
      </c>
      <c r="AC165" s="6">
        <v>1.84</v>
      </c>
      <c r="AD165" s="22" t="s">
        <v>3140</v>
      </c>
      <c r="AE165" s="23">
        <f t="shared" si="9"/>
        <v>22.178000000000001</v>
      </c>
      <c r="AF165" s="24">
        <f t="shared" si="10"/>
        <v>0</v>
      </c>
      <c r="AG165" s="23">
        <f t="shared" si="11"/>
        <v>1</v>
      </c>
    </row>
    <row r="166" spans="1:33" x14ac:dyDescent="0.25">
      <c r="A166" s="12" t="s">
        <v>31</v>
      </c>
      <c r="B166" s="9">
        <v>46175</v>
      </c>
      <c r="C166" s="10" t="s">
        <v>306</v>
      </c>
      <c r="D166" s="10" t="s">
        <v>307</v>
      </c>
      <c r="E166" s="10" t="s">
        <v>51</v>
      </c>
      <c r="F166" s="10" t="s">
        <v>35</v>
      </c>
      <c r="G166" s="10" t="s">
        <v>3146</v>
      </c>
      <c r="H166" s="8" t="s">
        <v>36</v>
      </c>
      <c r="I166" s="11">
        <v>11.14</v>
      </c>
      <c r="J166" s="6">
        <v>10.21538</v>
      </c>
      <c r="K166" s="6">
        <v>0.91699999999999993</v>
      </c>
      <c r="L166" s="6">
        <v>11.14</v>
      </c>
      <c r="M166" s="11">
        <v>10.21538</v>
      </c>
      <c r="N166" s="11">
        <f t="shared" si="8"/>
        <v>10.215999999999999</v>
      </c>
      <c r="O166" s="6">
        <v>0.91699999999999993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23" t="s">
        <v>3143</v>
      </c>
      <c r="AE166" s="23">
        <f t="shared" si="9"/>
        <v>9.6289999999999996</v>
      </c>
      <c r="AF166" s="24">
        <f t="shared" si="10"/>
        <v>0.58699999999999974</v>
      </c>
      <c r="AG166" s="23">
        <f t="shared" si="11"/>
        <v>2</v>
      </c>
    </row>
    <row r="167" spans="1:33" ht="20" hidden="1" customHeight="1" x14ac:dyDescent="0.25">
      <c r="A167" s="12" t="s">
        <v>31</v>
      </c>
      <c r="B167" s="9">
        <v>46175</v>
      </c>
      <c r="C167" s="10" t="s">
        <v>308</v>
      </c>
      <c r="D167" s="10" t="s">
        <v>54</v>
      </c>
      <c r="E167" s="10" t="s">
        <v>51</v>
      </c>
      <c r="F167" s="10" t="s">
        <v>35</v>
      </c>
      <c r="G167" s="10" t="s">
        <v>3145</v>
      </c>
      <c r="H167" s="8" t="s">
        <v>48</v>
      </c>
      <c r="I167" s="11">
        <v>15.44</v>
      </c>
      <c r="J167" s="6">
        <v>11.58</v>
      </c>
      <c r="K167" s="6">
        <v>0.75</v>
      </c>
      <c r="L167" s="6">
        <v>15.43</v>
      </c>
      <c r="M167" s="11">
        <v>11.5725</v>
      </c>
      <c r="N167" s="11">
        <f t="shared" si="8"/>
        <v>11.572999999999999</v>
      </c>
      <c r="O167" s="6">
        <v>0.75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0.01</v>
      </c>
      <c r="Z167" s="6">
        <v>7.4999999999999997E-3</v>
      </c>
      <c r="AA167" s="6">
        <v>0.75</v>
      </c>
      <c r="AB167" s="6">
        <v>-9.9999999999997868E-3</v>
      </c>
      <c r="AC167" s="6">
        <v>9.9999999999997868E-3</v>
      </c>
      <c r="AD167" s="23" t="s">
        <v>3143</v>
      </c>
      <c r="AE167" s="23">
        <f t="shared" si="9"/>
        <v>10.808</v>
      </c>
      <c r="AF167" s="24">
        <f t="shared" si="10"/>
        <v>0.76499999999999879</v>
      </c>
      <c r="AG167" s="23">
        <f t="shared" si="11"/>
        <v>4</v>
      </c>
    </row>
    <row r="168" spans="1:33" x14ac:dyDescent="0.25">
      <c r="A168" s="12" t="s">
        <v>31</v>
      </c>
      <c r="B168" s="9">
        <v>46175</v>
      </c>
      <c r="C168" s="10" t="s">
        <v>309</v>
      </c>
      <c r="D168" s="10" t="s">
        <v>310</v>
      </c>
      <c r="E168" s="10" t="s">
        <v>51</v>
      </c>
      <c r="F168" s="10" t="s">
        <v>35</v>
      </c>
      <c r="G168" s="10" t="s">
        <v>3146</v>
      </c>
      <c r="H168" s="8" t="s">
        <v>36</v>
      </c>
      <c r="I168" s="11">
        <v>36.99</v>
      </c>
      <c r="J168" s="6">
        <v>33.919829999999997</v>
      </c>
      <c r="K168" s="6">
        <v>0.91699999999999993</v>
      </c>
      <c r="L168" s="6">
        <v>33.880000000000003</v>
      </c>
      <c r="M168" s="11">
        <v>31.067959999999999</v>
      </c>
      <c r="N168" s="11">
        <f t="shared" si="8"/>
        <v>31.068000000000001</v>
      </c>
      <c r="O168" s="6">
        <v>0.91699999999999993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3.11</v>
      </c>
      <c r="Z168" s="6">
        <v>2.8518699999999999</v>
      </c>
      <c r="AA168" s="6">
        <v>0.91700000000000004</v>
      </c>
      <c r="AB168" s="6">
        <v>-3.1099999999999994</v>
      </c>
      <c r="AC168" s="6">
        <v>3.1099999999999994</v>
      </c>
      <c r="AD168" s="22" t="s">
        <v>3140</v>
      </c>
      <c r="AE168" s="23">
        <f t="shared" si="9"/>
        <v>31.068000000000001</v>
      </c>
      <c r="AF168" s="24">
        <f t="shared" si="10"/>
        <v>0</v>
      </c>
      <c r="AG168" s="23">
        <f t="shared" si="11"/>
        <v>2</v>
      </c>
    </row>
    <row r="169" spans="1:33" x14ac:dyDescent="0.25">
      <c r="A169" s="12" t="s">
        <v>31</v>
      </c>
      <c r="B169" s="9">
        <v>46175</v>
      </c>
      <c r="C169" s="10" t="s">
        <v>311</v>
      </c>
      <c r="D169" s="10" t="s">
        <v>312</v>
      </c>
      <c r="E169" s="10" t="s">
        <v>51</v>
      </c>
      <c r="F169" s="10" t="s">
        <v>35</v>
      </c>
      <c r="G169" s="10" t="s">
        <v>3146</v>
      </c>
      <c r="H169" s="8" t="s">
        <v>36</v>
      </c>
      <c r="I169" s="11">
        <v>11.77</v>
      </c>
      <c r="J169" s="6">
        <v>10.793089999999999</v>
      </c>
      <c r="K169" s="6">
        <v>0.91700000000000004</v>
      </c>
      <c r="L169" s="6">
        <v>11.03</v>
      </c>
      <c r="M169" s="11">
        <v>10.114509999999999</v>
      </c>
      <c r="N169" s="11">
        <f t="shared" si="8"/>
        <v>10.115</v>
      </c>
      <c r="O169" s="6">
        <v>0.91700000000000004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0.74</v>
      </c>
      <c r="Z169" s="6">
        <v>0.67857999999999996</v>
      </c>
      <c r="AA169" s="6">
        <v>0.91699999999999993</v>
      </c>
      <c r="AB169" s="6">
        <v>-0.74000000000000021</v>
      </c>
      <c r="AC169" s="6">
        <v>0.74000000000000021</v>
      </c>
      <c r="AD169" s="23" t="s">
        <v>3143</v>
      </c>
      <c r="AE169" s="23">
        <f t="shared" si="9"/>
        <v>9.9039999999999999</v>
      </c>
      <c r="AF169" s="24">
        <f t="shared" si="10"/>
        <v>0.2110000000000003</v>
      </c>
      <c r="AG169" s="23">
        <f t="shared" si="11"/>
        <v>2</v>
      </c>
    </row>
    <row r="170" spans="1:33" x14ac:dyDescent="0.25">
      <c r="A170" s="12" t="s">
        <v>31</v>
      </c>
      <c r="B170" s="9">
        <v>46175</v>
      </c>
      <c r="C170" s="10" t="s">
        <v>313</v>
      </c>
      <c r="D170" s="10" t="s">
        <v>314</v>
      </c>
      <c r="E170" s="10" t="s">
        <v>51</v>
      </c>
      <c r="F170" s="10" t="s">
        <v>35</v>
      </c>
      <c r="G170" s="10" t="s">
        <v>3146</v>
      </c>
      <c r="H170" s="8" t="s">
        <v>36</v>
      </c>
      <c r="I170" s="11">
        <v>13.34</v>
      </c>
      <c r="J170" s="6">
        <v>12.23278</v>
      </c>
      <c r="K170" s="6">
        <v>0.91700000000000004</v>
      </c>
      <c r="L170" s="6">
        <v>12.82</v>
      </c>
      <c r="M170" s="11">
        <v>11.755940000000001</v>
      </c>
      <c r="N170" s="11">
        <f t="shared" si="8"/>
        <v>11.756</v>
      </c>
      <c r="O170" s="6">
        <v>0.91700000000000004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0.52</v>
      </c>
      <c r="Z170" s="6">
        <v>0.47683999999999999</v>
      </c>
      <c r="AA170" s="6">
        <v>0.91699999999999993</v>
      </c>
      <c r="AB170" s="6">
        <v>-0.51999999999999957</v>
      </c>
      <c r="AC170" s="6">
        <v>0.51999999999999957</v>
      </c>
      <c r="AD170" s="23" t="s">
        <v>3143</v>
      </c>
      <c r="AE170" s="23">
        <f t="shared" si="9"/>
        <v>11.16</v>
      </c>
      <c r="AF170" s="24">
        <f t="shared" si="10"/>
        <v>0.59600000000000009</v>
      </c>
      <c r="AG170" s="23">
        <f t="shared" si="11"/>
        <v>2</v>
      </c>
    </row>
    <row r="171" spans="1:33" x14ac:dyDescent="0.25">
      <c r="A171" s="12" t="s">
        <v>31</v>
      </c>
      <c r="B171" s="9">
        <v>46175</v>
      </c>
      <c r="C171" s="10" t="s">
        <v>315</v>
      </c>
      <c r="D171" s="10" t="s">
        <v>316</v>
      </c>
      <c r="E171" s="10" t="s">
        <v>51</v>
      </c>
      <c r="F171" s="10" t="s">
        <v>35</v>
      </c>
      <c r="G171" s="10" t="s">
        <v>3146</v>
      </c>
      <c r="H171" s="8" t="s">
        <v>36</v>
      </c>
      <c r="I171" s="11">
        <v>14.32</v>
      </c>
      <c r="J171" s="6">
        <v>13.13144</v>
      </c>
      <c r="K171" s="6">
        <v>0.91699999999999993</v>
      </c>
      <c r="L171" s="6">
        <v>13.3</v>
      </c>
      <c r="M171" s="11">
        <v>12.196099999999999</v>
      </c>
      <c r="N171" s="11">
        <f t="shared" si="8"/>
        <v>12.196999999999999</v>
      </c>
      <c r="O171" s="6">
        <v>0.91699999999999993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1.02</v>
      </c>
      <c r="Z171" s="6">
        <v>0.93533999999999995</v>
      </c>
      <c r="AA171" s="6">
        <v>0.91699999999999993</v>
      </c>
      <c r="AB171" s="6">
        <v>-1.0199999999999996</v>
      </c>
      <c r="AC171" s="6">
        <v>1.0199999999999996</v>
      </c>
      <c r="AD171" s="23" t="s">
        <v>3143</v>
      </c>
      <c r="AE171" s="23">
        <f t="shared" si="9"/>
        <v>11.966999999999999</v>
      </c>
      <c r="AF171" s="24">
        <f t="shared" si="10"/>
        <v>0.23000000000000043</v>
      </c>
      <c r="AG171" s="23">
        <f t="shared" si="11"/>
        <v>2</v>
      </c>
    </row>
    <row r="172" spans="1:33" x14ac:dyDescent="0.25">
      <c r="A172" s="12" t="s">
        <v>31</v>
      </c>
      <c r="B172" s="9">
        <v>46175</v>
      </c>
      <c r="C172" s="10" t="s">
        <v>317</v>
      </c>
      <c r="D172" s="10" t="s">
        <v>318</v>
      </c>
      <c r="E172" s="10" t="s">
        <v>51</v>
      </c>
      <c r="F172" s="10" t="s">
        <v>35</v>
      </c>
      <c r="G172" s="10" t="s">
        <v>3146</v>
      </c>
      <c r="H172" s="8" t="s">
        <v>36</v>
      </c>
      <c r="I172" s="11">
        <v>13.09</v>
      </c>
      <c r="J172" s="6">
        <v>12.00353</v>
      </c>
      <c r="K172" s="6">
        <v>0.91699999999999993</v>
      </c>
      <c r="L172" s="6">
        <v>12.4</v>
      </c>
      <c r="M172" s="11">
        <v>11.370799999999999</v>
      </c>
      <c r="N172" s="11">
        <f t="shared" si="8"/>
        <v>11.370999999999999</v>
      </c>
      <c r="O172" s="6">
        <v>0.91699999999999993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0.69</v>
      </c>
      <c r="Z172" s="6">
        <v>0.63273000000000001</v>
      </c>
      <c r="AA172" s="6">
        <v>0.91700000000000004</v>
      </c>
      <c r="AB172" s="6">
        <v>-0.6899999999999995</v>
      </c>
      <c r="AC172" s="6">
        <v>0.6899999999999995</v>
      </c>
      <c r="AD172" s="23" t="s">
        <v>3143</v>
      </c>
      <c r="AE172" s="23">
        <f t="shared" si="9"/>
        <v>11.16</v>
      </c>
      <c r="AF172" s="24">
        <f t="shared" si="10"/>
        <v>0.21099999999999852</v>
      </c>
      <c r="AG172" s="23">
        <f t="shared" si="11"/>
        <v>2</v>
      </c>
    </row>
    <row r="173" spans="1:33" x14ac:dyDescent="0.25">
      <c r="A173" s="12" t="s">
        <v>31</v>
      </c>
      <c r="B173" s="9">
        <v>46175</v>
      </c>
      <c r="C173" s="10" t="s">
        <v>319</v>
      </c>
      <c r="D173" s="10" t="s">
        <v>320</v>
      </c>
      <c r="E173" s="10" t="s">
        <v>51</v>
      </c>
      <c r="F173" s="10" t="s">
        <v>35</v>
      </c>
      <c r="G173" s="10" t="s">
        <v>3146</v>
      </c>
      <c r="H173" s="8" t="s">
        <v>36</v>
      </c>
      <c r="I173" s="11">
        <v>14.23</v>
      </c>
      <c r="J173" s="6">
        <v>13.048909999999999</v>
      </c>
      <c r="K173" s="6">
        <v>0.91699999999999993</v>
      </c>
      <c r="L173" s="6">
        <v>13.66</v>
      </c>
      <c r="M173" s="11">
        <v>12.52622</v>
      </c>
      <c r="N173" s="11">
        <f t="shared" si="8"/>
        <v>12.526999999999999</v>
      </c>
      <c r="O173" s="6">
        <v>0.91700000000000004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0.56999999999999995</v>
      </c>
      <c r="Z173" s="6">
        <v>0.52268999999999999</v>
      </c>
      <c r="AA173" s="6">
        <v>0.91700000000000004</v>
      </c>
      <c r="AB173" s="6">
        <v>-0.57000000000000028</v>
      </c>
      <c r="AC173" s="6">
        <v>0.57000000000000028</v>
      </c>
      <c r="AD173" s="23" t="s">
        <v>3143</v>
      </c>
      <c r="AE173" s="23">
        <f t="shared" si="9"/>
        <v>12.343</v>
      </c>
      <c r="AF173" s="24">
        <f t="shared" si="10"/>
        <v>0.18399999999999928</v>
      </c>
      <c r="AG173" s="23">
        <f t="shared" si="11"/>
        <v>2</v>
      </c>
    </row>
    <row r="174" spans="1:33" hidden="1" x14ac:dyDescent="0.25">
      <c r="A174" s="12" t="s">
        <v>31</v>
      </c>
      <c r="B174" s="9">
        <v>46175</v>
      </c>
      <c r="C174" s="10" t="s">
        <v>321</v>
      </c>
      <c r="D174" s="10" t="s">
        <v>322</v>
      </c>
      <c r="E174" s="10" t="s">
        <v>51</v>
      </c>
      <c r="F174" s="10" t="s">
        <v>35</v>
      </c>
      <c r="G174" s="10" t="s">
        <v>3145</v>
      </c>
      <c r="H174" s="8" t="s">
        <v>41</v>
      </c>
      <c r="I174" s="11">
        <v>14.17</v>
      </c>
      <c r="J174" s="6">
        <v>10.6275</v>
      </c>
      <c r="K174" s="6">
        <v>0.75</v>
      </c>
      <c r="L174" s="6">
        <v>13.5</v>
      </c>
      <c r="M174" s="11">
        <v>10.125</v>
      </c>
      <c r="N174" s="11">
        <f t="shared" si="8"/>
        <v>10.125</v>
      </c>
      <c r="O174" s="6">
        <v>0.75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0.67</v>
      </c>
      <c r="Z174" s="6">
        <v>0.50249999999999995</v>
      </c>
      <c r="AA174" s="6">
        <v>0.74999999999999989</v>
      </c>
      <c r="AB174" s="6">
        <v>-0.67</v>
      </c>
      <c r="AC174" s="6">
        <v>0.67</v>
      </c>
      <c r="AD174" s="22" t="s">
        <v>3140</v>
      </c>
      <c r="AE174" s="23">
        <f t="shared" si="9"/>
        <v>10.125</v>
      </c>
      <c r="AF174" s="24">
        <f t="shared" si="10"/>
        <v>0</v>
      </c>
      <c r="AG174" s="23">
        <f t="shared" si="11"/>
        <v>2</v>
      </c>
    </row>
    <row r="175" spans="1:33" x14ac:dyDescent="0.25">
      <c r="A175" s="12" t="s">
        <v>31</v>
      </c>
      <c r="B175" s="9">
        <v>46175</v>
      </c>
      <c r="C175" s="10" t="s">
        <v>323</v>
      </c>
      <c r="D175" s="10" t="s">
        <v>324</v>
      </c>
      <c r="E175" s="10" t="s">
        <v>51</v>
      </c>
      <c r="F175" s="10" t="s">
        <v>35</v>
      </c>
      <c r="G175" s="10" t="s">
        <v>3146</v>
      </c>
      <c r="H175" s="8" t="s">
        <v>36</v>
      </c>
      <c r="I175" s="11">
        <v>139.4</v>
      </c>
      <c r="J175" s="6">
        <v>127.82980000000001</v>
      </c>
      <c r="K175" s="6">
        <v>0.91700000000000004</v>
      </c>
      <c r="L175" s="6">
        <v>138.41999999999999</v>
      </c>
      <c r="M175" s="11">
        <v>126.93114</v>
      </c>
      <c r="N175" s="11">
        <f t="shared" si="8"/>
        <v>126.932</v>
      </c>
      <c r="O175" s="6">
        <v>0.91700000000000004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0.98</v>
      </c>
      <c r="Z175" s="6">
        <v>0.89866000000000001</v>
      </c>
      <c r="AA175" s="6">
        <v>0.91700000000000004</v>
      </c>
      <c r="AB175" s="6">
        <v>-0.98000000000001819</v>
      </c>
      <c r="AC175" s="6">
        <v>0.98000000000001819</v>
      </c>
      <c r="AD175" s="23" t="s">
        <v>3143</v>
      </c>
      <c r="AE175" s="23">
        <f t="shared" si="9"/>
        <v>122.24600000000001</v>
      </c>
      <c r="AF175" s="24">
        <f t="shared" si="10"/>
        <v>4.6859999999999928</v>
      </c>
      <c r="AG175" s="23">
        <f t="shared" si="11"/>
        <v>2</v>
      </c>
    </row>
    <row r="176" spans="1:33" x14ac:dyDescent="0.25">
      <c r="A176" s="12" t="s">
        <v>31</v>
      </c>
      <c r="B176" s="9">
        <v>46175</v>
      </c>
      <c r="C176" s="10" t="s">
        <v>325</v>
      </c>
      <c r="D176" s="10" t="s">
        <v>326</v>
      </c>
      <c r="E176" s="10" t="s">
        <v>51</v>
      </c>
      <c r="F176" s="10" t="s">
        <v>35</v>
      </c>
      <c r="G176" s="10" t="s">
        <v>3146</v>
      </c>
      <c r="H176" s="8" t="s">
        <v>36</v>
      </c>
      <c r="I176" s="11">
        <v>8.24</v>
      </c>
      <c r="J176" s="6">
        <v>7.5560799999999997</v>
      </c>
      <c r="K176" s="6">
        <v>0.91699999999999993</v>
      </c>
      <c r="L176" s="6">
        <v>8.24</v>
      </c>
      <c r="M176" s="11">
        <v>7.5560799999999997</v>
      </c>
      <c r="N176" s="11">
        <f t="shared" si="8"/>
        <v>7.5570000000000004</v>
      </c>
      <c r="O176" s="6">
        <v>0.91699999999999993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22" t="s">
        <v>3140</v>
      </c>
      <c r="AE176" s="23">
        <f t="shared" si="9"/>
        <v>7.5570000000000004</v>
      </c>
      <c r="AF176" s="24">
        <f t="shared" si="10"/>
        <v>0</v>
      </c>
      <c r="AG176" s="23">
        <f t="shared" si="11"/>
        <v>1</v>
      </c>
    </row>
    <row r="177" spans="1:33" x14ac:dyDescent="0.25">
      <c r="A177" s="12" t="s">
        <v>31</v>
      </c>
      <c r="B177" s="9">
        <v>46175</v>
      </c>
      <c r="C177" s="10" t="s">
        <v>327</v>
      </c>
      <c r="D177" s="10" t="s">
        <v>328</v>
      </c>
      <c r="E177" s="10" t="s">
        <v>51</v>
      </c>
      <c r="F177" s="10" t="s">
        <v>35</v>
      </c>
      <c r="G177" s="10" t="s">
        <v>3146</v>
      </c>
      <c r="H177" s="8" t="s">
        <v>36</v>
      </c>
      <c r="I177" s="11">
        <v>54.49</v>
      </c>
      <c r="J177" s="6">
        <v>49.967329999999997</v>
      </c>
      <c r="K177" s="6">
        <v>0.91699999999999993</v>
      </c>
      <c r="L177" s="6">
        <v>50.55</v>
      </c>
      <c r="M177" s="11">
        <v>46.354349999999997</v>
      </c>
      <c r="N177" s="11">
        <f t="shared" si="8"/>
        <v>46.354999999999997</v>
      </c>
      <c r="O177" s="6">
        <v>0.91700000000000004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3.94</v>
      </c>
      <c r="Z177" s="6">
        <v>3.6129799999999999</v>
      </c>
      <c r="AA177" s="6">
        <v>0.91699999999999993</v>
      </c>
      <c r="AB177" s="6">
        <v>-3.9400000000000048</v>
      </c>
      <c r="AC177" s="6">
        <v>3.9400000000000048</v>
      </c>
      <c r="AD177" s="22" t="s">
        <v>3140</v>
      </c>
      <c r="AE177" s="23">
        <f t="shared" si="9"/>
        <v>46.354999999999997</v>
      </c>
      <c r="AF177" s="24">
        <f t="shared" si="10"/>
        <v>0</v>
      </c>
      <c r="AG177" s="23">
        <f t="shared" si="11"/>
        <v>1</v>
      </c>
    </row>
    <row r="178" spans="1:33" x14ac:dyDescent="0.25">
      <c r="A178" s="12" t="s">
        <v>31</v>
      </c>
      <c r="B178" s="9">
        <v>46175</v>
      </c>
      <c r="C178" s="10" t="s">
        <v>329</v>
      </c>
      <c r="D178" s="10" t="s">
        <v>330</v>
      </c>
      <c r="E178" s="10" t="s">
        <v>51</v>
      </c>
      <c r="F178" s="10" t="s">
        <v>35</v>
      </c>
      <c r="G178" s="10" t="s">
        <v>3146</v>
      </c>
      <c r="H178" s="8" t="s">
        <v>36</v>
      </c>
      <c r="I178" s="11">
        <v>7.72</v>
      </c>
      <c r="J178" s="6">
        <v>7.0792400000000004</v>
      </c>
      <c r="K178" s="6">
        <v>0.91700000000000004</v>
      </c>
      <c r="L178" s="6">
        <v>7.54</v>
      </c>
      <c r="M178" s="11">
        <v>6.91418</v>
      </c>
      <c r="N178" s="11">
        <f t="shared" si="8"/>
        <v>6.915</v>
      </c>
      <c r="O178" s="6">
        <v>0.91700000000000004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0.18</v>
      </c>
      <c r="Z178" s="6">
        <v>0.16506000000000001</v>
      </c>
      <c r="AA178" s="6">
        <v>0.91700000000000015</v>
      </c>
      <c r="AB178" s="6">
        <v>-0.17999999999999972</v>
      </c>
      <c r="AC178" s="6">
        <v>0.17999999999999972</v>
      </c>
      <c r="AD178" s="22" t="s">
        <v>3140</v>
      </c>
      <c r="AE178" s="23">
        <f t="shared" si="9"/>
        <v>6.915</v>
      </c>
      <c r="AF178" s="24">
        <f t="shared" si="10"/>
        <v>0</v>
      </c>
      <c r="AG178" s="23">
        <f t="shared" si="11"/>
        <v>1</v>
      </c>
    </row>
    <row r="179" spans="1:33" x14ac:dyDescent="0.25">
      <c r="A179" s="12" t="s">
        <v>31</v>
      </c>
      <c r="B179" s="9">
        <v>46175</v>
      </c>
      <c r="C179" s="10" t="s">
        <v>331</v>
      </c>
      <c r="D179" s="10" t="s">
        <v>332</v>
      </c>
      <c r="E179" s="10" t="s">
        <v>51</v>
      </c>
      <c r="F179" s="10" t="s">
        <v>35</v>
      </c>
      <c r="G179" s="10" t="s">
        <v>3146</v>
      </c>
      <c r="H179" s="8" t="s">
        <v>36</v>
      </c>
      <c r="I179" s="11">
        <v>14.8</v>
      </c>
      <c r="J179" s="6">
        <v>13.5716</v>
      </c>
      <c r="K179" s="6">
        <v>0.91699999999999993</v>
      </c>
      <c r="L179" s="6">
        <v>14.65</v>
      </c>
      <c r="M179" s="11">
        <v>13.434049999999999</v>
      </c>
      <c r="N179" s="11">
        <f t="shared" si="8"/>
        <v>13.434999999999999</v>
      </c>
      <c r="O179" s="6">
        <v>0.91699999999999993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0.15</v>
      </c>
      <c r="Z179" s="6">
        <v>0.13755000000000001</v>
      </c>
      <c r="AA179" s="6">
        <v>0.91700000000000004</v>
      </c>
      <c r="AB179" s="6">
        <v>-0.15000000000000036</v>
      </c>
      <c r="AC179" s="6">
        <v>0.15000000000000036</v>
      </c>
      <c r="AD179" s="22" t="s">
        <v>3140</v>
      </c>
      <c r="AE179" s="23">
        <f t="shared" si="9"/>
        <v>13.434999999999999</v>
      </c>
      <c r="AF179" s="24">
        <f t="shared" si="10"/>
        <v>0</v>
      </c>
      <c r="AG179" s="23">
        <f t="shared" si="11"/>
        <v>1</v>
      </c>
    </row>
    <row r="180" spans="1:33" x14ac:dyDescent="0.25">
      <c r="A180" s="12" t="s">
        <v>31</v>
      </c>
      <c r="B180" s="9">
        <v>46175</v>
      </c>
      <c r="C180" s="10" t="s">
        <v>333</v>
      </c>
      <c r="D180" s="10" t="s">
        <v>334</v>
      </c>
      <c r="E180" s="10" t="s">
        <v>51</v>
      </c>
      <c r="F180" s="10" t="s">
        <v>35</v>
      </c>
      <c r="G180" s="10" t="s">
        <v>3146</v>
      </c>
      <c r="H180" s="8" t="s">
        <v>36</v>
      </c>
      <c r="I180" s="11">
        <v>27.501000000000001</v>
      </c>
      <c r="J180" s="6">
        <v>25.218416999999999</v>
      </c>
      <c r="K180" s="6">
        <v>0.91699999999999993</v>
      </c>
      <c r="L180" s="6">
        <v>25.940999999999999</v>
      </c>
      <c r="M180" s="11">
        <v>23.787897000000001</v>
      </c>
      <c r="N180" s="11">
        <f t="shared" si="8"/>
        <v>23.788</v>
      </c>
      <c r="O180" s="6">
        <v>0.91700000000000004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1.56</v>
      </c>
      <c r="Z180" s="6">
        <v>1.43052</v>
      </c>
      <c r="AA180" s="6">
        <v>0.91699999999999993</v>
      </c>
      <c r="AB180" s="6">
        <v>-1.5600000000000023</v>
      </c>
      <c r="AC180" s="6">
        <v>1.5600000000000023</v>
      </c>
      <c r="AD180" s="22" t="s">
        <v>3140</v>
      </c>
      <c r="AE180" s="23">
        <f t="shared" si="9"/>
        <v>23.788</v>
      </c>
      <c r="AF180" s="24">
        <f t="shared" si="10"/>
        <v>0</v>
      </c>
      <c r="AG180" s="23">
        <f t="shared" si="11"/>
        <v>2</v>
      </c>
    </row>
    <row r="181" spans="1:33" x14ac:dyDescent="0.25">
      <c r="A181" s="12" t="s">
        <v>31</v>
      </c>
      <c r="B181" s="9">
        <v>46175</v>
      </c>
      <c r="C181" s="10" t="s">
        <v>335</v>
      </c>
      <c r="D181" s="10" t="s">
        <v>336</v>
      </c>
      <c r="E181" s="10" t="s">
        <v>51</v>
      </c>
      <c r="F181" s="10" t="s">
        <v>35</v>
      </c>
      <c r="G181" s="10" t="s">
        <v>3146</v>
      </c>
      <c r="H181" s="8" t="s">
        <v>36</v>
      </c>
      <c r="I181" s="11">
        <v>86.54</v>
      </c>
      <c r="J181" s="6">
        <v>79.35718</v>
      </c>
      <c r="K181" s="6">
        <v>0.91699999999999993</v>
      </c>
      <c r="L181" s="6">
        <v>81.08</v>
      </c>
      <c r="M181" s="11">
        <v>74.350359999999995</v>
      </c>
      <c r="N181" s="11">
        <f t="shared" si="8"/>
        <v>74.350999999999999</v>
      </c>
      <c r="O181" s="6">
        <v>0.91699999999999993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5.46</v>
      </c>
      <c r="Z181" s="6">
        <v>5.0068200000000003</v>
      </c>
      <c r="AA181" s="6">
        <v>0.91700000000000004</v>
      </c>
      <c r="AB181" s="6">
        <v>-5.460000000000008</v>
      </c>
      <c r="AC181" s="6">
        <v>5.460000000000008</v>
      </c>
      <c r="AD181" s="22" t="s">
        <v>3140</v>
      </c>
      <c r="AE181" s="23">
        <f t="shared" si="9"/>
        <v>74.350999999999999</v>
      </c>
      <c r="AF181" s="24">
        <f t="shared" si="10"/>
        <v>0</v>
      </c>
      <c r="AG181" s="23">
        <f t="shared" si="11"/>
        <v>1</v>
      </c>
    </row>
    <row r="182" spans="1:33" ht="12.5" hidden="1" customHeight="1" x14ac:dyDescent="0.25">
      <c r="A182" s="12" t="s">
        <v>31</v>
      </c>
      <c r="B182" s="9">
        <v>46175</v>
      </c>
      <c r="C182" s="8" t="s">
        <v>337</v>
      </c>
      <c r="D182" s="8" t="s">
        <v>338</v>
      </c>
      <c r="E182" s="8" t="s">
        <v>51</v>
      </c>
      <c r="F182" s="8" t="s">
        <v>35</v>
      </c>
      <c r="G182" s="10" t="s">
        <v>3145</v>
      </c>
      <c r="H182" s="8" t="s">
        <v>48</v>
      </c>
      <c r="I182" s="11">
        <v>8.94</v>
      </c>
      <c r="J182" s="6">
        <v>6.7050000000000001</v>
      </c>
      <c r="K182" s="6">
        <v>0.75</v>
      </c>
      <c r="L182" s="6">
        <v>8.18</v>
      </c>
      <c r="M182" s="11">
        <v>6.1349999999999998</v>
      </c>
      <c r="N182" s="11">
        <f t="shared" si="8"/>
        <v>6.1349999999999998</v>
      </c>
      <c r="O182" s="6">
        <v>0.75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0.76</v>
      </c>
      <c r="Z182" s="6">
        <v>0.56999999999999995</v>
      </c>
      <c r="AA182" s="6">
        <v>0.74999999999999989</v>
      </c>
      <c r="AB182" s="6">
        <v>-0.75999999999999979</v>
      </c>
      <c r="AC182" s="6">
        <v>0.75999999999999979</v>
      </c>
      <c r="AD182" s="23" t="s">
        <v>3143</v>
      </c>
      <c r="AE182" s="23">
        <f t="shared" si="9"/>
        <v>0</v>
      </c>
      <c r="AF182" s="24">
        <f t="shared" si="10"/>
        <v>6.1349999999999998</v>
      </c>
      <c r="AG182" s="23">
        <f t="shared" si="11"/>
        <v>67</v>
      </c>
    </row>
    <row r="183" spans="1:33" ht="12.5" hidden="1" customHeight="1" x14ac:dyDescent="0.25">
      <c r="A183" s="12" t="s">
        <v>31</v>
      </c>
      <c r="B183" s="9">
        <v>46175</v>
      </c>
      <c r="C183" s="12" t="s">
        <v>337</v>
      </c>
      <c r="D183" s="12" t="s">
        <v>338</v>
      </c>
      <c r="E183" s="12" t="s">
        <v>51</v>
      </c>
      <c r="F183" s="12" t="s">
        <v>35</v>
      </c>
      <c r="G183" s="10" t="s">
        <v>3145</v>
      </c>
      <c r="H183" s="8" t="s">
        <v>41</v>
      </c>
      <c r="I183" s="11">
        <v>11.21</v>
      </c>
      <c r="J183" s="6">
        <v>8.4075000000000006</v>
      </c>
      <c r="K183" s="6">
        <v>0.75</v>
      </c>
      <c r="L183" s="6">
        <v>10.87</v>
      </c>
      <c r="M183" s="11">
        <v>8.1524999999999999</v>
      </c>
      <c r="N183" s="11">
        <f t="shared" si="8"/>
        <v>8.1529999999999987</v>
      </c>
      <c r="O183" s="6">
        <v>0.75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0.34</v>
      </c>
      <c r="Z183" s="6">
        <v>0.255</v>
      </c>
      <c r="AA183" s="6">
        <v>0.75</v>
      </c>
      <c r="AB183" s="6">
        <v>-0.34000000000000163</v>
      </c>
      <c r="AC183" s="6">
        <v>0.34000000000000163</v>
      </c>
      <c r="AD183" s="23" t="s">
        <v>3143</v>
      </c>
      <c r="AE183" s="23">
        <f t="shared" si="9"/>
        <v>0</v>
      </c>
      <c r="AF183" s="24">
        <f t="shared" si="10"/>
        <v>8.1529999999999987</v>
      </c>
      <c r="AG183" s="23">
        <f t="shared" si="11"/>
        <v>67</v>
      </c>
    </row>
    <row r="184" spans="1:33" ht="12.5" customHeight="1" x14ac:dyDescent="0.25">
      <c r="A184" s="12" t="s">
        <v>31</v>
      </c>
      <c r="B184" s="9">
        <v>46175</v>
      </c>
      <c r="C184" s="13" t="s">
        <v>337</v>
      </c>
      <c r="D184" s="13" t="s">
        <v>338</v>
      </c>
      <c r="E184" s="13" t="s">
        <v>51</v>
      </c>
      <c r="F184" s="13" t="s">
        <v>35</v>
      </c>
      <c r="G184" s="10" t="s">
        <v>3146</v>
      </c>
      <c r="H184" s="8" t="s">
        <v>36</v>
      </c>
      <c r="I184" s="11">
        <v>22.32</v>
      </c>
      <c r="J184" s="6">
        <v>20.46744</v>
      </c>
      <c r="K184" s="6">
        <v>0.91700000000000004</v>
      </c>
      <c r="L184" s="6">
        <v>17.14</v>
      </c>
      <c r="M184" s="11">
        <v>15.71738</v>
      </c>
      <c r="N184" s="11">
        <f t="shared" si="8"/>
        <v>15.718</v>
      </c>
      <c r="O184" s="6">
        <v>0.91700000000000004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5.18</v>
      </c>
      <c r="Z184" s="6">
        <v>4.7500600000000004</v>
      </c>
      <c r="AA184" s="6">
        <v>0.91700000000000015</v>
      </c>
      <c r="AB184" s="6">
        <v>-5.18</v>
      </c>
      <c r="AC184" s="6">
        <v>5.18</v>
      </c>
      <c r="AD184" s="23" t="s">
        <v>3143</v>
      </c>
      <c r="AE184" s="23">
        <f t="shared" si="9"/>
        <v>0</v>
      </c>
      <c r="AF184" s="24">
        <f t="shared" si="10"/>
        <v>15.718</v>
      </c>
      <c r="AG184" s="23">
        <f t="shared" si="11"/>
        <v>67</v>
      </c>
    </row>
    <row r="185" spans="1:33" ht="12.5" customHeight="1" x14ac:dyDescent="0.25">
      <c r="A185" s="12" t="s">
        <v>31</v>
      </c>
      <c r="B185" s="9">
        <v>46176</v>
      </c>
      <c r="C185" s="10" t="s">
        <v>339</v>
      </c>
      <c r="D185" s="10" t="s">
        <v>340</v>
      </c>
      <c r="E185" s="10" t="s">
        <v>34</v>
      </c>
      <c r="F185" s="10" t="s">
        <v>35</v>
      </c>
      <c r="G185" s="10" t="s">
        <v>3146</v>
      </c>
      <c r="H185" s="8" t="s">
        <v>36</v>
      </c>
      <c r="I185" s="11">
        <v>92.72</v>
      </c>
      <c r="J185" s="6">
        <v>85.024240000000006</v>
      </c>
      <c r="K185" s="6">
        <v>0.91700000000000004</v>
      </c>
      <c r="L185" s="6">
        <v>86.63</v>
      </c>
      <c r="M185" s="11">
        <v>79.439710000000005</v>
      </c>
      <c r="N185" s="11">
        <f t="shared" si="8"/>
        <v>79.44</v>
      </c>
      <c r="O185" s="6">
        <v>0.91700000000000015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6.09</v>
      </c>
      <c r="Z185" s="6">
        <v>5.58453</v>
      </c>
      <c r="AA185" s="6">
        <v>0.91700000000000004</v>
      </c>
      <c r="AB185" s="6">
        <v>-6.0900000000000034</v>
      </c>
      <c r="AC185" s="6">
        <v>6.0900000000000034</v>
      </c>
      <c r="AD185" s="22" t="s">
        <v>3140</v>
      </c>
      <c r="AE185" s="23">
        <f t="shared" si="9"/>
        <v>79.44</v>
      </c>
      <c r="AF185" s="24">
        <f t="shared" si="10"/>
        <v>0</v>
      </c>
      <c r="AG185" s="23">
        <f t="shared" si="11"/>
        <v>1</v>
      </c>
    </row>
    <row r="186" spans="1:33" ht="12.5" customHeight="1" x14ac:dyDescent="0.25">
      <c r="A186" s="12" t="s">
        <v>31</v>
      </c>
      <c r="B186" s="9">
        <v>46176</v>
      </c>
      <c r="C186" s="10" t="s">
        <v>341</v>
      </c>
      <c r="D186" s="10" t="s">
        <v>342</v>
      </c>
      <c r="E186" s="10" t="s">
        <v>34</v>
      </c>
      <c r="F186" s="10" t="s">
        <v>35</v>
      </c>
      <c r="G186" s="10" t="s">
        <v>3146</v>
      </c>
      <c r="H186" s="8" t="s">
        <v>36</v>
      </c>
      <c r="I186" s="11">
        <v>67.930000000000007</v>
      </c>
      <c r="J186" s="6">
        <v>62.291809999999998</v>
      </c>
      <c r="K186" s="6">
        <v>0.91699999999999993</v>
      </c>
      <c r="L186" s="6">
        <v>63.72</v>
      </c>
      <c r="M186" s="11">
        <v>58.431240000000003</v>
      </c>
      <c r="N186" s="11">
        <f t="shared" si="8"/>
        <v>58.431999999999995</v>
      </c>
      <c r="O186" s="6">
        <v>0.91700000000000004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4.21</v>
      </c>
      <c r="Z186" s="6">
        <v>3.8605700000000001</v>
      </c>
      <c r="AA186" s="6">
        <v>0.91700000000000004</v>
      </c>
      <c r="AB186" s="6">
        <v>-4.210000000000008</v>
      </c>
      <c r="AC186" s="6">
        <v>4.210000000000008</v>
      </c>
      <c r="AD186" s="22" t="s">
        <v>3140</v>
      </c>
      <c r="AE186" s="23">
        <f t="shared" si="9"/>
        <v>58.431999999999995</v>
      </c>
      <c r="AF186" s="24">
        <f t="shared" si="10"/>
        <v>0</v>
      </c>
      <c r="AG186" s="23">
        <f t="shared" si="11"/>
        <v>1</v>
      </c>
    </row>
    <row r="187" spans="1:33" ht="12.5" hidden="1" customHeight="1" x14ac:dyDescent="0.25">
      <c r="A187" s="12" t="s">
        <v>31</v>
      </c>
      <c r="B187" s="9">
        <v>46176</v>
      </c>
      <c r="C187" s="10" t="s">
        <v>343</v>
      </c>
      <c r="D187" s="10" t="s">
        <v>344</v>
      </c>
      <c r="E187" s="10" t="s">
        <v>34</v>
      </c>
      <c r="F187" s="10" t="s">
        <v>35</v>
      </c>
      <c r="G187" s="10" t="s">
        <v>3145</v>
      </c>
      <c r="H187" s="8" t="s">
        <v>48</v>
      </c>
      <c r="I187" s="11">
        <v>19.29</v>
      </c>
      <c r="J187" s="6">
        <v>14.467499999999999</v>
      </c>
      <c r="K187" s="6">
        <v>0.75</v>
      </c>
      <c r="L187" s="6">
        <v>17.71</v>
      </c>
      <c r="M187" s="11">
        <v>13.282500000000001</v>
      </c>
      <c r="N187" s="11">
        <f t="shared" si="8"/>
        <v>13.282999999999999</v>
      </c>
      <c r="O187" s="6">
        <v>0.75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1.58</v>
      </c>
      <c r="Z187" s="6">
        <v>1.1850000000000001</v>
      </c>
      <c r="AA187" s="6">
        <v>0.75</v>
      </c>
      <c r="AB187" s="6">
        <v>-1.5799999999999983</v>
      </c>
      <c r="AC187" s="6">
        <v>1.5799999999999983</v>
      </c>
      <c r="AD187" s="22" t="s">
        <v>3140</v>
      </c>
      <c r="AE187" s="23">
        <f t="shared" si="9"/>
        <v>13.282999999999999</v>
      </c>
      <c r="AF187" s="24">
        <f t="shared" si="10"/>
        <v>0</v>
      </c>
      <c r="AG187" s="23">
        <f t="shared" si="11"/>
        <v>1</v>
      </c>
    </row>
    <row r="188" spans="1:33" x14ac:dyDescent="0.25">
      <c r="A188" s="12" t="s">
        <v>31</v>
      </c>
      <c r="B188" s="9">
        <v>46176</v>
      </c>
      <c r="C188" s="10" t="s">
        <v>345</v>
      </c>
      <c r="D188" s="10" t="s">
        <v>346</v>
      </c>
      <c r="E188" s="10" t="s">
        <v>51</v>
      </c>
      <c r="F188" s="10" t="s">
        <v>35</v>
      </c>
      <c r="G188" s="10" t="s">
        <v>3146</v>
      </c>
      <c r="H188" s="8" t="s">
        <v>36</v>
      </c>
      <c r="I188" s="11">
        <v>7.02</v>
      </c>
      <c r="J188" s="6">
        <v>6.4373399999999998</v>
      </c>
      <c r="K188" s="6">
        <v>0.91700000000000004</v>
      </c>
      <c r="L188" s="6">
        <v>6.92</v>
      </c>
      <c r="M188" s="11">
        <v>6.3456400000000004</v>
      </c>
      <c r="N188" s="11">
        <f t="shared" si="8"/>
        <v>6.3460000000000001</v>
      </c>
      <c r="O188" s="6">
        <v>0.91700000000000004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0.1</v>
      </c>
      <c r="Z188" s="6">
        <v>9.1700000000000004E-2</v>
      </c>
      <c r="AA188" s="6">
        <v>0.91700000000000004</v>
      </c>
      <c r="AB188" s="6">
        <v>-9.9999999999999645E-2</v>
      </c>
      <c r="AC188" s="6">
        <v>9.9999999999999645E-2</v>
      </c>
      <c r="AD188" s="22" t="s">
        <v>3140</v>
      </c>
      <c r="AE188" s="23">
        <f t="shared" si="9"/>
        <v>6.3460000000000001</v>
      </c>
      <c r="AF188" s="24">
        <f t="shared" si="10"/>
        <v>0</v>
      </c>
      <c r="AG188" s="23">
        <f t="shared" si="11"/>
        <v>2</v>
      </c>
    </row>
    <row r="189" spans="1:33" x14ac:dyDescent="0.25">
      <c r="A189" s="12" t="s">
        <v>31</v>
      </c>
      <c r="B189" s="9">
        <v>46176</v>
      </c>
      <c r="C189" s="10" t="s">
        <v>347</v>
      </c>
      <c r="D189" s="10" t="s">
        <v>348</v>
      </c>
      <c r="E189" s="10" t="s">
        <v>51</v>
      </c>
      <c r="F189" s="10" t="s">
        <v>35</v>
      </c>
      <c r="G189" s="10" t="s">
        <v>3146</v>
      </c>
      <c r="H189" s="8" t="s">
        <v>36</v>
      </c>
      <c r="I189" s="11">
        <v>11.73</v>
      </c>
      <c r="J189" s="6">
        <v>10.756410000000001</v>
      </c>
      <c r="K189" s="6">
        <v>0.91700000000000004</v>
      </c>
      <c r="L189" s="6">
        <v>11.07</v>
      </c>
      <c r="M189" s="11">
        <v>10.15119</v>
      </c>
      <c r="N189" s="11">
        <f t="shared" si="8"/>
        <v>10.151999999999999</v>
      </c>
      <c r="O189" s="6">
        <v>0.91699999999999993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0.66</v>
      </c>
      <c r="Z189" s="6">
        <v>0.60521999999999998</v>
      </c>
      <c r="AA189" s="6">
        <v>0.91699999999999993</v>
      </c>
      <c r="AB189" s="6">
        <v>-0.66000000000000014</v>
      </c>
      <c r="AC189" s="6">
        <v>0.66000000000000014</v>
      </c>
      <c r="AD189" s="23" t="s">
        <v>3143</v>
      </c>
      <c r="AE189" s="23">
        <f t="shared" si="9"/>
        <v>7.8959999999999999</v>
      </c>
      <c r="AF189" s="24">
        <f t="shared" si="10"/>
        <v>2.2559999999999993</v>
      </c>
      <c r="AG189" s="23">
        <f t="shared" si="11"/>
        <v>4</v>
      </c>
    </row>
    <row r="190" spans="1:33" x14ac:dyDescent="0.25">
      <c r="A190" s="12" t="s">
        <v>31</v>
      </c>
      <c r="B190" s="9">
        <v>46176</v>
      </c>
      <c r="C190" s="10" t="s">
        <v>349</v>
      </c>
      <c r="D190" s="10" t="s">
        <v>350</v>
      </c>
      <c r="E190" s="10" t="s">
        <v>51</v>
      </c>
      <c r="F190" s="10" t="s">
        <v>35</v>
      </c>
      <c r="G190" s="10" t="s">
        <v>3146</v>
      </c>
      <c r="H190" s="8" t="s">
        <v>36</v>
      </c>
      <c r="I190" s="11">
        <v>3.8</v>
      </c>
      <c r="J190" s="6">
        <v>3.4845999999999999</v>
      </c>
      <c r="K190" s="6">
        <v>0.91700000000000004</v>
      </c>
      <c r="L190" s="6">
        <v>3.67</v>
      </c>
      <c r="M190" s="11">
        <v>3.3653900000000001</v>
      </c>
      <c r="N190" s="11">
        <f t="shared" si="8"/>
        <v>3.3660000000000001</v>
      </c>
      <c r="O190" s="6">
        <v>0.91700000000000004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0.13</v>
      </c>
      <c r="Z190" s="6">
        <v>0.11921</v>
      </c>
      <c r="AA190" s="6">
        <v>0.91699999999999993</v>
      </c>
      <c r="AB190" s="6">
        <v>-0.12999999999999989</v>
      </c>
      <c r="AC190" s="6">
        <v>0.12999999999999989</v>
      </c>
      <c r="AD190" s="22" t="s">
        <v>3140</v>
      </c>
      <c r="AE190" s="23">
        <f t="shared" si="9"/>
        <v>3.3660000000000001</v>
      </c>
      <c r="AF190" s="24">
        <f t="shared" si="10"/>
        <v>0</v>
      </c>
      <c r="AG190" s="23">
        <f t="shared" si="11"/>
        <v>1</v>
      </c>
    </row>
    <row r="191" spans="1:33" x14ac:dyDescent="0.25">
      <c r="A191" s="12" t="s">
        <v>31</v>
      </c>
      <c r="B191" s="9">
        <v>46176</v>
      </c>
      <c r="C191" s="10" t="s">
        <v>351</v>
      </c>
      <c r="D191" s="10" t="s">
        <v>352</v>
      </c>
      <c r="E191" s="10" t="s">
        <v>51</v>
      </c>
      <c r="F191" s="10" t="s">
        <v>35</v>
      </c>
      <c r="G191" s="10" t="s">
        <v>3146</v>
      </c>
      <c r="H191" s="8" t="s">
        <v>36</v>
      </c>
      <c r="I191" s="11">
        <v>2.25</v>
      </c>
      <c r="J191" s="6">
        <v>2.06325</v>
      </c>
      <c r="K191" s="6">
        <v>0.91700000000000004</v>
      </c>
      <c r="L191" s="6">
        <v>2.17</v>
      </c>
      <c r="M191" s="11">
        <v>1.9898899999999999</v>
      </c>
      <c r="N191" s="11">
        <f t="shared" si="8"/>
        <v>1.99</v>
      </c>
      <c r="O191" s="6">
        <v>0.91700000000000004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0.08</v>
      </c>
      <c r="Z191" s="6">
        <v>7.3359999999999995E-2</v>
      </c>
      <c r="AA191" s="6">
        <v>0.91699999999999993</v>
      </c>
      <c r="AB191" s="6">
        <v>-8.0000000000000071E-2</v>
      </c>
      <c r="AC191" s="6">
        <v>8.0000000000000071E-2</v>
      </c>
      <c r="AD191" s="22" t="s">
        <v>3140</v>
      </c>
      <c r="AE191" s="23">
        <f t="shared" si="9"/>
        <v>1.99</v>
      </c>
      <c r="AF191" s="24">
        <f t="shared" si="10"/>
        <v>0</v>
      </c>
      <c r="AG191" s="23">
        <f t="shared" si="11"/>
        <v>2</v>
      </c>
    </row>
    <row r="192" spans="1:33" x14ac:dyDescent="0.25">
      <c r="A192" s="12" t="s">
        <v>31</v>
      </c>
      <c r="B192" s="9">
        <v>46176</v>
      </c>
      <c r="C192" s="10" t="s">
        <v>353</v>
      </c>
      <c r="D192" s="10" t="s">
        <v>324</v>
      </c>
      <c r="E192" s="10" t="s">
        <v>51</v>
      </c>
      <c r="F192" s="10" t="s">
        <v>35</v>
      </c>
      <c r="G192" s="10" t="s">
        <v>3146</v>
      </c>
      <c r="H192" s="8" t="s">
        <v>36</v>
      </c>
      <c r="I192" s="11">
        <v>133.63</v>
      </c>
      <c r="J192" s="6">
        <v>122.53870999999999</v>
      </c>
      <c r="K192" s="6">
        <v>0.91700000000000004</v>
      </c>
      <c r="L192" s="6">
        <v>133.31</v>
      </c>
      <c r="M192" s="11">
        <v>122.24527</v>
      </c>
      <c r="N192" s="11">
        <f t="shared" si="8"/>
        <v>122.24600000000001</v>
      </c>
      <c r="O192" s="6">
        <v>0.91700000000000004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0.32</v>
      </c>
      <c r="Z192" s="6">
        <v>0.29343999999999998</v>
      </c>
      <c r="AA192" s="6">
        <v>0.91699999999999993</v>
      </c>
      <c r="AB192" s="6">
        <v>-0.31999999999999318</v>
      </c>
      <c r="AC192" s="6">
        <v>0.31999999999999318</v>
      </c>
      <c r="AD192" s="22" t="s">
        <v>3140</v>
      </c>
      <c r="AE192" s="23">
        <f t="shared" si="9"/>
        <v>122.24600000000001</v>
      </c>
      <c r="AF192" s="24">
        <f t="shared" si="10"/>
        <v>0</v>
      </c>
      <c r="AG192" s="23">
        <f t="shared" si="11"/>
        <v>2</v>
      </c>
    </row>
    <row r="193" spans="1:33" x14ac:dyDescent="0.25">
      <c r="A193" s="12" t="s">
        <v>31</v>
      </c>
      <c r="B193" s="9">
        <v>46176</v>
      </c>
      <c r="C193" s="10" t="s">
        <v>354</v>
      </c>
      <c r="D193" s="10" t="s">
        <v>355</v>
      </c>
      <c r="E193" s="10" t="s">
        <v>51</v>
      </c>
      <c r="F193" s="10" t="s">
        <v>35</v>
      </c>
      <c r="G193" s="10" t="s">
        <v>3146</v>
      </c>
      <c r="H193" s="8" t="s">
        <v>36</v>
      </c>
      <c r="I193" s="11">
        <v>27.22</v>
      </c>
      <c r="J193" s="6">
        <v>24.960740000000001</v>
      </c>
      <c r="K193" s="6">
        <v>0.91700000000000004</v>
      </c>
      <c r="L193" s="6">
        <v>26.13</v>
      </c>
      <c r="M193" s="11">
        <v>23.961210000000001</v>
      </c>
      <c r="N193" s="11">
        <f t="shared" si="8"/>
        <v>23.962</v>
      </c>
      <c r="O193" s="6">
        <v>0.91700000000000004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1.0900000000000001</v>
      </c>
      <c r="Z193" s="6">
        <v>0.99953000000000003</v>
      </c>
      <c r="AA193" s="6">
        <v>0.91699999999999993</v>
      </c>
      <c r="AB193" s="6">
        <v>-1.0899999999999999</v>
      </c>
      <c r="AC193" s="6">
        <v>1.0899999999999999</v>
      </c>
      <c r="AD193" s="22" t="s">
        <v>3140</v>
      </c>
      <c r="AE193" s="23">
        <f t="shared" si="9"/>
        <v>23.962</v>
      </c>
      <c r="AF193" s="24">
        <f t="shared" si="10"/>
        <v>0</v>
      </c>
      <c r="AG193" s="23">
        <f t="shared" si="11"/>
        <v>1</v>
      </c>
    </row>
    <row r="194" spans="1:33" ht="20" hidden="1" customHeight="1" x14ac:dyDescent="0.25">
      <c r="A194" s="12" t="s">
        <v>31</v>
      </c>
      <c r="B194" s="9">
        <v>46176</v>
      </c>
      <c r="C194" s="10" t="s">
        <v>356</v>
      </c>
      <c r="D194" s="10" t="s">
        <v>357</v>
      </c>
      <c r="E194" s="10" t="s">
        <v>51</v>
      </c>
      <c r="F194" s="10" t="s">
        <v>35</v>
      </c>
      <c r="G194" s="10" t="s">
        <v>3145</v>
      </c>
      <c r="H194" s="8" t="s">
        <v>48</v>
      </c>
      <c r="I194" s="11">
        <v>153.27000000000001</v>
      </c>
      <c r="J194" s="6">
        <v>114.9525</v>
      </c>
      <c r="K194" s="6">
        <v>0.75</v>
      </c>
      <c r="L194" s="6">
        <v>130.85</v>
      </c>
      <c r="M194" s="11">
        <v>98.137500000000003</v>
      </c>
      <c r="N194" s="11">
        <f t="shared" si="8"/>
        <v>98.138000000000005</v>
      </c>
      <c r="O194" s="6">
        <v>0.75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22.42</v>
      </c>
      <c r="Z194" s="6">
        <v>16.815000000000001</v>
      </c>
      <c r="AA194" s="6">
        <v>0.75</v>
      </c>
      <c r="AB194" s="6">
        <v>-22.420000000000016</v>
      </c>
      <c r="AC194" s="6">
        <v>22.420000000000016</v>
      </c>
      <c r="AD194" s="23" t="s">
        <v>3143</v>
      </c>
      <c r="AE194" s="23">
        <f t="shared" si="9"/>
        <v>97.92</v>
      </c>
      <c r="AF194" s="24">
        <f t="shared" si="10"/>
        <v>0.21800000000000352</v>
      </c>
      <c r="AG194" s="23">
        <f t="shared" si="11"/>
        <v>2</v>
      </c>
    </row>
    <row r="195" spans="1:33" x14ac:dyDescent="0.25">
      <c r="A195" s="12" t="s">
        <v>31</v>
      </c>
      <c r="B195" s="9">
        <v>46176</v>
      </c>
      <c r="C195" s="10" t="s">
        <v>358</v>
      </c>
      <c r="D195" s="10" t="s">
        <v>359</v>
      </c>
      <c r="E195" s="10" t="s">
        <v>51</v>
      </c>
      <c r="F195" s="10" t="s">
        <v>35</v>
      </c>
      <c r="G195" s="10" t="s">
        <v>3146</v>
      </c>
      <c r="H195" s="8" t="s">
        <v>36</v>
      </c>
      <c r="I195" s="11">
        <v>22.07</v>
      </c>
      <c r="J195" s="6">
        <v>20.238189999999999</v>
      </c>
      <c r="K195" s="6">
        <v>0.91699999999999993</v>
      </c>
      <c r="L195" s="6">
        <v>21.85</v>
      </c>
      <c r="M195" s="11">
        <v>20.036449999999999</v>
      </c>
      <c r="N195" s="11">
        <f t="shared" ref="N195:N258" si="12">ROUNDUP(M195,3)</f>
        <v>20.037000000000003</v>
      </c>
      <c r="O195" s="6">
        <v>0.91699999999999993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0.22</v>
      </c>
      <c r="Z195" s="6">
        <v>0.20174</v>
      </c>
      <c r="AA195" s="6">
        <v>0.91700000000000004</v>
      </c>
      <c r="AB195" s="6">
        <v>-0.21999999999999886</v>
      </c>
      <c r="AC195" s="6">
        <v>0.21999999999999886</v>
      </c>
      <c r="AD195" s="22" t="s">
        <v>3140</v>
      </c>
      <c r="AE195" s="23">
        <f t="shared" ref="AE195:AE258" si="13">_xlfn.MINIFS(N:N,D:D,D195)</f>
        <v>20.037000000000003</v>
      </c>
      <c r="AF195" s="24">
        <f t="shared" ref="AF195:AF258" si="14">N195-AE195</f>
        <v>0</v>
      </c>
      <c r="AG195" s="23">
        <f t="shared" ref="AG195:AG258" si="15">COUNTIF(D:D,D195)</f>
        <v>2</v>
      </c>
    </row>
    <row r="196" spans="1:33" hidden="1" x14ac:dyDescent="0.25">
      <c r="A196" s="12" t="s">
        <v>31</v>
      </c>
      <c r="B196" s="9">
        <v>46176</v>
      </c>
      <c r="C196" s="10" t="s">
        <v>360</v>
      </c>
      <c r="D196" s="10" t="s">
        <v>361</v>
      </c>
      <c r="E196" s="10" t="s">
        <v>51</v>
      </c>
      <c r="F196" s="10" t="s">
        <v>35</v>
      </c>
      <c r="G196" s="10" t="s">
        <v>3145</v>
      </c>
      <c r="H196" s="8" t="s">
        <v>41</v>
      </c>
      <c r="I196" s="11">
        <v>209.3</v>
      </c>
      <c r="J196" s="6">
        <v>156.97499999999999</v>
      </c>
      <c r="K196" s="6">
        <v>0.74999999999999989</v>
      </c>
      <c r="L196" s="6">
        <v>193.74</v>
      </c>
      <c r="M196" s="11">
        <v>145.30500000000001</v>
      </c>
      <c r="N196" s="11">
        <f t="shared" si="12"/>
        <v>145.30500000000001</v>
      </c>
      <c r="O196" s="6">
        <v>0.75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15.56</v>
      </c>
      <c r="Z196" s="6">
        <v>11.67</v>
      </c>
      <c r="AA196" s="6">
        <v>0.75</v>
      </c>
      <c r="AB196" s="6">
        <v>-15.560000000000002</v>
      </c>
      <c r="AC196" s="6">
        <v>15.560000000000002</v>
      </c>
      <c r="AD196" s="22" t="s">
        <v>3140</v>
      </c>
      <c r="AE196" s="23">
        <f t="shared" si="13"/>
        <v>145.30500000000001</v>
      </c>
      <c r="AF196" s="24">
        <f t="shared" si="14"/>
        <v>0</v>
      </c>
      <c r="AG196" s="23">
        <f t="shared" si="15"/>
        <v>1</v>
      </c>
    </row>
    <row r="197" spans="1:33" ht="20" hidden="1" customHeight="1" x14ac:dyDescent="0.25">
      <c r="A197" s="12" t="s">
        <v>31</v>
      </c>
      <c r="B197" s="9">
        <v>46176</v>
      </c>
      <c r="C197" s="10" t="s">
        <v>362</v>
      </c>
      <c r="D197" s="10" t="s">
        <v>363</v>
      </c>
      <c r="E197" s="10" t="s">
        <v>51</v>
      </c>
      <c r="F197" s="10" t="s">
        <v>35</v>
      </c>
      <c r="G197" s="10" t="s">
        <v>3145</v>
      </c>
      <c r="H197" s="8" t="s">
        <v>48</v>
      </c>
      <c r="I197" s="11">
        <v>9.0399999999999991</v>
      </c>
      <c r="J197" s="6">
        <v>6.78</v>
      </c>
      <c r="K197" s="6">
        <v>0.75000000000000011</v>
      </c>
      <c r="L197" s="6">
        <v>8.7200000000000006</v>
      </c>
      <c r="M197" s="11">
        <v>6.54</v>
      </c>
      <c r="N197" s="11">
        <f t="shared" si="12"/>
        <v>6.54</v>
      </c>
      <c r="O197" s="6">
        <v>0.75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0.32</v>
      </c>
      <c r="Z197" s="6">
        <v>0.24</v>
      </c>
      <c r="AA197" s="6">
        <v>0.75</v>
      </c>
      <c r="AB197" s="6">
        <v>-0.31999999999999851</v>
      </c>
      <c r="AC197" s="6">
        <v>0.31999999999999851</v>
      </c>
      <c r="AD197" s="22" t="s">
        <v>3140</v>
      </c>
      <c r="AE197" s="23">
        <f t="shared" si="13"/>
        <v>6.54</v>
      </c>
      <c r="AF197" s="24">
        <f t="shared" si="14"/>
        <v>0</v>
      </c>
      <c r="AG197" s="23">
        <f t="shared" si="15"/>
        <v>2</v>
      </c>
    </row>
    <row r="198" spans="1:33" x14ac:dyDescent="0.25">
      <c r="A198" s="12" t="s">
        <v>31</v>
      </c>
      <c r="B198" s="9">
        <v>46176</v>
      </c>
      <c r="C198" s="10" t="s">
        <v>364</v>
      </c>
      <c r="D198" s="10" t="s">
        <v>80</v>
      </c>
      <c r="E198" s="10" t="s">
        <v>51</v>
      </c>
      <c r="F198" s="10" t="s">
        <v>35</v>
      </c>
      <c r="G198" s="10" t="s">
        <v>3146</v>
      </c>
      <c r="H198" s="8" t="s">
        <v>36</v>
      </c>
      <c r="I198" s="11">
        <v>25.015999999999998</v>
      </c>
      <c r="J198" s="6">
        <v>22.939672000000002</v>
      </c>
      <c r="K198" s="6">
        <v>0.91700000000000015</v>
      </c>
      <c r="L198" s="6">
        <v>24.795999999999999</v>
      </c>
      <c r="M198" s="11">
        <v>22.737932000000001</v>
      </c>
      <c r="N198" s="11">
        <f t="shared" si="12"/>
        <v>22.738</v>
      </c>
      <c r="O198" s="6">
        <v>0.91700000000000004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0.22</v>
      </c>
      <c r="Z198" s="6">
        <v>0.20174</v>
      </c>
      <c r="AA198" s="6">
        <v>0.91700000000000004</v>
      </c>
      <c r="AB198" s="6">
        <v>-0.21999999999999886</v>
      </c>
      <c r="AC198" s="6">
        <v>0.21999999999999886</v>
      </c>
      <c r="AD198" s="22" t="s">
        <v>3140</v>
      </c>
      <c r="AE198" s="23">
        <f t="shared" si="13"/>
        <v>22.738</v>
      </c>
      <c r="AF198" s="24">
        <f t="shared" si="14"/>
        <v>0</v>
      </c>
      <c r="AG198" s="23">
        <f t="shared" si="15"/>
        <v>2</v>
      </c>
    </row>
    <row r="199" spans="1:33" hidden="1" x14ac:dyDescent="0.25">
      <c r="A199" s="12" t="s">
        <v>31</v>
      </c>
      <c r="B199" s="9">
        <v>46176</v>
      </c>
      <c r="C199" s="10" t="s">
        <v>365</v>
      </c>
      <c r="D199" s="10" t="s">
        <v>55</v>
      </c>
      <c r="E199" s="10" t="s">
        <v>51</v>
      </c>
      <c r="F199" s="10" t="s">
        <v>35</v>
      </c>
      <c r="G199" s="10" t="s">
        <v>3145</v>
      </c>
      <c r="H199" s="8" t="s">
        <v>41</v>
      </c>
      <c r="I199" s="11">
        <v>10.51</v>
      </c>
      <c r="J199" s="6">
        <v>7.8825000000000003</v>
      </c>
      <c r="K199" s="6">
        <v>0.75</v>
      </c>
      <c r="L199" s="6">
        <v>10.51</v>
      </c>
      <c r="M199" s="11">
        <v>7.8825000000000003</v>
      </c>
      <c r="N199" s="11">
        <f t="shared" si="12"/>
        <v>7.883</v>
      </c>
      <c r="O199" s="6">
        <v>0.75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23" t="s">
        <v>3143</v>
      </c>
      <c r="AE199" s="23">
        <f t="shared" si="13"/>
        <v>7.875</v>
      </c>
      <c r="AF199" s="24">
        <f t="shared" si="14"/>
        <v>8.0000000000000071E-3</v>
      </c>
      <c r="AG199" s="23">
        <f t="shared" si="15"/>
        <v>2</v>
      </c>
    </row>
    <row r="200" spans="1:33" hidden="1" x14ac:dyDescent="0.25">
      <c r="A200" s="12" t="s">
        <v>31</v>
      </c>
      <c r="B200" s="9">
        <v>46176</v>
      </c>
      <c r="C200" s="10" t="s">
        <v>366</v>
      </c>
      <c r="D200" s="10" t="s">
        <v>56</v>
      </c>
      <c r="E200" s="10" t="s">
        <v>51</v>
      </c>
      <c r="F200" s="10" t="s">
        <v>35</v>
      </c>
      <c r="G200" s="10" t="s">
        <v>3145</v>
      </c>
      <c r="H200" s="8" t="s">
        <v>41</v>
      </c>
      <c r="I200" s="11">
        <v>12.39</v>
      </c>
      <c r="J200" s="6">
        <v>9.2925000000000004</v>
      </c>
      <c r="K200" s="6">
        <v>0.75</v>
      </c>
      <c r="L200" s="6">
        <v>12.39</v>
      </c>
      <c r="M200" s="11">
        <v>9.2925000000000004</v>
      </c>
      <c r="N200" s="11">
        <f t="shared" si="12"/>
        <v>9.2929999999999993</v>
      </c>
      <c r="O200" s="6">
        <v>0.75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23" t="s">
        <v>3143</v>
      </c>
      <c r="AE200" s="23">
        <f t="shared" si="13"/>
        <v>9.2850000000000001</v>
      </c>
      <c r="AF200" s="24">
        <f t="shared" si="14"/>
        <v>7.9999999999991189E-3</v>
      </c>
      <c r="AG200" s="23">
        <f t="shared" si="15"/>
        <v>2</v>
      </c>
    </row>
    <row r="201" spans="1:33" ht="20" hidden="1" customHeight="1" x14ac:dyDescent="0.25">
      <c r="A201" s="12" t="s">
        <v>31</v>
      </c>
      <c r="B201" s="9">
        <v>46176</v>
      </c>
      <c r="C201" s="10" t="s">
        <v>367</v>
      </c>
      <c r="D201" s="10" t="s">
        <v>368</v>
      </c>
      <c r="E201" s="10" t="s">
        <v>51</v>
      </c>
      <c r="F201" s="10" t="s">
        <v>35</v>
      </c>
      <c r="G201" s="10" t="s">
        <v>3145</v>
      </c>
      <c r="H201" s="8" t="s">
        <v>48</v>
      </c>
      <c r="I201" s="11">
        <v>195.5</v>
      </c>
      <c r="J201" s="6">
        <v>146.625</v>
      </c>
      <c r="K201" s="6">
        <v>0.75</v>
      </c>
      <c r="L201" s="6">
        <v>182.93</v>
      </c>
      <c r="M201" s="11">
        <v>137.19749999999999</v>
      </c>
      <c r="N201" s="11">
        <f t="shared" si="12"/>
        <v>137.19800000000001</v>
      </c>
      <c r="O201" s="6">
        <v>0.74999999999999989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12.57</v>
      </c>
      <c r="Z201" s="6">
        <v>9.4275000000000002</v>
      </c>
      <c r="AA201" s="6">
        <v>0.75</v>
      </c>
      <c r="AB201" s="6">
        <v>-12.569999999999993</v>
      </c>
      <c r="AC201" s="6">
        <v>12.569999999999993</v>
      </c>
      <c r="AD201" s="22" t="s">
        <v>3140</v>
      </c>
      <c r="AE201" s="23">
        <f t="shared" si="13"/>
        <v>137.19800000000001</v>
      </c>
      <c r="AF201" s="24">
        <f t="shared" si="14"/>
        <v>0</v>
      </c>
      <c r="AG201" s="23">
        <f t="shared" si="15"/>
        <v>1</v>
      </c>
    </row>
    <row r="202" spans="1:33" ht="20" hidden="1" customHeight="1" x14ac:dyDescent="0.25">
      <c r="A202" s="12" t="s">
        <v>31</v>
      </c>
      <c r="B202" s="9">
        <v>46176</v>
      </c>
      <c r="C202" s="10" t="s">
        <v>369</v>
      </c>
      <c r="D202" s="10" t="s">
        <v>370</v>
      </c>
      <c r="E202" s="10" t="s">
        <v>51</v>
      </c>
      <c r="F202" s="10" t="s">
        <v>35</v>
      </c>
      <c r="G202" s="10" t="s">
        <v>3145</v>
      </c>
      <c r="H202" s="8" t="s">
        <v>48</v>
      </c>
      <c r="I202" s="11">
        <v>167.95</v>
      </c>
      <c r="J202" s="6">
        <v>125.96250000000001</v>
      </c>
      <c r="K202" s="6">
        <v>0.75000000000000011</v>
      </c>
      <c r="L202" s="6">
        <v>156.79</v>
      </c>
      <c r="M202" s="11">
        <v>117.5925</v>
      </c>
      <c r="N202" s="11">
        <f t="shared" si="12"/>
        <v>117.593</v>
      </c>
      <c r="O202" s="6">
        <v>0.75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11.16</v>
      </c>
      <c r="Z202" s="6">
        <v>8.3699999999999992</v>
      </c>
      <c r="AA202" s="6">
        <v>0.74999999999999989</v>
      </c>
      <c r="AB202" s="6">
        <v>-11.159999999999997</v>
      </c>
      <c r="AC202" s="6">
        <v>11.159999999999997</v>
      </c>
      <c r="AD202" s="22" t="s">
        <v>3140</v>
      </c>
      <c r="AE202" s="23">
        <f t="shared" si="13"/>
        <v>117.593</v>
      </c>
      <c r="AF202" s="24">
        <f t="shared" si="14"/>
        <v>0</v>
      </c>
      <c r="AG202" s="23">
        <f t="shared" si="15"/>
        <v>1</v>
      </c>
    </row>
    <row r="203" spans="1:33" hidden="1" x14ac:dyDescent="0.25">
      <c r="A203" s="12" t="s">
        <v>31</v>
      </c>
      <c r="B203" s="9">
        <v>46176</v>
      </c>
      <c r="C203" s="10" t="s">
        <v>371</v>
      </c>
      <c r="D203" s="10" t="s">
        <v>372</v>
      </c>
      <c r="E203" s="10" t="s">
        <v>51</v>
      </c>
      <c r="F203" s="10" t="s">
        <v>35</v>
      </c>
      <c r="G203" s="10" t="s">
        <v>3145</v>
      </c>
      <c r="H203" s="8" t="s">
        <v>41</v>
      </c>
      <c r="I203" s="11">
        <v>11.12</v>
      </c>
      <c r="J203" s="6">
        <v>8.34</v>
      </c>
      <c r="K203" s="6">
        <v>0.75</v>
      </c>
      <c r="L203" s="6">
        <v>10.33</v>
      </c>
      <c r="M203" s="11">
        <v>7.7474999999999996</v>
      </c>
      <c r="N203" s="11">
        <f t="shared" si="12"/>
        <v>7.7480000000000002</v>
      </c>
      <c r="O203" s="6">
        <v>0.75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0.79</v>
      </c>
      <c r="Z203" s="6">
        <v>0.59250000000000003</v>
      </c>
      <c r="AA203" s="6">
        <v>0.75</v>
      </c>
      <c r="AB203" s="6">
        <v>-0.78999999999999915</v>
      </c>
      <c r="AC203" s="6">
        <v>0.78999999999999915</v>
      </c>
      <c r="AD203" s="22" t="s">
        <v>3140</v>
      </c>
      <c r="AE203" s="23">
        <f t="shared" si="13"/>
        <v>7.7480000000000002</v>
      </c>
      <c r="AF203" s="24">
        <f t="shared" si="14"/>
        <v>0</v>
      </c>
      <c r="AG203" s="23">
        <f t="shared" si="15"/>
        <v>1</v>
      </c>
    </row>
    <row r="204" spans="1:33" ht="20" hidden="1" customHeight="1" x14ac:dyDescent="0.25">
      <c r="A204" s="12" t="s">
        <v>31</v>
      </c>
      <c r="B204" s="9">
        <v>46176</v>
      </c>
      <c r="C204" s="10" t="s">
        <v>373</v>
      </c>
      <c r="D204" s="10" t="s">
        <v>374</v>
      </c>
      <c r="E204" s="10" t="s">
        <v>51</v>
      </c>
      <c r="F204" s="10" t="s">
        <v>35</v>
      </c>
      <c r="G204" s="10" t="s">
        <v>3145</v>
      </c>
      <c r="H204" s="8" t="s">
        <v>48</v>
      </c>
      <c r="I204" s="11">
        <v>7.26</v>
      </c>
      <c r="J204" s="6">
        <v>5.4450000000000003</v>
      </c>
      <c r="K204" s="6">
        <v>0.75000000000000011</v>
      </c>
      <c r="L204" s="6">
        <v>6.43</v>
      </c>
      <c r="M204" s="11">
        <v>4.8224999999999998</v>
      </c>
      <c r="N204" s="11">
        <f t="shared" si="12"/>
        <v>4.8230000000000004</v>
      </c>
      <c r="O204" s="6">
        <v>0.75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0.83</v>
      </c>
      <c r="Z204" s="6">
        <v>0.62250000000000005</v>
      </c>
      <c r="AA204" s="6">
        <v>0.75000000000000011</v>
      </c>
      <c r="AB204" s="6">
        <v>-0.83</v>
      </c>
      <c r="AC204" s="6">
        <v>0.83</v>
      </c>
      <c r="AD204" s="22" t="s">
        <v>3140</v>
      </c>
      <c r="AE204" s="23">
        <f t="shared" si="13"/>
        <v>4.8230000000000004</v>
      </c>
      <c r="AF204" s="24">
        <f t="shared" si="14"/>
        <v>0</v>
      </c>
      <c r="AG204" s="23">
        <f t="shared" si="15"/>
        <v>1</v>
      </c>
    </row>
    <row r="205" spans="1:33" hidden="1" x14ac:dyDescent="0.25">
      <c r="A205" s="12" t="s">
        <v>31</v>
      </c>
      <c r="B205" s="9">
        <v>46176</v>
      </c>
      <c r="C205" s="10" t="s">
        <v>375</v>
      </c>
      <c r="D205" s="10" t="s">
        <v>376</v>
      </c>
      <c r="E205" s="10" t="s">
        <v>51</v>
      </c>
      <c r="F205" s="10" t="s">
        <v>35</v>
      </c>
      <c r="G205" s="10" t="s">
        <v>3145</v>
      </c>
      <c r="H205" s="8" t="s">
        <v>41</v>
      </c>
      <c r="I205" s="11">
        <v>7.86</v>
      </c>
      <c r="J205" s="6">
        <v>5.8949999999999996</v>
      </c>
      <c r="K205" s="6">
        <v>0.74999999999999989</v>
      </c>
      <c r="L205" s="6">
        <v>7.67</v>
      </c>
      <c r="M205" s="11">
        <v>5.7525000000000004</v>
      </c>
      <c r="N205" s="11">
        <f t="shared" si="12"/>
        <v>5.7530000000000001</v>
      </c>
      <c r="O205" s="6">
        <v>0.75000000000000011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0.19</v>
      </c>
      <c r="Z205" s="6">
        <v>0.14249999999999999</v>
      </c>
      <c r="AA205" s="6">
        <v>0.74999999999999989</v>
      </c>
      <c r="AB205" s="6">
        <v>-0.19000000000000039</v>
      </c>
      <c r="AC205" s="6">
        <v>0.19000000000000039</v>
      </c>
      <c r="AD205" s="22" t="s">
        <v>3140</v>
      </c>
      <c r="AE205" s="23">
        <f t="shared" si="13"/>
        <v>5.7530000000000001</v>
      </c>
      <c r="AF205" s="24">
        <f t="shared" si="14"/>
        <v>0</v>
      </c>
      <c r="AG205" s="23">
        <f t="shared" si="15"/>
        <v>1</v>
      </c>
    </row>
    <row r="206" spans="1:33" x14ac:dyDescent="0.25">
      <c r="A206" s="12" t="s">
        <v>31</v>
      </c>
      <c r="B206" s="9">
        <v>46176</v>
      </c>
      <c r="C206" s="10" t="s">
        <v>377</v>
      </c>
      <c r="D206" s="10" t="s">
        <v>378</v>
      </c>
      <c r="E206" s="10" t="s">
        <v>51</v>
      </c>
      <c r="F206" s="10" t="s">
        <v>35</v>
      </c>
      <c r="G206" s="10" t="s">
        <v>3146</v>
      </c>
      <c r="H206" s="8" t="s">
        <v>36</v>
      </c>
      <c r="I206" s="11">
        <v>23.34</v>
      </c>
      <c r="J206" s="6">
        <v>21.40278</v>
      </c>
      <c r="K206" s="6">
        <v>0.91700000000000004</v>
      </c>
      <c r="L206" s="6">
        <v>21.99</v>
      </c>
      <c r="M206" s="11">
        <v>20.164829999999998</v>
      </c>
      <c r="N206" s="11">
        <f t="shared" si="12"/>
        <v>20.165000000000003</v>
      </c>
      <c r="O206" s="6">
        <v>0.91700000000000004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1.35</v>
      </c>
      <c r="Z206" s="6">
        <v>1.2379500000000001</v>
      </c>
      <c r="AA206" s="6">
        <v>0.91700000000000004</v>
      </c>
      <c r="AB206" s="6">
        <v>-1.3500000000000014</v>
      </c>
      <c r="AC206" s="6">
        <v>1.3500000000000014</v>
      </c>
      <c r="AD206" s="22" t="s">
        <v>3140</v>
      </c>
      <c r="AE206" s="23">
        <f t="shared" si="13"/>
        <v>20.165000000000003</v>
      </c>
      <c r="AF206" s="24">
        <f t="shared" si="14"/>
        <v>0</v>
      </c>
      <c r="AG206" s="23">
        <f t="shared" si="15"/>
        <v>1</v>
      </c>
    </row>
    <row r="207" spans="1:33" ht="20" hidden="1" customHeight="1" x14ac:dyDescent="0.25">
      <c r="A207" s="12" t="s">
        <v>31</v>
      </c>
      <c r="B207" s="9">
        <v>46176</v>
      </c>
      <c r="C207" s="10" t="s">
        <v>379</v>
      </c>
      <c r="D207" s="10" t="s">
        <v>380</v>
      </c>
      <c r="E207" s="10" t="s">
        <v>51</v>
      </c>
      <c r="F207" s="10" t="s">
        <v>35</v>
      </c>
      <c r="G207" s="10" t="s">
        <v>3145</v>
      </c>
      <c r="H207" s="8" t="s">
        <v>48</v>
      </c>
      <c r="I207" s="11">
        <v>46.27</v>
      </c>
      <c r="J207" s="6">
        <v>34.702500000000001</v>
      </c>
      <c r="K207" s="6">
        <v>0.75</v>
      </c>
      <c r="L207" s="6">
        <v>42.8</v>
      </c>
      <c r="M207" s="11">
        <v>32.1</v>
      </c>
      <c r="N207" s="11">
        <f t="shared" si="12"/>
        <v>32.1</v>
      </c>
      <c r="O207" s="6">
        <v>0.75000000000000011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3.47</v>
      </c>
      <c r="Z207" s="6">
        <v>2.6025</v>
      </c>
      <c r="AA207" s="6">
        <v>0.75</v>
      </c>
      <c r="AB207" s="6">
        <v>-3.470000000000006</v>
      </c>
      <c r="AC207" s="6">
        <v>3.470000000000006</v>
      </c>
      <c r="AD207" s="22" t="s">
        <v>3140</v>
      </c>
      <c r="AE207" s="23">
        <f t="shared" si="13"/>
        <v>32.1</v>
      </c>
      <c r="AF207" s="24">
        <f t="shared" si="14"/>
        <v>0</v>
      </c>
      <c r="AG207" s="23">
        <f t="shared" si="15"/>
        <v>1</v>
      </c>
    </row>
    <row r="208" spans="1:33" ht="12.5" customHeight="1" x14ac:dyDescent="0.25">
      <c r="A208" s="12" t="s">
        <v>31</v>
      </c>
      <c r="B208" s="9">
        <v>46176</v>
      </c>
      <c r="C208" s="8" t="s">
        <v>381</v>
      </c>
      <c r="D208" s="10" t="s">
        <v>382</v>
      </c>
      <c r="E208" s="10" t="s">
        <v>51</v>
      </c>
      <c r="F208" s="10" t="s">
        <v>35</v>
      </c>
      <c r="G208" s="10" t="s">
        <v>3146</v>
      </c>
      <c r="H208" s="8" t="s">
        <v>36</v>
      </c>
      <c r="I208" s="11">
        <v>40.49</v>
      </c>
      <c r="J208" s="6">
        <v>37.129330000000003</v>
      </c>
      <c r="K208" s="6">
        <v>0.91700000000000004</v>
      </c>
      <c r="L208" s="6">
        <v>39.97</v>
      </c>
      <c r="M208" s="11">
        <v>36.65249</v>
      </c>
      <c r="N208" s="11">
        <f t="shared" si="12"/>
        <v>36.652999999999999</v>
      </c>
      <c r="O208" s="6">
        <v>0.91700000000000004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0.52</v>
      </c>
      <c r="Z208" s="6">
        <v>0.47683999999999999</v>
      </c>
      <c r="AA208" s="6">
        <v>0.91699999999999993</v>
      </c>
      <c r="AB208" s="6">
        <v>-0.52000000000000313</v>
      </c>
      <c r="AC208" s="6">
        <v>0.52000000000000313</v>
      </c>
      <c r="AD208" s="22" t="s">
        <v>3140</v>
      </c>
      <c r="AE208" s="23">
        <f t="shared" si="13"/>
        <v>36.652999999999999</v>
      </c>
      <c r="AF208" s="24">
        <f t="shared" si="14"/>
        <v>0</v>
      </c>
      <c r="AG208" s="23">
        <f t="shared" si="15"/>
        <v>1</v>
      </c>
    </row>
    <row r="209" spans="1:33" ht="12.5" hidden="1" customHeight="1" x14ac:dyDescent="0.25">
      <c r="A209" s="12" t="s">
        <v>31</v>
      </c>
      <c r="B209" s="9">
        <v>46176</v>
      </c>
      <c r="C209" s="13" t="s">
        <v>381</v>
      </c>
      <c r="D209" s="10" t="s">
        <v>272</v>
      </c>
      <c r="E209" s="10" t="s">
        <v>51</v>
      </c>
      <c r="F209" s="10" t="s">
        <v>35</v>
      </c>
      <c r="G209" s="10" t="s">
        <v>3145</v>
      </c>
      <c r="H209" s="8" t="s">
        <v>48</v>
      </c>
      <c r="I209" s="11">
        <v>5.8</v>
      </c>
      <c r="J209" s="6">
        <v>4.3499999999999996</v>
      </c>
      <c r="K209" s="6">
        <v>0.75</v>
      </c>
      <c r="L209" s="6">
        <v>5.68</v>
      </c>
      <c r="M209" s="11">
        <v>4.26</v>
      </c>
      <c r="N209" s="11">
        <f t="shared" si="12"/>
        <v>4.26</v>
      </c>
      <c r="O209" s="6">
        <v>0.75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0.12</v>
      </c>
      <c r="Z209" s="6">
        <v>0.09</v>
      </c>
      <c r="AA209" s="6">
        <v>0.75</v>
      </c>
      <c r="AB209" s="6">
        <v>-0.12000000000000011</v>
      </c>
      <c r="AC209" s="6">
        <v>0.12000000000000011</v>
      </c>
      <c r="AD209" s="22" t="s">
        <v>3140</v>
      </c>
      <c r="AE209" s="23">
        <f t="shared" si="13"/>
        <v>4.26</v>
      </c>
      <c r="AF209" s="24">
        <f t="shared" si="14"/>
        <v>0</v>
      </c>
      <c r="AG209" s="23">
        <f t="shared" si="15"/>
        <v>2</v>
      </c>
    </row>
    <row r="210" spans="1:33" x14ac:dyDescent="0.25">
      <c r="A210" s="12" t="s">
        <v>31</v>
      </c>
      <c r="B210" s="9">
        <v>46176</v>
      </c>
      <c r="C210" s="10" t="s">
        <v>383</v>
      </c>
      <c r="D210" s="10" t="s">
        <v>384</v>
      </c>
      <c r="E210" s="10" t="s">
        <v>51</v>
      </c>
      <c r="F210" s="10" t="s">
        <v>35</v>
      </c>
      <c r="G210" s="10" t="s">
        <v>3146</v>
      </c>
      <c r="H210" s="8" t="s">
        <v>36</v>
      </c>
      <c r="I210" s="11">
        <v>9.4309999999999992</v>
      </c>
      <c r="J210" s="6">
        <v>8.6482270000000003</v>
      </c>
      <c r="K210" s="6">
        <v>0.91700000000000015</v>
      </c>
      <c r="L210" s="6">
        <v>8.9209999999999994</v>
      </c>
      <c r="M210" s="11">
        <v>8.1805570000000003</v>
      </c>
      <c r="N210" s="11">
        <f t="shared" si="12"/>
        <v>8.1809999999999992</v>
      </c>
      <c r="O210" s="6">
        <v>0.91700000000000015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0.51</v>
      </c>
      <c r="Z210" s="6">
        <v>0.46766999999999997</v>
      </c>
      <c r="AA210" s="6">
        <v>0.91699999999999993</v>
      </c>
      <c r="AB210" s="6">
        <v>-0.50999999999999979</v>
      </c>
      <c r="AC210" s="6">
        <v>0.50999999999999979</v>
      </c>
      <c r="AD210" s="22" t="s">
        <v>3140</v>
      </c>
      <c r="AE210" s="23">
        <f t="shared" si="13"/>
        <v>8.1809999999999992</v>
      </c>
      <c r="AF210" s="24">
        <f t="shared" si="14"/>
        <v>0</v>
      </c>
      <c r="AG210" s="23">
        <f t="shared" si="15"/>
        <v>1</v>
      </c>
    </row>
    <row r="211" spans="1:33" ht="12.5" customHeight="1" x14ac:dyDescent="0.25">
      <c r="A211" s="12" t="s">
        <v>31</v>
      </c>
      <c r="B211" s="9">
        <v>46176</v>
      </c>
      <c r="C211" s="8" t="s">
        <v>385</v>
      </c>
      <c r="D211" s="10" t="s">
        <v>386</v>
      </c>
      <c r="E211" s="10" t="s">
        <v>51</v>
      </c>
      <c r="F211" s="10" t="s">
        <v>35</v>
      </c>
      <c r="G211" s="10" t="s">
        <v>3146</v>
      </c>
      <c r="H211" s="8" t="s">
        <v>36</v>
      </c>
      <c r="I211" s="11">
        <v>33.18</v>
      </c>
      <c r="J211" s="6">
        <v>30.42606</v>
      </c>
      <c r="K211" s="6">
        <v>0.91700000000000004</v>
      </c>
      <c r="L211" s="6">
        <v>31.32</v>
      </c>
      <c r="M211" s="11">
        <v>28.72044</v>
      </c>
      <c r="N211" s="11">
        <f t="shared" si="12"/>
        <v>28.721</v>
      </c>
      <c r="O211" s="6">
        <v>0.91700000000000004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1.86</v>
      </c>
      <c r="Z211" s="6">
        <v>1.7056199999999999</v>
      </c>
      <c r="AA211" s="6">
        <v>0.91699999999999993</v>
      </c>
      <c r="AB211" s="6">
        <v>-1.8599999999999994</v>
      </c>
      <c r="AC211" s="6">
        <v>1.8599999999999994</v>
      </c>
      <c r="AD211" s="22" t="s">
        <v>3140</v>
      </c>
      <c r="AE211" s="23">
        <f t="shared" si="13"/>
        <v>28.721</v>
      </c>
      <c r="AF211" s="24">
        <f t="shared" si="14"/>
        <v>0</v>
      </c>
      <c r="AG211" s="23">
        <f t="shared" si="15"/>
        <v>1</v>
      </c>
    </row>
    <row r="212" spans="1:33" ht="12.5" hidden="1" customHeight="1" x14ac:dyDescent="0.25">
      <c r="A212" s="12" t="s">
        <v>31</v>
      </c>
      <c r="B212" s="9">
        <v>46176</v>
      </c>
      <c r="C212" s="12" t="s">
        <v>385</v>
      </c>
      <c r="D212" s="10" t="s">
        <v>387</v>
      </c>
      <c r="E212" s="10" t="s">
        <v>51</v>
      </c>
      <c r="F212" s="10" t="s">
        <v>35</v>
      </c>
      <c r="G212" s="10" t="s">
        <v>3145</v>
      </c>
      <c r="H212" s="8" t="s">
        <v>48</v>
      </c>
      <c r="I212" s="11">
        <v>17.3</v>
      </c>
      <c r="J212" s="6">
        <v>12.975</v>
      </c>
      <c r="K212" s="6">
        <v>0.75</v>
      </c>
      <c r="L212" s="6">
        <v>15.7</v>
      </c>
      <c r="M212" s="11">
        <v>11.775</v>
      </c>
      <c r="N212" s="11">
        <f t="shared" si="12"/>
        <v>11.775</v>
      </c>
      <c r="O212" s="6">
        <v>0.75000000000000011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1.6</v>
      </c>
      <c r="Z212" s="6">
        <v>1.2</v>
      </c>
      <c r="AA212" s="6">
        <v>0.74999999999999989</v>
      </c>
      <c r="AB212" s="6">
        <v>-1.6000000000000014</v>
      </c>
      <c r="AC212" s="6">
        <v>1.6000000000000014</v>
      </c>
      <c r="AD212" s="22" t="s">
        <v>3140</v>
      </c>
      <c r="AE212" s="23">
        <f t="shared" si="13"/>
        <v>11.775</v>
      </c>
      <c r="AF212" s="24">
        <f t="shared" si="14"/>
        <v>0</v>
      </c>
      <c r="AG212" s="23">
        <f t="shared" si="15"/>
        <v>1</v>
      </c>
    </row>
    <row r="213" spans="1:33" ht="12.5" hidden="1" customHeight="1" x14ac:dyDescent="0.25">
      <c r="A213" s="12" t="s">
        <v>31</v>
      </c>
      <c r="B213" s="9">
        <v>46176</v>
      </c>
      <c r="C213" s="13" t="s">
        <v>385</v>
      </c>
      <c r="D213" s="10" t="s">
        <v>388</v>
      </c>
      <c r="E213" s="10" t="s">
        <v>51</v>
      </c>
      <c r="F213" s="10" t="s">
        <v>35</v>
      </c>
      <c r="G213" s="10" t="s">
        <v>3145</v>
      </c>
      <c r="H213" s="8" t="s">
        <v>48</v>
      </c>
      <c r="I213" s="11">
        <v>17.2</v>
      </c>
      <c r="J213" s="6">
        <v>12.9</v>
      </c>
      <c r="K213" s="6">
        <v>0.75</v>
      </c>
      <c r="L213" s="6">
        <v>16.64</v>
      </c>
      <c r="M213" s="11">
        <v>12.48</v>
      </c>
      <c r="N213" s="11">
        <f t="shared" si="12"/>
        <v>12.48</v>
      </c>
      <c r="O213" s="6">
        <v>0.75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0.56000000000000005</v>
      </c>
      <c r="Z213" s="6">
        <v>0.42</v>
      </c>
      <c r="AA213" s="6">
        <v>0.74999999999999989</v>
      </c>
      <c r="AB213" s="6">
        <v>-0.55999999999999872</v>
      </c>
      <c r="AC213" s="6">
        <v>0.55999999999999872</v>
      </c>
      <c r="AD213" s="22" t="s">
        <v>3140</v>
      </c>
      <c r="AE213" s="23">
        <f t="shared" si="13"/>
        <v>12.48</v>
      </c>
      <c r="AF213" s="24">
        <f t="shared" si="14"/>
        <v>0</v>
      </c>
      <c r="AG213" s="23">
        <f t="shared" si="15"/>
        <v>1</v>
      </c>
    </row>
    <row r="214" spans="1:33" hidden="1" x14ac:dyDescent="0.25">
      <c r="A214" s="12" t="s">
        <v>31</v>
      </c>
      <c r="B214" s="9">
        <v>46176</v>
      </c>
      <c r="C214" s="10" t="s">
        <v>389</v>
      </c>
      <c r="D214" s="10" t="s">
        <v>390</v>
      </c>
      <c r="E214" s="10" t="s">
        <v>51</v>
      </c>
      <c r="F214" s="10" t="s">
        <v>35</v>
      </c>
      <c r="G214" s="10" t="s">
        <v>3145</v>
      </c>
      <c r="H214" s="8" t="s">
        <v>41</v>
      </c>
      <c r="I214" s="11">
        <v>8.2100000000000009</v>
      </c>
      <c r="J214" s="6">
        <v>6.1574999999999998</v>
      </c>
      <c r="K214" s="6">
        <v>0.74999999999999989</v>
      </c>
      <c r="L214" s="6">
        <v>7.72</v>
      </c>
      <c r="M214" s="11">
        <v>5.79</v>
      </c>
      <c r="N214" s="11">
        <f t="shared" si="12"/>
        <v>5.79</v>
      </c>
      <c r="O214" s="6">
        <v>0.75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0.49</v>
      </c>
      <c r="Z214" s="6">
        <v>0.36749999999999999</v>
      </c>
      <c r="AA214" s="6">
        <v>0.75</v>
      </c>
      <c r="AB214" s="6">
        <v>-0.4900000000000011</v>
      </c>
      <c r="AC214" s="6">
        <v>0.4900000000000011</v>
      </c>
      <c r="AD214" s="22" t="s">
        <v>3140</v>
      </c>
      <c r="AE214" s="23">
        <f t="shared" si="13"/>
        <v>5.79</v>
      </c>
      <c r="AF214" s="24">
        <f t="shared" si="14"/>
        <v>0</v>
      </c>
      <c r="AG214" s="23">
        <f t="shared" si="15"/>
        <v>1</v>
      </c>
    </row>
    <row r="215" spans="1:33" x14ac:dyDescent="0.25">
      <c r="A215" s="12" t="s">
        <v>31</v>
      </c>
      <c r="B215" s="9">
        <v>46176</v>
      </c>
      <c r="C215" s="10" t="s">
        <v>391</v>
      </c>
      <c r="D215" s="10" t="s">
        <v>392</v>
      </c>
      <c r="E215" s="10" t="s">
        <v>51</v>
      </c>
      <c r="F215" s="10" t="s">
        <v>35</v>
      </c>
      <c r="G215" s="10" t="s">
        <v>3146</v>
      </c>
      <c r="H215" s="8" t="s">
        <v>36</v>
      </c>
      <c r="I215" s="11">
        <v>2.85</v>
      </c>
      <c r="J215" s="6">
        <v>2.6134499999999998</v>
      </c>
      <c r="K215" s="6">
        <v>0.91699999999999993</v>
      </c>
      <c r="L215" s="6">
        <v>2.85</v>
      </c>
      <c r="M215" s="11">
        <v>2.6134499999999998</v>
      </c>
      <c r="N215" s="11">
        <f t="shared" si="12"/>
        <v>2.6139999999999999</v>
      </c>
      <c r="O215" s="6">
        <v>0.91699999999999993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22" t="s">
        <v>3140</v>
      </c>
      <c r="AE215" s="23">
        <f t="shared" si="13"/>
        <v>2.6139999999999999</v>
      </c>
      <c r="AF215" s="24">
        <f t="shared" si="14"/>
        <v>0</v>
      </c>
      <c r="AG215" s="23">
        <f t="shared" si="15"/>
        <v>2</v>
      </c>
    </row>
    <row r="216" spans="1:33" x14ac:dyDescent="0.25">
      <c r="A216" s="12" t="s">
        <v>31</v>
      </c>
      <c r="B216" s="9">
        <v>46176</v>
      </c>
      <c r="C216" s="10" t="s">
        <v>393</v>
      </c>
      <c r="D216" s="10" t="s">
        <v>392</v>
      </c>
      <c r="E216" s="10" t="s">
        <v>51</v>
      </c>
      <c r="F216" s="10" t="s">
        <v>133</v>
      </c>
      <c r="G216" s="10" t="s">
        <v>3146</v>
      </c>
      <c r="H216" s="8" t="s">
        <v>36</v>
      </c>
      <c r="I216" s="11">
        <v>3.12</v>
      </c>
      <c r="J216" s="6">
        <v>2.86104</v>
      </c>
      <c r="K216" s="6">
        <v>0.91699999999999993</v>
      </c>
      <c r="L216" s="6">
        <v>3.12</v>
      </c>
      <c r="M216" s="11">
        <v>2.86104</v>
      </c>
      <c r="N216" s="11">
        <f t="shared" si="12"/>
        <v>2.8620000000000001</v>
      </c>
      <c r="O216" s="6">
        <v>0.91699999999999993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23" t="s">
        <v>3142</v>
      </c>
      <c r="AE216" s="23">
        <f t="shared" si="13"/>
        <v>2.6139999999999999</v>
      </c>
      <c r="AF216" s="24">
        <f t="shared" si="14"/>
        <v>0.24800000000000022</v>
      </c>
      <c r="AG216" s="23">
        <f t="shared" si="15"/>
        <v>2</v>
      </c>
    </row>
    <row r="217" spans="1:33" x14ac:dyDescent="0.25">
      <c r="A217" s="12" t="s">
        <v>31</v>
      </c>
      <c r="B217" s="9">
        <v>46176</v>
      </c>
      <c r="C217" s="10" t="s">
        <v>394</v>
      </c>
      <c r="D217" s="10" t="s">
        <v>395</v>
      </c>
      <c r="E217" s="10" t="s">
        <v>51</v>
      </c>
      <c r="F217" s="10" t="s">
        <v>35</v>
      </c>
      <c r="G217" s="10" t="s">
        <v>3146</v>
      </c>
      <c r="H217" s="8" t="s">
        <v>36</v>
      </c>
      <c r="I217" s="11">
        <v>47.71</v>
      </c>
      <c r="J217" s="6">
        <v>43.750070000000001</v>
      </c>
      <c r="K217" s="6">
        <v>0.91700000000000004</v>
      </c>
      <c r="L217" s="6">
        <v>47</v>
      </c>
      <c r="M217" s="11">
        <v>43.098999999999997</v>
      </c>
      <c r="N217" s="11">
        <f t="shared" si="12"/>
        <v>43.098999999999997</v>
      </c>
      <c r="O217" s="6">
        <v>0.91699999999999993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0.71</v>
      </c>
      <c r="Z217" s="6">
        <v>0.65107000000000004</v>
      </c>
      <c r="AA217" s="6">
        <v>0.91700000000000015</v>
      </c>
      <c r="AB217" s="6">
        <v>-0.71000000000000085</v>
      </c>
      <c r="AC217" s="6">
        <v>0.71000000000000085</v>
      </c>
      <c r="AD217" s="22" t="s">
        <v>3140</v>
      </c>
      <c r="AE217" s="23">
        <f t="shared" si="13"/>
        <v>43.098999999999997</v>
      </c>
      <c r="AF217" s="24">
        <f t="shared" si="14"/>
        <v>0</v>
      </c>
      <c r="AG217" s="23">
        <f t="shared" si="15"/>
        <v>1</v>
      </c>
    </row>
    <row r="218" spans="1:33" ht="12.5" customHeight="1" x14ac:dyDescent="0.25">
      <c r="A218" s="12" t="s">
        <v>31</v>
      </c>
      <c r="B218" s="9">
        <v>46176</v>
      </c>
      <c r="C218" s="8" t="s">
        <v>396</v>
      </c>
      <c r="D218" s="10" t="s">
        <v>397</v>
      </c>
      <c r="E218" s="10" t="s">
        <v>51</v>
      </c>
      <c r="F218" s="10" t="s">
        <v>35</v>
      </c>
      <c r="G218" s="10" t="s">
        <v>3146</v>
      </c>
      <c r="H218" s="8" t="s">
        <v>36</v>
      </c>
      <c r="I218" s="11">
        <v>51.19</v>
      </c>
      <c r="J218" s="6">
        <v>46.941229999999997</v>
      </c>
      <c r="K218" s="6">
        <v>0.91700000000000004</v>
      </c>
      <c r="L218" s="6">
        <v>50.41</v>
      </c>
      <c r="M218" s="11">
        <v>46.225969999999997</v>
      </c>
      <c r="N218" s="11">
        <f t="shared" si="12"/>
        <v>46.225999999999999</v>
      </c>
      <c r="O218" s="6">
        <v>0.91700000000000004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0.78</v>
      </c>
      <c r="Z218" s="6">
        <v>0.71526000000000001</v>
      </c>
      <c r="AA218" s="6">
        <v>0.91699999999999993</v>
      </c>
      <c r="AB218" s="6">
        <v>-0.78000000000000114</v>
      </c>
      <c r="AC218" s="6">
        <v>0.78000000000000114</v>
      </c>
      <c r="AD218" s="22" t="s">
        <v>3140</v>
      </c>
      <c r="AE218" s="23">
        <f t="shared" si="13"/>
        <v>46.225999999999999</v>
      </c>
      <c r="AF218" s="24">
        <f t="shared" si="14"/>
        <v>0</v>
      </c>
      <c r="AG218" s="23">
        <f t="shared" si="15"/>
        <v>1</v>
      </c>
    </row>
    <row r="219" spans="1:33" ht="12.5" hidden="1" customHeight="1" x14ac:dyDescent="0.25">
      <c r="A219" s="12" t="s">
        <v>31</v>
      </c>
      <c r="B219" s="9">
        <v>46176</v>
      </c>
      <c r="C219" s="12" t="s">
        <v>396</v>
      </c>
      <c r="D219" s="10" t="s">
        <v>398</v>
      </c>
      <c r="E219" s="10" t="s">
        <v>51</v>
      </c>
      <c r="F219" s="10" t="s">
        <v>35</v>
      </c>
      <c r="G219" s="10" t="s">
        <v>3145</v>
      </c>
      <c r="H219" s="8" t="s">
        <v>41</v>
      </c>
      <c r="I219" s="11">
        <v>4.82</v>
      </c>
      <c r="J219" s="6">
        <v>3.6150000000000002</v>
      </c>
      <c r="K219" s="6">
        <v>0.75</v>
      </c>
      <c r="L219" s="6">
        <v>4.3499999999999996</v>
      </c>
      <c r="M219" s="11">
        <v>3.2625000000000002</v>
      </c>
      <c r="N219" s="11">
        <f t="shared" si="12"/>
        <v>3.2629999999999999</v>
      </c>
      <c r="O219" s="6">
        <v>0.75000000000000011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0.47</v>
      </c>
      <c r="Z219" s="6">
        <v>0.35249999999999998</v>
      </c>
      <c r="AA219" s="6">
        <v>0.75</v>
      </c>
      <c r="AB219" s="6">
        <v>-0.47000000000000064</v>
      </c>
      <c r="AC219" s="6">
        <v>0.47000000000000064</v>
      </c>
      <c r="AD219" s="22" t="s">
        <v>3140</v>
      </c>
      <c r="AE219" s="23">
        <f t="shared" si="13"/>
        <v>3.2629999999999999</v>
      </c>
      <c r="AF219" s="24">
        <f t="shared" si="14"/>
        <v>0</v>
      </c>
      <c r="AG219" s="23">
        <f t="shared" si="15"/>
        <v>1</v>
      </c>
    </row>
    <row r="220" spans="1:33" ht="12.5" customHeight="1" x14ac:dyDescent="0.25">
      <c r="A220" s="12" t="s">
        <v>31</v>
      </c>
      <c r="B220" s="9">
        <v>46176</v>
      </c>
      <c r="C220" s="12" t="s">
        <v>396</v>
      </c>
      <c r="D220" s="10" t="s">
        <v>399</v>
      </c>
      <c r="E220" s="10" t="s">
        <v>51</v>
      </c>
      <c r="F220" s="10" t="s">
        <v>35</v>
      </c>
      <c r="G220" s="10" t="s">
        <v>3146</v>
      </c>
      <c r="H220" s="8" t="s">
        <v>36</v>
      </c>
      <c r="I220" s="11">
        <v>34.369999999999997</v>
      </c>
      <c r="J220" s="6">
        <v>31.517289999999999</v>
      </c>
      <c r="K220" s="6">
        <v>0.91700000000000004</v>
      </c>
      <c r="L220" s="6">
        <v>32.44</v>
      </c>
      <c r="M220" s="11">
        <v>29.747479999999999</v>
      </c>
      <c r="N220" s="11">
        <f t="shared" si="12"/>
        <v>29.748000000000001</v>
      </c>
      <c r="O220" s="6">
        <v>0.91700000000000004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1.93</v>
      </c>
      <c r="Z220" s="6">
        <v>1.7698100000000001</v>
      </c>
      <c r="AA220" s="6">
        <v>0.91700000000000004</v>
      </c>
      <c r="AB220" s="6">
        <v>-1.9299999999999997</v>
      </c>
      <c r="AC220" s="6">
        <v>1.9299999999999997</v>
      </c>
      <c r="AD220" s="22" t="s">
        <v>3140</v>
      </c>
      <c r="AE220" s="23">
        <f t="shared" si="13"/>
        <v>29.748000000000001</v>
      </c>
      <c r="AF220" s="24">
        <f t="shared" si="14"/>
        <v>0</v>
      </c>
      <c r="AG220" s="23">
        <f t="shared" si="15"/>
        <v>1</v>
      </c>
    </row>
    <row r="221" spans="1:33" ht="12.5" customHeight="1" x14ac:dyDescent="0.25">
      <c r="A221" s="12" t="s">
        <v>31</v>
      </c>
      <c r="B221" s="9">
        <v>46176</v>
      </c>
      <c r="C221" s="12" t="s">
        <v>396</v>
      </c>
      <c r="D221" s="10" t="s">
        <v>400</v>
      </c>
      <c r="E221" s="10" t="s">
        <v>51</v>
      </c>
      <c r="F221" s="10" t="s">
        <v>35</v>
      </c>
      <c r="G221" s="10" t="s">
        <v>3146</v>
      </c>
      <c r="H221" s="8" t="s">
        <v>36</v>
      </c>
      <c r="I221" s="11">
        <v>37.03</v>
      </c>
      <c r="J221" s="6">
        <v>33.956510000000002</v>
      </c>
      <c r="K221" s="6">
        <v>0.91700000000000004</v>
      </c>
      <c r="L221" s="6">
        <v>35.299999999999997</v>
      </c>
      <c r="M221" s="11">
        <v>32.370100000000001</v>
      </c>
      <c r="N221" s="11">
        <f t="shared" si="12"/>
        <v>32.370999999999995</v>
      </c>
      <c r="O221" s="6">
        <v>0.91700000000000015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1.73</v>
      </c>
      <c r="Z221" s="6">
        <v>1.5864100000000001</v>
      </c>
      <c r="AA221" s="6">
        <v>0.91700000000000004</v>
      </c>
      <c r="AB221" s="6">
        <v>-1.730000000000004</v>
      </c>
      <c r="AC221" s="6">
        <v>1.730000000000004</v>
      </c>
      <c r="AD221" s="22" t="s">
        <v>3140</v>
      </c>
      <c r="AE221" s="23">
        <f t="shared" si="13"/>
        <v>32.370999999999995</v>
      </c>
      <c r="AF221" s="24">
        <f t="shared" si="14"/>
        <v>0</v>
      </c>
      <c r="AG221" s="23">
        <f t="shared" si="15"/>
        <v>1</v>
      </c>
    </row>
    <row r="222" spans="1:33" ht="12.5" customHeight="1" x14ac:dyDescent="0.25">
      <c r="A222" s="12" t="s">
        <v>31</v>
      </c>
      <c r="B222" s="9">
        <v>46176</v>
      </c>
      <c r="C222" s="12" t="s">
        <v>396</v>
      </c>
      <c r="D222" s="10" t="s">
        <v>401</v>
      </c>
      <c r="E222" s="10" t="s">
        <v>51</v>
      </c>
      <c r="F222" s="10" t="s">
        <v>35</v>
      </c>
      <c r="G222" s="10" t="s">
        <v>3146</v>
      </c>
      <c r="H222" s="8" t="s">
        <v>36</v>
      </c>
      <c r="I222" s="11">
        <v>38.049999999999997</v>
      </c>
      <c r="J222" s="6">
        <v>34.891849999999998</v>
      </c>
      <c r="K222" s="6">
        <v>0.91700000000000004</v>
      </c>
      <c r="L222" s="6">
        <v>33.729999999999997</v>
      </c>
      <c r="M222" s="11">
        <v>30.930409999999998</v>
      </c>
      <c r="N222" s="11">
        <f t="shared" si="12"/>
        <v>30.931000000000001</v>
      </c>
      <c r="O222" s="6">
        <v>0.91700000000000004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4.32</v>
      </c>
      <c r="Z222" s="6">
        <v>3.9614400000000001</v>
      </c>
      <c r="AA222" s="6">
        <v>0.91699999999999993</v>
      </c>
      <c r="AB222" s="6">
        <v>-4.32</v>
      </c>
      <c r="AC222" s="6">
        <v>4.32</v>
      </c>
      <c r="AD222" s="22" t="s">
        <v>3140</v>
      </c>
      <c r="AE222" s="23">
        <f t="shared" si="13"/>
        <v>30.931000000000001</v>
      </c>
      <c r="AF222" s="24">
        <f t="shared" si="14"/>
        <v>0</v>
      </c>
      <c r="AG222" s="23">
        <f t="shared" si="15"/>
        <v>1</v>
      </c>
    </row>
    <row r="223" spans="1:33" ht="12.5" hidden="1" customHeight="1" x14ac:dyDescent="0.25">
      <c r="A223" s="12" t="s">
        <v>31</v>
      </c>
      <c r="B223" s="9">
        <v>46176</v>
      </c>
      <c r="C223" s="13" t="s">
        <v>396</v>
      </c>
      <c r="D223" s="10" t="s">
        <v>402</v>
      </c>
      <c r="E223" s="10" t="s">
        <v>51</v>
      </c>
      <c r="F223" s="10" t="s">
        <v>35</v>
      </c>
      <c r="G223" s="10" t="s">
        <v>3145</v>
      </c>
      <c r="H223" s="8" t="s">
        <v>48</v>
      </c>
      <c r="I223" s="11">
        <v>16.350000000000001</v>
      </c>
      <c r="J223" s="6">
        <v>12.262499999999999</v>
      </c>
      <c r="K223" s="6">
        <v>0.74999999999999989</v>
      </c>
      <c r="L223" s="6">
        <v>16.04</v>
      </c>
      <c r="M223" s="11">
        <v>12.03</v>
      </c>
      <c r="N223" s="11">
        <f t="shared" si="12"/>
        <v>12.03</v>
      </c>
      <c r="O223" s="6">
        <v>0.75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0.31</v>
      </c>
      <c r="Z223" s="6">
        <v>0.23250000000000001</v>
      </c>
      <c r="AA223" s="6">
        <v>0.75</v>
      </c>
      <c r="AB223" s="6">
        <v>-0.31000000000000227</v>
      </c>
      <c r="AC223" s="6">
        <v>0.31000000000000227</v>
      </c>
      <c r="AD223" s="22" t="s">
        <v>3140</v>
      </c>
      <c r="AE223" s="23">
        <f t="shared" si="13"/>
        <v>12.03</v>
      </c>
      <c r="AF223" s="24">
        <f t="shared" si="14"/>
        <v>0</v>
      </c>
      <c r="AG223" s="23">
        <f t="shared" si="15"/>
        <v>1</v>
      </c>
    </row>
    <row r="224" spans="1:33" x14ac:dyDescent="0.25">
      <c r="A224" s="12" t="s">
        <v>31</v>
      </c>
      <c r="B224" s="9">
        <v>46176</v>
      </c>
      <c r="C224" s="10" t="s">
        <v>403</v>
      </c>
      <c r="D224" s="10" t="s">
        <v>404</v>
      </c>
      <c r="E224" s="10" t="s">
        <v>51</v>
      </c>
      <c r="F224" s="10" t="s">
        <v>35</v>
      </c>
      <c r="G224" s="10" t="s">
        <v>3146</v>
      </c>
      <c r="H224" s="8" t="s">
        <v>36</v>
      </c>
      <c r="I224" s="11">
        <v>161.27000000000001</v>
      </c>
      <c r="J224" s="6">
        <v>147.88459</v>
      </c>
      <c r="K224" s="6">
        <v>0.91699999999999993</v>
      </c>
      <c r="L224" s="6">
        <v>156.47</v>
      </c>
      <c r="M224" s="11">
        <v>143.48299</v>
      </c>
      <c r="N224" s="11">
        <f t="shared" si="12"/>
        <v>143.483</v>
      </c>
      <c r="O224" s="6">
        <v>0.91700000000000004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4.8</v>
      </c>
      <c r="Z224" s="6">
        <v>4.4016000000000002</v>
      </c>
      <c r="AA224" s="6">
        <v>0.91700000000000004</v>
      </c>
      <c r="AB224" s="6">
        <v>-4.8000000000000114</v>
      </c>
      <c r="AC224" s="6">
        <v>4.8000000000000114</v>
      </c>
      <c r="AD224" s="22" t="s">
        <v>3140</v>
      </c>
      <c r="AE224" s="23">
        <f t="shared" si="13"/>
        <v>143.483</v>
      </c>
      <c r="AF224" s="24">
        <f t="shared" si="14"/>
        <v>0</v>
      </c>
      <c r="AG224" s="23">
        <f t="shared" si="15"/>
        <v>1</v>
      </c>
    </row>
    <row r="225" spans="1:33" x14ac:dyDescent="0.25">
      <c r="A225" s="12" t="s">
        <v>31</v>
      </c>
      <c r="B225" s="9">
        <v>46176</v>
      </c>
      <c r="C225" s="10" t="s">
        <v>405</v>
      </c>
      <c r="D225" s="10" t="s">
        <v>52</v>
      </c>
      <c r="E225" s="10" t="s">
        <v>51</v>
      </c>
      <c r="F225" s="10" t="s">
        <v>35</v>
      </c>
      <c r="G225" s="10" t="s">
        <v>3146</v>
      </c>
      <c r="H225" s="8" t="s">
        <v>36</v>
      </c>
      <c r="I225" s="11">
        <v>27.44</v>
      </c>
      <c r="J225" s="6">
        <v>25.162479999999999</v>
      </c>
      <c r="K225" s="6">
        <v>0.91699999999999993</v>
      </c>
      <c r="L225" s="6">
        <v>27.32</v>
      </c>
      <c r="M225" s="11">
        <v>25.052440000000001</v>
      </c>
      <c r="N225" s="11">
        <f t="shared" si="12"/>
        <v>25.053000000000001</v>
      </c>
      <c r="O225" s="6">
        <v>0.91700000000000004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0.12</v>
      </c>
      <c r="Z225" s="6">
        <v>0.11004</v>
      </c>
      <c r="AA225" s="6">
        <v>0.91700000000000004</v>
      </c>
      <c r="AB225" s="6">
        <v>-0.12000000000000099</v>
      </c>
      <c r="AC225" s="6">
        <v>0.12000000000000099</v>
      </c>
      <c r="AD225" s="22" t="s">
        <v>3140</v>
      </c>
      <c r="AE225" s="23">
        <f t="shared" si="13"/>
        <v>25.053000000000001</v>
      </c>
      <c r="AF225" s="24">
        <f t="shared" si="14"/>
        <v>0</v>
      </c>
      <c r="AG225" s="23">
        <f t="shared" si="15"/>
        <v>2</v>
      </c>
    </row>
    <row r="226" spans="1:33" ht="12.5" customHeight="1" x14ac:dyDescent="0.25">
      <c r="A226" s="12" t="s">
        <v>31</v>
      </c>
      <c r="B226" s="9">
        <v>46176</v>
      </c>
      <c r="C226" s="8" t="s">
        <v>406</v>
      </c>
      <c r="D226" s="10" t="s">
        <v>407</v>
      </c>
      <c r="E226" s="10" t="s">
        <v>51</v>
      </c>
      <c r="F226" s="10" t="s">
        <v>35</v>
      </c>
      <c r="G226" s="10" t="s">
        <v>3146</v>
      </c>
      <c r="H226" s="8" t="s">
        <v>36</v>
      </c>
      <c r="I226" s="11">
        <v>22.92</v>
      </c>
      <c r="J226" s="6">
        <v>21.01764</v>
      </c>
      <c r="K226" s="6">
        <v>0.91699999999999993</v>
      </c>
      <c r="L226" s="6">
        <v>22.62</v>
      </c>
      <c r="M226" s="11">
        <v>20.742540000000002</v>
      </c>
      <c r="N226" s="11">
        <f t="shared" si="12"/>
        <v>20.743000000000002</v>
      </c>
      <c r="O226" s="6">
        <v>0.91700000000000004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0.3</v>
      </c>
      <c r="Z226" s="6">
        <v>0.27510000000000001</v>
      </c>
      <c r="AA226" s="6">
        <v>0.91700000000000004</v>
      </c>
      <c r="AB226" s="6">
        <v>-0.30000000000000071</v>
      </c>
      <c r="AC226" s="6">
        <v>0.30000000000000071</v>
      </c>
      <c r="AD226" s="22" t="s">
        <v>3140</v>
      </c>
      <c r="AE226" s="23">
        <f t="shared" si="13"/>
        <v>20.743000000000002</v>
      </c>
      <c r="AF226" s="24">
        <f t="shared" si="14"/>
        <v>0</v>
      </c>
      <c r="AG226" s="23">
        <f t="shared" si="15"/>
        <v>1</v>
      </c>
    </row>
    <row r="227" spans="1:33" ht="12.5" customHeight="1" x14ac:dyDescent="0.25">
      <c r="A227" s="12" t="s">
        <v>31</v>
      </c>
      <c r="B227" s="9">
        <v>46176</v>
      </c>
      <c r="C227" s="13" t="s">
        <v>406</v>
      </c>
      <c r="D227" s="10" t="s">
        <v>408</v>
      </c>
      <c r="E227" s="10" t="s">
        <v>51</v>
      </c>
      <c r="F227" s="10" t="s">
        <v>35</v>
      </c>
      <c r="G227" s="10" t="s">
        <v>3146</v>
      </c>
      <c r="H227" s="8" t="s">
        <v>36</v>
      </c>
      <c r="I227" s="11">
        <v>131.25</v>
      </c>
      <c r="J227" s="6">
        <v>120.35625</v>
      </c>
      <c r="K227" s="6">
        <v>0.91700000000000004</v>
      </c>
      <c r="L227" s="6">
        <v>122.77</v>
      </c>
      <c r="M227" s="11">
        <v>112.58009</v>
      </c>
      <c r="N227" s="11">
        <f t="shared" si="12"/>
        <v>112.581</v>
      </c>
      <c r="O227" s="6">
        <v>0.91700000000000004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8.48</v>
      </c>
      <c r="Z227" s="6">
        <v>7.77616</v>
      </c>
      <c r="AA227" s="6">
        <v>0.91699999999999993</v>
      </c>
      <c r="AB227" s="6">
        <v>-8.480000000000004</v>
      </c>
      <c r="AC227" s="6">
        <v>8.480000000000004</v>
      </c>
      <c r="AD227" s="22" t="s">
        <v>3140</v>
      </c>
      <c r="AE227" s="23">
        <f t="shared" si="13"/>
        <v>112.581</v>
      </c>
      <c r="AF227" s="24">
        <f t="shared" si="14"/>
        <v>0</v>
      </c>
      <c r="AG227" s="23">
        <f t="shared" si="15"/>
        <v>1</v>
      </c>
    </row>
    <row r="228" spans="1:33" ht="12.5" hidden="1" customHeight="1" x14ac:dyDescent="0.25">
      <c r="A228" s="12" t="s">
        <v>31</v>
      </c>
      <c r="B228" s="9">
        <v>46176</v>
      </c>
      <c r="C228" s="8" t="s">
        <v>409</v>
      </c>
      <c r="D228" s="10" t="s">
        <v>410</v>
      </c>
      <c r="E228" s="10" t="s">
        <v>51</v>
      </c>
      <c r="F228" s="10" t="s">
        <v>35</v>
      </c>
      <c r="G228" s="10" t="s">
        <v>3145</v>
      </c>
      <c r="H228" s="8" t="s">
        <v>41</v>
      </c>
      <c r="I228" s="11">
        <v>153.72999999999999</v>
      </c>
      <c r="J228" s="6">
        <v>115.2975</v>
      </c>
      <c r="K228" s="6">
        <v>0.75</v>
      </c>
      <c r="L228" s="6">
        <v>135.1</v>
      </c>
      <c r="M228" s="11">
        <v>101.325</v>
      </c>
      <c r="N228" s="11">
        <f t="shared" si="12"/>
        <v>101.325</v>
      </c>
      <c r="O228" s="6">
        <v>0.75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18.63</v>
      </c>
      <c r="Z228" s="6">
        <v>13.9725</v>
      </c>
      <c r="AA228" s="6">
        <v>0.75</v>
      </c>
      <c r="AB228" s="6">
        <v>-18.629999999999995</v>
      </c>
      <c r="AC228" s="6">
        <v>18.629999999999995</v>
      </c>
      <c r="AD228" s="22" t="s">
        <v>3140</v>
      </c>
      <c r="AE228" s="23">
        <f t="shared" si="13"/>
        <v>101.325</v>
      </c>
      <c r="AF228" s="24">
        <f t="shared" si="14"/>
        <v>0</v>
      </c>
      <c r="AG228" s="23">
        <f t="shared" si="15"/>
        <v>1</v>
      </c>
    </row>
    <row r="229" spans="1:33" ht="12.5" hidden="1" customHeight="1" x14ac:dyDescent="0.25">
      <c r="A229" s="12" t="s">
        <v>31</v>
      </c>
      <c r="B229" s="9">
        <v>46176</v>
      </c>
      <c r="C229" s="13" t="s">
        <v>409</v>
      </c>
      <c r="D229" s="10" t="s">
        <v>357</v>
      </c>
      <c r="E229" s="10" t="s">
        <v>51</v>
      </c>
      <c r="F229" s="10" t="s">
        <v>35</v>
      </c>
      <c r="G229" s="10" t="s">
        <v>3145</v>
      </c>
      <c r="H229" s="8" t="s">
        <v>48</v>
      </c>
      <c r="I229" s="11">
        <v>130.56</v>
      </c>
      <c r="J229" s="6">
        <v>97.92</v>
      </c>
      <c r="K229" s="6">
        <v>0.75</v>
      </c>
      <c r="L229" s="6">
        <v>130.56</v>
      </c>
      <c r="M229" s="11">
        <v>97.92</v>
      </c>
      <c r="N229" s="11">
        <f t="shared" si="12"/>
        <v>97.92</v>
      </c>
      <c r="O229" s="6">
        <v>0.75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22" t="s">
        <v>3140</v>
      </c>
      <c r="AE229" s="23">
        <f t="shared" si="13"/>
        <v>97.92</v>
      </c>
      <c r="AF229" s="24">
        <f t="shared" si="14"/>
        <v>0</v>
      </c>
      <c r="AG229" s="23">
        <f t="shared" si="15"/>
        <v>2</v>
      </c>
    </row>
    <row r="230" spans="1:33" ht="12.5" hidden="1" customHeight="1" x14ac:dyDescent="0.25">
      <c r="A230" s="12" t="s">
        <v>31</v>
      </c>
      <c r="B230" s="9">
        <v>46176</v>
      </c>
      <c r="C230" s="8" t="s">
        <v>411</v>
      </c>
      <c r="D230" s="10" t="s">
        <v>412</v>
      </c>
      <c r="E230" s="10" t="s">
        <v>51</v>
      </c>
      <c r="F230" s="10" t="s">
        <v>35</v>
      </c>
      <c r="G230" s="10" t="s">
        <v>3145</v>
      </c>
      <c r="H230" s="8" t="s">
        <v>48</v>
      </c>
      <c r="I230" s="11">
        <v>24.18</v>
      </c>
      <c r="J230" s="6">
        <v>18.135000000000002</v>
      </c>
      <c r="K230" s="6">
        <v>0.75000000000000011</v>
      </c>
      <c r="L230" s="6">
        <v>22.12</v>
      </c>
      <c r="M230" s="11">
        <v>16.59</v>
      </c>
      <c r="N230" s="11">
        <f t="shared" si="12"/>
        <v>16.59</v>
      </c>
      <c r="O230" s="6">
        <v>0.75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2.06</v>
      </c>
      <c r="Z230" s="6">
        <v>1.5449999999999999</v>
      </c>
      <c r="AA230" s="6">
        <v>0.75</v>
      </c>
      <c r="AB230" s="6">
        <v>-2.0599999999999987</v>
      </c>
      <c r="AC230" s="6">
        <v>2.0599999999999987</v>
      </c>
      <c r="AD230" s="22" t="s">
        <v>3140</v>
      </c>
      <c r="AE230" s="23">
        <f t="shared" si="13"/>
        <v>16.59</v>
      </c>
      <c r="AF230" s="24">
        <f t="shared" si="14"/>
        <v>0</v>
      </c>
      <c r="AG230" s="23">
        <f t="shared" si="15"/>
        <v>1</v>
      </c>
    </row>
    <row r="231" spans="1:33" ht="12.5" hidden="1" customHeight="1" x14ac:dyDescent="0.25">
      <c r="A231" s="12" t="s">
        <v>31</v>
      </c>
      <c r="B231" s="9">
        <v>46176</v>
      </c>
      <c r="C231" s="13" t="s">
        <v>411</v>
      </c>
      <c r="D231" s="10" t="s">
        <v>413</v>
      </c>
      <c r="E231" s="10" t="s">
        <v>51</v>
      </c>
      <c r="F231" s="10" t="s">
        <v>35</v>
      </c>
      <c r="G231" s="10" t="s">
        <v>3145</v>
      </c>
      <c r="H231" s="8" t="s">
        <v>48</v>
      </c>
      <c r="I231" s="11">
        <v>6.6630000000000003</v>
      </c>
      <c r="J231" s="6">
        <v>4.9972500000000002</v>
      </c>
      <c r="K231" s="6">
        <v>0.75</v>
      </c>
      <c r="L231" s="6">
        <v>6.3029999999999999</v>
      </c>
      <c r="M231" s="11">
        <v>4.7272499999999997</v>
      </c>
      <c r="N231" s="11">
        <f t="shared" si="12"/>
        <v>4.7280000000000006</v>
      </c>
      <c r="O231" s="6">
        <v>0.75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0.36</v>
      </c>
      <c r="Z231" s="6">
        <v>0.27</v>
      </c>
      <c r="AA231" s="6">
        <v>0.75000000000000011</v>
      </c>
      <c r="AB231" s="6">
        <v>-0.36000000000000032</v>
      </c>
      <c r="AC231" s="6">
        <v>0.36000000000000032</v>
      </c>
      <c r="AD231" s="22" t="s">
        <v>3140</v>
      </c>
      <c r="AE231" s="23">
        <f t="shared" si="13"/>
        <v>4.7280000000000006</v>
      </c>
      <c r="AF231" s="24">
        <f t="shared" si="14"/>
        <v>0</v>
      </c>
      <c r="AG231" s="23">
        <f t="shared" si="15"/>
        <v>1</v>
      </c>
    </row>
    <row r="232" spans="1:33" ht="20" hidden="1" customHeight="1" x14ac:dyDescent="0.25">
      <c r="A232" s="12" t="s">
        <v>31</v>
      </c>
      <c r="B232" s="9">
        <v>46176</v>
      </c>
      <c r="C232" s="10" t="s">
        <v>414</v>
      </c>
      <c r="D232" s="10" t="s">
        <v>50</v>
      </c>
      <c r="E232" s="10" t="s">
        <v>51</v>
      </c>
      <c r="F232" s="10" t="s">
        <v>35</v>
      </c>
      <c r="G232" s="10" t="s">
        <v>3145</v>
      </c>
      <c r="H232" s="8" t="s">
        <v>48</v>
      </c>
      <c r="I232" s="11">
        <v>34.82</v>
      </c>
      <c r="J232" s="6">
        <v>26.114999999999998</v>
      </c>
      <c r="K232" s="6">
        <v>0.75</v>
      </c>
      <c r="L232" s="6">
        <v>34.08</v>
      </c>
      <c r="M232" s="11">
        <v>25.56</v>
      </c>
      <c r="N232" s="11">
        <f t="shared" si="12"/>
        <v>25.56</v>
      </c>
      <c r="O232" s="6">
        <v>0.75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0.74</v>
      </c>
      <c r="Z232" s="6">
        <v>0.55500000000000005</v>
      </c>
      <c r="AA232" s="6">
        <v>0.75000000000000011</v>
      </c>
      <c r="AB232" s="6">
        <v>-0.74000000000000199</v>
      </c>
      <c r="AC232" s="6">
        <v>0.74000000000000199</v>
      </c>
      <c r="AD232" s="22" t="s">
        <v>3140</v>
      </c>
      <c r="AE232" s="23">
        <f t="shared" si="13"/>
        <v>25.56</v>
      </c>
      <c r="AF232" s="24">
        <f t="shared" si="14"/>
        <v>0</v>
      </c>
      <c r="AG232" s="23">
        <f t="shared" si="15"/>
        <v>3</v>
      </c>
    </row>
    <row r="233" spans="1:33" hidden="1" x14ac:dyDescent="0.25">
      <c r="A233" s="12" t="s">
        <v>31</v>
      </c>
      <c r="B233" s="9">
        <v>46176</v>
      </c>
      <c r="C233" s="10" t="s">
        <v>415</v>
      </c>
      <c r="D233" s="10" t="s">
        <v>416</v>
      </c>
      <c r="E233" s="10" t="s">
        <v>51</v>
      </c>
      <c r="F233" s="10" t="s">
        <v>35</v>
      </c>
      <c r="G233" s="10" t="s">
        <v>3145</v>
      </c>
      <c r="H233" s="8" t="s">
        <v>41</v>
      </c>
      <c r="I233" s="11">
        <v>155.96</v>
      </c>
      <c r="J233" s="6">
        <v>116.97</v>
      </c>
      <c r="K233" s="6">
        <v>0.75</v>
      </c>
      <c r="L233" s="6">
        <v>152.21</v>
      </c>
      <c r="M233" s="11">
        <v>114.1575</v>
      </c>
      <c r="N233" s="11">
        <f t="shared" si="12"/>
        <v>114.158</v>
      </c>
      <c r="O233" s="6">
        <v>0.75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3.75</v>
      </c>
      <c r="Z233" s="6">
        <v>2.8125</v>
      </c>
      <c r="AA233" s="6">
        <v>0.75</v>
      </c>
      <c r="AB233" s="6">
        <v>-3.75</v>
      </c>
      <c r="AC233" s="6">
        <v>3.75</v>
      </c>
      <c r="AD233" s="23" t="s">
        <v>3143</v>
      </c>
      <c r="AE233" s="23">
        <f t="shared" si="13"/>
        <v>96.248000000000005</v>
      </c>
      <c r="AF233" s="24">
        <f t="shared" si="14"/>
        <v>17.909999999999997</v>
      </c>
      <c r="AG233" s="23">
        <f t="shared" si="15"/>
        <v>2</v>
      </c>
    </row>
    <row r="234" spans="1:33" ht="12.5" hidden="1" customHeight="1" x14ac:dyDescent="0.25">
      <c r="A234" s="12" t="s">
        <v>31</v>
      </c>
      <c r="B234" s="9">
        <v>46176</v>
      </c>
      <c r="C234" s="8" t="s">
        <v>417</v>
      </c>
      <c r="D234" s="10" t="s">
        <v>418</v>
      </c>
      <c r="E234" s="10" t="s">
        <v>51</v>
      </c>
      <c r="F234" s="10" t="s">
        <v>35</v>
      </c>
      <c r="G234" s="10" t="s">
        <v>3145</v>
      </c>
      <c r="H234" s="8" t="s">
        <v>41</v>
      </c>
      <c r="I234" s="11">
        <v>35.880000000000003</v>
      </c>
      <c r="J234" s="6">
        <v>26.91</v>
      </c>
      <c r="K234" s="6">
        <v>0.75</v>
      </c>
      <c r="L234" s="6">
        <v>33.96</v>
      </c>
      <c r="M234" s="11">
        <v>25.47</v>
      </c>
      <c r="N234" s="11">
        <f t="shared" si="12"/>
        <v>25.47</v>
      </c>
      <c r="O234" s="6">
        <v>0.75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1.92</v>
      </c>
      <c r="Z234" s="6">
        <v>1.44</v>
      </c>
      <c r="AA234" s="6">
        <v>0.75</v>
      </c>
      <c r="AB234" s="6">
        <v>-1.9200000000000017</v>
      </c>
      <c r="AC234" s="6">
        <v>1.9200000000000017</v>
      </c>
      <c r="AD234" s="22" t="s">
        <v>3140</v>
      </c>
      <c r="AE234" s="23">
        <f t="shared" si="13"/>
        <v>25.47</v>
      </c>
      <c r="AF234" s="24">
        <f t="shared" si="14"/>
        <v>0</v>
      </c>
      <c r="AG234" s="23">
        <f t="shared" si="15"/>
        <v>1</v>
      </c>
    </row>
    <row r="235" spans="1:33" ht="12.5" hidden="1" customHeight="1" x14ac:dyDescent="0.25">
      <c r="A235" s="12" t="s">
        <v>31</v>
      </c>
      <c r="B235" s="9">
        <v>46176</v>
      </c>
      <c r="C235" s="12" t="s">
        <v>417</v>
      </c>
      <c r="D235" s="10" t="s">
        <v>419</v>
      </c>
      <c r="E235" s="10" t="s">
        <v>51</v>
      </c>
      <c r="F235" s="10" t="s">
        <v>35</v>
      </c>
      <c r="G235" s="10" t="s">
        <v>3145</v>
      </c>
      <c r="H235" s="8" t="s">
        <v>41</v>
      </c>
      <c r="I235" s="11">
        <v>34.020000000000003</v>
      </c>
      <c r="J235" s="6">
        <v>25.515000000000001</v>
      </c>
      <c r="K235" s="6">
        <v>0.75</v>
      </c>
      <c r="L235" s="6">
        <v>32.03</v>
      </c>
      <c r="M235" s="11">
        <v>24.022500000000001</v>
      </c>
      <c r="N235" s="11">
        <f t="shared" si="12"/>
        <v>24.023</v>
      </c>
      <c r="O235" s="6">
        <v>0.75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1.99</v>
      </c>
      <c r="Z235" s="6">
        <v>1.4924999999999999</v>
      </c>
      <c r="AA235" s="6">
        <v>0.75</v>
      </c>
      <c r="AB235" s="6">
        <v>-1.990000000000002</v>
      </c>
      <c r="AC235" s="6">
        <v>1.990000000000002</v>
      </c>
      <c r="AD235" s="22" t="s">
        <v>3140</v>
      </c>
      <c r="AE235" s="23">
        <f t="shared" si="13"/>
        <v>24.023</v>
      </c>
      <c r="AF235" s="24">
        <f t="shared" si="14"/>
        <v>0</v>
      </c>
      <c r="AG235" s="23">
        <f t="shared" si="15"/>
        <v>1</v>
      </c>
    </row>
    <row r="236" spans="1:33" ht="12.5" hidden="1" customHeight="1" x14ac:dyDescent="0.25">
      <c r="A236" s="12" t="s">
        <v>31</v>
      </c>
      <c r="B236" s="9">
        <v>46176</v>
      </c>
      <c r="C236" s="12" t="s">
        <v>417</v>
      </c>
      <c r="D236" s="10" t="s">
        <v>420</v>
      </c>
      <c r="E236" s="10" t="s">
        <v>51</v>
      </c>
      <c r="F236" s="10" t="s">
        <v>35</v>
      </c>
      <c r="G236" s="10" t="s">
        <v>3145</v>
      </c>
      <c r="H236" s="8" t="s">
        <v>41</v>
      </c>
      <c r="I236" s="11">
        <v>11.82</v>
      </c>
      <c r="J236" s="6">
        <v>8.8650000000000002</v>
      </c>
      <c r="K236" s="6">
        <v>0.75</v>
      </c>
      <c r="L236" s="6">
        <v>10.89</v>
      </c>
      <c r="M236" s="11">
        <v>8.1675000000000004</v>
      </c>
      <c r="N236" s="11">
        <f t="shared" si="12"/>
        <v>8.1679999999999993</v>
      </c>
      <c r="O236" s="6">
        <v>0.75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0.93</v>
      </c>
      <c r="Z236" s="6">
        <v>0.69750000000000001</v>
      </c>
      <c r="AA236" s="6">
        <v>0.75</v>
      </c>
      <c r="AB236" s="6">
        <v>-0.92999999999999972</v>
      </c>
      <c r="AC236" s="6">
        <v>0.92999999999999972</v>
      </c>
      <c r="AD236" s="22" t="s">
        <v>3140</v>
      </c>
      <c r="AE236" s="23">
        <f t="shared" si="13"/>
        <v>8.1679999999999993</v>
      </c>
      <c r="AF236" s="24">
        <f t="shared" si="14"/>
        <v>0</v>
      </c>
      <c r="AG236" s="23">
        <f t="shared" si="15"/>
        <v>1</v>
      </c>
    </row>
    <row r="237" spans="1:33" ht="12.5" hidden="1" customHeight="1" x14ac:dyDescent="0.25">
      <c r="A237" s="12" t="s">
        <v>31</v>
      </c>
      <c r="B237" s="9">
        <v>46176</v>
      </c>
      <c r="C237" s="12" t="s">
        <v>417</v>
      </c>
      <c r="D237" s="10" t="s">
        <v>421</v>
      </c>
      <c r="E237" s="10" t="s">
        <v>51</v>
      </c>
      <c r="F237" s="10" t="s">
        <v>35</v>
      </c>
      <c r="G237" s="10" t="s">
        <v>3145</v>
      </c>
      <c r="H237" s="8" t="s">
        <v>41</v>
      </c>
      <c r="I237" s="11">
        <v>10.11</v>
      </c>
      <c r="J237" s="6">
        <v>7.5824999999999996</v>
      </c>
      <c r="K237" s="6">
        <v>0.75</v>
      </c>
      <c r="L237" s="6">
        <v>9.41</v>
      </c>
      <c r="M237" s="11">
        <v>7.0575000000000001</v>
      </c>
      <c r="N237" s="11">
        <f t="shared" si="12"/>
        <v>7.0580000000000007</v>
      </c>
      <c r="O237" s="6">
        <v>0.75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0.7</v>
      </c>
      <c r="Z237" s="6">
        <v>0.52500000000000002</v>
      </c>
      <c r="AA237" s="6">
        <v>0.75000000000000011</v>
      </c>
      <c r="AB237" s="6">
        <v>-0.69999999999999929</v>
      </c>
      <c r="AC237" s="6">
        <v>0.69999999999999929</v>
      </c>
      <c r="AD237" s="22" t="s">
        <v>3140</v>
      </c>
      <c r="AE237" s="23">
        <f t="shared" si="13"/>
        <v>7.0580000000000007</v>
      </c>
      <c r="AF237" s="24">
        <f t="shared" si="14"/>
        <v>0</v>
      </c>
      <c r="AG237" s="23">
        <f t="shared" si="15"/>
        <v>1</v>
      </c>
    </row>
    <row r="238" spans="1:33" ht="12.5" hidden="1" customHeight="1" x14ac:dyDescent="0.25">
      <c r="A238" s="12" t="s">
        <v>31</v>
      </c>
      <c r="B238" s="9">
        <v>46176</v>
      </c>
      <c r="C238" s="12" t="s">
        <v>417</v>
      </c>
      <c r="D238" s="10" t="s">
        <v>422</v>
      </c>
      <c r="E238" s="10" t="s">
        <v>51</v>
      </c>
      <c r="F238" s="10" t="s">
        <v>35</v>
      </c>
      <c r="G238" s="10" t="s">
        <v>3145</v>
      </c>
      <c r="H238" s="8" t="s">
        <v>41</v>
      </c>
      <c r="I238" s="11">
        <v>8.01</v>
      </c>
      <c r="J238" s="6">
        <v>6.0075000000000003</v>
      </c>
      <c r="K238" s="6">
        <v>0.75</v>
      </c>
      <c r="L238" s="6">
        <v>7.47</v>
      </c>
      <c r="M238" s="11">
        <v>5.6025</v>
      </c>
      <c r="N238" s="11">
        <f t="shared" si="12"/>
        <v>5.6030000000000006</v>
      </c>
      <c r="O238" s="6">
        <v>0.75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0.54</v>
      </c>
      <c r="Z238" s="6">
        <v>0.40500000000000003</v>
      </c>
      <c r="AA238" s="6">
        <v>0.75</v>
      </c>
      <c r="AB238" s="6">
        <v>-0.54</v>
      </c>
      <c r="AC238" s="6">
        <v>0.54</v>
      </c>
      <c r="AD238" s="22" t="s">
        <v>3140</v>
      </c>
      <c r="AE238" s="23">
        <f t="shared" si="13"/>
        <v>5.6030000000000006</v>
      </c>
      <c r="AF238" s="24">
        <f t="shared" si="14"/>
        <v>0</v>
      </c>
      <c r="AG238" s="23">
        <f t="shared" si="15"/>
        <v>1</v>
      </c>
    </row>
    <row r="239" spans="1:33" ht="12.5" customHeight="1" x14ac:dyDescent="0.25">
      <c r="A239" s="12" t="s">
        <v>31</v>
      </c>
      <c r="B239" s="9">
        <v>46176</v>
      </c>
      <c r="C239" s="12" t="s">
        <v>417</v>
      </c>
      <c r="D239" s="10" t="s">
        <v>307</v>
      </c>
      <c r="E239" s="10" t="s">
        <v>51</v>
      </c>
      <c r="F239" s="10" t="s">
        <v>35</v>
      </c>
      <c r="G239" s="10" t="s">
        <v>3146</v>
      </c>
      <c r="H239" s="8" t="s">
        <v>36</v>
      </c>
      <c r="I239" s="11">
        <v>11.14</v>
      </c>
      <c r="J239" s="6">
        <v>10.21538</v>
      </c>
      <c r="K239" s="6">
        <v>0.91699999999999993</v>
      </c>
      <c r="L239" s="6">
        <v>10.5</v>
      </c>
      <c r="M239" s="11">
        <v>9.6285000000000007</v>
      </c>
      <c r="N239" s="11">
        <f t="shared" si="12"/>
        <v>9.6289999999999996</v>
      </c>
      <c r="O239" s="6">
        <v>0.91700000000000004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0.64</v>
      </c>
      <c r="Z239" s="6">
        <v>0.58687999999999996</v>
      </c>
      <c r="AA239" s="6">
        <v>0.91699999999999993</v>
      </c>
      <c r="AB239" s="6">
        <v>-0.64000000000000057</v>
      </c>
      <c r="AC239" s="6">
        <v>0.64000000000000057</v>
      </c>
      <c r="AD239" s="22" t="s">
        <v>3140</v>
      </c>
      <c r="AE239" s="23">
        <f t="shared" si="13"/>
        <v>9.6289999999999996</v>
      </c>
      <c r="AF239" s="24">
        <f t="shared" si="14"/>
        <v>0</v>
      </c>
      <c r="AG239" s="23">
        <f t="shared" si="15"/>
        <v>2</v>
      </c>
    </row>
    <row r="240" spans="1:33" ht="12.5" hidden="1" customHeight="1" x14ac:dyDescent="0.25">
      <c r="A240" s="12" t="s">
        <v>31</v>
      </c>
      <c r="B240" s="9">
        <v>46176</v>
      </c>
      <c r="C240" s="13" t="s">
        <v>417</v>
      </c>
      <c r="D240" s="10" t="s">
        <v>423</v>
      </c>
      <c r="E240" s="10" t="s">
        <v>51</v>
      </c>
      <c r="F240" s="10" t="s">
        <v>35</v>
      </c>
      <c r="G240" s="10" t="s">
        <v>3145</v>
      </c>
      <c r="H240" s="8" t="s">
        <v>41</v>
      </c>
      <c r="I240" s="11">
        <v>1.72</v>
      </c>
      <c r="J240" s="6">
        <v>1.29</v>
      </c>
      <c r="K240" s="6">
        <v>0.75</v>
      </c>
      <c r="L240" s="6">
        <v>1.62</v>
      </c>
      <c r="M240" s="11">
        <v>1.2150000000000001</v>
      </c>
      <c r="N240" s="11">
        <f t="shared" si="12"/>
        <v>1.2150000000000001</v>
      </c>
      <c r="O240" s="6">
        <v>0.75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0.1</v>
      </c>
      <c r="Z240" s="6">
        <v>7.4999999999999997E-2</v>
      </c>
      <c r="AA240" s="6">
        <v>0.74999999999999989</v>
      </c>
      <c r="AB240" s="6">
        <v>-9.9999999999999867E-2</v>
      </c>
      <c r="AC240" s="6">
        <v>9.9999999999999867E-2</v>
      </c>
      <c r="AD240" s="22" t="s">
        <v>3140</v>
      </c>
      <c r="AE240" s="23">
        <f t="shared" si="13"/>
        <v>1.2150000000000001</v>
      </c>
      <c r="AF240" s="24">
        <f t="shared" si="14"/>
        <v>0</v>
      </c>
      <c r="AG240" s="23">
        <f t="shared" si="15"/>
        <v>1</v>
      </c>
    </row>
    <row r="241" spans="1:33" x14ac:dyDescent="0.25">
      <c r="A241" s="12" t="s">
        <v>31</v>
      </c>
      <c r="B241" s="9">
        <v>46176</v>
      </c>
      <c r="C241" s="10" t="s">
        <v>424</v>
      </c>
      <c r="D241" s="10" t="s">
        <v>425</v>
      </c>
      <c r="E241" s="10" t="s">
        <v>51</v>
      </c>
      <c r="F241" s="10" t="s">
        <v>35</v>
      </c>
      <c r="G241" s="10" t="s">
        <v>3146</v>
      </c>
      <c r="H241" s="8" t="s">
        <v>36</v>
      </c>
      <c r="I241" s="11">
        <v>20.96</v>
      </c>
      <c r="J241" s="6">
        <v>19.220320000000001</v>
      </c>
      <c r="K241" s="6">
        <v>0.91700000000000004</v>
      </c>
      <c r="L241" s="6">
        <v>19.09</v>
      </c>
      <c r="M241" s="11">
        <v>17.50553</v>
      </c>
      <c r="N241" s="11">
        <f t="shared" si="12"/>
        <v>17.506</v>
      </c>
      <c r="O241" s="6">
        <v>0.91700000000000004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1.87</v>
      </c>
      <c r="Z241" s="6">
        <v>1.71479</v>
      </c>
      <c r="AA241" s="6">
        <v>0.91699999999999993</v>
      </c>
      <c r="AB241" s="6">
        <v>-1.870000000000001</v>
      </c>
      <c r="AC241" s="6">
        <v>1.870000000000001</v>
      </c>
      <c r="AD241" s="22" t="s">
        <v>3140</v>
      </c>
      <c r="AE241" s="23">
        <f t="shared" si="13"/>
        <v>17.506</v>
      </c>
      <c r="AF241" s="24">
        <f t="shared" si="14"/>
        <v>0</v>
      </c>
      <c r="AG241" s="23">
        <f t="shared" si="15"/>
        <v>1</v>
      </c>
    </row>
    <row r="242" spans="1:33" ht="12.5" customHeight="1" x14ac:dyDescent="0.25">
      <c r="A242" s="12" t="s">
        <v>31</v>
      </c>
      <c r="B242" s="9">
        <v>46176</v>
      </c>
      <c r="C242" s="8" t="s">
        <v>426</v>
      </c>
      <c r="D242" s="10" t="s">
        <v>427</v>
      </c>
      <c r="E242" s="10" t="s">
        <v>51</v>
      </c>
      <c r="F242" s="10" t="s">
        <v>35</v>
      </c>
      <c r="G242" s="10" t="s">
        <v>3146</v>
      </c>
      <c r="H242" s="8" t="s">
        <v>36</v>
      </c>
      <c r="I242" s="11">
        <v>39.04</v>
      </c>
      <c r="J242" s="6">
        <v>35.799680000000002</v>
      </c>
      <c r="K242" s="6">
        <v>0.91700000000000004</v>
      </c>
      <c r="L242" s="6">
        <v>38.29</v>
      </c>
      <c r="M242" s="11">
        <v>35.111930000000001</v>
      </c>
      <c r="N242" s="11">
        <f t="shared" si="12"/>
        <v>35.111999999999995</v>
      </c>
      <c r="O242" s="6">
        <v>0.91700000000000004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0.75</v>
      </c>
      <c r="Z242" s="6">
        <v>0.68774999999999997</v>
      </c>
      <c r="AA242" s="6">
        <v>0.91699999999999993</v>
      </c>
      <c r="AB242" s="6">
        <v>-0.75</v>
      </c>
      <c r="AC242" s="6">
        <v>0.75</v>
      </c>
      <c r="AD242" s="22" t="s">
        <v>3140</v>
      </c>
      <c r="AE242" s="23">
        <f t="shared" si="13"/>
        <v>35.111999999999995</v>
      </c>
      <c r="AF242" s="24">
        <f t="shared" si="14"/>
        <v>0</v>
      </c>
      <c r="AG242" s="23">
        <f t="shared" si="15"/>
        <v>1</v>
      </c>
    </row>
    <row r="243" spans="1:33" ht="12.5" hidden="1" customHeight="1" x14ac:dyDescent="0.25">
      <c r="A243" s="12" t="s">
        <v>31</v>
      </c>
      <c r="B243" s="9">
        <v>46176</v>
      </c>
      <c r="C243" s="12" t="s">
        <v>426</v>
      </c>
      <c r="D243" s="10" t="s">
        <v>428</v>
      </c>
      <c r="E243" s="10" t="s">
        <v>51</v>
      </c>
      <c r="F243" s="10" t="s">
        <v>35</v>
      </c>
      <c r="G243" s="10" t="s">
        <v>3145</v>
      </c>
      <c r="H243" s="8" t="s">
        <v>41</v>
      </c>
      <c r="I243" s="11">
        <v>39.39</v>
      </c>
      <c r="J243" s="6">
        <v>29.5425</v>
      </c>
      <c r="K243" s="6">
        <v>0.75</v>
      </c>
      <c r="L243" s="6">
        <v>39.03</v>
      </c>
      <c r="M243" s="11">
        <v>29.272500000000001</v>
      </c>
      <c r="N243" s="11">
        <f t="shared" si="12"/>
        <v>29.273</v>
      </c>
      <c r="O243" s="6">
        <v>0.75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0.36</v>
      </c>
      <c r="Z243" s="6">
        <v>0.27</v>
      </c>
      <c r="AA243" s="6">
        <v>0.75000000000000011</v>
      </c>
      <c r="AB243" s="6">
        <v>-0.35999999999999943</v>
      </c>
      <c r="AC243" s="6">
        <v>0.35999999999999943</v>
      </c>
      <c r="AD243" s="22" t="s">
        <v>3140</v>
      </c>
      <c r="AE243" s="23">
        <f t="shared" si="13"/>
        <v>29.273</v>
      </c>
      <c r="AF243" s="24">
        <f t="shared" si="14"/>
        <v>0</v>
      </c>
      <c r="AG243" s="23">
        <f t="shared" si="15"/>
        <v>1</v>
      </c>
    </row>
    <row r="244" spans="1:33" ht="12.5" customHeight="1" x14ac:dyDescent="0.25">
      <c r="A244" s="12" t="s">
        <v>31</v>
      </c>
      <c r="B244" s="9">
        <v>46176</v>
      </c>
      <c r="C244" s="13" t="s">
        <v>426</v>
      </c>
      <c r="D244" s="10" t="s">
        <v>429</v>
      </c>
      <c r="E244" s="10" t="s">
        <v>51</v>
      </c>
      <c r="F244" s="10" t="s">
        <v>35</v>
      </c>
      <c r="G244" s="10" t="s">
        <v>3146</v>
      </c>
      <c r="H244" s="8" t="s">
        <v>36</v>
      </c>
      <c r="I244" s="11">
        <v>22.89</v>
      </c>
      <c r="J244" s="6">
        <v>20.990130000000001</v>
      </c>
      <c r="K244" s="6">
        <v>0.91700000000000004</v>
      </c>
      <c r="L244" s="6">
        <v>22.79</v>
      </c>
      <c r="M244" s="11">
        <v>20.898430000000001</v>
      </c>
      <c r="N244" s="11">
        <f t="shared" si="12"/>
        <v>20.899000000000001</v>
      </c>
      <c r="O244" s="6">
        <v>0.91700000000000004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0.1</v>
      </c>
      <c r="Z244" s="6">
        <v>9.1700000000000004E-2</v>
      </c>
      <c r="AA244" s="6">
        <v>0.91700000000000004</v>
      </c>
      <c r="AB244" s="6">
        <v>-0.10000000000000142</v>
      </c>
      <c r="AC244" s="6">
        <v>0.10000000000000142</v>
      </c>
      <c r="AD244" s="22" t="s">
        <v>3140</v>
      </c>
      <c r="AE244" s="23">
        <f t="shared" si="13"/>
        <v>20.899000000000001</v>
      </c>
      <c r="AF244" s="24">
        <f t="shared" si="14"/>
        <v>0</v>
      </c>
      <c r="AG244" s="23">
        <f t="shared" si="15"/>
        <v>1</v>
      </c>
    </row>
    <row r="245" spans="1:33" ht="20" hidden="1" customHeight="1" x14ac:dyDescent="0.25">
      <c r="A245" s="12" t="s">
        <v>31</v>
      </c>
      <c r="B245" s="9">
        <v>46176</v>
      </c>
      <c r="C245" s="10" t="s">
        <v>430</v>
      </c>
      <c r="D245" s="10" t="s">
        <v>431</v>
      </c>
      <c r="E245" s="10" t="s">
        <v>51</v>
      </c>
      <c r="F245" s="10" t="s">
        <v>35</v>
      </c>
      <c r="G245" s="10" t="s">
        <v>3145</v>
      </c>
      <c r="H245" s="8" t="s">
        <v>48</v>
      </c>
      <c r="I245" s="11">
        <v>5.63</v>
      </c>
      <c r="J245" s="6">
        <v>4.2225000000000001</v>
      </c>
      <c r="K245" s="6">
        <v>0.75</v>
      </c>
      <c r="L245" s="6">
        <v>5.59</v>
      </c>
      <c r="M245" s="11">
        <v>4.1924999999999999</v>
      </c>
      <c r="N245" s="11">
        <f t="shared" si="12"/>
        <v>4.1930000000000005</v>
      </c>
      <c r="O245" s="6">
        <v>0.75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0.04</v>
      </c>
      <c r="Z245" s="6">
        <v>0.03</v>
      </c>
      <c r="AA245" s="6">
        <v>0.75</v>
      </c>
      <c r="AB245" s="6">
        <v>-4.0000000000000036E-2</v>
      </c>
      <c r="AC245" s="6">
        <v>4.0000000000000036E-2</v>
      </c>
      <c r="AD245" s="22" t="s">
        <v>3140</v>
      </c>
      <c r="AE245" s="23">
        <f t="shared" si="13"/>
        <v>4.1930000000000005</v>
      </c>
      <c r="AF245" s="24">
        <f t="shared" si="14"/>
        <v>0</v>
      </c>
      <c r="AG245" s="23">
        <f t="shared" si="15"/>
        <v>1</v>
      </c>
    </row>
    <row r="246" spans="1:33" ht="20" hidden="1" customHeight="1" x14ac:dyDescent="0.25">
      <c r="A246" s="12" t="s">
        <v>31</v>
      </c>
      <c r="B246" s="9">
        <v>46176</v>
      </c>
      <c r="C246" s="10" t="s">
        <v>432</v>
      </c>
      <c r="D246" s="10" t="s">
        <v>433</v>
      </c>
      <c r="E246" s="10" t="s">
        <v>51</v>
      </c>
      <c r="F246" s="10" t="s">
        <v>35</v>
      </c>
      <c r="G246" s="10" t="s">
        <v>3145</v>
      </c>
      <c r="H246" s="8" t="s">
        <v>48</v>
      </c>
      <c r="I246" s="11">
        <v>2.4700000000000002</v>
      </c>
      <c r="J246" s="6">
        <v>1.8525</v>
      </c>
      <c r="K246" s="6">
        <v>0.75</v>
      </c>
      <c r="L246" s="6">
        <v>2.3199999999999998</v>
      </c>
      <c r="M246" s="11">
        <v>1.74</v>
      </c>
      <c r="N246" s="11">
        <f t="shared" si="12"/>
        <v>1.74</v>
      </c>
      <c r="O246" s="6">
        <v>0.75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0.15</v>
      </c>
      <c r="Z246" s="6">
        <v>0.1125</v>
      </c>
      <c r="AA246" s="6">
        <v>0.75</v>
      </c>
      <c r="AB246" s="6">
        <v>-0.15000000000000036</v>
      </c>
      <c r="AC246" s="6">
        <v>0.15000000000000036</v>
      </c>
      <c r="AD246" s="22" t="s">
        <v>3140</v>
      </c>
      <c r="AE246" s="23">
        <f t="shared" si="13"/>
        <v>1.74</v>
      </c>
      <c r="AF246" s="24">
        <f t="shared" si="14"/>
        <v>0</v>
      </c>
      <c r="AG246" s="23">
        <f t="shared" si="15"/>
        <v>1</v>
      </c>
    </row>
    <row r="247" spans="1:33" hidden="1" x14ac:dyDescent="0.25">
      <c r="A247" s="12" t="s">
        <v>31</v>
      </c>
      <c r="B247" s="9">
        <v>46176</v>
      </c>
      <c r="C247" s="10" t="s">
        <v>434</v>
      </c>
      <c r="D247" s="10" t="s">
        <v>435</v>
      </c>
      <c r="E247" s="10" t="s">
        <v>51</v>
      </c>
      <c r="F247" s="10" t="s">
        <v>35</v>
      </c>
      <c r="G247" s="10" t="s">
        <v>3145</v>
      </c>
      <c r="H247" s="8" t="s">
        <v>41</v>
      </c>
      <c r="I247" s="11">
        <v>13.1</v>
      </c>
      <c r="J247" s="6">
        <v>9.8249999999999993</v>
      </c>
      <c r="K247" s="6">
        <v>0.75</v>
      </c>
      <c r="L247" s="6">
        <v>12.21</v>
      </c>
      <c r="M247" s="11">
        <v>9.1575000000000006</v>
      </c>
      <c r="N247" s="11">
        <f t="shared" si="12"/>
        <v>9.1579999999999995</v>
      </c>
      <c r="O247" s="6">
        <v>0.75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0.89</v>
      </c>
      <c r="Z247" s="6">
        <v>0.66749999999999998</v>
      </c>
      <c r="AA247" s="6">
        <v>0.75</v>
      </c>
      <c r="AB247" s="6">
        <v>-0.88999999999999879</v>
      </c>
      <c r="AC247" s="6">
        <v>0.88999999999999879</v>
      </c>
      <c r="AD247" s="22" t="s">
        <v>3140</v>
      </c>
      <c r="AE247" s="23">
        <f t="shared" si="13"/>
        <v>9.1579999999999995</v>
      </c>
      <c r="AF247" s="24">
        <f t="shared" si="14"/>
        <v>0</v>
      </c>
      <c r="AG247" s="23">
        <f t="shared" si="15"/>
        <v>1</v>
      </c>
    </row>
    <row r="248" spans="1:33" ht="20" hidden="1" customHeight="1" x14ac:dyDescent="0.25">
      <c r="A248" s="12" t="s">
        <v>31</v>
      </c>
      <c r="B248" s="9">
        <v>46176</v>
      </c>
      <c r="C248" s="10" t="s">
        <v>436</v>
      </c>
      <c r="D248" s="10" t="s">
        <v>297</v>
      </c>
      <c r="E248" s="10" t="s">
        <v>51</v>
      </c>
      <c r="F248" s="10" t="s">
        <v>35</v>
      </c>
      <c r="G248" s="10" t="s">
        <v>3145</v>
      </c>
      <c r="H248" s="8" t="s">
        <v>48</v>
      </c>
      <c r="I248" s="11">
        <v>75.37</v>
      </c>
      <c r="J248" s="6">
        <v>56.527500000000003</v>
      </c>
      <c r="K248" s="6">
        <v>0.75</v>
      </c>
      <c r="L248" s="6">
        <v>69.33</v>
      </c>
      <c r="M248" s="11">
        <v>51.997500000000002</v>
      </c>
      <c r="N248" s="11">
        <f t="shared" si="12"/>
        <v>51.997999999999998</v>
      </c>
      <c r="O248" s="6">
        <v>0.75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6.04</v>
      </c>
      <c r="Z248" s="6">
        <v>4.53</v>
      </c>
      <c r="AA248" s="6">
        <v>0.75</v>
      </c>
      <c r="AB248" s="6">
        <v>-6.0400000000000063</v>
      </c>
      <c r="AC248" s="6">
        <v>6.0400000000000063</v>
      </c>
      <c r="AD248" s="23" t="s">
        <v>3143</v>
      </c>
      <c r="AE248" s="23">
        <f t="shared" si="13"/>
        <v>50.407999999999994</v>
      </c>
      <c r="AF248" s="24">
        <f t="shared" si="14"/>
        <v>1.5900000000000034</v>
      </c>
      <c r="AG248" s="23">
        <f t="shared" si="15"/>
        <v>3</v>
      </c>
    </row>
    <row r="249" spans="1:33" hidden="1" x14ac:dyDescent="0.25">
      <c r="A249" s="12" t="s">
        <v>31</v>
      </c>
      <c r="B249" s="9">
        <v>46176</v>
      </c>
      <c r="C249" s="10" t="s">
        <v>437</v>
      </c>
      <c r="D249" s="10" t="s">
        <v>438</v>
      </c>
      <c r="E249" s="10" t="s">
        <v>51</v>
      </c>
      <c r="F249" s="10" t="s">
        <v>35</v>
      </c>
      <c r="G249" s="10" t="s">
        <v>3145</v>
      </c>
      <c r="H249" s="8" t="s">
        <v>41</v>
      </c>
      <c r="I249" s="11">
        <v>7.6</v>
      </c>
      <c r="J249" s="6">
        <v>5.7</v>
      </c>
      <c r="K249" s="6">
        <v>0.75000000000000011</v>
      </c>
      <c r="L249" s="6">
        <v>7.21</v>
      </c>
      <c r="M249" s="11">
        <v>5.4074999999999998</v>
      </c>
      <c r="N249" s="11">
        <f t="shared" si="12"/>
        <v>5.4080000000000004</v>
      </c>
      <c r="O249" s="6">
        <v>0.75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0.39</v>
      </c>
      <c r="Z249" s="6">
        <v>0.29249999999999998</v>
      </c>
      <c r="AA249" s="6">
        <v>0.74999999999999989</v>
      </c>
      <c r="AB249" s="6">
        <v>-0.38999999999999968</v>
      </c>
      <c r="AC249" s="6">
        <v>0.38999999999999968</v>
      </c>
      <c r="AD249" s="22" t="s">
        <v>3140</v>
      </c>
      <c r="AE249" s="23">
        <f t="shared" si="13"/>
        <v>5.4080000000000004</v>
      </c>
      <c r="AF249" s="24">
        <f t="shared" si="14"/>
        <v>0</v>
      </c>
      <c r="AG249" s="23">
        <f t="shared" si="15"/>
        <v>1</v>
      </c>
    </row>
    <row r="250" spans="1:33" hidden="1" x14ac:dyDescent="0.25">
      <c r="A250" s="12" t="s">
        <v>31</v>
      </c>
      <c r="B250" s="9">
        <v>46176</v>
      </c>
      <c r="C250" s="10" t="s">
        <v>439</v>
      </c>
      <c r="D250" s="10" t="s">
        <v>440</v>
      </c>
      <c r="E250" s="10" t="s">
        <v>51</v>
      </c>
      <c r="F250" s="10" t="s">
        <v>35</v>
      </c>
      <c r="G250" s="10" t="s">
        <v>3145</v>
      </c>
      <c r="H250" s="8" t="s">
        <v>41</v>
      </c>
      <c r="I250" s="11">
        <v>6.63</v>
      </c>
      <c r="J250" s="6">
        <v>4.9725000000000001</v>
      </c>
      <c r="K250" s="6">
        <v>0.75</v>
      </c>
      <c r="L250" s="6">
        <v>6.23</v>
      </c>
      <c r="M250" s="11">
        <v>4.6725000000000003</v>
      </c>
      <c r="N250" s="11">
        <f t="shared" si="12"/>
        <v>4.673</v>
      </c>
      <c r="O250" s="6">
        <v>0.75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0.4</v>
      </c>
      <c r="Z250" s="6">
        <v>0.3</v>
      </c>
      <c r="AA250" s="6">
        <v>0.74999999999999989</v>
      </c>
      <c r="AB250" s="6">
        <v>-0.39999999999999947</v>
      </c>
      <c r="AC250" s="6">
        <v>0.39999999999999947</v>
      </c>
      <c r="AD250" s="22" t="s">
        <v>3140</v>
      </c>
      <c r="AE250" s="23">
        <f t="shared" si="13"/>
        <v>4.673</v>
      </c>
      <c r="AF250" s="24">
        <f t="shared" si="14"/>
        <v>0</v>
      </c>
      <c r="AG250" s="23">
        <f t="shared" si="15"/>
        <v>1</v>
      </c>
    </row>
    <row r="251" spans="1:33" x14ac:dyDescent="0.25">
      <c r="A251" s="12" t="s">
        <v>31</v>
      </c>
      <c r="B251" s="9">
        <v>46176</v>
      </c>
      <c r="C251" s="10" t="s">
        <v>441</v>
      </c>
      <c r="D251" s="10" t="s">
        <v>442</v>
      </c>
      <c r="E251" s="10" t="s">
        <v>51</v>
      </c>
      <c r="F251" s="10" t="s">
        <v>35</v>
      </c>
      <c r="G251" s="10" t="s">
        <v>3146</v>
      </c>
      <c r="H251" s="8" t="s">
        <v>36</v>
      </c>
      <c r="I251" s="11">
        <v>31.68</v>
      </c>
      <c r="J251" s="6">
        <v>29.050560000000001</v>
      </c>
      <c r="K251" s="6">
        <v>0.91700000000000004</v>
      </c>
      <c r="L251" s="6">
        <v>29.85</v>
      </c>
      <c r="M251" s="11">
        <v>27.372450000000001</v>
      </c>
      <c r="N251" s="11">
        <f t="shared" si="12"/>
        <v>27.373000000000001</v>
      </c>
      <c r="O251" s="6">
        <v>0.91699999999999993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1.83</v>
      </c>
      <c r="Z251" s="6">
        <v>1.67811</v>
      </c>
      <c r="AA251" s="6">
        <v>0.91699999999999993</v>
      </c>
      <c r="AB251" s="6">
        <v>-1.8299999999999983</v>
      </c>
      <c r="AC251" s="6">
        <v>1.8299999999999983</v>
      </c>
      <c r="AD251" s="22" t="s">
        <v>3140</v>
      </c>
      <c r="AE251" s="23">
        <f t="shared" si="13"/>
        <v>27.373000000000001</v>
      </c>
      <c r="AF251" s="24">
        <f t="shared" si="14"/>
        <v>0</v>
      </c>
      <c r="AG251" s="23">
        <f t="shared" si="15"/>
        <v>1</v>
      </c>
    </row>
    <row r="252" spans="1:33" ht="20" hidden="1" customHeight="1" x14ac:dyDescent="0.25">
      <c r="A252" s="12" t="s">
        <v>31</v>
      </c>
      <c r="B252" s="9">
        <v>46176</v>
      </c>
      <c r="C252" s="10" t="s">
        <v>443</v>
      </c>
      <c r="D252" s="10" t="s">
        <v>444</v>
      </c>
      <c r="E252" s="10" t="s">
        <v>51</v>
      </c>
      <c r="F252" s="10" t="s">
        <v>35</v>
      </c>
      <c r="G252" s="10" t="s">
        <v>3145</v>
      </c>
      <c r="H252" s="8" t="s">
        <v>48</v>
      </c>
      <c r="I252" s="11">
        <v>131.22999999999999</v>
      </c>
      <c r="J252" s="6">
        <v>98.422499999999999</v>
      </c>
      <c r="K252" s="6">
        <v>0.75</v>
      </c>
      <c r="L252" s="6">
        <v>116.34</v>
      </c>
      <c r="M252" s="11">
        <v>87.254999999999995</v>
      </c>
      <c r="N252" s="11">
        <f t="shared" si="12"/>
        <v>87.254999999999995</v>
      </c>
      <c r="O252" s="6">
        <v>0.74999999999999989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14.89</v>
      </c>
      <c r="Z252" s="6">
        <v>11.1675</v>
      </c>
      <c r="AA252" s="6">
        <v>0.75</v>
      </c>
      <c r="AB252" s="6">
        <v>-14.889999999999986</v>
      </c>
      <c r="AC252" s="6">
        <v>14.889999999999986</v>
      </c>
      <c r="AD252" s="22" t="s">
        <v>3140</v>
      </c>
      <c r="AE252" s="23">
        <f t="shared" si="13"/>
        <v>87.254999999999995</v>
      </c>
      <c r="AF252" s="24">
        <f t="shared" si="14"/>
        <v>0</v>
      </c>
      <c r="AG252" s="23">
        <f t="shared" si="15"/>
        <v>2</v>
      </c>
    </row>
    <row r="253" spans="1:33" x14ac:dyDescent="0.25">
      <c r="A253" s="12" t="s">
        <v>31</v>
      </c>
      <c r="B253" s="9">
        <v>46176</v>
      </c>
      <c r="C253" s="10" t="s">
        <v>445</v>
      </c>
      <c r="D253" s="10" t="s">
        <v>446</v>
      </c>
      <c r="E253" s="10" t="s">
        <v>51</v>
      </c>
      <c r="F253" s="10" t="s">
        <v>35</v>
      </c>
      <c r="G253" s="10" t="s">
        <v>3146</v>
      </c>
      <c r="H253" s="8" t="s">
        <v>36</v>
      </c>
      <c r="I253" s="11">
        <v>89.98</v>
      </c>
      <c r="J253" s="6">
        <v>82.511660000000006</v>
      </c>
      <c r="K253" s="6">
        <v>0.91700000000000004</v>
      </c>
      <c r="L253" s="6">
        <v>87.36</v>
      </c>
      <c r="M253" s="11">
        <v>80.109120000000004</v>
      </c>
      <c r="N253" s="11">
        <f t="shared" si="12"/>
        <v>80.11</v>
      </c>
      <c r="O253" s="6">
        <v>0.91700000000000004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2.62</v>
      </c>
      <c r="Z253" s="6">
        <v>2.4025400000000001</v>
      </c>
      <c r="AA253" s="6">
        <v>0.91700000000000004</v>
      </c>
      <c r="AB253" s="6">
        <v>-2.6200000000000045</v>
      </c>
      <c r="AC253" s="6">
        <v>2.6200000000000045</v>
      </c>
      <c r="AD253" s="22" t="s">
        <v>3140</v>
      </c>
      <c r="AE253" s="23">
        <f t="shared" si="13"/>
        <v>80.11</v>
      </c>
      <c r="AF253" s="24">
        <f t="shared" si="14"/>
        <v>0</v>
      </c>
      <c r="AG253" s="23">
        <f t="shared" si="15"/>
        <v>1</v>
      </c>
    </row>
    <row r="254" spans="1:33" x14ac:dyDescent="0.25">
      <c r="A254" s="12" t="s">
        <v>31</v>
      </c>
      <c r="B254" s="9">
        <v>46176</v>
      </c>
      <c r="C254" s="10" t="s">
        <v>447</v>
      </c>
      <c r="D254" s="10" t="s">
        <v>448</v>
      </c>
      <c r="E254" s="10" t="s">
        <v>51</v>
      </c>
      <c r="F254" s="10" t="s">
        <v>35</v>
      </c>
      <c r="G254" s="10" t="s">
        <v>3146</v>
      </c>
      <c r="H254" s="8" t="s">
        <v>36</v>
      </c>
      <c r="I254" s="11">
        <v>32.74</v>
      </c>
      <c r="J254" s="6">
        <v>30.022580000000001</v>
      </c>
      <c r="K254" s="6">
        <v>0.91700000000000004</v>
      </c>
      <c r="L254" s="6">
        <v>32.4</v>
      </c>
      <c r="M254" s="11">
        <v>29.710799999999999</v>
      </c>
      <c r="N254" s="11">
        <f t="shared" si="12"/>
        <v>29.711000000000002</v>
      </c>
      <c r="O254" s="6">
        <v>0.91700000000000004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0.34</v>
      </c>
      <c r="Z254" s="6">
        <v>0.31178</v>
      </c>
      <c r="AA254" s="6">
        <v>0.91699999999999993</v>
      </c>
      <c r="AB254" s="6">
        <v>-0.34000000000000341</v>
      </c>
      <c r="AC254" s="6">
        <v>0.34000000000000341</v>
      </c>
      <c r="AD254" s="22" t="s">
        <v>3140</v>
      </c>
      <c r="AE254" s="23">
        <f t="shared" si="13"/>
        <v>29.711000000000002</v>
      </c>
      <c r="AF254" s="24">
        <f t="shared" si="14"/>
        <v>0</v>
      </c>
      <c r="AG254" s="23">
        <f t="shared" si="15"/>
        <v>1</v>
      </c>
    </row>
    <row r="255" spans="1:33" ht="12.5" customHeight="1" x14ac:dyDescent="0.25">
      <c r="A255" s="12" t="s">
        <v>31</v>
      </c>
      <c r="B255" s="9">
        <v>46176</v>
      </c>
      <c r="C255" s="8" t="s">
        <v>449</v>
      </c>
      <c r="D255" s="10" t="s">
        <v>450</v>
      </c>
      <c r="E255" s="10" t="s">
        <v>51</v>
      </c>
      <c r="F255" s="10" t="s">
        <v>35</v>
      </c>
      <c r="G255" s="10" t="s">
        <v>3146</v>
      </c>
      <c r="H255" s="8" t="s">
        <v>36</v>
      </c>
      <c r="I255" s="11">
        <v>9.4700000000000006</v>
      </c>
      <c r="J255" s="6">
        <v>8.6839899999999997</v>
      </c>
      <c r="K255" s="6">
        <v>0.91699999999999993</v>
      </c>
      <c r="L255" s="6">
        <v>9.4700000000000006</v>
      </c>
      <c r="M255" s="11">
        <v>8.6839899999999997</v>
      </c>
      <c r="N255" s="11">
        <f t="shared" si="12"/>
        <v>8.6839999999999993</v>
      </c>
      <c r="O255" s="6">
        <v>0.91699999999999993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22" t="s">
        <v>3140</v>
      </c>
      <c r="AE255" s="23">
        <f t="shared" si="13"/>
        <v>8.6839999999999993</v>
      </c>
      <c r="AF255" s="24">
        <f t="shared" si="14"/>
        <v>0</v>
      </c>
      <c r="AG255" s="23">
        <f t="shared" si="15"/>
        <v>1</v>
      </c>
    </row>
    <row r="256" spans="1:33" ht="12.5" customHeight="1" x14ac:dyDescent="0.25">
      <c r="A256" s="12" t="s">
        <v>31</v>
      </c>
      <c r="B256" s="9">
        <v>46176</v>
      </c>
      <c r="C256" s="12" t="s">
        <v>449</v>
      </c>
      <c r="D256" s="10" t="s">
        <v>451</v>
      </c>
      <c r="E256" s="10" t="s">
        <v>51</v>
      </c>
      <c r="F256" s="10" t="s">
        <v>35</v>
      </c>
      <c r="G256" s="10" t="s">
        <v>3146</v>
      </c>
      <c r="H256" s="8" t="s">
        <v>36</v>
      </c>
      <c r="I256" s="11">
        <v>8.0500000000000007</v>
      </c>
      <c r="J256" s="6">
        <v>7.38185</v>
      </c>
      <c r="K256" s="6">
        <v>0.91699999999999993</v>
      </c>
      <c r="L256" s="6">
        <v>8.0500000000000007</v>
      </c>
      <c r="M256" s="11">
        <v>7.38185</v>
      </c>
      <c r="N256" s="11">
        <f t="shared" si="12"/>
        <v>7.3820000000000006</v>
      </c>
      <c r="O256" s="6">
        <v>0.91699999999999993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22" t="s">
        <v>3140</v>
      </c>
      <c r="AE256" s="23">
        <f t="shared" si="13"/>
        <v>7.3820000000000006</v>
      </c>
      <c r="AF256" s="24">
        <f t="shared" si="14"/>
        <v>0</v>
      </c>
      <c r="AG256" s="23">
        <f t="shared" si="15"/>
        <v>1</v>
      </c>
    </row>
    <row r="257" spans="1:33" ht="12.5" customHeight="1" x14ac:dyDescent="0.25">
      <c r="A257" s="12" t="s">
        <v>31</v>
      </c>
      <c r="B257" s="9">
        <v>46176</v>
      </c>
      <c r="C257" s="12" t="s">
        <v>449</v>
      </c>
      <c r="D257" s="10" t="s">
        <v>452</v>
      </c>
      <c r="E257" s="10" t="s">
        <v>51</v>
      </c>
      <c r="F257" s="10" t="s">
        <v>35</v>
      </c>
      <c r="G257" s="10" t="s">
        <v>3146</v>
      </c>
      <c r="H257" s="8" t="s">
        <v>36</v>
      </c>
      <c r="I257" s="11">
        <v>8.23</v>
      </c>
      <c r="J257" s="6">
        <v>7.5469099999999996</v>
      </c>
      <c r="K257" s="6">
        <v>0.91699999999999993</v>
      </c>
      <c r="L257" s="6">
        <v>8.23</v>
      </c>
      <c r="M257" s="11">
        <v>7.5469099999999996</v>
      </c>
      <c r="N257" s="11">
        <f t="shared" si="12"/>
        <v>7.5470000000000006</v>
      </c>
      <c r="O257" s="6">
        <v>0.91699999999999993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22" t="s">
        <v>3140</v>
      </c>
      <c r="AE257" s="23">
        <f t="shared" si="13"/>
        <v>7.5470000000000006</v>
      </c>
      <c r="AF257" s="24">
        <f t="shared" si="14"/>
        <v>0</v>
      </c>
      <c r="AG257" s="23">
        <f t="shared" si="15"/>
        <v>1</v>
      </c>
    </row>
    <row r="258" spans="1:33" ht="12.5" customHeight="1" x14ac:dyDescent="0.25">
      <c r="A258" s="12" t="s">
        <v>31</v>
      </c>
      <c r="B258" s="9">
        <v>46176</v>
      </c>
      <c r="C258" s="13" t="s">
        <v>449</v>
      </c>
      <c r="D258" s="10" t="s">
        <v>453</v>
      </c>
      <c r="E258" s="10" t="s">
        <v>51</v>
      </c>
      <c r="F258" s="10" t="s">
        <v>35</v>
      </c>
      <c r="G258" s="10" t="s">
        <v>3146</v>
      </c>
      <c r="H258" s="8" t="s">
        <v>36</v>
      </c>
      <c r="I258" s="11">
        <v>7.09</v>
      </c>
      <c r="J258" s="6">
        <v>6.5015299999999998</v>
      </c>
      <c r="K258" s="6">
        <v>0.91700000000000004</v>
      </c>
      <c r="L258" s="6">
        <v>7.09</v>
      </c>
      <c r="M258" s="11">
        <v>6.5015299999999998</v>
      </c>
      <c r="N258" s="11">
        <f t="shared" si="12"/>
        <v>6.5020000000000007</v>
      </c>
      <c r="O258" s="6">
        <v>0.91700000000000004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22" t="s">
        <v>3140</v>
      </c>
      <c r="AE258" s="23">
        <f t="shared" si="13"/>
        <v>6.5020000000000007</v>
      </c>
      <c r="AF258" s="24">
        <f t="shared" si="14"/>
        <v>0</v>
      </c>
      <c r="AG258" s="23">
        <f t="shared" si="15"/>
        <v>1</v>
      </c>
    </row>
    <row r="259" spans="1:33" hidden="1" x14ac:dyDescent="0.25">
      <c r="A259" s="12" t="s">
        <v>31</v>
      </c>
      <c r="B259" s="9">
        <v>46176</v>
      </c>
      <c r="C259" s="10" t="s">
        <v>454</v>
      </c>
      <c r="D259" s="10" t="s">
        <v>455</v>
      </c>
      <c r="E259" s="10" t="s">
        <v>51</v>
      </c>
      <c r="F259" s="10" t="s">
        <v>35</v>
      </c>
      <c r="G259" s="10" t="s">
        <v>3145</v>
      </c>
      <c r="H259" s="8" t="s">
        <v>41</v>
      </c>
      <c r="I259" s="11">
        <v>29.08</v>
      </c>
      <c r="J259" s="6">
        <v>21.81</v>
      </c>
      <c r="K259" s="6">
        <v>0.75</v>
      </c>
      <c r="L259" s="6">
        <v>28.95</v>
      </c>
      <c r="M259" s="11">
        <v>21.712499999999999</v>
      </c>
      <c r="N259" s="11">
        <f t="shared" ref="N259:N322" si="16">ROUNDUP(M259,3)</f>
        <v>21.713000000000001</v>
      </c>
      <c r="O259" s="6">
        <v>0.75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0.13</v>
      </c>
      <c r="Z259" s="6">
        <v>9.7500000000000003E-2</v>
      </c>
      <c r="AA259" s="6">
        <v>0.75</v>
      </c>
      <c r="AB259" s="6">
        <v>-0.12999999999999901</v>
      </c>
      <c r="AC259" s="6">
        <v>0.12999999999999901</v>
      </c>
      <c r="AD259" s="22" t="s">
        <v>3140</v>
      </c>
      <c r="AE259" s="23">
        <f t="shared" ref="AE259:AE322" si="17">_xlfn.MINIFS(N:N,D:D,D259)</f>
        <v>21.713000000000001</v>
      </c>
      <c r="AF259" s="24">
        <f t="shared" ref="AF259:AF322" si="18">N259-AE259</f>
        <v>0</v>
      </c>
      <c r="AG259" s="23">
        <f t="shared" ref="AG259:AG322" si="19">COUNTIF(D:D,D259)</f>
        <v>1</v>
      </c>
    </row>
    <row r="260" spans="1:33" ht="20" hidden="1" customHeight="1" x14ac:dyDescent="0.25">
      <c r="A260" s="12" t="s">
        <v>31</v>
      </c>
      <c r="B260" s="9">
        <v>46176</v>
      </c>
      <c r="C260" s="10" t="s">
        <v>456</v>
      </c>
      <c r="D260" s="10" t="s">
        <v>457</v>
      </c>
      <c r="E260" s="10" t="s">
        <v>51</v>
      </c>
      <c r="F260" s="10" t="s">
        <v>35</v>
      </c>
      <c r="G260" s="10" t="s">
        <v>3145</v>
      </c>
      <c r="H260" s="8" t="s">
        <v>48</v>
      </c>
      <c r="I260" s="11">
        <v>69.8</v>
      </c>
      <c r="J260" s="6">
        <v>52.35</v>
      </c>
      <c r="K260" s="6">
        <v>0.75</v>
      </c>
      <c r="L260" s="6">
        <v>64.09</v>
      </c>
      <c r="M260" s="11">
        <v>48.067500000000003</v>
      </c>
      <c r="N260" s="11">
        <f t="shared" si="16"/>
        <v>48.067999999999998</v>
      </c>
      <c r="O260" s="6">
        <v>0.75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5.71</v>
      </c>
      <c r="Z260" s="6">
        <v>4.2824999999999998</v>
      </c>
      <c r="AA260" s="6">
        <v>0.75</v>
      </c>
      <c r="AB260" s="6">
        <v>-5.7099999999999937</v>
      </c>
      <c r="AC260" s="6">
        <v>5.7099999999999937</v>
      </c>
      <c r="AD260" s="22" t="s">
        <v>3140</v>
      </c>
      <c r="AE260" s="23">
        <f t="shared" si="17"/>
        <v>48.067999999999998</v>
      </c>
      <c r="AF260" s="24">
        <f t="shared" si="18"/>
        <v>0</v>
      </c>
      <c r="AG260" s="23">
        <f t="shared" si="19"/>
        <v>1</v>
      </c>
    </row>
    <row r="261" spans="1:33" ht="12.5" hidden="1" customHeight="1" x14ac:dyDescent="0.25">
      <c r="A261" s="12" t="s">
        <v>31</v>
      </c>
      <c r="B261" s="9">
        <v>46176</v>
      </c>
      <c r="C261" s="8" t="s">
        <v>458</v>
      </c>
      <c r="D261" s="10" t="s">
        <v>459</v>
      </c>
      <c r="E261" s="10" t="s">
        <v>51</v>
      </c>
      <c r="F261" s="10" t="s">
        <v>35</v>
      </c>
      <c r="G261" s="10" t="s">
        <v>3145</v>
      </c>
      <c r="H261" s="8" t="s">
        <v>48</v>
      </c>
      <c r="I261" s="11">
        <v>21.89</v>
      </c>
      <c r="J261" s="6">
        <v>16.4175</v>
      </c>
      <c r="K261" s="6">
        <v>0.75</v>
      </c>
      <c r="L261" s="6">
        <v>21.89</v>
      </c>
      <c r="M261" s="11">
        <v>16.4175</v>
      </c>
      <c r="N261" s="11">
        <f t="shared" si="16"/>
        <v>16.418000000000003</v>
      </c>
      <c r="O261" s="6">
        <v>0.75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23" t="s">
        <v>3143</v>
      </c>
      <c r="AE261" s="23">
        <f t="shared" si="17"/>
        <v>15.3</v>
      </c>
      <c r="AF261" s="24">
        <f t="shared" si="18"/>
        <v>1.1180000000000021</v>
      </c>
      <c r="AG261" s="23">
        <f t="shared" si="19"/>
        <v>2</v>
      </c>
    </row>
    <row r="262" spans="1:33" ht="12.5" customHeight="1" x14ac:dyDescent="0.25">
      <c r="A262" s="12" t="s">
        <v>31</v>
      </c>
      <c r="B262" s="9">
        <v>46176</v>
      </c>
      <c r="C262" s="13" t="s">
        <v>458</v>
      </c>
      <c r="D262" s="10" t="s">
        <v>460</v>
      </c>
      <c r="E262" s="10" t="s">
        <v>51</v>
      </c>
      <c r="F262" s="10" t="s">
        <v>35</v>
      </c>
      <c r="G262" s="10" t="s">
        <v>3146</v>
      </c>
      <c r="H262" s="8" t="s">
        <v>36</v>
      </c>
      <c r="I262" s="11">
        <v>87.99</v>
      </c>
      <c r="J262" s="6">
        <v>80.68683</v>
      </c>
      <c r="K262" s="6">
        <v>0.91700000000000004</v>
      </c>
      <c r="L262" s="6">
        <v>87.99</v>
      </c>
      <c r="M262" s="11">
        <v>80.68683</v>
      </c>
      <c r="N262" s="11">
        <f t="shared" si="16"/>
        <v>80.687000000000012</v>
      </c>
      <c r="O262" s="6">
        <v>0.91700000000000004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23" t="s">
        <v>3143</v>
      </c>
      <c r="AE262" s="23">
        <f t="shared" si="17"/>
        <v>77.221000000000004</v>
      </c>
      <c r="AF262" s="24">
        <f t="shared" si="18"/>
        <v>3.4660000000000082</v>
      </c>
      <c r="AG262" s="23">
        <f t="shared" si="19"/>
        <v>2</v>
      </c>
    </row>
    <row r="263" spans="1:33" x14ac:dyDescent="0.25">
      <c r="A263" s="12" t="s">
        <v>31</v>
      </c>
      <c r="B263" s="9">
        <v>46176</v>
      </c>
      <c r="C263" s="10" t="s">
        <v>461</v>
      </c>
      <c r="D263" s="10" t="s">
        <v>462</v>
      </c>
      <c r="E263" s="10" t="s">
        <v>51</v>
      </c>
      <c r="F263" s="10" t="s">
        <v>35</v>
      </c>
      <c r="G263" s="10" t="s">
        <v>3146</v>
      </c>
      <c r="H263" s="8" t="s">
        <v>36</v>
      </c>
      <c r="I263" s="11">
        <v>83.6</v>
      </c>
      <c r="J263" s="6">
        <v>76.661199999999994</v>
      </c>
      <c r="K263" s="6">
        <v>0.91700000000000004</v>
      </c>
      <c r="L263" s="6">
        <v>80.72</v>
      </c>
      <c r="M263" s="11">
        <v>74.020240000000001</v>
      </c>
      <c r="N263" s="11">
        <f t="shared" si="16"/>
        <v>74.021000000000001</v>
      </c>
      <c r="O263" s="6">
        <v>0.91700000000000004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2.88</v>
      </c>
      <c r="Z263" s="6">
        <v>2.6409600000000002</v>
      </c>
      <c r="AA263" s="6">
        <v>0.91700000000000015</v>
      </c>
      <c r="AB263" s="6">
        <v>-2.8799999999999955</v>
      </c>
      <c r="AC263" s="6">
        <v>2.8799999999999955</v>
      </c>
      <c r="AD263" s="22" t="s">
        <v>3140</v>
      </c>
      <c r="AE263" s="23">
        <f t="shared" si="17"/>
        <v>74.021000000000001</v>
      </c>
      <c r="AF263" s="24">
        <f t="shared" si="18"/>
        <v>0</v>
      </c>
      <c r="AG263" s="23">
        <f t="shared" si="19"/>
        <v>1</v>
      </c>
    </row>
    <row r="264" spans="1:33" hidden="1" x14ac:dyDescent="0.25">
      <c r="A264" s="12" t="s">
        <v>31</v>
      </c>
      <c r="B264" s="9">
        <v>46176</v>
      </c>
      <c r="C264" s="10" t="s">
        <v>463</v>
      </c>
      <c r="D264" s="10" t="s">
        <v>464</v>
      </c>
      <c r="E264" s="10" t="s">
        <v>51</v>
      </c>
      <c r="F264" s="10" t="s">
        <v>35</v>
      </c>
      <c r="G264" s="10" t="s">
        <v>3145</v>
      </c>
      <c r="H264" s="8" t="s">
        <v>41</v>
      </c>
      <c r="I264" s="11">
        <v>241.56</v>
      </c>
      <c r="J264" s="6">
        <v>181.17</v>
      </c>
      <c r="K264" s="6">
        <v>0.74999999999999989</v>
      </c>
      <c r="L264" s="6">
        <v>221.54</v>
      </c>
      <c r="M264" s="11">
        <v>166.155</v>
      </c>
      <c r="N264" s="11">
        <f t="shared" si="16"/>
        <v>166.155</v>
      </c>
      <c r="O264" s="6">
        <v>0.75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20.02</v>
      </c>
      <c r="Z264" s="6">
        <v>15.015000000000001</v>
      </c>
      <c r="AA264" s="6">
        <v>0.75</v>
      </c>
      <c r="AB264" s="6">
        <v>-20.02000000000001</v>
      </c>
      <c r="AC264" s="6">
        <v>20.02000000000001</v>
      </c>
      <c r="AD264" s="22" t="s">
        <v>3140</v>
      </c>
      <c r="AE264" s="23">
        <f t="shared" si="17"/>
        <v>166.155</v>
      </c>
      <c r="AF264" s="24">
        <f t="shared" si="18"/>
        <v>0</v>
      </c>
      <c r="AG264" s="23">
        <f t="shared" si="19"/>
        <v>1</v>
      </c>
    </row>
    <row r="265" spans="1:33" hidden="1" x14ac:dyDescent="0.25">
      <c r="A265" s="12" t="s">
        <v>31</v>
      </c>
      <c r="B265" s="9">
        <v>46176</v>
      </c>
      <c r="C265" s="10" t="s">
        <v>465</v>
      </c>
      <c r="D265" s="10" t="s">
        <v>466</v>
      </c>
      <c r="E265" s="10" t="s">
        <v>51</v>
      </c>
      <c r="F265" s="10" t="s">
        <v>35</v>
      </c>
      <c r="G265" s="10" t="s">
        <v>3145</v>
      </c>
      <c r="H265" s="8" t="s">
        <v>41</v>
      </c>
      <c r="I265" s="11">
        <v>13.29</v>
      </c>
      <c r="J265" s="6">
        <v>9.9674999999999994</v>
      </c>
      <c r="K265" s="6">
        <v>0.75</v>
      </c>
      <c r="L265" s="6">
        <v>12.68</v>
      </c>
      <c r="M265" s="11">
        <v>9.51</v>
      </c>
      <c r="N265" s="11">
        <f t="shared" si="16"/>
        <v>9.51</v>
      </c>
      <c r="O265" s="6">
        <v>0.75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0.61</v>
      </c>
      <c r="Z265" s="6">
        <v>0.45750000000000002</v>
      </c>
      <c r="AA265" s="6">
        <v>0.75</v>
      </c>
      <c r="AB265" s="6">
        <v>-0.60999999999999943</v>
      </c>
      <c r="AC265" s="6">
        <v>0.60999999999999943</v>
      </c>
      <c r="AD265" s="22" t="s">
        <v>3140</v>
      </c>
      <c r="AE265" s="23">
        <f t="shared" si="17"/>
        <v>9.51</v>
      </c>
      <c r="AF265" s="24">
        <f t="shared" si="18"/>
        <v>0</v>
      </c>
      <c r="AG265" s="23">
        <f t="shared" si="19"/>
        <v>1</v>
      </c>
    </row>
    <row r="266" spans="1:33" hidden="1" x14ac:dyDescent="0.25">
      <c r="A266" s="12" t="s">
        <v>31</v>
      </c>
      <c r="B266" s="9">
        <v>46176</v>
      </c>
      <c r="C266" s="10" t="s">
        <v>467</v>
      </c>
      <c r="D266" s="10" t="s">
        <v>468</v>
      </c>
      <c r="E266" s="10" t="s">
        <v>51</v>
      </c>
      <c r="F266" s="10" t="s">
        <v>35</v>
      </c>
      <c r="G266" s="10" t="s">
        <v>3145</v>
      </c>
      <c r="H266" s="8" t="s">
        <v>41</v>
      </c>
      <c r="I266" s="11">
        <v>9.2200000000000006</v>
      </c>
      <c r="J266" s="6">
        <v>6.915</v>
      </c>
      <c r="K266" s="6">
        <v>0.75</v>
      </c>
      <c r="L266" s="6">
        <v>8.68</v>
      </c>
      <c r="M266" s="11">
        <v>6.51</v>
      </c>
      <c r="N266" s="11">
        <f t="shared" si="16"/>
        <v>6.51</v>
      </c>
      <c r="O266" s="6">
        <v>0.75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0.54</v>
      </c>
      <c r="Z266" s="6">
        <v>0.40500000000000003</v>
      </c>
      <c r="AA266" s="6">
        <v>0.75</v>
      </c>
      <c r="AB266" s="6">
        <v>-0.54000000000000092</v>
      </c>
      <c r="AC266" s="6">
        <v>0.54000000000000092</v>
      </c>
      <c r="AD266" s="22" t="s">
        <v>3140</v>
      </c>
      <c r="AE266" s="23">
        <f t="shared" si="17"/>
        <v>6.51</v>
      </c>
      <c r="AF266" s="24">
        <f t="shared" si="18"/>
        <v>0</v>
      </c>
      <c r="AG266" s="23">
        <f t="shared" si="19"/>
        <v>1</v>
      </c>
    </row>
    <row r="267" spans="1:33" hidden="1" x14ac:dyDescent="0.25">
      <c r="A267" s="12" t="s">
        <v>31</v>
      </c>
      <c r="B267" s="9">
        <v>46176</v>
      </c>
      <c r="C267" s="10" t="s">
        <v>469</v>
      </c>
      <c r="D267" s="10" t="s">
        <v>470</v>
      </c>
      <c r="E267" s="10" t="s">
        <v>51</v>
      </c>
      <c r="F267" s="10" t="s">
        <v>35</v>
      </c>
      <c r="G267" s="10" t="s">
        <v>3145</v>
      </c>
      <c r="H267" s="8" t="s">
        <v>41</v>
      </c>
      <c r="I267" s="11">
        <v>169.43</v>
      </c>
      <c r="J267" s="6">
        <v>127.07250000000001</v>
      </c>
      <c r="K267" s="6">
        <v>0.75</v>
      </c>
      <c r="L267" s="6">
        <v>160.35</v>
      </c>
      <c r="M267" s="11">
        <v>120.2625</v>
      </c>
      <c r="N267" s="11">
        <f t="shared" si="16"/>
        <v>120.26300000000001</v>
      </c>
      <c r="O267" s="6">
        <v>0.75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9.08</v>
      </c>
      <c r="Z267" s="6">
        <v>6.81</v>
      </c>
      <c r="AA267" s="6">
        <v>0.75</v>
      </c>
      <c r="AB267" s="6">
        <v>-9.0800000000000125</v>
      </c>
      <c r="AC267" s="6">
        <v>9.0800000000000125</v>
      </c>
      <c r="AD267" s="22" t="s">
        <v>3140</v>
      </c>
      <c r="AE267" s="23">
        <f t="shared" si="17"/>
        <v>120.26300000000001</v>
      </c>
      <c r="AF267" s="24">
        <f t="shared" si="18"/>
        <v>0</v>
      </c>
      <c r="AG267" s="23">
        <f t="shared" si="19"/>
        <v>1</v>
      </c>
    </row>
    <row r="268" spans="1:33" ht="20" hidden="1" customHeight="1" x14ac:dyDescent="0.25">
      <c r="A268" s="12" t="s">
        <v>31</v>
      </c>
      <c r="B268" s="9">
        <v>46176</v>
      </c>
      <c r="C268" s="10" t="s">
        <v>471</v>
      </c>
      <c r="D268" s="10" t="s">
        <v>472</v>
      </c>
      <c r="E268" s="10" t="s">
        <v>51</v>
      </c>
      <c r="F268" s="10" t="s">
        <v>35</v>
      </c>
      <c r="G268" s="10" t="s">
        <v>3145</v>
      </c>
      <c r="H268" s="8" t="s">
        <v>48</v>
      </c>
      <c r="I268" s="11">
        <v>47.46</v>
      </c>
      <c r="J268" s="6">
        <v>35.594999999999999</v>
      </c>
      <c r="K268" s="6">
        <v>0.75</v>
      </c>
      <c r="L268" s="6">
        <v>43.39</v>
      </c>
      <c r="M268" s="11">
        <v>32.542499999999997</v>
      </c>
      <c r="N268" s="11">
        <f t="shared" si="16"/>
        <v>32.542999999999999</v>
      </c>
      <c r="O268" s="6">
        <v>0.74999999999999989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4.07</v>
      </c>
      <c r="Z268" s="6">
        <v>3.0525000000000002</v>
      </c>
      <c r="AA268" s="6">
        <v>0.75</v>
      </c>
      <c r="AB268" s="6">
        <v>-4.07</v>
      </c>
      <c r="AC268" s="6">
        <v>4.07</v>
      </c>
      <c r="AD268" s="22" t="s">
        <v>3140</v>
      </c>
      <c r="AE268" s="23">
        <f t="shared" si="17"/>
        <v>32.542999999999999</v>
      </c>
      <c r="AF268" s="24">
        <f t="shared" si="18"/>
        <v>0</v>
      </c>
      <c r="AG268" s="23">
        <f t="shared" si="19"/>
        <v>1</v>
      </c>
    </row>
    <row r="269" spans="1:33" ht="20" hidden="1" customHeight="1" x14ac:dyDescent="0.25">
      <c r="A269" s="12" t="s">
        <v>31</v>
      </c>
      <c r="B269" s="9">
        <v>46176</v>
      </c>
      <c r="C269" s="10" t="s">
        <v>473</v>
      </c>
      <c r="D269" s="10" t="s">
        <v>363</v>
      </c>
      <c r="E269" s="10" t="s">
        <v>51</v>
      </c>
      <c r="F269" s="10" t="s">
        <v>35</v>
      </c>
      <c r="G269" s="10" t="s">
        <v>3145</v>
      </c>
      <c r="H269" s="8" t="s">
        <v>48</v>
      </c>
      <c r="I269" s="11">
        <v>9.61</v>
      </c>
      <c r="J269" s="6">
        <v>7.2074999999999996</v>
      </c>
      <c r="K269" s="6">
        <v>0.75</v>
      </c>
      <c r="L269" s="6">
        <v>9.51</v>
      </c>
      <c r="M269" s="11">
        <v>7.1325000000000003</v>
      </c>
      <c r="N269" s="11">
        <f t="shared" si="16"/>
        <v>7.133</v>
      </c>
      <c r="O269" s="6">
        <v>0.75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0.1</v>
      </c>
      <c r="Z269" s="6">
        <v>7.4999999999999997E-2</v>
      </c>
      <c r="AA269" s="6">
        <v>0.74999999999999989</v>
      </c>
      <c r="AB269" s="6">
        <v>-9.9999999999999645E-2</v>
      </c>
      <c r="AC269" s="6">
        <v>9.9999999999999645E-2</v>
      </c>
      <c r="AD269" s="23" t="s">
        <v>3143</v>
      </c>
      <c r="AE269" s="23">
        <f t="shared" si="17"/>
        <v>6.54</v>
      </c>
      <c r="AF269" s="24">
        <f t="shared" si="18"/>
        <v>0.59299999999999997</v>
      </c>
      <c r="AG269" s="23">
        <f t="shared" si="19"/>
        <v>2</v>
      </c>
    </row>
    <row r="270" spans="1:33" x14ac:dyDescent="0.25">
      <c r="A270" s="12" t="s">
        <v>31</v>
      </c>
      <c r="B270" s="9">
        <v>46176</v>
      </c>
      <c r="C270" s="10" t="s">
        <v>474</v>
      </c>
      <c r="D270" s="10" t="s">
        <v>475</v>
      </c>
      <c r="E270" s="10" t="s">
        <v>51</v>
      </c>
      <c r="F270" s="10" t="s">
        <v>35</v>
      </c>
      <c r="G270" s="10" t="s">
        <v>3146</v>
      </c>
      <c r="H270" s="8" t="s">
        <v>36</v>
      </c>
      <c r="I270" s="11">
        <v>7.81</v>
      </c>
      <c r="J270" s="6">
        <v>7.1617699999999997</v>
      </c>
      <c r="K270" s="6">
        <v>0.91700000000000004</v>
      </c>
      <c r="L270" s="6">
        <v>7.69</v>
      </c>
      <c r="M270" s="11">
        <v>7.0517300000000001</v>
      </c>
      <c r="N270" s="11">
        <f t="shared" si="16"/>
        <v>7.0520000000000005</v>
      </c>
      <c r="O270" s="6">
        <v>0.91699999999999993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0.12</v>
      </c>
      <c r="Z270" s="6">
        <v>0.11004</v>
      </c>
      <c r="AA270" s="6">
        <v>0.91700000000000004</v>
      </c>
      <c r="AB270" s="6">
        <v>-0.11999999999999922</v>
      </c>
      <c r="AC270" s="6">
        <v>0.11999999999999922</v>
      </c>
      <c r="AD270" s="22" t="s">
        <v>3140</v>
      </c>
      <c r="AE270" s="23">
        <f t="shared" si="17"/>
        <v>7.0520000000000005</v>
      </c>
      <c r="AF270" s="24">
        <f t="shared" si="18"/>
        <v>0</v>
      </c>
      <c r="AG270" s="23">
        <f t="shared" si="19"/>
        <v>1</v>
      </c>
    </row>
    <row r="271" spans="1:33" hidden="1" x14ac:dyDescent="0.25">
      <c r="A271" s="12" t="s">
        <v>31</v>
      </c>
      <c r="B271" s="9">
        <v>46176</v>
      </c>
      <c r="C271" s="10" t="s">
        <v>476</v>
      </c>
      <c r="D271" s="10" t="s">
        <v>477</v>
      </c>
      <c r="E271" s="10" t="s">
        <v>51</v>
      </c>
      <c r="F271" s="10" t="s">
        <v>35</v>
      </c>
      <c r="G271" s="10" t="s">
        <v>3145</v>
      </c>
      <c r="H271" s="8" t="s">
        <v>41</v>
      </c>
      <c r="I271" s="11">
        <v>195.2</v>
      </c>
      <c r="J271" s="6">
        <v>146.4</v>
      </c>
      <c r="K271" s="6">
        <v>0.75000000000000011</v>
      </c>
      <c r="L271" s="6">
        <v>177.56</v>
      </c>
      <c r="M271" s="11">
        <v>133.16999999999999</v>
      </c>
      <c r="N271" s="11">
        <f t="shared" si="16"/>
        <v>133.16999999999999</v>
      </c>
      <c r="O271" s="6">
        <v>0.74999999999999989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17.64</v>
      </c>
      <c r="Z271" s="6">
        <v>13.23</v>
      </c>
      <c r="AA271" s="6">
        <v>0.75</v>
      </c>
      <c r="AB271" s="6">
        <v>-17.639999999999986</v>
      </c>
      <c r="AC271" s="6">
        <v>17.639999999999986</v>
      </c>
      <c r="AD271" s="23" t="s">
        <v>3143</v>
      </c>
      <c r="AE271" s="23">
        <f t="shared" si="17"/>
        <v>119.07</v>
      </c>
      <c r="AF271" s="24">
        <f t="shared" si="18"/>
        <v>14.099999999999994</v>
      </c>
      <c r="AG271" s="23">
        <f t="shared" si="19"/>
        <v>3</v>
      </c>
    </row>
    <row r="272" spans="1:33" hidden="1" x14ac:dyDescent="0.25">
      <c r="A272" s="12" t="s">
        <v>31</v>
      </c>
      <c r="B272" s="9">
        <v>46176</v>
      </c>
      <c r="C272" s="10" t="s">
        <v>478</v>
      </c>
      <c r="D272" s="10" t="s">
        <v>221</v>
      </c>
      <c r="E272" s="10" t="s">
        <v>51</v>
      </c>
      <c r="F272" s="10" t="s">
        <v>35</v>
      </c>
      <c r="G272" s="10" t="s">
        <v>3145</v>
      </c>
      <c r="H272" s="8" t="s">
        <v>41</v>
      </c>
      <c r="I272" s="11">
        <v>23.15</v>
      </c>
      <c r="J272" s="6">
        <v>17.362500000000001</v>
      </c>
      <c r="K272" s="6">
        <v>0.75000000000000011</v>
      </c>
      <c r="L272" s="6">
        <v>23.15</v>
      </c>
      <c r="M272" s="11">
        <v>17.362500000000001</v>
      </c>
      <c r="N272" s="11">
        <f t="shared" si="16"/>
        <v>17.363</v>
      </c>
      <c r="O272" s="6">
        <v>0.75000000000000011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22" t="s">
        <v>3140</v>
      </c>
      <c r="AE272" s="23">
        <f t="shared" si="17"/>
        <v>17.363</v>
      </c>
      <c r="AF272" s="24">
        <f t="shared" si="18"/>
        <v>0</v>
      </c>
      <c r="AG272" s="23">
        <f t="shared" si="19"/>
        <v>2</v>
      </c>
    </row>
    <row r="273" spans="1:33" x14ac:dyDescent="0.25">
      <c r="A273" s="12" t="s">
        <v>31</v>
      </c>
      <c r="B273" s="9">
        <v>46176</v>
      </c>
      <c r="C273" s="10" t="s">
        <v>479</v>
      </c>
      <c r="D273" s="10" t="s">
        <v>338</v>
      </c>
      <c r="E273" s="10" t="s">
        <v>51</v>
      </c>
      <c r="F273" s="10" t="s">
        <v>35</v>
      </c>
      <c r="G273" s="10" t="s">
        <v>3146</v>
      </c>
      <c r="H273" s="8" t="s">
        <v>36</v>
      </c>
      <c r="I273" s="11">
        <v>17.14</v>
      </c>
      <c r="J273" s="6">
        <v>15.71738</v>
      </c>
      <c r="K273" s="6">
        <v>0.91700000000000004</v>
      </c>
      <c r="L273" s="6">
        <v>16.87</v>
      </c>
      <c r="M273" s="11">
        <v>15.46979</v>
      </c>
      <c r="N273" s="11">
        <f t="shared" si="16"/>
        <v>15.469999999999999</v>
      </c>
      <c r="O273" s="6">
        <v>0.91699999999999993</v>
      </c>
      <c r="P273" s="6">
        <v>0.27</v>
      </c>
      <c r="Q273" s="6">
        <v>0.24759</v>
      </c>
      <c r="R273" s="6">
        <v>0.91699999999999993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-0.53999999999999959</v>
      </c>
      <c r="AC273" s="6">
        <v>-4.4408920985006262E-16</v>
      </c>
      <c r="AD273" s="23" t="s">
        <v>3143</v>
      </c>
      <c r="AE273" s="23">
        <f t="shared" si="17"/>
        <v>0</v>
      </c>
      <c r="AF273" s="24">
        <f t="shared" si="18"/>
        <v>15.469999999999999</v>
      </c>
      <c r="AG273" s="23">
        <f t="shared" si="19"/>
        <v>67</v>
      </c>
    </row>
    <row r="274" spans="1:33" ht="12.5" hidden="1" customHeight="1" x14ac:dyDescent="0.25">
      <c r="A274" s="12" t="s">
        <v>31</v>
      </c>
      <c r="B274" s="9">
        <v>46176</v>
      </c>
      <c r="C274" s="8" t="s">
        <v>480</v>
      </c>
      <c r="D274" s="8" t="s">
        <v>338</v>
      </c>
      <c r="E274" s="8" t="s">
        <v>51</v>
      </c>
      <c r="F274" s="8" t="s">
        <v>35</v>
      </c>
      <c r="G274" s="10" t="s">
        <v>3145</v>
      </c>
      <c r="H274" s="8" t="s">
        <v>48</v>
      </c>
      <c r="I274" s="11">
        <v>8.18</v>
      </c>
      <c r="J274" s="6">
        <v>6.1349999999999998</v>
      </c>
      <c r="K274" s="6">
        <v>0.75</v>
      </c>
      <c r="L274" s="6">
        <v>7.53</v>
      </c>
      <c r="M274" s="11">
        <v>5.6475</v>
      </c>
      <c r="N274" s="11">
        <f t="shared" si="16"/>
        <v>5.6480000000000006</v>
      </c>
      <c r="O274" s="6">
        <v>0.75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0.65</v>
      </c>
      <c r="Z274" s="6">
        <v>0.48749999999999999</v>
      </c>
      <c r="AA274" s="6">
        <v>0.75</v>
      </c>
      <c r="AB274" s="6">
        <v>-0.64999999999999947</v>
      </c>
      <c r="AC274" s="6">
        <v>0.64999999999999947</v>
      </c>
      <c r="AD274" s="23" t="s">
        <v>3143</v>
      </c>
      <c r="AE274" s="23">
        <f t="shared" si="17"/>
        <v>0</v>
      </c>
      <c r="AF274" s="24">
        <f t="shared" si="18"/>
        <v>5.6480000000000006</v>
      </c>
      <c r="AG274" s="23">
        <f t="shared" si="19"/>
        <v>67</v>
      </c>
    </row>
    <row r="275" spans="1:33" ht="12.5" hidden="1" customHeight="1" x14ac:dyDescent="0.25">
      <c r="A275" s="12" t="s">
        <v>31</v>
      </c>
      <c r="B275" s="9">
        <v>46176</v>
      </c>
      <c r="C275" s="12" t="s">
        <v>480</v>
      </c>
      <c r="D275" s="12" t="s">
        <v>338</v>
      </c>
      <c r="E275" s="12" t="s">
        <v>51</v>
      </c>
      <c r="F275" s="12" t="s">
        <v>35</v>
      </c>
      <c r="G275" s="10" t="s">
        <v>3145</v>
      </c>
      <c r="H275" s="8" t="s">
        <v>481</v>
      </c>
      <c r="I275" s="11">
        <v>3.64</v>
      </c>
      <c r="J275" s="6">
        <v>2.73</v>
      </c>
      <c r="K275" s="6">
        <v>0.75</v>
      </c>
      <c r="L275" s="6">
        <v>3.64</v>
      </c>
      <c r="M275" s="11">
        <v>2.73</v>
      </c>
      <c r="N275" s="11">
        <f t="shared" si="16"/>
        <v>2.73</v>
      </c>
      <c r="O275" s="6">
        <v>0.75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23" t="s">
        <v>3143</v>
      </c>
      <c r="AE275" s="23">
        <f t="shared" si="17"/>
        <v>0</v>
      </c>
      <c r="AF275" s="24">
        <f t="shared" si="18"/>
        <v>2.73</v>
      </c>
      <c r="AG275" s="23">
        <f t="shared" si="19"/>
        <v>67</v>
      </c>
    </row>
    <row r="276" spans="1:33" ht="12.5" hidden="1" customHeight="1" x14ac:dyDescent="0.25">
      <c r="A276" s="12" t="s">
        <v>31</v>
      </c>
      <c r="B276" s="9">
        <v>46176</v>
      </c>
      <c r="C276" s="12" t="s">
        <v>480</v>
      </c>
      <c r="D276" s="12" t="s">
        <v>338</v>
      </c>
      <c r="E276" s="12" t="s">
        <v>51</v>
      </c>
      <c r="F276" s="12" t="s">
        <v>35</v>
      </c>
      <c r="G276" s="10" t="s">
        <v>3145</v>
      </c>
      <c r="H276" s="8" t="s">
        <v>41</v>
      </c>
      <c r="I276" s="11">
        <v>10.87</v>
      </c>
      <c r="J276" s="6">
        <v>8.1524999999999999</v>
      </c>
      <c r="K276" s="6">
        <v>0.75</v>
      </c>
      <c r="L276" s="6">
        <v>10.48</v>
      </c>
      <c r="M276" s="11">
        <v>7.86</v>
      </c>
      <c r="N276" s="11">
        <f t="shared" si="16"/>
        <v>7.86</v>
      </c>
      <c r="O276" s="6">
        <v>0.75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0.39</v>
      </c>
      <c r="Z276" s="6">
        <v>0.29249999999999998</v>
      </c>
      <c r="AA276" s="6">
        <v>0.74999999999999989</v>
      </c>
      <c r="AB276" s="6">
        <v>-0.38999999999999879</v>
      </c>
      <c r="AC276" s="6">
        <v>0.38999999999999879</v>
      </c>
      <c r="AD276" s="23" t="s">
        <v>3143</v>
      </c>
      <c r="AE276" s="23">
        <f t="shared" si="17"/>
        <v>0</v>
      </c>
      <c r="AF276" s="24">
        <f t="shared" si="18"/>
        <v>7.86</v>
      </c>
      <c r="AG276" s="23">
        <f t="shared" si="19"/>
        <v>67</v>
      </c>
    </row>
    <row r="277" spans="1:33" ht="12.5" customHeight="1" x14ac:dyDescent="0.25">
      <c r="A277" s="12" t="s">
        <v>31</v>
      </c>
      <c r="B277" s="9">
        <v>46176</v>
      </c>
      <c r="C277" s="13" t="s">
        <v>480</v>
      </c>
      <c r="D277" s="13" t="s">
        <v>338</v>
      </c>
      <c r="E277" s="13" t="s">
        <v>51</v>
      </c>
      <c r="F277" s="13" t="s">
        <v>35</v>
      </c>
      <c r="G277" s="10" t="s">
        <v>3146</v>
      </c>
      <c r="H277" s="8" t="s">
        <v>36</v>
      </c>
      <c r="I277" s="11">
        <v>16.87</v>
      </c>
      <c r="J277" s="6">
        <v>15.46979</v>
      </c>
      <c r="K277" s="6">
        <v>0.91699999999999993</v>
      </c>
      <c r="L277" s="6">
        <v>15.44</v>
      </c>
      <c r="M277" s="11">
        <v>14.158480000000001</v>
      </c>
      <c r="N277" s="11">
        <f t="shared" si="16"/>
        <v>14.158999999999999</v>
      </c>
      <c r="O277" s="6">
        <v>0.91700000000000004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1.43</v>
      </c>
      <c r="Z277" s="6">
        <v>1.31131</v>
      </c>
      <c r="AA277" s="6">
        <v>0.91700000000000004</v>
      </c>
      <c r="AB277" s="6">
        <v>-1.4300000000000015</v>
      </c>
      <c r="AC277" s="6">
        <v>1.4300000000000015</v>
      </c>
      <c r="AD277" s="23" t="s">
        <v>3143</v>
      </c>
      <c r="AE277" s="23">
        <f t="shared" si="17"/>
        <v>0</v>
      </c>
      <c r="AF277" s="24">
        <f t="shared" si="18"/>
        <v>14.158999999999999</v>
      </c>
      <c r="AG277" s="23">
        <f t="shared" si="19"/>
        <v>67</v>
      </c>
    </row>
    <row r="278" spans="1:33" ht="12.5" hidden="1" customHeight="1" x14ac:dyDescent="0.25">
      <c r="A278" s="12" t="s">
        <v>31</v>
      </c>
      <c r="B278" s="9">
        <v>46177</v>
      </c>
      <c r="C278" s="10" t="s">
        <v>482</v>
      </c>
      <c r="D278" s="10" t="s">
        <v>483</v>
      </c>
      <c r="E278" s="10" t="s">
        <v>34</v>
      </c>
      <c r="F278" s="10" t="s">
        <v>35</v>
      </c>
      <c r="G278" s="10" t="s">
        <v>3145</v>
      </c>
      <c r="H278" s="8" t="s">
        <v>48</v>
      </c>
      <c r="I278" s="11">
        <v>115.88</v>
      </c>
      <c r="J278" s="6">
        <v>86.91</v>
      </c>
      <c r="K278" s="6">
        <v>0.75</v>
      </c>
      <c r="L278" s="6">
        <v>105.67</v>
      </c>
      <c r="M278" s="11">
        <v>79.252499999999998</v>
      </c>
      <c r="N278" s="11">
        <f t="shared" si="16"/>
        <v>79.253</v>
      </c>
      <c r="O278" s="6">
        <v>0.75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10.210000000000001</v>
      </c>
      <c r="Z278" s="6">
        <v>7.6574999999999998</v>
      </c>
      <c r="AA278" s="6">
        <v>0.74999999999999989</v>
      </c>
      <c r="AB278" s="6">
        <v>-10.209999999999994</v>
      </c>
      <c r="AC278" s="6">
        <v>10.209999999999994</v>
      </c>
      <c r="AD278" s="22" t="s">
        <v>3140</v>
      </c>
      <c r="AE278" s="23">
        <f t="shared" si="17"/>
        <v>79.253</v>
      </c>
      <c r="AF278" s="24">
        <f t="shared" si="18"/>
        <v>0</v>
      </c>
      <c r="AG278" s="23">
        <f t="shared" si="19"/>
        <v>1</v>
      </c>
    </row>
    <row r="279" spans="1:33" ht="12.5" customHeight="1" x14ac:dyDescent="0.25">
      <c r="A279" s="12" t="s">
        <v>31</v>
      </c>
      <c r="B279" s="9">
        <v>46177</v>
      </c>
      <c r="C279" s="10" t="s">
        <v>484</v>
      </c>
      <c r="D279" s="10" t="s">
        <v>485</v>
      </c>
      <c r="E279" s="10" t="s">
        <v>34</v>
      </c>
      <c r="F279" s="10" t="s">
        <v>35</v>
      </c>
      <c r="G279" s="10" t="s">
        <v>3146</v>
      </c>
      <c r="H279" s="8" t="s">
        <v>36</v>
      </c>
      <c r="I279" s="11">
        <v>10.07</v>
      </c>
      <c r="J279" s="6">
        <v>9.2341899999999999</v>
      </c>
      <c r="K279" s="6">
        <v>0.91699999999999993</v>
      </c>
      <c r="L279" s="6">
        <v>9.77</v>
      </c>
      <c r="M279" s="11">
        <v>8.9590899999999998</v>
      </c>
      <c r="N279" s="11">
        <f t="shared" si="16"/>
        <v>8.9599999999999991</v>
      </c>
      <c r="O279" s="6">
        <v>0.91700000000000004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0.3</v>
      </c>
      <c r="Z279" s="6">
        <v>0.27510000000000001</v>
      </c>
      <c r="AA279" s="6">
        <v>0.91700000000000004</v>
      </c>
      <c r="AB279" s="6">
        <v>-0.30000000000000071</v>
      </c>
      <c r="AC279" s="6">
        <v>0.30000000000000071</v>
      </c>
      <c r="AD279" s="22" t="s">
        <v>3140</v>
      </c>
      <c r="AE279" s="23">
        <f t="shared" si="17"/>
        <v>8.9599999999999991</v>
      </c>
      <c r="AF279" s="24">
        <f t="shared" si="18"/>
        <v>0</v>
      </c>
      <c r="AG279" s="23">
        <f t="shared" si="19"/>
        <v>1</v>
      </c>
    </row>
    <row r="280" spans="1:33" ht="12.5" hidden="1" customHeight="1" x14ac:dyDescent="0.25">
      <c r="A280" s="12" t="s">
        <v>31</v>
      </c>
      <c r="B280" s="9">
        <v>46177</v>
      </c>
      <c r="C280" s="10" t="s">
        <v>486</v>
      </c>
      <c r="D280" s="10" t="s">
        <v>487</v>
      </c>
      <c r="E280" s="10" t="s">
        <v>34</v>
      </c>
      <c r="F280" s="10" t="s">
        <v>35</v>
      </c>
      <c r="G280" s="10" t="s">
        <v>3145</v>
      </c>
      <c r="H280" s="8" t="s">
        <v>48</v>
      </c>
      <c r="I280" s="11">
        <v>153.11000000000001</v>
      </c>
      <c r="J280" s="6">
        <v>114.8325</v>
      </c>
      <c r="K280" s="6">
        <v>0.74999999999999989</v>
      </c>
      <c r="L280" s="6">
        <v>138.02000000000001</v>
      </c>
      <c r="M280" s="11">
        <v>103.515</v>
      </c>
      <c r="N280" s="11">
        <f t="shared" si="16"/>
        <v>103.515</v>
      </c>
      <c r="O280" s="6">
        <v>0.75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15.09</v>
      </c>
      <c r="Z280" s="6">
        <v>11.317500000000001</v>
      </c>
      <c r="AA280" s="6">
        <v>0.75000000000000011</v>
      </c>
      <c r="AB280" s="6">
        <v>-15.090000000000003</v>
      </c>
      <c r="AC280" s="6">
        <v>15.090000000000003</v>
      </c>
      <c r="AD280" s="22" t="s">
        <v>3140</v>
      </c>
      <c r="AE280" s="23">
        <f t="shared" si="17"/>
        <v>103.515</v>
      </c>
      <c r="AF280" s="24">
        <f t="shared" si="18"/>
        <v>0</v>
      </c>
      <c r="AG280" s="23">
        <f t="shared" si="19"/>
        <v>1</v>
      </c>
    </row>
    <row r="281" spans="1:33" ht="12.5" hidden="1" customHeight="1" x14ac:dyDescent="0.25">
      <c r="A281" s="12" t="s">
        <v>31</v>
      </c>
      <c r="B281" s="9">
        <v>46177</v>
      </c>
      <c r="C281" s="10" t="s">
        <v>488</v>
      </c>
      <c r="D281" s="10" t="s">
        <v>489</v>
      </c>
      <c r="E281" s="10" t="s">
        <v>34</v>
      </c>
      <c r="F281" s="10" t="s">
        <v>35</v>
      </c>
      <c r="G281" s="10" t="s">
        <v>3145</v>
      </c>
      <c r="H281" s="8" t="s">
        <v>48</v>
      </c>
      <c r="I281" s="11">
        <v>146.77000000000001</v>
      </c>
      <c r="J281" s="6">
        <v>110.0775</v>
      </c>
      <c r="K281" s="6">
        <v>0.75</v>
      </c>
      <c r="L281" s="6">
        <v>130.99</v>
      </c>
      <c r="M281" s="11">
        <v>98.242500000000007</v>
      </c>
      <c r="N281" s="11">
        <f t="shared" si="16"/>
        <v>98.243000000000009</v>
      </c>
      <c r="O281" s="6">
        <v>0.75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15.78</v>
      </c>
      <c r="Z281" s="6">
        <v>11.835000000000001</v>
      </c>
      <c r="AA281" s="6">
        <v>0.75000000000000011</v>
      </c>
      <c r="AB281" s="6">
        <v>-15.78</v>
      </c>
      <c r="AC281" s="6">
        <v>15.78</v>
      </c>
      <c r="AD281" s="22" t="s">
        <v>3140</v>
      </c>
      <c r="AE281" s="23">
        <f t="shared" si="17"/>
        <v>98.243000000000009</v>
      </c>
      <c r="AF281" s="24">
        <f t="shared" si="18"/>
        <v>0</v>
      </c>
      <c r="AG281" s="23">
        <f t="shared" si="19"/>
        <v>1</v>
      </c>
    </row>
    <row r="282" spans="1:33" ht="12.5" customHeight="1" x14ac:dyDescent="0.25">
      <c r="A282" s="12" t="s">
        <v>31</v>
      </c>
      <c r="B282" s="9">
        <v>46177</v>
      </c>
      <c r="C282" s="8" t="s">
        <v>490</v>
      </c>
      <c r="D282" s="10" t="s">
        <v>314</v>
      </c>
      <c r="E282" s="10" t="s">
        <v>51</v>
      </c>
      <c r="F282" s="10" t="s">
        <v>35</v>
      </c>
      <c r="G282" s="10" t="s">
        <v>3146</v>
      </c>
      <c r="H282" s="8" t="s">
        <v>36</v>
      </c>
      <c r="I282" s="11">
        <v>12.17</v>
      </c>
      <c r="J282" s="6">
        <v>11.159890000000001</v>
      </c>
      <c r="K282" s="6">
        <v>0.91700000000000004</v>
      </c>
      <c r="L282" s="6">
        <v>12.17</v>
      </c>
      <c r="M282" s="11">
        <v>11.159890000000001</v>
      </c>
      <c r="N282" s="11">
        <f t="shared" si="16"/>
        <v>11.16</v>
      </c>
      <c r="O282" s="6">
        <v>0.91700000000000004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22" t="s">
        <v>3140</v>
      </c>
      <c r="AE282" s="23">
        <f t="shared" si="17"/>
        <v>11.16</v>
      </c>
      <c r="AF282" s="24">
        <f t="shared" si="18"/>
        <v>0</v>
      </c>
      <c r="AG282" s="23">
        <f t="shared" si="19"/>
        <v>2</v>
      </c>
    </row>
    <row r="283" spans="1:33" ht="12.5" customHeight="1" x14ac:dyDescent="0.25">
      <c r="A283" s="12" t="s">
        <v>31</v>
      </c>
      <c r="B283" s="9">
        <v>46177</v>
      </c>
      <c r="C283" s="12" t="s">
        <v>490</v>
      </c>
      <c r="D283" s="10" t="s">
        <v>316</v>
      </c>
      <c r="E283" s="10" t="s">
        <v>51</v>
      </c>
      <c r="F283" s="10" t="s">
        <v>35</v>
      </c>
      <c r="G283" s="10" t="s">
        <v>3146</v>
      </c>
      <c r="H283" s="8" t="s">
        <v>36</v>
      </c>
      <c r="I283" s="11">
        <v>13.05</v>
      </c>
      <c r="J283" s="6">
        <v>11.966850000000001</v>
      </c>
      <c r="K283" s="6">
        <v>0.91700000000000004</v>
      </c>
      <c r="L283" s="6">
        <v>13.05</v>
      </c>
      <c r="M283" s="11">
        <v>11.966850000000001</v>
      </c>
      <c r="N283" s="11">
        <f t="shared" si="16"/>
        <v>11.966999999999999</v>
      </c>
      <c r="O283" s="6">
        <v>0.91700000000000004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22" t="s">
        <v>3140</v>
      </c>
      <c r="AE283" s="23">
        <f t="shared" si="17"/>
        <v>11.966999999999999</v>
      </c>
      <c r="AF283" s="24">
        <f t="shared" si="18"/>
        <v>0</v>
      </c>
      <c r="AG283" s="23">
        <f t="shared" si="19"/>
        <v>2</v>
      </c>
    </row>
    <row r="284" spans="1:33" ht="12.5" customHeight="1" x14ac:dyDescent="0.25">
      <c r="A284" s="12" t="s">
        <v>31</v>
      </c>
      <c r="B284" s="9">
        <v>46177</v>
      </c>
      <c r="C284" s="12" t="s">
        <v>490</v>
      </c>
      <c r="D284" s="10" t="s">
        <v>318</v>
      </c>
      <c r="E284" s="10" t="s">
        <v>51</v>
      </c>
      <c r="F284" s="10" t="s">
        <v>35</v>
      </c>
      <c r="G284" s="10" t="s">
        <v>3146</v>
      </c>
      <c r="H284" s="8" t="s">
        <v>36</v>
      </c>
      <c r="I284" s="11">
        <v>12.17</v>
      </c>
      <c r="J284" s="6">
        <v>11.159890000000001</v>
      </c>
      <c r="K284" s="6">
        <v>0.91700000000000004</v>
      </c>
      <c r="L284" s="6">
        <v>12.17</v>
      </c>
      <c r="M284" s="11">
        <v>11.159890000000001</v>
      </c>
      <c r="N284" s="11">
        <f t="shared" si="16"/>
        <v>11.16</v>
      </c>
      <c r="O284" s="6">
        <v>0.91700000000000004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22" t="s">
        <v>3140</v>
      </c>
      <c r="AE284" s="23">
        <f t="shared" si="17"/>
        <v>11.16</v>
      </c>
      <c r="AF284" s="24">
        <f t="shared" si="18"/>
        <v>0</v>
      </c>
      <c r="AG284" s="23">
        <f t="shared" si="19"/>
        <v>2</v>
      </c>
    </row>
    <row r="285" spans="1:33" ht="12.5" customHeight="1" x14ac:dyDescent="0.25">
      <c r="A285" s="12" t="s">
        <v>31</v>
      </c>
      <c r="B285" s="9">
        <v>46177</v>
      </c>
      <c r="C285" s="12" t="s">
        <v>490</v>
      </c>
      <c r="D285" s="10" t="s">
        <v>320</v>
      </c>
      <c r="E285" s="10" t="s">
        <v>51</v>
      </c>
      <c r="F285" s="10" t="s">
        <v>35</v>
      </c>
      <c r="G285" s="10" t="s">
        <v>3146</v>
      </c>
      <c r="H285" s="8" t="s">
        <v>36</v>
      </c>
      <c r="I285" s="11">
        <v>13.46</v>
      </c>
      <c r="J285" s="6">
        <v>12.34282</v>
      </c>
      <c r="K285" s="6">
        <v>0.91699999999999993</v>
      </c>
      <c r="L285" s="6">
        <v>13.46</v>
      </c>
      <c r="M285" s="11">
        <v>12.34282</v>
      </c>
      <c r="N285" s="11">
        <f t="shared" si="16"/>
        <v>12.343</v>
      </c>
      <c r="O285" s="6">
        <v>0.91699999999999993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22" t="s">
        <v>3140</v>
      </c>
      <c r="AE285" s="23">
        <f t="shared" si="17"/>
        <v>12.343</v>
      </c>
      <c r="AF285" s="24">
        <f t="shared" si="18"/>
        <v>0</v>
      </c>
      <c r="AG285" s="23">
        <f t="shared" si="19"/>
        <v>2</v>
      </c>
    </row>
    <row r="286" spans="1:33" ht="12.5" customHeight="1" x14ac:dyDescent="0.25">
      <c r="A286" s="12" t="s">
        <v>31</v>
      </c>
      <c r="B286" s="9">
        <v>46177</v>
      </c>
      <c r="C286" s="12" t="s">
        <v>490</v>
      </c>
      <c r="D286" s="10" t="s">
        <v>312</v>
      </c>
      <c r="E286" s="10" t="s">
        <v>51</v>
      </c>
      <c r="F286" s="10" t="s">
        <v>35</v>
      </c>
      <c r="G286" s="10" t="s">
        <v>3146</v>
      </c>
      <c r="H286" s="8" t="s">
        <v>36</v>
      </c>
      <c r="I286" s="11">
        <v>10.8</v>
      </c>
      <c r="J286" s="6">
        <v>9.9036000000000008</v>
      </c>
      <c r="K286" s="6">
        <v>0.91700000000000004</v>
      </c>
      <c r="L286" s="6">
        <v>10.8</v>
      </c>
      <c r="M286" s="11">
        <v>9.9036000000000008</v>
      </c>
      <c r="N286" s="11">
        <f t="shared" si="16"/>
        <v>9.9039999999999999</v>
      </c>
      <c r="O286" s="6">
        <v>0.91700000000000004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22" t="s">
        <v>3140</v>
      </c>
      <c r="AE286" s="23">
        <f t="shared" si="17"/>
        <v>9.9039999999999999</v>
      </c>
      <c r="AF286" s="24">
        <f t="shared" si="18"/>
        <v>0</v>
      </c>
      <c r="AG286" s="23">
        <f t="shared" si="19"/>
        <v>2</v>
      </c>
    </row>
    <row r="287" spans="1:33" ht="12.5" customHeight="1" x14ac:dyDescent="0.25">
      <c r="A287" s="12" t="s">
        <v>31</v>
      </c>
      <c r="B287" s="9">
        <v>46177</v>
      </c>
      <c r="C287" s="12" t="s">
        <v>490</v>
      </c>
      <c r="D287" s="10" t="s">
        <v>310</v>
      </c>
      <c r="E287" s="10" t="s">
        <v>51</v>
      </c>
      <c r="F287" s="10" t="s">
        <v>35</v>
      </c>
      <c r="G287" s="10" t="s">
        <v>3146</v>
      </c>
      <c r="H287" s="8" t="s">
        <v>36</v>
      </c>
      <c r="I287" s="11">
        <v>35.299999999999997</v>
      </c>
      <c r="J287" s="6">
        <v>32.370100000000001</v>
      </c>
      <c r="K287" s="6">
        <v>0.91700000000000015</v>
      </c>
      <c r="L287" s="6">
        <v>35.19</v>
      </c>
      <c r="M287" s="11">
        <v>32.26923</v>
      </c>
      <c r="N287" s="11">
        <f t="shared" si="16"/>
        <v>32.269999999999996</v>
      </c>
      <c r="O287" s="6">
        <v>0.91700000000000004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0.11</v>
      </c>
      <c r="Z287" s="6">
        <v>0.10087</v>
      </c>
      <c r="AA287" s="6">
        <v>0.91700000000000004</v>
      </c>
      <c r="AB287" s="6">
        <v>-0.10999999999999943</v>
      </c>
      <c r="AC287" s="6">
        <v>0.10999999999999943</v>
      </c>
      <c r="AD287" s="23" t="s">
        <v>3143</v>
      </c>
      <c r="AE287" s="23">
        <f t="shared" si="17"/>
        <v>31.068000000000001</v>
      </c>
      <c r="AF287" s="24">
        <f t="shared" si="18"/>
        <v>1.2019999999999946</v>
      </c>
      <c r="AG287" s="23">
        <f t="shared" si="19"/>
        <v>2</v>
      </c>
    </row>
    <row r="288" spans="1:33" ht="12.5" hidden="1" customHeight="1" x14ac:dyDescent="0.25">
      <c r="A288" s="12" t="s">
        <v>31</v>
      </c>
      <c r="B288" s="9">
        <v>46177</v>
      </c>
      <c r="C288" s="12" t="s">
        <v>490</v>
      </c>
      <c r="D288" s="10" t="s">
        <v>299</v>
      </c>
      <c r="E288" s="10" t="s">
        <v>51</v>
      </c>
      <c r="F288" s="10" t="s">
        <v>35</v>
      </c>
      <c r="G288" s="10" t="s">
        <v>3145</v>
      </c>
      <c r="H288" s="8" t="s">
        <v>48</v>
      </c>
      <c r="I288" s="11">
        <v>14.75</v>
      </c>
      <c r="J288" s="6">
        <v>11.0625</v>
      </c>
      <c r="K288" s="6">
        <v>0.75</v>
      </c>
      <c r="L288" s="6">
        <v>14.7</v>
      </c>
      <c r="M288" s="11">
        <v>11.025</v>
      </c>
      <c r="N288" s="11">
        <f t="shared" si="16"/>
        <v>11.025</v>
      </c>
      <c r="O288" s="6">
        <v>0.75000000000000011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0.05</v>
      </c>
      <c r="Z288" s="6">
        <v>3.7499999999999999E-2</v>
      </c>
      <c r="AA288" s="6">
        <v>0.74999999999999989</v>
      </c>
      <c r="AB288" s="6">
        <v>-5.0000000000000711E-2</v>
      </c>
      <c r="AC288" s="6">
        <v>5.0000000000000711E-2</v>
      </c>
      <c r="AD288" s="23" t="s">
        <v>3143</v>
      </c>
      <c r="AE288" s="23">
        <f t="shared" si="17"/>
        <v>10.763</v>
      </c>
      <c r="AF288" s="24">
        <f t="shared" si="18"/>
        <v>0.26200000000000045</v>
      </c>
      <c r="AG288" s="23">
        <f t="shared" si="19"/>
        <v>2</v>
      </c>
    </row>
    <row r="289" spans="1:33" ht="12.5" hidden="1" customHeight="1" x14ac:dyDescent="0.25">
      <c r="A289" s="12" t="s">
        <v>31</v>
      </c>
      <c r="B289" s="9">
        <v>46177</v>
      </c>
      <c r="C289" s="12" t="s">
        <v>490</v>
      </c>
      <c r="D289" s="10" t="s">
        <v>491</v>
      </c>
      <c r="E289" s="10" t="s">
        <v>51</v>
      </c>
      <c r="F289" s="10" t="s">
        <v>35</v>
      </c>
      <c r="G289" s="10" t="s">
        <v>3145</v>
      </c>
      <c r="H289" s="8" t="s">
        <v>41</v>
      </c>
      <c r="I289" s="11">
        <v>21.66</v>
      </c>
      <c r="J289" s="6">
        <v>16.245000000000001</v>
      </c>
      <c r="K289" s="6">
        <v>0.75</v>
      </c>
      <c r="L289" s="6">
        <v>20.37</v>
      </c>
      <c r="M289" s="11">
        <v>15.2775</v>
      </c>
      <c r="N289" s="11">
        <f t="shared" si="16"/>
        <v>15.277999999999999</v>
      </c>
      <c r="O289" s="6">
        <v>0.75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1.29</v>
      </c>
      <c r="Z289" s="6">
        <v>0.96750000000000003</v>
      </c>
      <c r="AA289" s="6">
        <v>0.75</v>
      </c>
      <c r="AB289" s="6">
        <v>-1.2899999999999991</v>
      </c>
      <c r="AC289" s="6">
        <v>1.2899999999999991</v>
      </c>
      <c r="AD289" s="22" t="s">
        <v>3140</v>
      </c>
      <c r="AE289" s="23">
        <f t="shared" si="17"/>
        <v>15.277999999999999</v>
      </c>
      <c r="AF289" s="24">
        <f t="shared" si="18"/>
        <v>0</v>
      </c>
      <c r="AG289" s="23">
        <f t="shared" si="19"/>
        <v>1</v>
      </c>
    </row>
    <row r="290" spans="1:33" ht="12.5" customHeight="1" x14ac:dyDescent="0.25">
      <c r="A290" s="12" t="s">
        <v>31</v>
      </c>
      <c r="B290" s="9">
        <v>46177</v>
      </c>
      <c r="C290" s="12" t="s">
        <v>490</v>
      </c>
      <c r="D290" s="10" t="s">
        <v>492</v>
      </c>
      <c r="E290" s="10" t="s">
        <v>51</v>
      </c>
      <c r="F290" s="10" t="s">
        <v>35</v>
      </c>
      <c r="G290" s="10" t="s">
        <v>3146</v>
      </c>
      <c r="H290" s="8" t="s">
        <v>36</v>
      </c>
      <c r="I290" s="11">
        <v>11.67</v>
      </c>
      <c r="J290" s="6">
        <v>10.70139</v>
      </c>
      <c r="K290" s="6">
        <v>0.91700000000000004</v>
      </c>
      <c r="L290" s="6">
        <v>10.79</v>
      </c>
      <c r="M290" s="11">
        <v>9.8944299999999998</v>
      </c>
      <c r="N290" s="11">
        <f t="shared" si="16"/>
        <v>9.8949999999999996</v>
      </c>
      <c r="O290" s="6">
        <v>0.91700000000000004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0.88</v>
      </c>
      <c r="Z290" s="6">
        <v>0.80696000000000001</v>
      </c>
      <c r="AA290" s="6">
        <v>0.91700000000000004</v>
      </c>
      <c r="AB290" s="6">
        <v>-0.88000000000000078</v>
      </c>
      <c r="AC290" s="6">
        <v>0.88000000000000078</v>
      </c>
      <c r="AD290" s="22" t="s">
        <v>3140</v>
      </c>
      <c r="AE290" s="23">
        <f t="shared" si="17"/>
        <v>9.8949999999999996</v>
      </c>
      <c r="AF290" s="24">
        <f t="shared" si="18"/>
        <v>0</v>
      </c>
      <c r="AG290" s="23">
        <f t="shared" si="19"/>
        <v>1</v>
      </c>
    </row>
    <row r="291" spans="1:33" ht="12.5" customHeight="1" x14ac:dyDescent="0.25">
      <c r="A291" s="12" t="s">
        <v>31</v>
      </c>
      <c r="B291" s="9">
        <v>46177</v>
      </c>
      <c r="C291" s="13" t="s">
        <v>490</v>
      </c>
      <c r="D291" s="10" t="s">
        <v>493</v>
      </c>
      <c r="E291" s="10" t="s">
        <v>51</v>
      </c>
      <c r="F291" s="10" t="s">
        <v>35</v>
      </c>
      <c r="G291" s="10" t="s">
        <v>3146</v>
      </c>
      <c r="H291" s="8" t="s">
        <v>36</v>
      </c>
      <c r="I291" s="11">
        <v>12.23</v>
      </c>
      <c r="J291" s="6">
        <v>11.21491</v>
      </c>
      <c r="K291" s="6">
        <v>0.91699999999999993</v>
      </c>
      <c r="L291" s="6">
        <v>12.23</v>
      </c>
      <c r="M291" s="11">
        <v>11.21491</v>
      </c>
      <c r="N291" s="11">
        <f t="shared" si="16"/>
        <v>11.215</v>
      </c>
      <c r="O291" s="6">
        <v>0.91699999999999993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23" t="s">
        <v>3143</v>
      </c>
      <c r="AE291" s="23">
        <f t="shared" si="17"/>
        <v>10.664999999999999</v>
      </c>
      <c r="AF291" s="24">
        <f t="shared" si="18"/>
        <v>0.55000000000000071</v>
      </c>
      <c r="AG291" s="23">
        <f t="shared" si="19"/>
        <v>2</v>
      </c>
    </row>
    <row r="292" spans="1:33" x14ac:dyDescent="0.25">
      <c r="A292" s="12" t="s">
        <v>31</v>
      </c>
      <c r="B292" s="9">
        <v>46177</v>
      </c>
      <c r="C292" s="10" t="s">
        <v>494</v>
      </c>
      <c r="D292" s="10" t="s">
        <v>495</v>
      </c>
      <c r="E292" s="10" t="s">
        <v>51</v>
      </c>
      <c r="F292" s="10" t="s">
        <v>35</v>
      </c>
      <c r="G292" s="10" t="s">
        <v>3146</v>
      </c>
      <c r="H292" s="8" t="s">
        <v>36</v>
      </c>
      <c r="I292" s="11">
        <v>24.7</v>
      </c>
      <c r="J292" s="6">
        <v>22.649899999999999</v>
      </c>
      <c r="K292" s="6">
        <v>0.91699999999999993</v>
      </c>
      <c r="L292" s="6">
        <v>24.5</v>
      </c>
      <c r="M292" s="11">
        <v>22.4665</v>
      </c>
      <c r="N292" s="11">
        <f t="shared" si="16"/>
        <v>22.467000000000002</v>
      </c>
      <c r="O292" s="6">
        <v>0.91700000000000004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0.2</v>
      </c>
      <c r="Z292" s="6">
        <v>0.18340000000000001</v>
      </c>
      <c r="AA292" s="6">
        <v>0.91700000000000004</v>
      </c>
      <c r="AB292" s="6">
        <v>-0.19999999999999929</v>
      </c>
      <c r="AC292" s="6">
        <v>0.19999999999999929</v>
      </c>
      <c r="AD292" s="22" t="s">
        <v>3140</v>
      </c>
      <c r="AE292" s="23">
        <f t="shared" si="17"/>
        <v>22.467000000000002</v>
      </c>
      <c r="AF292" s="24">
        <f t="shared" si="18"/>
        <v>0</v>
      </c>
      <c r="AG292" s="23">
        <f t="shared" si="19"/>
        <v>1</v>
      </c>
    </row>
    <row r="293" spans="1:33" ht="20" hidden="1" customHeight="1" x14ac:dyDescent="0.25">
      <c r="A293" s="12" t="s">
        <v>31</v>
      </c>
      <c r="B293" s="9">
        <v>46177</v>
      </c>
      <c r="C293" s="10" t="s">
        <v>496</v>
      </c>
      <c r="D293" s="10" t="s">
        <v>497</v>
      </c>
      <c r="E293" s="10" t="s">
        <v>51</v>
      </c>
      <c r="F293" s="10" t="s">
        <v>35</v>
      </c>
      <c r="G293" s="10" t="s">
        <v>3145</v>
      </c>
      <c r="H293" s="8" t="s">
        <v>48</v>
      </c>
      <c r="I293" s="11">
        <v>166.98</v>
      </c>
      <c r="J293" s="6">
        <v>125.235</v>
      </c>
      <c r="K293" s="6">
        <v>0.75</v>
      </c>
      <c r="L293" s="6">
        <v>157</v>
      </c>
      <c r="M293" s="11">
        <v>117.75</v>
      </c>
      <c r="N293" s="11">
        <f t="shared" si="16"/>
        <v>117.75</v>
      </c>
      <c r="O293" s="6">
        <v>0.75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9.98</v>
      </c>
      <c r="Z293" s="6">
        <v>7.4850000000000003</v>
      </c>
      <c r="AA293" s="6">
        <v>0.75</v>
      </c>
      <c r="AB293" s="6">
        <v>-9.9799999999999898</v>
      </c>
      <c r="AC293" s="6">
        <v>9.9799999999999898</v>
      </c>
      <c r="AD293" s="22" t="s">
        <v>3140</v>
      </c>
      <c r="AE293" s="23">
        <f t="shared" si="17"/>
        <v>117.75</v>
      </c>
      <c r="AF293" s="24">
        <f t="shared" si="18"/>
        <v>0</v>
      </c>
      <c r="AG293" s="23">
        <f t="shared" si="19"/>
        <v>1</v>
      </c>
    </row>
    <row r="294" spans="1:33" hidden="1" x14ac:dyDescent="0.25">
      <c r="A294" s="12" t="s">
        <v>31</v>
      </c>
      <c r="B294" s="9">
        <v>46177</v>
      </c>
      <c r="C294" s="10" t="s">
        <v>498</v>
      </c>
      <c r="D294" s="10" t="s">
        <v>499</v>
      </c>
      <c r="E294" s="10" t="s">
        <v>51</v>
      </c>
      <c r="F294" s="10" t="s">
        <v>35</v>
      </c>
      <c r="G294" s="10" t="s">
        <v>3145</v>
      </c>
      <c r="H294" s="8" t="s">
        <v>41</v>
      </c>
      <c r="I294" s="11">
        <v>13.29</v>
      </c>
      <c r="J294" s="6">
        <v>9.9674999999999994</v>
      </c>
      <c r="K294" s="6">
        <v>0.75</v>
      </c>
      <c r="L294" s="6">
        <v>12.75</v>
      </c>
      <c r="M294" s="11">
        <v>9.5625</v>
      </c>
      <c r="N294" s="11">
        <f t="shared" si="16"/>
        <v>9.5629999999999988</v>
      </c>
      <c r="O294" s="6">
        <v>0.75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0.54</v>
      </c>
      <c r="Z294" s="6">
        <v>0.40500000000000003</v>
      </c>
      <c r="AA294" s="6">
        <v>0.75</v>
      </c>
      <c r="AB294" s="6">
        <v>-0.53999999999999915</v>
      </c>
      <c r="AC294" s="6">
        <v>0.53999999999999915</v>
      </c>
      <c r="AD294" s="22" t="s">
        <v>3140</v>
      </c>
      <c r="AE294" s="23">
        <f t="shared" si="17"/>
        <v>9.5629999999999988</v>
      </c>
      <c r="AF294" s="24">
        <f t="shared" si="18"/>
        <v>0</v>
      </c>
      <c r="AG294" s="23">
        <f t="shared" si="19"/>
        <v>1</v>
      </c>
    </row>
    <row r="295" spans="1:33" hidden="1" x14ac:dyDescent="0.25">
      <c r="A295" s="12" t="s">
        <v>31</v>
      </c>
      <c r="B295" s="9">
        <v>46177</v>
      </c>
      <c r="C295" s="10" t="s">
        <v>500</v>
      </c>
      <c r="D295" s="10" t="s">
        <v>501</v>
      </c>
      <c r="E295" s="10" t="s">
        <v>51</v>
      </c>
      <c r="F295" s="10" t="s">
        <v>35</v>
      </c>
      <c r="G295" s="10" t="s">
        <v>3145</v>
      </c>
      <c r="H295" s="8" t="s">
        <v>41</v>
      </c>
      <c r="I295" s="11">
        <v>204.22</v>
      </c>
      <c r="J295" s="6">
        <v>153.16499999999999</v>
      </c>
      <c r="K295" s="6">
        <v>0.75</v>
      </c>
      <c r="L295" s="6">
        <v>188.4</v>
      </c>
      <c r="M295" s="11">
        <v>141.30000000000001</v>
      </c>
      <c r="N295" s="11">
        <f t="shared" si="16"/>
        <v>141.30000000000001</v>
      </c>
      <c r="O295" s="6">
        <v>0.75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15.82</v>
      </c>
      <c r="Z295" s="6">
        <v>11.865</v>
      </c>
      <c r="AA295" s="6">
        <v>0.75</v>
      </c>
      <c r="AB295" s="6">
        <v>-15.819999999999993</v>
      </c>
      <c r="AC295" s="6">
        <v>15.819999999999993</v>
      </c>
      <c r="AD295" s="22" t="s">
        <v>3140</v>
      </c>
      <c r="AE295" s="23">
        <f t="shared" si="17"/>
        <v>141.30000000000001</v>
      </c>
      <c r="AF295" s="24">
        <f t="shared" si="18"/>
        <v>0</v>
      </c>
      <c r="AG295" s="23">
        <f t="shared" si="19"/>
        <v>1</v>
      </c>
    </row>
    <row r="296" spans="1:33" hidden="1" x14ac:dyDescent="0.25">
      <c r="A296" s="12" t="s">
        <v>31</v>
      </c>
      <c r="B296" s="9">
        <v>46177</v>
      </c>
      <c r="C296" s="10" t="s">
        <v>502</v>
      </c>
      <c r="D296" s="10" t="s">
        <v>503</v>
      </c>
      <c r="E296" s="10" t="s">
        <v>51</v>
      </c>
      <c r="F296" s="10" t="s">
        <v>35</v>
      </c>
      <c r="G296" s="10" t="s">
        <v>3145</v>
      </c>
      <c r="H296" s="8" t="s">
        <v>41</v>
      </c>
      <c r="I296" s="11">
        <v>9.58</v>
      </c>
      <c r="J296" s="6">
        <v>7.1849999999999996</v>
      </c>
      <c r="K296" s="6">
        <v>0.75</v>
      </c>
      <c r="L296" s="6">
        <v>9.14</v>
      </c>
      <c r="M296" s="11">
        <v>6.8550000000000004</v>
      </c>
      <c r="N296" s="11">
        <f t="shared" si="16"/>
        <v>6.8550000000000004</v>
      </c>
      <c r="O296" s="6">
        <v>0.75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0.44</v>
      </c>
      <c r="Z296" s="6">
        <v>0.33</v>
      </c>
      <c r="AA296" s="6">
        <v>0.75</v>
      </c>
      <c r="AB296" s="6">
        <v>-0.4399999999999995</v>
      </c>
      <c r="AC296" s="6">
        <v>0.4399999999999995</v>
      </c>
      <c r="AD296" s="22" t="s">
        <v>3140</v>
      </c>
      <c r="AE296" s="23">
        <f t="shared" si="17"/>
        <v>6.8550000000000004</v>
      </c>
      <c r="AF296" s="24">
        <f t="shared" si="18"/>
        <v>0</v>
      </c>
      <c r="AG296" s="23">
        <f t="shared" si="19"/>
        <v>1</v>
      </c>
    </row>
    <row r="297" spans="1:33" hidden="1" x14ac:dyDescent="0.25">
      <c r="A297" s="12" t="s">
        <v>31</v>
      </c>
      <c r="B297" s="9">
        <v>46177</v>
      </c>
      <c r="C297" s="10" t="s">
        <v>504</v>
      </c>
      <c r="D297" s="10" t="s">
        <v>322</v>
      </c>
      <c r="E297" s="10" t="s">
        <v>51</v>
      </c>
      <c r="F297" s="10" t="s">
        <v>35</v>
      </c>
      <c r="G297" s="10" t="s">
        <v>3145</v>
      </c>
      <c r="H297" s="8" t="s">
        <v>41</v>
      </c>
      <c r="I297" s="11">
        <v>13.5</v>
      </c>
      <c r="J297" s="6">
        <v>10.125</v>
      </c>
      <c r="K297" s="6">
        <v>0.75</v>
      </c>
      <c r="L297" s="6">
        <v>13.5</v>
      </c>
      <c r="M297" s="11">
        <v>10.125</v>
      </c>
      <c r="N297" s="11">
        <f t="shared" si="16"/>
        <v>10.125</v>
      </c>
      <c r="O297" s="6">
        <v>0.75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22" t="s">
        <v>3143</v>
      </c>
      <c r="AE297" s="23">
        <f t="shared" si="17"/>
        <v>10.125</v>
      </c>
      <c r="AF297" s="24">
        <f t="shared" si="18"/>
        <v>0</v>
      </c>
      <c r="AG297" s="23">
        <f t="shared" si="19"/>
        <v>2</v>
      </c>
    </row>
    <row r="298" spans="1:33" x14ac:dyDescent="0.25">
      <c r="A298" s="12" t="s">
        <v>31</v>
      </c>
      <c r="B298" s="9">
        <v>46177</v>
      </c>
      <c r="C298" s="10" t="s">
        <v>505</v>
      </c>
      <c r="D298" s="10" t="s">
        <v>506</v>
      </c>
      <c r="E298" s="10" t="s">
        <v>51</v>
      </c>
      <c r="F298" s="10" t="s">
        <v>35</v>
      </c>
      <c r="G298" s="10" t="s">
        <v>3146</v>
      </c>
      <c r="H298" s="8" t="s">
        <v>36</v>
      </c>
      <c r="I298" s="11">
        <v>78.62</v>
      </c>
      <c r="J298" s="6">
        <v>72.094539999999995</v>
      </c>
      <c r="K298" s="6">
        <v>0.91699999999999993</v>
      </c>
      <c r="L298" s="6">
        <v>75.7</v>
      </c>
      <c r="M298" s="11">
        <v>69.416899999999998</v>
      </c>
      <c r="N298" s="11">
        <f t="shared" si="16"/>
        <v>69.417000000000002</v>
      </c>
      <c r="O298" s="6">
        <v>0.91699999999999993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2.92</v>
      </c>
      <c r="Z298" s="6">
        <v>2.6776399999999998</v>
      </c>
      <c r="AA298" s="6">
        <v>0.91699999999999993</v>
      </c>
      <c r="AB298" s="6">
        <v>-2.9200000000000017</v>
      </c>
      <c r="AC298" s="6">
        <v>2.9200000000000017</v>
      </c>
      <c r="AD298" s="22" t="s">
        <v>3140</v>
      </c>
      <c r="AE298" s="23">
        <f t="shared" si="17"/>
        <v>69.417000000000002</v>
      </c>
      <c r="AF298" s="24">
        <f t="shared" si="18"/>
        <v>0</v>
      </c>
      <c r="AG298" s="23">
        <f t="shared" si="19"/>
        <v>1</v>
      </c>
    </row>
    <row r="299" spans="1:33" ht="20" hidden="1" customHeight="1" x14ac:dyDescent="0.25">
      <c r="A299" s="12" t="s">
        <v>31</v>
      </c>
      <c r="B299" s="9">
        <v>46177</v>
      </c>
      <c r="C299" s="10" t="s">
        <v>507</v>
      </c>
      <c r="D299" s="10" t="s">
        <v>508</v>
      </c>
      <c r="E299" s="10" t="s">
        <v>51</v>
      </c>
      <c r="F299" s="10" t="s">
        <v>35</v>
      </c>
      <c r="G299" s="10" t="s">
        <v>3145</v>
      </c>
      <c r="H299" s="8" t="s">
        <v>48</v>
      </c>
      <c r="I299" s="11">
        <v>16.23</v>
      </c>
      <c r="J299" s="6">
        <v>12.172499999999999</v>
      </c>
      <c r="K299" s="6">
        <v>0.75</v>
      </c>
      <c r="L299" s="6">
        <v>14.98</v>
      </c>
      <c r="M299" s="11">
        <v>11.234999999999999</v>
      </c>
      <c r="N299" s="11">
        <f t="shared" si="16"/>
        <v>11.234999999999999</v>
      </c>
      <c r="O299" s="6">
        <v>0.74999999999999989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1.25</v>
      </c>
      <c r="Z299" s="6">
        <v>0.9375</v>
      </c>
      <c r="AA299" s="6">
        <v>0.75</v>
      </c>
      <c r="AB299" s="6">
        <v>-1.25</v>
      </c>
      <c r="AC299" s="6">
        <v>1.25</v>
      </c>
      <c r="AD299" s="22" t="s">
        <v>3140</v>
      </c>
      <c r="AE299" s="23">
        <f t="shared" si="17"/>
        <v>11.234999999999999</v>
      </c>
      <c r="AF299" s="24">
        <f t="shared" si="18"/>
        <v>0</v>
      </c>
      <c r="AG299" s="23">
        <f t="shared" si="19"/>
        <v>2</v>
      </c>
    </row>
    <row r="300" spans="1:33" hidden="1" x14ac:dyDescent="0.25">
      <c r="A300" s="12" t="s">
        <v>31</v>
      </c>
      <c r="B300" s="9">
        <v>46177</v>
      </c>
      <c r="C300" s="10" t="s">
        <v>509</v>
      </c>
      <c r="D300" s="10" t="s">
        <v>510</v>
      </c>
      <c r="E300" s="10" t="s">
        <v>51</v>
      </c>
      <c r="F300" s="10" t="s">
        <v>35</v>
      </c>
      <c r="G300" s="10" t="s">
        <v>3145</v>
      </c>
      <c r="H300" s="8" t="s">
        <v>41</v>
      </c>
      <c r="I300" s="11">
        <v>128.11000000000001</v>
      </c>
      <c r="J300" s="6">
        <v>96.082499999999996</v>
      </c>
      <c r="K300" s="6">
        <v>0.74999999999999989</v>
      </c>
      <c r="L300" s="6">
        <v>107.56</v>
      </c>
      <c r="M300" s="11">
        <v>80.67</v>
      </c>
      <c r="N300" s="11">
        <f t="shared" si="16"/>
        <v>80.67</v>
      </c>
      <c r="O300" s="6">
        <v>0.75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20.55</v>
      </c>
      <c r="Z300" s="6">
        <v>15.4125</v>
      </c>
      <c r="AA300" s="6">
        <v>0.75</v>
      </c>
      <c r="AB300" s="6">
        <v>-20.550000000000011</v>
      </c>
      <c r="AC300" s="6">
        <v>20.550000000000011</v>
      </c>
      <c r="AD300" s="22" t="s">
        <v>3140</v>
      </c>
      <c r="AE300" s="23">
        <f t="shared" si="17"/>
        <v>80.67</v>
      </c>
      <c r="AF300" s="24">
        <f t="shared" si="18"/>
        <v>0</v>
      </c>
      <c r="AG300" s="23">
        <f t="shared" si="19"/>
        <v>1</v>
      </c>
    </row>
    <row r="301" spans="1:33" x14ac:dyDescent="0.25">
      <c r="A301" s="12" t="s">
        <v>31</v>
      </c>
      <c r="B301" s="9">
        <v>46177</v>
      </c>
      <c r="C301" s="10" t="s">
        <v>511</v>
      </c>
      <c r="D301" s="10" t="s">
        <v>301</v>
      </c>
      <c r="E301" s="10" t="s">
        <v>51</v>
      </c>
      <c r="F301" s="10" t="s">
        <v>35</v>
      </c>
      <c r="G301" s="10" t="s">
        <v>3146</v>
      </c>
      <c r="H301" s="8" t="s">
        <v>36</v>
      </c>
      <c r="I301" s="11">
        <v>39.78</v>
      </c>
      <c r="J301" s="6">
        <v>36.478259999999999</v>
      </c>
      <c r="K301" s="6">
        <v>0.91699999999999993</v>
      </c>
      <c r="L301" s="6">
        <v>39.78</v>
      </c>
      <c r="M301" s="11">
        <v>36.478259999999999</v>
      </c>
      <c r="N301" s="11">
        <f t="shared" si="16"/>
        <v>36.478999999999999</v>
      </c>
      <c r="O301" s="6">
        <v>0.91699999999999993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22" t="s">
        <v>3140</v>
      </c>
      <c r="AE301" s="23">
        <f t="shared" si="17"/>
        <v>36.478999999999999</v>
      </c>
      <c r="AF301" s="24">
        <f t="shared" si="18"/>
        <v>0</v>
      </c>
      <c r="AG301" s="23">
        <f t="shared" si="19"/>
        <v>2</v>
      </c>
    </row>
    <row r="302" spans="1:33" ht="12.5" customHeight="1" x14ac:dyDescent="0.25">
      <c r="A302" s="12" t="s">
        <v>31</v>
      </c>
      <c r="B302" s="9">
        <v>46177</v>
      </c>
      <c r="C302" s="8" t="s">
        <v>512</v>
      </c>
      <c r="D302" s="10" t="s">
        <v>513</v>
      </c>
      <c r="E302" s="10" t="s">
        <v>51</v>
      </c>
      <c r="F302" s="10" t="s">
        <v>35</v>
      </c>
      <c r="G302" s="10" t="s">
        <v>3146</v>
      </c>
      <c r="H302" s="8" t="s">
        <v>36</v>
      </c>
      <c r="I302" s="11">
        <v>6.21</v>
      </c>
      <c r="J302" s="6">
        <v>5.6945699999999997</v>
      </c>
      <c r="K302" s="6">
        <v>0.91699999999999993</v>
      </c>
      <c r="L302" s="6">
        <v>5.78</v>
      </c>
      <c r="M302" s="11">
        <v>5.3002599999999997</v>
      </c>
      <c r="N302" s="11">
        <f t="shared" si="16"/>
        <v>5.3010000000000002</v>
      </c>
      <c r="O302" s="6">
        <v>0.91699999999999993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0.43</v>
      </c>
      <c r="Z302" s="6">
        <v>0.39430999999999999</v>
      </c>
      <c r="AA302" s="6">
        <v>0.91700000000000004</v>
      </c>
      <c r="AB302" s="6">
        <v>-0.42999999999999972</v>
      </c>
      <c r="AC302" s="6">
        <v>0.42999999999999972</v>
      </c>
      <c r="AD302" s="22" t="s">
        <v>3140</v>
      </c>
      <c r="AE302" s="23">
        <f t="shared" si="17"/>
        <v>5.3010000000000002</v>
      </c>
      <c r="AF302" s="24">
        <f t="shared" si="18"/>
        <v>0</v>
      </c>
      <c r="AG302" s="23">
        <f t="shared" si="19"/>
        <v>2</v>
      </c>
    </row>
    <row r="303" spans="1:33" ht="12.5" hidden="1" customHeight="1" x14ac:dyDescent="0.25">
      <c r="A303" s="12" t="s">
        <v>31</v>
      </c>
      <c r="B303" s="9">
        <v>46177</v>
      </c>
      <c r="C303" s="12" t="s">
        <v>512</v>
      </c>
      <c r="D303" s="10" t="s">
        <v>514</v>
      </c>
      <c r="E303" s="10" t="s">
        <v>51</v>
      </c>
      <c r="F303" s="10" t="s">
        <v>35</v>
      </c>
      <c r="G303" s="10" t="s">
        <v>3145</v>
      </c>
      <c r="H303" s="8" t="s">
        <v>48</v>
      </c>
      <c r="I303" s="11">
        <v>23.33</v>
      </c>
      <c r="J303" s="6">
        <v>17.497499999999999</v>
      </c>
      <c r="K303" s="6">
        <v>0.75</v>
      </c>
      <c r="L303" s="6">
        <v>20.66</v>
      </c>
      <c r="M303" s="11">
        <v>15.494999999999999</v>
      </c>
      <c r="N303" s="11">
        <f t="shared" si="16"/>
        <v>15.494999999999999</v>
      </c>
      <c r="O303" s="6">
        <v>0.75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2.67</v>
      </c>
      <c r="Z303" s="6">
        <v>2.0024999999999999</v>
      </c>
      <c r="AA303" s="6">
        <v>0.75</v>
      </c>
      <c r="AB303" s="6">
        <v>-2.6699999999999982</v>
      </c>
      <c r="AC303" s="6">
        <v>2.6699999999999982</v>
      </c>
      <c r="AD303" s="22" t="s">
        <v>3140</v>
      </c>
      <c r="AE303" s="23">
        <f t="shared" si="17"/>
        <v>15.494999999999999</v>
      </c>
      <c r="AF303" s="24">
        <f t="shared" si="18"/>
        <v>0</v>
      </c>
      <c r="AG303" s="23">
        <f t="shared" si="19"/>
        <v>1</v>
      </c>
    </row>
    <row r="304" spans="1:33" ht="12.5" hidden="1" customHeight="1" x14ac:dyDescent="0.25">
      <c r="A304" s="12" t="s">
        <v>31</v>
      </c>
      <c r="B304" s="9">
        <v>46177</v>
      </c>
      <c r="C304" s="12" t="s">
        <v>512</v>
      </c>
      <c r="D304" s="10" t="s">
        <v>515</v>
      </c>
      <c r="E304" s="10" t="s">
        <v>51</v>
      </c>
      <c r="F304" s="10" t="s">
        <v>35</v>
      </c>
      <c r="G304" s="10" t="s">
        <v>3145</v>
      </c>
      <c r="H304" s="8" t="s">
        <v>41</v>
      </c>
      <c r="I304" s="11">
        <v>29.2</v>
      </c>
      <c r="J304" s="6">
        <v>21.9</v>
      </c>
      <c r="K304" s="6">
        <v>0.75</v>
      </c>
      <c r="L304" s="6">
        <v>26.46</v>
      </c>
      <c r="M304" s="11">
        <v>19.844999999999999</v>
      </c>
      <c r="N304" s="11">
        <f t="shared" si="16"/>
        <v>19.844999999999999</v>
      </c>
      <c r="O304" s="6">
        <v>0.74999999999999989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2.74</v>
      </c>
      <c r="Z304" s="6">
        <v>2.0550000000000002</v>
      </c>
      <c r="AA304" s="6">
        <v>0.75</v>
      </c>
      <c r="AB304" s="6">
        <v>-2.7399999999999984</v>
      </c>
      <c r="AC304" s="6">
        <v>2.7399999999999984</v>
      </c>
      <c r="AD304" s="22" t="s">
        <v>3140</v>
      </c>
      <c r="AE304" s="23">
        <f t="shared" si="17"/>
        <v>19.844999999999999</v>
      </c>
      <c r="AF304" s="24">
        <f t="shared" si="18"/>
        <v>0</v>
      </c>
      <c r="AG304" s="23">
        <f t="shared" si="19"/>
        <v>1</v>
      </c>
    </row>
    <row r="305" spans="1:33" ht="12.5" hidden="1" customHeight="1" x14ac:dyDescent="0.25">
      <c r="A305" s="12" t="s">
        <v>31</v>
      </c>
      <c r="B305" s="9">
        <v>46177</v>
      </c>
      <c r="C305" s="13" t="s">
        <v>512</v>
      </c>
      <c r="D305" s="10" t="s">
        <v>516</v>
      </c>
      <c r="E305" s="10" t="s">
        <v>51</v>
      </c>
      <c r="F305" s="10" t="s">
        <v>35</v>
      </c>
      <c r="G305" s="10" t="s">
        <v>3145</v>
      </c>
      <c r="H305" s="8" t="s">
        <v>48</v>
      </c>
      <c r="I305" s="11">
        <v>15.97</v>
      </c>
      <c r="J305" s="6">
        <v>11.977499999999999</v>
      </c>
      <c r="K305" s="6">
        <v>0.74999999999999989</v>
      </c>
      <c r="L305" s="6">
        <v>14.55</v>
      </c>
      <c r="M305" s="11">
        <v>10.9125</v>
      </c>
      <c r="N305" s="11">
        <f t="shared" si="16"/>
        <v>10.913</v>
      </c>
      <c r="O305" s="6">
        <v>0.74999999999999989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1.42</v>
      </c>
      <c r="Z305" s="6">
        <v>1.0649999999999999</v>
      </c>
      <c r="AA305" s="6">
        <v>0.75</v>
      </c>
      <c r="AB305" s="6">
        <v>-1.42</v>
      </c>
      <c r="AC305" s="6">
        <v>1.42</v>
      </c>
      <c r="AD305" s="22" t="s">
        <v>3140</v>
      </c>
      <c r="AE305" s="23">
        <f t="shared" si="17"/>
        <v>10.913</v>
      </c>
      <c r="AF305" s="24">
        <f t="shared" si="18"/>
        <v>0</v>
      </c>
      <c r="AG305" s="23">
        <f t="shared" si="19"/>
        <v>1</v>
      </c>
    </row>
    <row r="306" spans="1:33" ht="20" hidden="1" customHeight="1" x14ac:dyDescent="0.25">
      <c r="A306" s="12" t="s">
        <v>31</v>
      </c>
      <c r="B306" s="9">
        <v>46177</v>
      </c>
      <c r="C306" s="10" t="s">
        <v>517</v>
      </c>
      <c r="D306" s="10" t="s">
        <v>518</v>
      </c>
      <c r="E306" s="10" t="s">
        <v>51</v>
      </c>
      <c r="F306" s="10" t="s">
        <v>35</v>
      </c>
      <c r="G306" s="10" t="s">
        <v>3145</v>
      </c>
      <c r="H306" s="8" t="s">
        <v>48</v>
      </c>
      <c r="I306" s="11">
        <v>15.75</v>
      </c>
      <c r="J306" s="6">
        <v>11.8125</v>
      </c>
      <c r="K306" s="6">
        <v>0.75</v>
      </c>
      <c r="L306" s="6">
        <v>14.53</v>
      </c>
      <c r="M306" s="11">
        <v>10.897500000000001</v>
      </c>
      <c r="N306" s="11">
        <f t="shared" si="16"/>
        <v>10.898</v>
      </c>
      <c r="O306" s="6">
        <v>0.75000000000000011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1.22</v>
      </c>
      <c r="Z306" s="6">
        <v>0.91500000000000004</v>
      </c>
      <c r="AA306" s="6">
        <v>0.75</v>
      </c>
      <c r="AB306" s="6">
        <v>-1.2200000000000006</v>
      </c>
      <c r="AC306" s="6">
        <v>1.2200000000000006</v>
      </c>
      <c r="AD306" s="22" t="s">
        <v>3140</v>
      </c>
      <c r="AE306" s="23">
        <f t="shared" si="17"/>
        <v>10.898</v>
      </c>
      <c r="AF306" s="24">
        <f t="shared" si="18"/>
        <v>0</v>
      </c>
      <c r="AG306" s="23">
        <f t="shared" si="19"/>
        <v>1</v>
      </c>
    </row>
    <row r="307" spans="1:33" ht="20" hidden="1" customHeight="1" x14ac:dyDescent="0.25">
      <c r="A307" s="12" t="s">
        <v>31</v>
      </c>
      <c r="B307" s="9">
        <v>46177</v>
      </c>
      <c r="C307" s="10" t="s">
        <v>519</v>
      </c>
      <c r="D307" s="10" t="s">
        <v>520</v>
      </c>
      <c r="E307" s="10" t="s">
        <v>51</v>
      </c>
      <c r="F307" s="10" t="s">
        <v>35</v>
      </c>
      <c r="G307" s="10" t="s">
        <v>3145</v>
      </c>
      <c r="H307" s="8" t="s">
        <v>48</v>
      </c>
      <c r="I307" s="11">
        <v>26.349</v>
      </c>
      <c r="J307" s="6">
        <v>19.761749999999999</v>
      </c>
      <c r="K307" s="6">
        <v>0.75</v>
      </c>
      <c r="L307" s="6">
        <v>24.009</v>
      </c>
      <c r="M307" s="11">
        <v>18.00675</v>
      </c>
      <c r="N307" s="11">
        <f t="shared" si="16"/>
        <v>18.007000000000001</v>
      </c>
      <c r="O307" s="6">
        <v>0.75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2.34</v>
      </c>
      <c r="Z307" s="6">
        <v>1.7549999999999999</v>
      </c>
      <c r="AA307" s="6">
        <v>0.75</v>
      </c>
      <c r="AB307" s="6">
        <v>-2.34</v>
      </c>
      <c r="AC307" s="6">
        <v>2.34</v>
      </c>
      <c r="AD307" s="23" t="s">
        <v>3143</v>
      </c>
      <c r="AE307" s="23">
        <f t="shared" si="17"/>
        <v>14.045999999999999</v>
      </c>
      <c r="AF307" s="24">
        <f t="shared" si="18"/>
        <v>3.9610000000000021</v>
      </c>
      <c r="AG307" s="23">
        <f t="shared" si="19"/>
        <v>2</v>
      </c>
    </row>
    <row r="308" spans="1:33" ht="12.5" customHeight="1" x14ac:dyDescent="0.25">
      <c r="A308" s="12" t="s">
        <v>31</v>
      </c>
      <c r="B308" s="9">
        <v>46177</v>
      </c>
      <c r="C308" s="8" t="s">
        <v>521</v>
      </c>
      <c r="D308" s="10" t="s">
        <v>522</v>
      </c>
      <c r="E308" s="10" t="s">
        <v>51</v>
      </c>
      <c r="F308" s="10" t="s">
        <v>35</v>
      </c>
      <c r="G308" s="10" t="s">
        <v>3146</v>
      </c>
      <c r="H308" s="8" t="s">
        <v>36</v>
      </c>
      <c r="I308" s="11">
        <v>36.58</v>
      </c>
      <c r="J308" s="6">
        <v>33.543860000000002</v>
      </c>
      <c r="K308" s="6">
        <v>0.91700000000000015</v>
      </c>
      <c r="L308" s="6">
        <v>34.409999999999997</v>
      </c>
      <c r="M308" s="11">
        <v>31.55397</v>
      </c>
      <c r="N308" s="11">
        <f t="shared" si="16"/>
        <v>31.554000000000002</v>
      </c>
      <c r="O308" s="6">
        <v>0.91700000000000004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2.17</v>
      </c>
      <c r="Z308" s="6">
        <v>1.9898899999999999</v>
      </c>
      <c r="AA308" s="6">
        <v>0.91700000000000004</v>
      </c>
      <c r="AB308" s="6">
        <v>-2.1700000000000017</v>
      </c>
      <c r="AC308" s="6">
        <v>2.1700000000000017</v>
      </c>
      <c r="AD308" s="22" t="s">
        <v>3140</v>
      </c>
      <c r="AE308" s="23">
        <f t="shared" si="17"/>
        <v>31.554000000000002</v>
      </c>
      <c r="AF308" s="24">
        <f t="shared" si="18"/>
        <v>0</v>
      </c>
      <c r="AG308" s="23">
        <f t="shared" si="19"/>
        <v>1</v>
      </c>
    </row>
    <row r="309" spans="1:33" ht="12.5" hidden="1" customHeight="1" x14ac:dyDescent="0.25">
      <c r="A309" s="12" t="s">
        <v>31</v>
      </c>
      <c r="B309" s="9">
        <v>46177</v>
      </c>
      <c r="C309" s="13" t="s">
        <v>521</v>
      </c>
      <c r="D309" s="10" t="s">
        <v>523</v>
      </c>
      <c r="E309" s="10" t="s">
        <v>51</v>
      </c>
      <c r="F309" s="10" t="s">
        <v>35</v>
      </c>
      <c r="G309" s="10" t="s">
        <v>3145</v>
      </c>
      <c r="H309" s="8" t="s">
        <v>41</v>
      </c>
      <c r="I309" s="11">
        <v>27.32</v>
      </c>
      <c r="J309" s="6">
        <v>20.49</v>
      </c>
      <c r="K309" s="6">
        <v>0.74999999999999989</v>
      </c>
      <c r="L309" s="6">
        <v>26.33</v>
      </c>
      <c r="M309" s="11">
        <v>19.747499999999999</v>
      </c>
      <c r="N309" s="11">
        <f t="shared" si="16"/>
        <v>19.748000000000001</v>
      </c>
      <c r="O309" s="6">
        <v>0.75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0.99</v>
      </c>
      <c r="Z309" s="6">
        <v>0.74250000000000005</v>
      </c>
      <c r="AA309" s="6">
        <v>0.75000000000000011</v>
      </c>
      <c r="AB309" s="6">
        <v>-0.99000000000000199</v>
      </c>
      <c r="AC309" s="6">
        <v>0.99000000000000199</v>
      </c>
      <c r="AD309" s="22" t="s">
        <v>3140</v>
      </c>
      <c r="AE309" s="23">
        <f t="shared" si="17"/>
        <v>19.748000000000001</v>
      </c>
      <c r="AF309" s="24">
        <f t="shared" si="18"/>
        <v>0</v>
      </c>
      <c r="AG309" s="23">
        <f t="shared" si="19"/>
        <v>1</v>
      </c>
    </row>
    <row r="310" spans="1:33" ht="20" hidden="1" customHeight="1" x14ac:dyDescent="0.25">
      <c r="A310" s="12" t="s">
        <v>31</v>
      </c>
      <c r="B310" s="9">
        <v>46177</v>
      </c>
      <c r="C310" s="10" t="s">
        <v>524</v>
      </c>
      <c r="D310" s="10" t="s">
        <v>525</v>
      </c>
      <c r="E310" s="10" t="s">
        <v>51</v>
      </c>
      <c r="F310" s="10" t="s">
        <v>35</v>
      </c>
      <c r="G310" s="10" t="s">
        <v>3145</v>
      </c>
      <c r="H310" s="8" t="s">
        <v>48</v>
      </c>
      <c r="I310" s="11">
        <v>42.97</v>
      </c>
      <c r="J310" s="6">
        <v>32.227499999999999</v>
      </c>
      <c r="K310" s="6">
        <v>0.75</v>
      </c>
      <c r="L310" s="6">
        <v>39.82</v>
      </c>
      <c r="M310" s="11">
        <v>29.864999999999998</v>
      </c>
      <c r="N310" s="11">
        <f t="shared" si="16"/>
        <v>29.864999999999998</v>
      </c>
      <c r="O310" s="6">
        <v>0.75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3.15</v>
      </c>
      <c r="Z310" s="6">
        <v>2.3624999999999998</v>
      </c>
      <c r="AA310" s="6">
        <v>0.75</v>
      </c>
      <c r="AB310" s="6">
        <v>-3.1499999999999986</v>
      </c>
      <c r="AC310" s="6">
        <v>3.1499999999999986</v>
      </c>
      <c r="AD310" s="22" t="s">
        <v>3140</v>
      </c>
      <c r="AE310" s="23">
        <f t="shared" si="17"/>
        <v>29.864999999999998</v>
      </c>
      <c r="AF310" s="24">
        <f t="shared" si="18"/>
        <v>0</v>
      </c>
      <c r="AG310" s="23">
        <f t="shared" si="19"/>
        <v>1</v>
      </c>
    </row>
    <row r="311" spans="1:33" ht="20" hidden="1" customHeight="1" x14ac:dyDescent="0.25">
      <c r="A311" s="12" t="s">
        <v>31</v>
      </c>
      <c r="B311" s="9">
        <v>46177</v>
      </c>
      <c r="C311" s="10" t="s">
        <v>526</v>
      </c>
      <c r="D311" s="10" t="s">
        <v>527</v>
      </c>
      <c r="E311" s="10" t="s">
        <v>51</v>
      </c>
      <c r="F311" s="10" t="s">
        <v>35</v>
      </c>
      <c r="G311" s="10" t="s">
        <v>3145</v>
      </c>
      <c r="H311" s="8" t="s">
        <v>48</v>
      </c>
      <c r="I311" s="11">
        <v>19.95</v>
      </c>
      <c r="J311" s="6">
        <v>14.9625</v>
      </c>
      <c r="K311" s="6">
        <v>0.75</v>
      </c>
      <c r="L311" s="6">
        <v>18.8</v>
      </c>
      <c r="M311" s="11">
        <v>14.1</v>
      </c>
      <c r="N311" s="11">
        <f t="shared" si="16"/>
        <v>14.1</v>
      </c>
      <c r="O311" s="6">
        <v>0.75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1.1499999999999999</v>
      </c>
      <c r="Z311" s="6">
        <v>0.86250000000000004</v>
      </c>
      <c r="AA311" s="6">
        <v>0.75000000000000011</v>
      </c>
      <c r="AB311" s="6">
        <v>-1.1499999999999986</v>
      </c>
      <c r="AC311" s="6">
        <v>1.1499999999999986</v>
      </c>
      <c r="AD311" s="22" t="s">
        <v>3140</v>
      </c>
      <c r="AE311" s="23">
        <f t="shared" si="17"/>
        <v>14.1</v>
      </c>
      <c r="AF311" s="24">
        <f t="shared" si="18"/>
        <v>0</v>
      </c>
      <c r="AG311" s="23">
        <f t="shared" si="19"/>
        <v>1</v>
      </c>
    </row>
    <row r="312" spans="1:33" hidden="1" x14ac:dyDescent="0.25">
      <c r="A312" s="12" t="s">
        <v>31</v>
      </c>
      <c r="B312" s="9">
        <v>46177</v>
      </c>
      <c r="C312" s="10" t="s">
        <v>528</v>
      </c>
      <c r="D312" s="10" t="s">
        <v>529</v>
      </c>
      <c r="E312" s="10" t="s">
        <v>51</v>
      </c>
      <c r="F312" s="10" t="s">
        <v>35</v>
      </c>
      <c r="G312" s="10" t="s">
        <v>3145</v>
      </c>
      <c r="H312" s="8" t="s">
        <v>41</v>
      </c>
      <c r="I312" s="11">
        <v>39.29</v>
      </c>
      <c r="J312" s="6">
        <v>29.467500000000001</v>
      </c>
      <c r="K312" s="6">
        <v>0.75</v>
      </c>
      <c r="L312" s="6">
        <v>37.03</v>
      </c>
      <c r="M312" s="11">
        <v>27.772500000000001</v>
      </c>
      <c r="N312" s="11">
        <f t="shared" si="16"/>
        <v>27.773</v>
      </c>
      <c r="O312" s="6">
        <v>0.75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2.2599999999999998</v>
      </c>
      <c r="Z312" s="6">
        <v>1.6950000000000001</v>
      </c>
      <c r="AA312" s="6">
        <v>0.75000000000000011</v>
      </c>
      <c r="AB312" s="6">
        <v>-2.259999999999998</v>
      </c>
      <c r="AC312" s="6">
        <v>2.259999999999998</v>
      </c>
      <c r="AD312" s="22" t="s">
        <v>3140</v>
      </c>
      <c r="AE312" s="23">
        <f t="shared" si="17"/>
        <v>27.773</v>
      </c>
      <c r="AF312" s="24">
        <f t="shared" si="18"/>
        <v>0</v>
      </c>
      <c r="AG312" s="23">
        <f t="shared" si="19"/>
        <v>1</v>
      </c>
    </row>
    <row r="313" spans="1:33" ht="20" hidden="1" customHeight="1" x14ac:dyDescent="0.25">
      <c r="A313" s="12" t="s">
        <v>31</v>
      </c>
      <c r="B313" s="9">
        <v>46177</v>
      </c>
      <c r="C313" s="10" t="s">
        <v>530</v>
      </c>
      <c r="D313" s="10" t="s">
        <v>531</v>
      </c>
      <c r="E313" s="10" t="s">
        <v>51</v>
      </c>
      <c r="F313" s="10" t="s">
        <v>35</v>
      </c>
      <c r="G313" s="10" t="s">
        <v>3145</v>
      </c>
      <c r="H313" s="8" t="s">
        <v>48</v>
      </c>
      <c r="I313" s="11">
        <v>21.26</v>
      </c>
      <c r="J313" s="6">
        <v>15.945</v>
      </c>
      <c r="K313" s="6">
        <v>0.75</v>
      </c>
      <c r="L313" s="6">
        <v>20.18</v>
      </c>
      <c r="M313" s="11">
        <v>15.135</v>
      </c>
      <c r="N313" s="11">
        <f t="shared" si="16"/>
        <v>15.135</v>
      </c>
      <c r="O313" s="6">
        <v>0.75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1.08</v>
      </c>
      <c r="Z313" s="6">
        <v>0.81</v>
      </c>
      <c r="AA313" s="6">
        <v>0.75</v>
      </c>
      <c r="AB313" s="6">
        <v>-1.0800000000000018</v>
      </c>
      <c r="AC313" s="6">
        <v>1.0800000000000018</v>
      </c>
      <c r="AD313" s="22" t="s">
        <v>3140</v>
      </c>
      <c r="AE313" s="23">
        <f t="shared" si="17"/>
        <v>15.135</v>
      </c>
      <c r="AF313" s="24">
        <f t="shared" si="18"/>
        <v>0</v>
      </c>
      <c r="AG313" s="23">
        <f t="shared" si="19"/>
        <v>1</v>
      </c>
    </row>
    <row r="314" spans="1:33" x14ac:dyDescent="0.25">
      <c r="A314" s="12" t="s">
        <v>31</v>
      </c>
      <c r="B314" s="9">
        <v>46177</v>
      </c>
      <c r="C314" s="10" t="s">
        <v>532</v>
      </c>
      <c r="D314" s="10" t="s">
        <v>533</v>
      </c>
      <c r="E314" s="10" t="s">
        <v>51</v>
      </c>
      <c r="F314" s="10" t="s">
        <v>35</v>
      </c>
      <c r="G314" s="10" t="s">
        <v>3146</v>
      </c>
      <c r="H314" s="8" t="s">
        <v>36</v>
      </c>
      <c r="I314" s="11">
        <v>6.05</v>
      </c>
      <c r="J314" s="6">
        <v>5.5478500000000004</v>
      </c>
      <c r="K314" s="6">
        <v>0.91700000000000004</v>
      </c>
      <c r="L314" s="6">
        <v>5.82</v>
      </c>
      <c r="M314" s="11">
        <v>5.3369400000000002</v>
      </c>
      <c r="N314" s="11">
        <f t="shared" si="16"/>
        <v>5.3370000000000006</v>
      </c>
      <c r="O314" s="6">
        <v>0.91700000000000004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0.23</v>
      </c>
      <c r="Z314" s="6">
        <v>0.21090999999999999</v>
      </c>
      <c r="AA314" s="6">
        <v>0.91699999999999993</v>
      </c>
      <c r="AB314" s="6">
        <v>-0.22999999999999954</v>
      </c>
      <c r="AC314" s="6">
        <v>0.22999999999999954</v>
      </c>
      <c r="AD314" s="22" t="s">
        <v>3140</v>
      </c>
      <c r="AE314" s="23">
        <f t="shared" si="17"/>
        <v>5.3370000000000006</v>
      </c>
      <c r="AF314" s="24">
        <f t="shared" si="18"/>
        <v>0</v>
      </c>
      <c r="AG314" s="23">
        <f t="shared" si="19"/>
        <v>1</v>
      </c>
    </row>
    <row r="315" spans="1:33" x14ac:dyDescent="0.25">
      <c r="A315" s="12" t="s">
        <v>31</v>
      </c>
      <c r="B315" s="9">
        <v>46177</v>
      </c>
      <c r="C315" s="10" t="s">
        <v>534</v>
      </c>
      <c r="D315" s="10" t="s">
        <v>535</v>
      </c>
      <c r="E315" s="10" t="s">
        <v>51</v>
      </c>
      <c r="F315" s="10" t="s">
        <v>35</v>
      </c>
      <c r="G315" s="10" t="s">
        <v>3146</v>
      </c>
      <c r="H315" s="8" t="s">
        <v>36</v>
      </c>
      <c r="I315" s="11">
        <v>2.57</v>
      </c>
      <c r="J315" s="6">
        <v>2.35669</v>
      </c>
      <c r="K315" s="6">
        <v>0.91700000000000004</v>
      </c>
      <c r="L315" s="6">
        <v>2.5099999999999998</v>
      </c>
      <c r="M315" s="11">
        <v>2.3016700000000001</v>
      </c>
      <c r="N315" s="11">
        <f t="shared" si="16"/>
        <v>2.302</v>
      </c>
      <c r="O315" s="6">
        <v>0.91700000000000015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0.06</v>
      </c>
      <c r="Z315" s="6">
        <v>5.5019999999999999E-2</v>
      </c>
      <c r="AA315" s="6">
        <v>0.91700000000000004</v>
      </c>
      <c r="AB315" s="6">
        <v>-6.0000000000000053E-2</v>
      </c>
      <c r="AC315" s="6">
        <v>6.0000000000000053E-2</v>
      </c>
      <c r="AD315" s="22" t="s">
        <v>3140</v>
      </c>
      <c r="AE315" s="23">
        <f t="shared" si="17"/>
        <v>2.302</v>
      </c>
      <c r="AF315" s="24">
        <f t="shared" si="18"/>
        <v>0</v>
      </c>
      <c r="AG315" s="23">
        <f t="shared" si="19"/>
        <v>1</v>
      </c>
    </row>
    <row r="316" spans="1:33" x14ac:dyDescent="0.25">
      <c r="A316" s="12" t="s">
        <v>31</v>
      </c>
      <c r="B316" s="9">
        <v>46177</v>
      </c>
      <c r="C316" s="10" t="s">
        <v>536</v>
      </c>
      <c r="D316" s="10" t="s">
        <v>537</v>
      </c>
      <c r="E316" s="10" t="s">
        <v>51</v>
      </c>
      <c r="F316" s="10" t="s">
        <v>35</v>
      </c>
      <c r="G316" s="10" t="s">
        <v>3146</v>
      </c>
      <c r="H316" s="8" t="s">
        <v>36</v>
      </c>
      <c r="I316" s="11">
        <v>6.17</v>
      </c>
      <c r="J316" s="6">
        <v>5.6578900000000001</v>
      </c>
      <c r="K316" s="6">
        <v>0.91700000000000004</v>
      </c>
      <c r="L316" s="6">
        <v>6.01</v>
      </c>
      <c r="M316" s="11">
        <v>5.5111699999999999</v>
      </c>
      <c r="N316" s="11">
        <f t="shared" si="16"/>
        <v>5.5120000000000005</v>
      </c>
      <c r="O316" s="6">
        <v>0.91700000000000004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0.16</v>
      </c>
      <c r="Z316" s="6">
        <v>0.14671999999999999</v>
      </c>
      <c r="AA316" s="6">
        <v>0.91699999999999993</v>
      </c>
      <c r="AB316" s="6">
        <v>-0.16000000000000014</v>
      </c>
      <c r="AC316" s="6">
        <v>0.16000000000000014</v>
      </c>
      <c r="AD316" s="22" t="s">
        <v>3140</v>
      </c>
      <c r="AE316" s="23">
        <f t="shared" si="17"/>
        <v>5.5120000000000005</v>
      </c>
      <c r="AF316" s="24">
        <f t="shared" si="18"/>
        <v>0</v>
      </c>
      <c r="AG316" s="23">
        <f t="shared" si="19"/>
        <v>1</v>
      </c>
    </row>
    <row r="317" spans="1:33" ht="20" hidden="1" customHeight="1" x14ac:dyDescent="0.25">
      <c r="A317" s="12" t="s">
        <v>31</v>
      </c>
      <c r="B317" s="9">
        <v>46177</v>
      </c>
      <c r="C317" s="10" t="s">
        <v>538</v>
      </c>
      <c r="D317" s="10" t="s">
        <v>297</v>
      </c>
      <c r="E317" s="10" t="s">
        <v>51</v>
      </c>
      <c r="F317" s="10" t="s">
        <v>35</v>
      </c>
      <c r="G317" s="10" t="s">
        <v>3145</v>
      </c>
      <c r="H317" s="8" t="s">
        <v>48</v>
      </c>
      <c r="I317" s="11">
        <v>67.25</v>
      </c>
      <c r="J317" s="6">
        <v>50.4375</v>
      </c>
      <c r="K317" s="6">
        <v>0.75</v>
      </c>
      <c r="L317" s="6">
        <v>67.209999999999994</v>
      </c>
      <c r="M317" s="11">
        <v>50.407499999999999</v>
      </c>
      <c r="N317" s="11">
        <f t="shared" si="16"/>
        <v>50.407999999999994</v>
      </c>
      <c r="O317" s="6">
        <v>0.75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0.04</v>
      </c>
      <c r="Z317" s="6">
        <v>0.03</v>
      </c>
      <c r="AA317" s="6">
        <v>0.75</v>
      </c>
      <c r="AB317" s="6">
        <v>-4.0000000000006253E-2</v>
      </c>
      <c r="AC317" s="6">
        <v>4.0000000000006253E-2</v>
      </c>
      <c r="AD317" s="22" t="s">
        <v>3140</v>
      </c>
      <c r="AE317" s="23">
        <f t="shared" si="17"/>
        <v>50.407999999999994</v>
      </c>
      <c r="AF317" s="24">
        <f t="shared" si="18"/>
        <v>0</v>
      </c>
      <c r="AG317" s="23">
        <f t="shared" si="19"/>
        <v>3</v>
      </c>
    </row>
    <row r="318" spans="1:33" ht="12.5" hidden="1" customHeight="1" x14ac:dyDescent="0.25">
      <c r="A318" s="12" t="s">
        <v>31</v>
      </c>
      <c r="B318" s="9">
        <v>46177</v>
      </c>
      <c r="C318" s="8" t="s">
        <v>539</v>
      </c>
      <c r="D318" s="10" t="s">
        <v>540</v>
      </c>
      <c r="E318" s="10" t="s">
        <v>51</v>
      </c>
      <c r="F318" s="10" t="s">
        <v>35</v>
      </c>
      <c r="G318" s="10" t="s">
        <v>3145</v>
      </c>
      <c r="H318" s="8" t="s">
        <v>48</v>
      </c>
      <c r="I318" s="11">
        <v>18.37</v>
      </c>
      <c r="J318" s="6">
        <v>13.7775</v>
      </c>
      <c r="K318" s="6">
        <v>0.75</v>
      </c>
      <c r="L318" s="6">
        <v>16.760000000000002</v>
      </c>
      <c r="M318" s="11">
        <v>12.57</v>
      </c>
      <c r="N318" s="11">
        <f t="shared" si="16"/>
        <v>12.57</v>
      </c>
      <c r="O318" s="6">
        <v>0.75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1.61</v>
      </c>
      <c r="Z318" s="6">
        <v>1.2075</v>
      </c>
      <c r="AA318" s="6">
        <v>0.75</v>
      </c>
      <c r="AB318" s="6">
        <v>-1.6099999999999994</v>
      </c>
      <c r="AC318" s="6">
        <v>1.6099999999999994</v>
      </c>
      <c r="AD318" s="22" t="s">
        <v>3140</v>
      </c>
      <c r="AE318" s="23">
        <f t="shared" si="17"/>
        <v>12.57</v>
      </c>
      <c r="AF318" s="24">
        <f t="shared" si="18"/>
        <v>0</v>
      </c>
      <c r="AG318" s="23">
        <f t="shared" si="19"/>
        <v>1</v>
      </c>
    </row>
    <row r="319" spans="1:33" ht="12.5" hidden="1" customHeight="1" x14ac:dyDescent="0.25">
      <c r="A319" s="12" t="s">
        <v>31</v>
      </c>
      <c r="B319" s="9">
        <v>46177</v>
      </c>
      <c r="C319" s="13" t="s">
        <v>539</v>
      </c>
      <c r="D319" s="10" t="s">
        <v>541</v>
      </c>
      <c r="E319" s="10" t="s">
        <v>51</v>
      </c>
      <c r="F319" s="10" t="s">
        <v>35</v>
      </c>
      <c r="G319" s="10" t="s">
        <v>3145</v>
      </c>
      <c r="H319" s="8" t="s">
        <v>48</v>
      </c>
      <c r="I319" s="11">
        <v>26.89</v>
      </c>
      <c r="J319" s="6">
        <v>20.1675</v>
      </c>
      <c r="K319" s="6">
        <v>0.75</v>
      </c>
      <c r="L319" s="6">
        <v>25.15</v>
      </c>
      <c r="M319" s="11">
        <v>18.862500000000001</v>
      </c>
      <c r="N319" s="11">
        <f t="shared" si="16"/>
        <v>18.863</v>
      </c>
      <c r="O319" s="6">
        <v>0.75000000000000011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1.74</v>
      </c>
      <c r="Z319" s="6">
        <v>1.3049999999999999</v>
      </c>
      <c r="AA319" s="6">
        <v>0.75</v>
      </c>
      <c r="AB319" s="6">
        <v>-1.740000000000002</v>
      </c>
      <c r="AC319" s="6">
        <v>1.740000000000002</v>
      </c>
      <c r="AD319" s="22" t="s">
        <v>3140</v>
      </c>
      <c r="AE319" s="23">
        <f t="shared" si="17"/>
        <v>18.863</v>
      </c>
      <c r="AF319" s="24">
        <f t="shared" si="18"/>
        <v>0</v>
      </c>
      <c r="AG319" s="23">
        <f t="shared" si="19"/>
        <v>1</v>
      </c>
    </row>
    <row r="320" spans="1:33" ht="12.5" customHeight="1" x14ac:dyDescent="0.25">
      <c r="A320" s="12" t="s">
        <v>31</v>
      </c>
      <c r="B320" s="9">
        <v>46177</v>
      </c>
      <c r="C320" s="8" t="s">
        <v>542</v>
      </c>
      <c r="D320" s="10" t="s">
        <v>543</v>
      </c>
      <c r="E320" s="10" t="s">
        <v>51</v>
      </c>
      <c r="F320" s="10" t="s">
        <v>35</v>
      </c>
      <c r="G320" s="10" t="s">
        <v>3146</v>
      </c>
      <c r="H320" s="8" t="s">
        <v>36</v>
      </c>
      <c r="I320" s="11">
        <v>7.74</v>
      </c>
      <c r="J320" s="6">
        <v>7.0975799999999998</v>
      </c>
      <c r="K320" s="6">
        <v>0.91699999999999993</v>
      </c>
      <c r="L320" s="6">
        <v>7.45</v>
      </c>
      <c r="M320" s="11">
        <v>6.8316499999999998</v>
      </c>
      <c r="N320" s="11">
        <f t="shared" si="16"/>
        <v>6.8320000000000007</v>
      </c>
      <c r="O320" s="6">
        <v>0.91699999999999993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0.28999999999999998</v>
      </c>
      <c r="Z320" s="6">
        <v>0.26593</v>
      </c>
      <c r="AA320" s="6">
        <v>0.91700000000000004</v>
      </c>
      <c r="AB320" s="6">
        <v>-0.29000000000000004</v>
      </c>
      <c r="AC320" s="6">
        <v>0.29000000000000004</v>
      </c>
      <c r="AD320" s="22" t="s">
        <v>3140</v>
      </c>
      <c r="AE320" s="23">
        <f t="shared" si="17"/>
        <v>6.8320000000000007</v>
      </c>
      <c r="AF320" s="24">
        <f t="shared" si="18"/>
        <v>0</v>
      </c>
      <c r="AG320" s="23">
        <f t="shared" si="19"/>
        <v>1</v>
      </c>
    </row>
    <row r="321" spans="1:33" ht="12.5" customHeight="1" x14ac:dyDescent="0.25">
      <c r="A321" s="12" t="s">
        <v>31</v>
      </c>
      <c r="B321" s="9">
        <v>46177</v>
      </c>
      <c r="C321" s="13" t="s">
        <v>542</v>
      </c>
      <c r="D321" s="10" t="s">
        <v>544</v>
      </c>
      <c r="E321" s="10" t="s">
        <v>51</v>
      </c>
      <c r="F321" s="10" t="s">
        <v>35</v>
      </c>
      <c r="G321" s="10" t="s">
        <v>3146</v>
      </c>
      <c r="H321" s="8" t="s">
        <v>36</v>
      </c>
      <c r="I321" s="11">
        <v>15.73</v>
      </c>
      <c r="J321" s="6">
        <v>14.42441</v>
      </c>
      <c r="K321" s="6">
        <v>0.91699999999999993</v>
      </c>
      <c r="L321" s="6">
        <v>15.57</v>
      </c>
      <c r="M321" s="11">
        <v>14.27769</v>
      </c>
      <c r="N321" s="11">
        <f t="shared" si="16"/>
        <v>14.277999999999999</v>
      </c>
      <c r="O321" s="6">
        <v>0.91699999999999993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0.16</v>
      </c>
      <c r="Z321" s="6">
        <v>0.14671999999999999</v>
      </c>
      <c r="AA321" s="6">
        <v>0.91699999999999993</v>
      </c>
      <c r="AB321" s="6">
        <v>-0.16000000000000014</v>
      </c>
      <c r="AC321" s="6">
        <v>0.16000000000000014</v>
      </c>
      <c r="AD321" s="22" t="s">
        <v>3140</v>
      </c>
      <c r="AE321" s="23">
        <f t="shared" si="17"/>
        <v>14.277999999999999</v>
      </c>
      <c r="AF321" s="24">
        <f t="shared" si="18"/>
        <v>0</v>
      </c>
      <c r="AG321" s="23">
        <f t="shared" si="19"/>
        <v>1</v>
      </c>
    </row>
    <row r="322" spans="1:33" ht="12.5" customHeight="1" x14ac:dyDescent="0.25">
      <c r="A322" s="12" t="s">
        <v>31</v>
      </c>
      <c r="B322" s="9">
        <v>46177</v>
      </c>
      <c r="C322" s="8" t="s">
        <v>545</v>
      </c>
      <c r="D322" s="10" t="s">
        <v>546</v>
      </c>
      <c r="E322" s="10" t="s">
        <v>51</v>
      </c>
      <c r="F322" s="10" t="s">
        <v>35</v>
      </c>
      <c r="G322" s="10" t="s">
        <v>3146</v>
      </c>
      <c r="H322" s="8" t="s">
        <v>36</v>
      </c>
      <c r="I322" s="11">
        <v>16.16</v>
      </c>
      <c r="J322" s="6">
        <v>14.818720000000001</v>
      </c>
      <c r="K322" s="6">
        <v>0.91700000000000004</v>
      </c>
      <c r="L322" s="6">
        <v>15.84</v>
      </c>
      <c r="M322" s="11">
        <v>14.52528</v>
      </c>
      <c r="N322" s="11">
        <f t="shared" si="16"/>
        <v>14.526</v>
      </c>
      <c r="O322" s="6">
        <v>0.91700000000000004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0.32</v>
      </c>
      <c r="Z322" s="6">
        <v>0.29343999999999998</v>
      </c>
      <c r="AA322" s="6">
        <v>0.91699999999999993</v>
      </c>
      <c r="AB322" s="6">
        <v>-0.32000000000000028</v>
      </c>
      <c r="AC322" s="6">
        <v>0.32000000000000028</v>
      </c>
      <c r="AD322" s="22" t="s">
        <v>3140</v>
      </c>
      <c r="AE322" s="23">
        <f t="shared" si="17"/>
        <v>14.526</v>
      </c>
      <c r="AF322" s="24">
        <f t="shared" si="18"/>
        <v>0</v>
      </c>
      <c r="AG322" s="23">
        <f t="shared" si="19"/>
        <v>1</v>
      </c>
    </row>
    <row r="323" spans="1:33" ht="12.5" customHeight="1" x14ac:dyDescent="0.25">
      <c r="A323" s="12" t="s">
        <v>31</v>
      </c>
      <c r="B323" s="9">
        <v>46177</v>
      </c>
      <c r="C323" s="12" t="s">
        <v>545</v>
      </c>
      <c r="D323" s="10" t="s">
        <v>547</v>
      </c>
      <c r="E323" s="10" t="s">
        <v>51</v>
      </c>
      <c r="F323" s="10" t="s">
        <v>35</v>
      </c>
      <c r="G323" s="10" t="s">
        <v>3146</v>
      </c>
      <c r="H323" s="8" t="s">
        <v>36</v>
      </c>
      <c r="I323" s="11">
        <v>8.41</v>
      </c>
      <c r="J323" s="6">
        <v>7.71197</v>
      </c>
      <c r="K323" s="6">
        <v>0.91700000000000004</v>
      </c>
      <c r="L323" s="6">
        <v>7.99</v>
      </c>
      <c r="M323" s="11">
        <v>7.3268300000000002</v>
      </c>
      <c r="N323" s="11">
        <f t="shared" ref="N323:N386" si="20">ROUNDUP(M323,3)</f>
        <v>7.327</v>
      </c>
      <c r="O323" s="6">
        <v>0.91700000000000004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0.42</v>
      </c>
      <c r="Z323" s="6">
        <v>0.38513999999999998</v>
      </c>
      <c r="AA323" s="6">
        <v>0.91700000000000004</v>
      </c>
      <c r="AB323" s="6">
        <v>-0.41999999999999993</v>
      </c>
      <c r="AC323" s="6">
        <v>0.41999999999999993</v>
      </c>
      <c r="AD323" s="22" t="s">
        <v>3140</v>
      </c>
      <c r="AE323" s="23">
        <f t="shared" ref="AE323:AE386" si="21">_xlfn.MINIFS(N:N,D:D,D323)</f>
        <v>7.327</v>
      </c>
      <c r="AF323" s="24">
        <f t="shared" ref="AF323:AF386" si="22">N323-AE323</f>
        <v>0</v>
      </c>
      <c r="AG323" s="23">
        <f t="shared" ref="AG323:AG386" si="23">COUNTIF(D:D,D323)</f>
        <v>1</v>
      </c>
    </row>
    <row r="324" spans="1:33" ht="12.5" customHeight="1" x14ac:dyDescent="0.25">
      <c r="A324" s="12" t="s">
        <v>31</v>
      </c>
      <c r="B324" s="9">
        <v>46177</v>
      </c>
      <c r="C324" s="13" t="s">
        <v>545</v>
      </c>
      <c r="D324" s="10" t="s">
        <v>548</v>
      </c>
      <c r="E324" s="10" t="s">
        <v>51</v>
      </c>
      <c r="F324" s="10" t="s">
        <v>35</v>
      </c>
      <c r="G324" s="10" t="s">
        <v>3146</v>
      </c>
      <c r="H324" s="8" t="s">
        <v>36</v>
      </c>
      <c r="I324" s="11">
        <v>7.19</v>
      </c>
      <c r="J324" s="6">
        <v>6.5932300000000001</v>
      </c>
      <c r="K324" s="6">
        <v>0.91699999999999993</v>
      </c>
      <c r="L324" s="6">
        <v>7.05</v>
      </c>
      <c r="M324" s="11">
        <v>6.4648500000000002</v>
      </c>
      <c r="N324" s="11">
        <f t="shared" si="20"/>
        <v>6.4650000000000007</v>
      </c>
      <c r="O324" s="6">
        <v>0.91700000000000004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0.14000000000000001</v>
      </c>
      <c r="Z324" s="6">
        <v>0.12837999999999999</v>
      </c>
      <c r="AA324" s="6">
        <v>0.91699999999999982</v>
      </c>
      <c r="AB324" s="6">
        <v>-0.14000000000000057</v>
      </c>
      <c r="AC324" s="6">
        <v>0.14000000000000057</v>
      </c>
      <c r="AD324" s="22" t="s">
        <v>3140</v>
      </c>
      <c r="AE324" s="23">
        <f t="shared" si="21"/>
        <v>6.4650000000000007</v>
      </c>
      <c r="AF324" s="24">
        <f t="shared" si="22"/>
        <v>0</v>
      </c>
      <c r="AG324" s="23">
        <f t="shared" si="23"/>
        <v>1</v>
      </c>
    </row>
    <row r="325" spans="1:33" ht="12.5" hidden="1" customHeight="1" x14ac:dyDescent="0.25">
      <c r="A325" s="12" t="s">
        <v>31</v>
      </c>
      <c r="B325" s="9">
        <v>46177</v>
      </c>
      <c r="C325" s="8" t="s">
        <v>549</v>
      </c>
      <c r="D325" s="10" t="s">
        <v>550</v>
      </c>
      <c r="E325" s="10" t="s">
        <v>51</v>
      </c>
      <c r="F325" s="10" t="s">
        <v>35</v>
      </c>
      <c r="G325" s="10" t="s">
        <v>3145</v>
      </c>
      <c r="H325" s="8" t="s">
        <v>41</v>
      </c>
      <c r="I325" s="11">
        <v>29.27</v>
      </c>
      <c r="J325" s="6">
        <v>21.952500000000001</v>
      </c>
      <c r="K325" s="6">
        <v>0.75</v>
      </c>
      <c r="L325" s="6">
        <v>27.76</v>
      </c>
      <c r="M325" s="11">
        <v>20.82</v>
      </c>
      <c r="N325" s="11">
        <f t="shared" si="20"/>
        <v>20.82</v>
      </c>
      <c r="O325" s="6">
        <v>0.75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1.51</v>
      </c>
      <c r="Z325" s="6">
        <v>1.1325000000000001</v>
      </c>
      <c r="AA325" s="6">
        <v>0.75</v>
      </c>
      <c r="AB325" s="6">
        <v>-1.509999999999998</v>
      </c>
      <c r="AC325" s="6">
        <v>1.509999999999998</v>
      </c>
      <c r="AD325" s="22" t="s">
        <v>3140</v>
      </c>
      <c r="AE325" s="23">
        <f t="shared" si="21"/>
        <v>20.82</v>
      </c>
      <c r="AF325" s="24">
        <f t="shared" si="22"/>
        <v>0</v>
      </c>
      <c r="AG325" s="23">
        <f t="shared" si="23"/>
        <v>1</v>
      </c>
    </row>
    <row r="326" spans="1:33" ht="12.5" hidden="1" customHeight="1" x14ac:dyDescent="0.25">
      <c r="A326" s="12" t="s">
        <v>31</v>
      </c>
      <c r="B326" s="9">
        <v>46177</v>
      </c>
      <c r="C326" s="12" t="s">
        <v>549</v>
      </c>
      <c r="D326" s="10" t="s">
        <v>551</v>
      </c>
      <c r="E326" s="10" t="s">
        <v>51</v>
      </c>
      <c r="F326" s="10" t="s">
        <v>35</v>
      </c>
      <c r="G326" s="10" t="s">
        <v>3145</v>
      </c>
      <c r="H326" s="8" t="s">
        <v>41</v>
      </c>
      <c r="I326" s="11">
        <v>14.41</v>
      </c>
      <c r="J326" s="6">
        <v>10.807499999999999</v>
      </c>
      <c r="K326" s="6">
        <v>0.74999999999999989</v>
      </c>
      <c r="L326" s="6">
        <v>12.74</v>
      </c>
      <c r="M326" s="11">
        <v>9.5549999999999997</v>
      </c>
      <c r="N326" s="11">
        <f t="shared" si="20"/>
        <v>9.5549999999999997</v>
      </c>
      <c r="O326" s="6">
        <v>0.75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1.67</v>
      </c>
      <c r="Z326" s="6">
        <v>1.2524999999999999</v>
      </c>
      <c r="AA326" s="6">
        <v>0.75</v>
      </c>
      <c r="AB326" s="6">
        <v>-1.67</v>
      </c>
      <c r="AC326" s="6">
        <v>1.67</v>
      </c>
      <c r="AD326" s="22" t="s">
        <v>3140</v>
      </c>
      <c r="AE326" s="23">
        <f t="shared" si="21"/>
        <v>9.5549999999999997</v>
      </c>
      <c r="AF326" s="24">
        <f t="shared" si="22"/>
        <v>0</v>
      </c>
      <c r="AG326" s="23">
        <f t="shared" si="23"/>
        <v>1</v>
      </c>
    </row>
    <row r="327" spans="1:33" ht="12.5" hidden="1" customHeight="1" x14ac:dyDescent="0.25">
      <c r="A327" s="12" t="s">
        <v>31</v>
      </c>
      <c r="B327" s="9">
        <v>46177</v>
      </c>
      <c r="C327" s="13" t="s">
        <v>549</v>
      </c>
      <c r="D327" s="10" t="s">
        <v>552</v>
      </c>
      <c r="E327" s="10" t="s">
        <v>51</v>
      </c>
      <c r="F327" s="10" t="s">
        <v>35</v>
      </c>
      <c r="G327" s="10" t="s">
        <v>3145</v>
      </c>
      <c r="H327" s="8" t="s">
        <v>41</v>
      </c>
      <c r="I327" s="11">
        <v>42.3</v>
      </c>
      <c r="J327" s="6">
        <v>31.725000000000001</v>
      </c>
      <c r="K327" s="6">
        <v>0.75000000000000011</v>
      </c>
      <c r="L327" s="6">
        <v>38.85</v>
      </c>
      <c r="M327" s="11">
        <v>29.137499999999999</v>
      </c>
      <c r="N327" s="11">
        <f t="shared" si="20"/>
        <v>29.138000000000002</v>
      </c>
      <c r="O327" s="6">
        <v>0.75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3.45</v>
      </c>
      <c r="Z327" s="6">
        <v>2.5874999999999999</v>
      </c>
      <c r="AA327" s="6">
        <v>0.74999999999999989</v>
      </c>
      <c r="AB327" s="6">
        <v>-3.4499999999999957</v>
      </c>
      <c r="AC327" s="6">
        <v>3.4499999999999957</v>
      </c>
      <c r="AD327" s="23" t="s">
        <v>3143</v>
      </c>
      <c r="AE327" s="23">
        <f t="shared" si="21"/>
        <v>27.57</v>
      </c>
      <c r="AF327" s="24">
        <f t="shared" si="22"/>
        <v>1.5680000000000014</v>
      </c>
      <c r="AG327" s="23">
        <f t="shared" si="23"/>
        <v>2</v>
      </c>
    </row>
    <row r="328" spans="1:33" hidden="1" x14ac:dyDescent="0.25">
      <c r="A328" s="12" t="s">
        <v>31</v>
      </c>
      <c r="B328" s="9">
        <v>46177</v>
      </c>
      <c r="C328" s="10" t="s">
        <v>553</v>
      </c>
      <c r="D328" s="10" t="s">
        <v>554</v>
      </c>
      <c r="E328" s="10" t="s">
        <v>51</v>
      </c>
      <c r="F328" s="10" t="s">
        <v>35</v>
      </c>
      <c r="G328" s="10" t="s">
        <v>3145</v>
      </c>
      <c r="H328" s="8" t="s">
        <v>41</v>
      </c>
      <c r="I328" s="11">
        <v>36.020000000000003</v>
      </c>
      <c r="J328" s="6">
        <v>27.015000000000001</v>
      </c>
      <c r="K328" s="6">
        <v>0.75</v>
      </c>
      <c r="L328" s="6">
        <v>33.75</v>
      </c>
      <c r="M328" s="11">
        <v>25.3125</v>
      </c>
      <c r="N328" s="11">
        <f t="shared" si="20"/>
        <v>25.313000000000002</v>
      </c>
      <c r="O328" s="6">
        <v>0.75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2.27</v>
      </c>
      <c r="Z328" s="6">
        <v>1.7024999999999999</v>
      </c>
      <c r="AA328" s="6">
        <v>0.75</v>
      </c>
      <c r="AB328" s="6">
        <v>-2.2700000000000031</v>
      </c>
      <c r="AC328" s="6">
        <v>2.2700000000000031</v>
      </c>
      <c r="AD328" s="22" t="s">
        <v>3140</v>
      </c>
      <c r="AE328" s="23">
        <f t="shared" si="21"/>
        <v>25.313000000000002</v>
      </c>
      <c r="AF328" s="24">
        <f t="shared" si="22"/>
        <v>0</v>
      </c>
      <c r="AG328" s="23">
        <f t="shared" si="23"/>
        <v>1</v>
      </c>
    </row>
    <row r="329" spans="1:33" x14ac:dyDescent="0.25">
      <c r="A329" s="12" t="s">
        <v>31</v>
      </c>
      <c r="B329" s="9">
        <v>46177</v>
      </c>
      <c r="C329" s="10" t="s">
        <v>555</v>
      </c>
      <c r="D329" s="10" t="s">
        <v>334</v>
      </c>
      <c r="E329" s="10" t="s">
        <v>51</v>
      </c>
      <c r="F329" s="10" t="s">
        <v>35</v>
      </c>
      <c r="G329" s="10" t="s">
        <v>3146</v>
      </c>
      <c r="H329" s="8" t="s">
        <v>36</v>
      </c>
      <c r="I329" s="11">
        <v>26.140999999999998</v>
      </c>
      <c r="J329" s="6">
        <v>23.971297</v>
      </c>
      <c r="K329" s="6">
        <v>0.91700000000000004</v>
      </c>
      <c r="L329" s="6">
        <v>26.120999999999999</v>
      </c>
      <c r="M329" s="11">
        <v>23.952957000000001</v>
      </c>
      <c r="N329" s="11">
        <f t="shared" si="20"/>
        <v>23.953000000000003</v>
      </c>
      <c r="O329" s="6">
        <v>0.91700000000000015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0.02</v>
      </c>
      <c r="Z329" s="6">
        <v>1.8339999999999999E-2</v>
      </c>
      <c r="AA329" s="6">
        <v>0.91699999999999993</v>
      </c>
      <c r="AB329" s="6">
        <v>-1.9999999999999574E-2</v>
      </c>
      <c r="AC329" s="6">
        <v>1.9999999999999574E-2</v>
      </c>
      <c r="AD329" s="23" t="s">
        <v>3143</v>
      </c>
      <c r="AE329" s="23">
        <f t="shared" si="21"/>
        <v>23.788</v>
      </c>
      <c r="AF329" s="24">
        <f t="shared" si="22"/>
        <v>0.1650000000000027</v>
      </c>
      <c r="AG329" s="23">
        <f t="shared" si="23"/>
        <v>2</v>
      </c>
    </row>
    <row r="330" spans="1:33" ht="20" hidden="1" customHeight="1" x14ac:dyDescent="0.25">
      <c r="A330" s="12" t="s">
        <v>31</v>
      </c>
      <c r="B330" s="9">
        <v>46177</v>
      </c>
      <c r="C330" s="10" t="s">
        <v>556</v>
      </c>
      <c r="D330" s="10" t="s">
        <v>557</v>
      </c>
      <c r="E330" s="10" t="s">
        <v>51</v>
      </c>
      <c r="F330" s="10" t="s">
        <v>35</v>
      </c>
      <c r="G330" s="10" t="s">
        <v>3145</v>
      </c>
      <c r="H330" s="8" t="s">
        <v>48</v>
      </c>
      <c r="I330" s="11">
        <v>17.920000000000002</v>
      </c>
      <c r="J330" s="6">
        <v>13.44</v>
      </c>
      <c r="K330" s="6">
        <v>0.74999999999999989</v>
      </c>
      <c r="L330" s="6">
        <v>16.62</v>
      </c>
      <c r="M330" s="11">
        <v>12.465</v>
      </c>
      <c r="N330" s="11">
        <f t="shared" si="20"/>
        <v>12.465</v>
      </c>
      <c r="O330" s="6">
        <v>0.75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1.3</v>
      </c>
      <c r="Z330" s="6">
        <v>0.97499999999999998</v>
      </c>
      <c r="AA330" s="6">
        <v>0.75</v>
      </c>
      <c r="AB330" s="6">
        <v>-1.3000000000000007</v>
      </c>
      <c r="AC330" s="6">
        <v>1.3000000000000007</v>
      </c>
      <c r="AD330" s="22" t="s">
        <v>3140</v>
      </c>
      <c r="AE330" s="23">
        <f t="shared" si="21"/>
        <v>12.465</v>
      </c>
      <c r="AF330" s="24">
        <f t="shared" si="22"/>
        <v>0</v>
      </c>
      <c r="AG330" s="23">
        <f t="shared" si="23"/>
        <v>1</v>
      </c>
    </row>
    <row r="331" spans="1:33" x14ac:dyDescent="0.25">
      <c r="A331" s="12" t="s">
        <v>31</v>
      </c>
      <c r="B331" s="9">
        <v>46177</v>
      </c>
      <c r="C331" s="10" t="s">
        <v>558</v>
      </c>
      <c r="D331" s="10" t="s">
        <v>559</v>
      </c>
      <c r="E331" s="10" t="s">
        <v>51</v>
      </c>
      <c r="F331" s="10" t="s">
        <v>35</v>
      </c>
      <c r="G331" s="10" t="s">
        <v>3146</v>
      </c>
      <c r="H331" s="8" t="s">
        <v>36</v>
      </c>
      <c r="I331" s="11">
        <v>2.2400000000000002</v>
      </c>
      <c r="J331" s="6">
        <v>2.0540799999999999</v>
      </c>
      <c r="K331" s="6">
        <v>0.91699999999999982</v>
      </c>
      <c r="L331" s="6">
        <v>2.06</v>
      </c>
      <c r="M331" s="11">
        <v>1.8890199999999999</v>
      </c>
      <c r="N331" s="11">
        <f t="shared" si="20"/>
        <v>1.89</v>
      </c>
      <c r="O331" s="6">
        <v>0.91699999999999993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0.18</v>
      </c>
      <c r="Z331" s="6">
        <v>0.16506000000000001</v>
      </c>
      <c r="AA331" s="6">
        <v>0.91700000000000015</v>
      </c>
      <c r="AB331" s="6">
        <v>-0.18000000000000016</v>
      </c>
      <c r="AC331" s="6">
        <v>0.18000000000000016</v>
      </c>
      <c r="AD331" s="22" t="s">
        <v>3140</v>
      </c>
      <c r="AE331" s="23">
        <f t="shared" si="21"/>
        <v>1.89</v>
      </c>
      <c r="AF331" s="24">
        <f t="shared" si="22"/>
        <v>0</v>
      </c>
      <c r="AG331" s="23">
        <f t="shared" si="23"/>
        <v>1</v>
      </c>
    </row>
    <row r="332" spans="1:33" ht="20" hidden="1" customHeight="1" x14ac:dyDescent="0.25">
      <c r="A332" s="12" t="s">
        <v>31</v>
      </c>
      <c r="B332" s="9">
        <v>46177</v>
      </c>
      <c r="C332" s="10" t="s">
        <v>560</v>
      </c>
      <c r="D332" s="10" t="s">
        <v>561</v>
      </c>
      <c r="E332" s="10" t="s">
        <v>51</v>
      </c>
      <c r="F332" s="10" t="s">
        <v>35</v>
      </c>
      <c r="G332" s="10" t="s">
        <v>3145</v>
      </c>
      <c r="H332" s="8" t="s">
        <v>48</v>
      </c>
      <c r="I332" s="11">
        <v>44.79</v>
      </c>
      <c r="J332" s="6">
        <v>33.592500000000001</v>
      </c>
      <c r="K332" s="6">
        <v>0.75</v>
      </c>
      <c r="L332" s="6">
        <v>41.24</v>
      </c>
      <c r="M332" s="11">
        <v>30.93</v>
      </c>
      <c r="N332" s="11">
        <f t="shared" si="20"/>
        <v>30.93</v>
      </c>
      <c r="O332" s="6">
        <v>0.75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3.55</v>
      </c>
      <c r="Z332" s="6">
        <v>2.6625000000000001</v>
      </c>
      <c r="AA332" s="6">
        <v>0.75000000000000011</v>
      </c>
      <c r="AB332" s="6">
        <v>-3.5499999999999972</v>
      </c>
      <c r="AC332" s="6">
        <v>3.5499999999999972</v>
      </c>
      <c r="AD332" s="22" t="s">
        <v>3140</v>
      </c>
      <c r="AE332" s="23">
        <f t="shared" si="21"/>
        <v>30.93</v>
      </c>
      <c r="AF332" s="24">
        <f t="shared" si="22"/>
        <v>0</v>
      </c>
      <c r="AG332" s="23">
        <f t="shared" si="23"/>
        <v>1</v>
      </c>
    </row>
    <row r="333" spans="1:33" ht="20" hidden="1" customHeight="1" x14ac:dyDescent="0.25">
      <c r="A333" s="12" t="s">
        <v>31</v>
      </c>
      <c r="B333" s="9">
        <v>46177</v>
      </c>
      <c r="C333" s="10" t="s">
        <v>562</v>
      </c>
      <c r="D333" s="10" t="s">
        <v>563</v>
      </c>
      <c r="E333" s="10" t="s">
        <v>51</v>
      </c>
      <c r="F333" s="10" t="s">
        <v>35</v>
      </c>
      <c r="G333" s="10" t="s">
        <v>3145</v>
      </c>
      <c r="H333" s="8" t="s">
        <v>48</v>
      </c>
      <c r="I333" s="11">
        <v>5.18</v>
      </c>
      <c r="J333" s="6">
        <v>3.8849999999999998</v>
      </c>
      <c r="K333" s="6">
        <v>0.75</v>
      </c>
      <c r="L333" s="6">
        <v>4.93</v>
      </c>
      <c r="M333" s="11">
        <v>3.6974999999999998</v>
      </c>
      <c r="N333" s="11">
        <f t="shared" si="20"/>
        <v>3.698</v>
      </c>
      <c r="O333" s="6">
        <v>0.75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0.25</v>
      </c>
      <c r="Z333" s="6">
        <v>0.1875</v>
      </c>
      <c r="AA333" s="6">
        <v>0.75</v>
      </c>
      <c r="AB333" s="6">
        <v>-0.25</v>
      </c>
      <c r="AC333" s="6">
        <v>0.25</v>
      </c>
      <c r="AD333" s="22" t="s">
        <v>3140</v>
      </c>
      <c r="AE333" s="23">
        <f t="shared" si="21"/>
        <v>3.698</v>
      </c>
      <c r="AF333" s="24">
        <f t="shared" si="22"/>
        <v>0</v>
      </c>
      <c r="AG333" s="23">
        <f t="shared" si="23"/>
        <v>1</v>
      </c>
    </row>
    <row r="334" spans="1:33" x14ac:dyDescent="0.25">
      <c r="A334" s="12" t="s">
        <v>31</v>
      </c>
      <c r="B334" s="9">
        <v>46177</v>
      </c>
      <c r="C334" s="10" t="s">
        <v>564</v>
      </c>
      <c r="D334" s="10" t="s">
        <v>565</v>
      </c>
      <c r="E334" s="10" t="s">
        <v>51</v>
      </c>
      <c r="F334" s="10" t="s">
        <v>35</v>
      </c>
      <c r="G334" s="10" t="s">
        <v>3146</v>
      </c>
      <c r="H334" s="8" t="s">
        <v>36</v>
      </c>
      <c r="I334" s="11">
        <v>14.72</v>
      </c>
      <c r="J334" s="6">
        <v>13.498239999999999</v>
      </c>
      <c r="K334" s="6">
        <v>0.91699999999999993</v>
      </c>
      <c r="L334" s="6">
        <v>14.44</v>
      </c>
      <c r="M334" s="11">
        <v>13.241479999999999</v>
      </c>
      <c r="N334" s="11">
        <f t="shared" si="20"/>
        <v>13.241999999999999</v>
      </c>
      <c r="O334" s="6">
        <v>0.91699999999999993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0.28000000000000003</v>
      </c>
      <c r="Z334" s="6">
        <v>0.25675999999999999</v>
      </c>
      <c r="AA334" s="6">
        <v>0.91699999999999982</v>
      </c>
      <c r="AB334" s="6">
        <v>-0.28000000000000114</v>
      </c>
      <c r="AC334" s="6">
        <v>0.28000000000000114</v>
      </c>
      <c r="AD334" s="22" t="s">
        <v>3140</v>
      </c>
      <c r="AE334" s="23">
        <f t="shared" si="21"/>
        <v>13.241999999999999</v>
      </c>
      <c r="AF334" s="24">
        <f t="shared" si="22"/>
        <v>0</v>
      </c>
      <c r="AG334" s="23">
        <f t="shared" si="23"/>
        <v>1</v>
      </c>
    </row>
    <row r="335" spans="1:33" ht="20" hidden="1" customHeight="1" x14ac:dyDescent="0.25">
      <c r="A335" s="12" t="s">
        <v>31</v>
      </c>
      <c r="B335" s="9">
        <v>46177</v>
      </c>
      <c r="C335" s="10" t="s">
        <v>566</v>
      </c>
      <c r="D335" s="10" t="s">
        <v>567</v>
      </c>
      <c r="E335" s="10" t="s">
        <v>51</v>
      </c>
      <c r="F335" s="10" t="s">
        <v>35</v>
      </c>
      <c r="G335" s="10" t="s">
        <v>3145</v>
      </c>
      <c r="H335" s="8" t="s">
        <v>48</v>
      </c>
      <c r="I335" s="11">
        <v>32.659999999999997</v>
      </c>
      <c r="J335" s="6">
        <v>24.495000000000001</v>
      </c>
      <c r="K335" s="6">
        <v>0.75000000000000011</v>
      </c>
      <c r="L335" s="6">
        <v>30.74</v>
      </c>
      <c r="M335" s="11">
        <v>23.055</v>
      </c>
      <c r="N335" s="11">
        <f t="shared" si="20"/>
        <v>23.055</v>
      </c>
      <c r="O335" s="6">
        <v>0.75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1.92</v>
      </c>
      <c r="Z335" s="6">
        <v>1.44</v>
      </c>
      <c r="AA335" s="6">
        <v>0.75</v>
      </c>
      <c r="AB335" s="6">
        <v>-1.9199999999999982</v>
      </c>
      <c r="AC335" s="6">
        <v>1.9199999999999982</v>
      </c>
      <c r="AD335" s="22" t="s">
        <v>3140</v>
      </c>
      <c r="AE335" s="23">
        <f t="shared" si="21"/>
        <v>23.055</v>
      </c>
      <c r="AF335" s="24">
        <f t="shared" si="22"/>
        <v>0</v>
      </c>
      <c r="AG335" s="23">
        <f t="shared" si="23"/>
        <v>1</v>
      </c>
    </row>
    <row r="336" spans="1:33" ht="20" hidden="1" customHeight="1" x14ac:dyDescent="0.25">
      <c r="A336" s="12" t="s">
        <v>31</v>
      </c>
      <c r="B336" s="9">
        <v>46177</v>
      </c>
      <c r="C336" s="10" t="s">
        <v>568</v>
      </c>
      <c r="D336" s="10" t="s">
        <v>569</v>
      </c>
      <c r="E336" s="10" t="s">
        <v>51</v>
      </c>
      <c r="F336" s="10" t="s">
        <v>35</v>
      </c>
      <c r="G336" s="10" t="s">
        <v>3145</v>
      </c>
      <c r="H336" s="8" t="s">
        <v>481</v>
      </c>
      <c r="I336" s="11">
        <v>19.66</v>
      </c>
      <c r="J336" s="6">
        <v>14.744999999999999</v>
      </c>
      <c r="K336" s="6">
        <v>0.75</v>
      </c>
      <c r="L336" s="6">
        <v>17.93</v>
      </c>
      <c r="M336" s="11">
        <v>13.4475</v>
      </c>
      <c r="N336" s="11">
        <f t="shared" si="20"/>
        <v>13.447999999999999</v>
      </c>
      <c r="O336" s="6">
        <v>0.75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1.73</v>
      </c>
      <c r="Z336" s="6">
        <v>1.2975000000000001</v>
      </c>
      <c r="AA336" s="6">
        <v>0.75000000000000011</v>
      </c>
      <c r="AB336" s="6">
        <v>-1.7300000000000004</v>
      </c>
      <c r="AC336" s="6">
        <v>1.7300000000000004</v>
      </c>
      <c r="AD336" s="22" t="s">
        <v>3140</v>
      </c>
      <c r="AE336" s="23">
        <f t="shared" si="21"/>
        <v>13.447999999999999</v>
      </c>
      <c r="AF336" s="24">
        <f t="shared" si="22"/>
        <v>0</v>
      </c>
      <c r="AG336" s="23">
        <f t="shared" si="23"/>
        <v>1</v>
      </c>
    </row>
    <row r="337" spans="1:33" ht="20" hidden="1" customHeight="1" x14ac:dyDescent="0.25">
      <c r="A337" s="12" t="s">
        <v>31</v>
      </c>
      <c r="B337" s="9">
        <v>46177</v>
      </c>
      <c r="C337" s="10" t="s">
        <v>570</v>
      </c>
      <c r="D337" s="10" t="s">
        <v>571</v>
      </c>
      <c r="E337" s="10" t="s">
        <v>51</v>
      </c>
      <c r="F337" s="10" t="s">
        <v>35</v>
      </c>
      <c r="G337" s="10" t="s">
        <v>3145</v>
      </c>
      <c r="H337" s="8" t="s">
        <v>48</v>
      </c>
      <c r="I337" s="11">
        <v>39.81</v>
      </c>
      <c r="J337" s="6">
        <v>29.857500000000002</v>
      </c>
      <c r="K337" s="6">
        <v>0.75</v>
      </c>
      <c r="L337" s="6">
        <v>37.64</v>
      </c>
      <c r="M337" s="11">
        <v>28.23</v>
      </c>
      <c r="N337" s="11">
        <f t="shared" si="20"/>
        <v>28.23</v>
      </c>
      <c r="O337" s="6">
        <v>0.75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2.17</v>
      </c>
      <c r="Z337" s="6">
        <v>1.6274999999999999</v>
      </c>
      <c r="AA337" s="6">
        <v>0.75</v>
      </c>
      <c r="AB337" s="6">
        <v>-2.1700000000000017</v>
      </c>
      <c r="AC337" s="6">
        <v>2.1700000000000017</v>
      </c>
      <c r="AD337" s="22" t="s">
        <v>3140</v>
      </c>
      <c r="AE337" s="23">
        <f t="shared" si="21"/>
        <v>28.23</v>
      </c>
      <c r="AF337" s="24">
        <f t="shared" si="22"/>
        <v>0</v>
      </c>
      <c r="AG337" s="23">
        <f t="shared" si="23"/>
        <v>1</v>
      </c>
    </row>
    <row r="338" spans="1:33" ht="20" hidden="1" customHeight="1" x14ac:dyDescent="0.25">
      <c r="A338" s="12" t="s">
        <v>31</v>
      </c>
      <c r="B338" s="9">
        <v>46177</v>
      </c>
      <c r="C338" s="10" t="s">
        <v>572</v>
      </c>
      <c r="D338" s="10" t="s">
        <v>573</v>
      </c>
      <c r="E338" s="10" t="s">
        <v>51</v>
      </c>
      <c r="F338" s="10" t="s">
        <v>35</v>
      </c>
      <c r="G338" s="10" t="s">
        <v>3145</v>
      </c>
      <c r="H338" s="8" t="s">
        <v>48</v>
      </c>
      <c r="I338" s="11">
        <v>19.16</v>
      </c>
      <c r="J338" s="6">
        <v>14.37</v>
      </c>
      <c r="K338" s="6">
        <v>0.75</v>
      </c>
      <c r="L338" s="6">
        <v>17.600000000000001</v>
      </c>
      <c r="M338" s="11">
        <v>13.2</v>
      </c>
      <c r="N338" s="11">
        <f t="shared" si="20"/>
        <v>13.2</v>
      </c>
      <c r="O338" s="6">
        <v>0.74999999999999989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1.56</v>
      </c>
      <c r="Z338" s="6">
        <v>1.17</v>
      </c>
      <c r="AA338" s="6">
        <v>0.74999999999999989</v>
      </c>
      <c r="AB338" s="6">
        <v>-1.5599999999999987</v>
      </c>
      <c r="AC338" s="6">
        <v>1.5599999999999987</v>
      </c>
      <c r="AD338" s="22" t="s">
        <v>3140</v>
      </c>
      <c r="AE338" s="23">
        <f t="shared" si="21"/>
        <v>13.2</v>
      </c>
      <c r="AF338" s="24">
        <f t="shared" si="22"/>
        <v>0</v>
      </c>
      <c r="AG338" s="23">
        <f t="shared" si="23"/>
        <v>1</v>
      </c>
    </row>
    <row r="339" spans="1:33" ht="20" hidden="1" customHeight="1" x14ac:dyDescent="0.25">
      <c r="A339" s="12" t="s">
        <v>31</v>
      </c>
      <c r="B339" s="9">
        <v>46177</v>
      </c>
      <c r="C339" s="10" t="s">
        <v>574</v>
      </c>
      <c r="D339" s="10" t="s">
        <v>575</v>
      </c>
      <c r="E339" s="10" t="s">
        <v>51</v>
      </c>
      <c r="F339" s="10" t="s">
        <v>35</v>
      </c>
      <c r="G339" s="10" t="s">
        <v>3145</v>
      </c>
      <c r="H339" s="8" t="s">
        <v>48</v>
      </c>
      <c r="I339" s="11">
        <v>32.79</v>
      </c>
      <c r="J339" s="6">
        <v>24.592500000000001</v>
      </c>
      <c r="K339" s="6">
        <v>0.75</v>
      </c>
      <c r="L339" s="6">
        <v>29.79</v>
      </c>
      <c r="M339" s="11">
        <v>22.342500000000001</v>
      </c>
      <c r="N339" s="11">
        <f t="shared" si="20"/>
        <v>22.343</v>
      </c>
      <c r="O339" s="6">
        <v>0.75000000000000011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3</v>
      </c>
      <c r="Z339" s="6">
        <v>2.25</v>
      </c>
      <c r="AA339" s="6">
        <v>0.75</v>
      </c>
      <c r="AB339" s="6">
        <v>-3</v>
      </c>
      <c r="AC339" s="6">
        <v>3</v>
      </c>
      <c r="AD339" s="22" t="s">
        <v>3140</v>
      </c>
      <c r="AE339" s="23">
        <f t="shared" si="21"/>
        <v>22.343</v>
      </c>
      <c r="AF339" s="24">
        <f t="shared" si="22"/>
        <v>0</v>
      </c>
      <c r="AG339" s="23">
        <f t="shared" si="23"/>
        <v>1</v>
      </c>
    </row>
    <row r="340" spans="1:33" x14ac:dyDescent="0.25">
      <c r="A340" s="12" t="s">
        <v>31</v>
      </c>
      <c r="B340" s="9">
        <v>46177</v>
      </c>
      <c r="C340" s="10" t="s">
        <v>576</v>
      </c>
      <c r="D340" s="10" t="s">
        <v>493</v>
      </c>
      <c r="E340" s="10" t="s">
        <v>51</v>
      </c>
      <c r="F340" s="10" t="s">
        <v>35</v>
      </c>
      <c r="G340" s="10" t="s">
        <v>3146</v>
      </c>
      <c r="H340" s="8" t="s">
        <v>36</v>
      </c>
      <c r="I340" s="11">
        <v>12.21</v>
      </c>
      <c r="J340" s="6">
        <v>11.196569999999999</v>
      </c>
      <c r="K340" s="6">
        <v>0.91699999999999993</v>
      </c>
      <c r="L340" s="6">
        <v>11.63</v>
      </c>
      <c r="M340" s="11">
        <v>10.664709999999999</v>
      </c>
      <c r="N340" s="11">
        <f t="shared" si="20"/>
        <v>10.664999999999999</v>
      </c>
      <c r="O340" s="6">
        <v>0.91699999999999993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0.57999999999999996</v>
      </c>
      <c r="Z340" s="6">
        <v>0.53186</v>
      </c>
      <c r="AA340" s="6">
        <v>0.91700000000000004</v>
      </c>
      <c r="AB340" s="6">
        <v>-0.58000000000000007</v>
      </c>
      <c r="AC340" s="6">
        <v>0.58000000000000007</v>
      </c>
      <c r="AD340" s="22" t="s">
        <v>3140</v>
      </c>
      <c r="AE340" s="23">
        <f t="shared" si="21"/>
        <v>10.664999999999999</v>
      </c>
      <c r="AF340" s="24">
        <f t="shared" si="22"/>
        <v>0</v>
      </c>
      <c r="AG340" s="23">
        <f t="shared" si="23"/>
        <v>2</v>
      </c>
    </row>
    <row r="341" spans="1:33" x14ac:dyDescent="0.25">
      <c r="A341" s="12" t="s">
        <v>31</v>
      </c>
      <c r="B341" s="9">
        <v>46177</v>
      </c>
      <c r="C341" s="10" t="s">
        <v>577</v>
      </c>
      <c r="D341" s="10" t="s">
        <v>578</v>
      </c>
      <c r="E341" s="10" t="s">
        <v>51</v>
      </c>
      <c r="F341" s="10" t="s">
        <v>35</v>
      </c>
      <c r="G341" s="10" t="s">
        <v>3146</v>
      </c>
      <c r="H341" s="8" t="s">
        <v>36</v>
      </c>
      <c r="I341" s="11">
        <v>39.22</v>
      </c>
      <c r="J341" s="6">
        <v>35.964739999999999</v>
      </c>
      <c r="K341" s="6">
        <v>0.91700000000000004</v>
      </c>
      <c r="L341" s="6">
        <v>38.76</v>
      </c>
      <c r="M341" s="11">
        <v>35.542920000000002</v>
      </c>
      <c r="N341" s="11">
        <f t="shared" si="20"/>
        <v>35.542999999999999</v>
      </c>
      <c r="O341" s="6">
        <v>0.91700000000000015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0.46</v>
      </c>
      <c r="Z341" s="6">
        <v>0.42181999999999997</v>
      </c>
      <c r="AA341" s="6">
        <v>0.91699999999999993</v>
      </c>
      <c r="AB341" s="6">
        <v>-0.46000000000000085</v>
      </c>
      <c r="AC341" s="6">
        <v>0.46000000000000085</v>
      </c>
      <c r="AD341" s="22" t="s">
        <v>3140</v>
      </c>
      <c r="AE341" s="23">
        <f t="shared" si="21"/>
        <v>35.542999999999999</v>
      </c>
      <c r="AF341" s="24">
        <f t="shared" si="22"/>
        <v>0</v>
      </c>
      <c r="AG341" s="23">
        <f t="shared" si="23"/>
        <v>1</v>
      </c>
    </row>
    <row r="342" spans="1:33" x14ac:dyDescent="0.25">
      <c r="A342" s="12" t="s">
        <v>31</v>
      </c>
      <c r="B342" s="9">
        <v>46177</v>
      </c>
      <c r="C342" s="10" t="s">
        <v>579</v>
      </c>
      <c r="D342" s="10" t="s">
        <v>58</v>
      </c>
      <c r="E342" s="10" t="s">
        <v>51</v>
      </c>
      <c r="F342" s="10" t="s">
        <v>35</v>
      </c>
      <c r="G342" s="10" t="s">
        <v>3146</v>
      </c>
      <c r="H342" s="8" t="s">
        <v>36</v>
      </c>
      <c r="I342" s="11">
        <v>3.73</v>
      </c>
      <c r="J342" s="6">
        <v>3.42041</v>
      </c>
      <c r="K342" s="6">
        <v>0.91700000000000004</v>
      </c>
      <c r="L342" s="6">
        <v>3.73</v>
      </c>
      <c r="M342" s="11">
        <v>3.42041</v>
      </c>
      <c r="N342" s="11">
        <f t="shared" si="20"/>
        <v>3.4209999999999998</v>
      </c>
      <c r="O342" s="6">
        <v>0.91700000000000004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23" t="s">
        <v>3143</v>
      </c>
      <c r="AE342" s="23">
        <f t="shared" si="21"/>
        <v>2.871</v>
      </c>
      <c r="AF342" s="24">
        <f t="shared" si="22"/>
        <v>0.54999999999999982</v>
      </c>
      <c r="AG342" s="23">
        <f t="shared" si="23"/>
        <v>4</v>
      </c>
    </row>
    <row r="343" spans="1:33" ht="20" hidden="1" customHeight="1" x14ac:dyDescent="0.25">
      <c r="A343" s="12" t="s">
        <v>31</v>
      </c>
      <c r="B343" s="9">
        <v>46177</v>
      </c>
      <c r="C343" s="10" t="s">
        <v>580</v>
      </c>
      <c r="D343" s="10" t="s">
        <v>581</v>
      </c>
      <c r="E343" s="10" t="s">
        <v>51</v>
      </c>
      <c r="F343" s="10" t="s">
        <v>35</v>
      </c>
      <c r="G343" s="10" t="s">
        <v>3145</v>
      </c>
      <c r="H343" s="8" t="s">
        <v>48</v>
      </c>
      <c r="I343" s="11">
        <v>49.38</v>
      </c>
      <c r="J343" s="6">
        <v>37.034999999999997</v>
      </c>
      <c r="K343" s="6">
        <v>0.74999999999999989</v>
      </c>
      <c r="L343" s="6">
        <v>46.93</v>
      </c>
      <c r="M343" s="11">
        <v>35.197499999999998</v>
      </c>
      <c r="N343" s="11">
        <f t="shared" si="20"/>
        <v>35.198</v>
      </c>
      <c r="O343" s="6">
        <v>0.75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2.4500000000000002</v>
      </c>
      <c r="Z343" s="6">
        <v>1.8374999999999999</v>
      </c>
      <c r="AA343" s="6">
        <v>0.74999999999999989</v>
      </c>
      <c r="AB343" s="6">
        <v>-2.4500000000000028</v>
      </c>
      <c r="AC343" s="6">
        <v>2.4500000000000028</v>
      </c>
      <c r="AD343" s="23" t="s">
        <v>3143</v>
      </c>
      <c r="AE343" s="23">
        <f t="shared" si="21"/>
        <v>31.05</v>
      </c>
      <c r="AF343" s="24">
        <f t="shared" si="22"/>
        <v>4.1479999999999997</v>
      </c>
      <c r="AG343" s="23">
        <f t="shared" si="23"/>
        <v>2</v>
      </c>
    </row>
    <row r="344" spans="1:33" x14ac:dyDescent="0.25">
      <c r="A344" s="12" t="s">
        <v>31</v>
      </c>
      <c r="B344" s="9">
        <v>46177</v>
      </c>
      <c r="C344" s="10" t="s">
        <v>582</v>
      </c>
      <c r="D344" s="10" t="s">
        <v>583</v>
      </c>
      <c r="E344" s="10" t="s">
        <v>51</v>
      </c>
      <c r="F344" s="10" t="s">
        <v>35</v>
      </c>
      <c r="G344" s="10" t="s">
        <v>3146</v>
      </c>
      <c r="H344" s="8" t="s">
        <v>36</v>
      </c>
      <c r="I344" s="11">
        <v>3.95</v>
      </c>
      <c r="J344" s="6">
        <v>3.62215</v>
      </c>
      <c r="K344" s="6">
        <v>0.91699999999999993</v>
      </c>
      <c r="L344" s="6">
        <v>3.95</v>
      </c>
      <c r="M344" s="11">
        <v>3.62215</v>
      </c>
      <c r="N344" s="11">
        <f t="shared" si="20"/>
        <v>3.6229999999999998</v>
      </c>
      <c r="O344" s="6">
        <v>0.91699999999999993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23" t="s">
        <v>3143</v>
      </c>
      <c r="AE344" s="23">
        <f t="shared" si="21"/>
        <v>3.3289999999999997</v>
      </c>
      <c r="AF344" s="24">
        <f t="shared" si="22"/>
        <v>0.29400000000000004</v>
      </c>
      <c r="AG344" s="23">
        <f t="shared" si="23"/>
        <v>3</v>
      </c>
    </row>
    <row r="345" spans="1:33" x14ac:dyDescent="0.25">
      <c r="A345" s="12" t="s">
        <v>31</v>
      </c>
      <c r="B345" s="9">
        <v>46177</v>
      </c>
      <c r="C345" s="10" t="s">
        <v>584</v>
      </c>
      <c r="D345" s="10" t="s">
        <v>585</v>
      </c>
      <c r="E345" s="10" t="s">
        <v>51</v>
      </c>
      <c r="F345" s="10" t="s">
        <v>35</v>
      </c>
      <c r="G345" s="10" t="s">
        <v>3146</v>
      </c>
      <c r="H345" s="8" t="s">
        <v>36</v>
      </c>
      <c r="I345" s="11">
        <v>4.59</v>
      </c>
      <c r="J345" s="6">
        <v>4.2090300000000003</v>
      </c>
      <c r="K345" s="6">
        <v>0.91700000000000004</v>
      </c>
      <c r="L345" s="6">
        <v>4.59</v>
      </c>
      <c r="M345" s="11">
        <v>4.2090300000000003</v>
      </c>
      <c r="N345" s="11">
        <f t="shared" si="20"/>
        <v>4.21</v>
      </c>
      <c r="O345" s="6">
        <v>0.91700000000000004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22" t="s">
        <v>3140</v>
      </c>
      <c r="AE345" s="23">
        <f t="shared" si="21"/>
        <v>4.21</v>
      </c>
      <c r="AF345" s="24">
        <f t="shared" si="22"/>
        <v>0</v>
      </c>
      <c r="AG345" s="23">
        <f t="shared" si="23"/>
        <v>3</v>
      </c>
    </row>
    <row r="346" spans="1:33" hidden="1" x14ac:dyDescent="0.25">
      <c r="A346" s="12" t="s">
        <v>31</v>
      </c>
      <c r="B346" s="9">
        <v>46177</v>
      </c>
      <c r="C346" s="10" t="s">
        <v>586</v>
      </c>
      <c r="D346" s="10" t="s">
        <v>416</v>
      </c>
      <c r="E346" s="10" t="s">
        <v>51</v>
      </c>
      <c r="F346" s="10" t="s">
        <v>35</v>
      </c>
      <c r="G346" s="10" t="s">
        <v>3145</v>
      </c>
      <c r="H346" s="8" t="s">
        <v>41</v>
      </c>
      <c r="I346" s="11">
        <v>128.33000000000001</v>
      </c>
      <c r="J346" s="6">
        <v>96.247500000000002</v>
      </c>
      <c r="K346" s="6">
        <v>0.75</v>
      </c>
      <c r="L346" s="6">
        <v>128.33000000000001</v>
      </c>
      <c r="M346" s="11">
        <v>96.247500000000002</v>
      </c>
      <c r="N346" s="11">
        <f t="shared" si="20"/>
        <v>96.248000000000005</v>
      </c>
      <c r="O346" s="6">
        <v>0.75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22" t="s">
        <v>3140</v>
      </c>
      <c r="AE346" s="23">
        <f t="shared" si="21"/>
        <v>96.248000000000005</v>
      </c>
      <c r="AF346" s="24">
        <f t="shared" si="22"/>
        <v>0</v>
      </c>
      <c r="AG346" s="23">
        <f t="shared" si="23"/>
        <v>2</v>
      </c>
    </row>
    <row r="347" spans="1:33" hidden="1" x14ac:dyDescent="0.25">
      <c r="A347" s="12" t="s">
        <v>31</v>
      </c>
      <c r="B347" s="9">
        <v>46177</v>
      </c>
      <c r="C347" s="10" t="s">
        <v>587</v>
      </c>
      <c r="D347" s="10" t="s">
        <v>588</v>
      </c>
      <c r="E347" s="10" t="s">
        <v>51</v>
      </c>
      <c r="F347" s="10" t="s">
        <v>35</v>
      </c>
      <c r="G347" s="10" t="s">
        <v>3145</v>
      </c>
      <c r="H347" s="8" t="s">
        <v>41</v>
      </c>
      <c r="I347" s="11">
        <v>5.74</v>
      </c>
      <c r="J347" s="6">
        <v>4.3049999999999997</v>
      </c>
      <c r="K347" s="6">
        <v>0.74999999999999989</v>
      </c>
      <c r="L347" s="6">
        <v>5.27</v>
      </c>
      <c r="M347" s="11">
        <v>3.9525000000000001</v>
      </c>
      <c r="N347" s="11">
        <f t="shared" si="20"/>
        <v>3.9529999999999998</v>
      </c>
      <c r="O347" s="6">
        <v>0.75000000000000011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0.47</v>
      </c>
      <c r="Z347" s="6">
        <v>0.35249999999999998</v>
      </c>
      <c r="AA347" s="6">
        <v>0.75</v>
      </c>
      <c r="AB347" s="6">
        <v>-0.47000000000000064</v>
      </c>
      <c r="AC347" s="6">
        <v>0.47000000000000064</v>
      </c>
      <c r="AD347" s="22" t="s">
        <v>3140</v>
      </c>
      <c r="AE347" s="23">
        <f t="shared" si="21"/>
        <v>3.9529999999999998</v>
      </c>
      <c r="AF347" s="24">
        <f t="shared" si="22"/>
        <v>0</v>
      </c>
      <c r="AG347" s="23">
        <f t="shared" si="23"/>
        <v>1</v>
      </c>
    </row>
    <row r="348" spans="1:33" hidden="1" x14ac:dyDescent="0.25">
      <c r="A348" s="12" t="s">
        <v>31</v>
      </c>
      <c r="B348" s="9">
        <v>46177</v>
      </c>
      <c r="C348" s="10" t="s">
        <v>589</v>
      </c>
      <c r="D348" s="10" t="s">
        <v>590</v>
      </c>
      <c r="E348" s="10" t="s">
        <v>51</v>
      </c>
      <c r="F348" s="10" t="s">
        <v>35</v>
      </c>
      <c r="G348" s="10" t="s">
        <v>3145</v>
      </c>
      <c r="H348" s="8" t="s">
        <v>41</v>
      </c>
      <c r="I348" s="11">
        <v>8.52</v>
      </c>
      <c r="J348" s="6">
        <v>6.39</v>
      </c>
      <c r="K348" s="6">
        <v>0.75</v>
      </c>
      <c r="L348" s="6">
        <v>7.65</v>
      </c>
      <c r="M348" s="11">
        <v>5.7374999999999998</v>
      </c>
      <c r="N348" s="11">
        <f t="shared" si="20"/>
        <v>5.7380000000000004</v>
      </c>
      <c r="O348" s="6">
        <v>0.74999999999999989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0.87</v>
      </c>
      <c r="Z348" s="6">
        <v>0.65249999999999997</v>
      </c>
      <c r="AA348" s="6">
        <v>0.75</v>
      </c>
      <c r="AB348" s="6">
        <v>-0.86999999999999922</v>
      </c>
      <c r="AC348" s="6">
        <v>0.86999999999999922</v>
      </c>
      <c r="AD348" s="22" t="s">
        <v>3140</v>
      </c>
      <c r="AE348" s="23">
        <f t="shared" si="21"/>
        <v>5.7380000000000004</v>
      </c>
      <c r="AF348" s="24">
        <f t="shared" si="22"/>
        <v>0</v>
      </c>
      <c r="AG348" s="23">
        <f t="shared" si="23"/>
        <v>1</v>
      </c>
    </row>
    <row r="349" spans="1:33" hidden="1" x14ac:dyDescent="0.25">
      <c r="A349" s="12" t="s">
        <v>31</v>
      </c>
      <c r="B349" s="9">
        <v>46177</v>
      </c>
      <c r="C349" s="10" t="s">
        <v>591</v>
      </c>
      <c r="D349" s="10" t="s">
        <v>592</v>
      </c>
      <c r="E349" s="10" t="s">
        <v>51</v>
      </c>
      <c r="F349" s="10" t="s">
        <v>35</v>
      </c>
      <c r="G349" s="10" t="s">
        <v>3145</v>
      </c>
      <c r="H349" s="8" t="s">
        <v>41</v>
      </c>
      <c r="I349" s="11">
        <v>138.72999999999999</v>
      </c>
      <c r="J349" s="6">
        <v>104.0475</v>
      </c>
      <c r="K349" s="6">
        <v>0.75</v>
      </c>
      <c r="L349" s="6">
        <v>122.72</v>
      </c>
      <c r="M349" s="11">
        <v>92.04</v>
      </c>
      <c r="N349" s="11">
        <f t="shared" si="20"/>
        <v>92.04</v>
      </c>
      <c r="O349" s="6">
        <v>0.75000000000000011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16.010000000000002</v>
      </c>
      <c r="Z349" s="6">
        <v>12.0075</v>
      </c>
      <c r="AA349" s="6">
        <v>0.75</v>
      </c>
      <c r="AB349" s="6">
        <v>-16.009999999999991</v>
      </c>
      <c r="AC349" s="6">
        <v>16.009999999999991</v>
      </c>
      <c r="AD349" s="22" t="s">
        <v>3140</v>
      </c>
      <c r="AE349" s="23">
        <f t="shared" si="21"/>
        <v>92.04</v>
      </c>
      <c r="AF349" s="24">
        <f t="shared" si="22"/>
        <v>0</v>
      </c>
      <c r="AG349" s="23">
        <f t="shared" si="23"/>
        <v>1</v>
      </c>
    </row>
    <row r="350" spans="1:33" ht="20" hidden="1" customHeight="1" x14ac:dyDescent="0.25">
      <c r="A350" s="12" t="s">
        <v>31</v>
      </c>
      <c r="B350" s="9">
        <v>46177</v>
      </c>
      <c r="C350" s="10" t="s">
        <v>593</v>
      </c>
      <c r="D350" s="10" t="s">
        <v>594</v>
      </c>
      <c r="E350" s="10" t="s">
        <v>51</v>
      </c>
      <c r="F350" s="10" t="s">
        <v>35</v>
      </c>
      <c r="G350" s="10" t="s">
        <v>3145</v>
      </c>
      <c r="H350" s="8" t="s">
        <v>48</v>
      </c>
      <c r="I350" s="11">
        <v>28.44</v>
      </c>
      <c r="J350" s="6">
        <v>21.33</v>
      </c>
      <c r="K350" s="6">
        <v>0.74999999999999989</v>
      </c>
      <c r="L350" s="6">
        <v>26.24</v>
      </c>
      <c r="M350" s="11">
        <v>19.68</v>
      </c>
      <c r="N350" s="11">
        <f t="shared" si="20"/>
        <v>19.68</v>
      </c>
      <c r="O350" s="6">
        <v>0.75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2.2000000000000002</v>
      </c>
      <c r="Z350" s="6">
        <v>1.65</v>
      </c>
      <c r="AA350" s="6">
        <v>0.74999999999999989</v>
      </c>
      <c r="AB350" s="6">
        <v>-2.2000000000000028</v>
      </c>
      <c r="AC350" s="6">
        <v>2.2000000000000028</v>
      </c>
      <c r="AD350" s="22" t="s">
        <v>3140</v>
      </c>
      <c r="AE350" s="23">
        <f t="shared" si="21"/>
        <v>19.68</v>
      </c>
      <c r="AF350" s="24">
        <f t="shared" si="22"/>
        <v>0</v>
      </c>
      <c r="AG350" s="23">
        <f t="shared" si="23"/>
        <v>1</v>
      </c>
    </row>
    <row r="351" spans="1:33" x14ac:dyDescent="0.25">
      <c r="A351" s="12" t="s">
        <v>31</v>
      </c>
      <c r="B351" s="9">
        <v>46177</v>
      </c>
      <c r="C351" s="10" t="s">
        <v>595</v>
      </c>
      <c r="D351" s="10" t="s">
        <v>596</v>
      </c>
      <c r="E351" s="10" t="s">
        <v>51</v>
      </c>
      <c r="F351" s="10" t="s">
        <v>35</v>
      </c>
      <c r="G351" s="10" t="s">
        <v>3146</v>
      </c>
      <c r="H351" s="8" t="s">
        <v>36</v>
      </c>
      <c r="I351" s="11">
        <v>98.76</v>
      </c>
      <c r="J351" s="6">
        <v>90.562920000000005</v>
      </c>
      <c r="K351" s="6">
        <v>0.91700000000000004</v>
      </c>
      <c r="L351" s="6">
        <v>93.49</v>
      </c>
      <c r="M351" s="11">
        <v>85.730329999999995</v>
      </c>
      <c r="N351" s="11">
        <f t="shared" si="20"/>
        <v>85.731000000000009</v>
      </c>
      <c r="O351" s="6">
        <v>0.91700000000000004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5.27</v>
      </c>
      <c r="Z351" s="6">
        <v>4.8325899999999997</v>
      </c>
      <c r="AA351" s="6">
        <v>0.91700000000000004</v>
      </c>
      <c r="AB351" s="6">
        <v>-5.2700000000000102</v>
      </c>
      <c r="AC351" s="6">
        <v>5.2700000000000102</v>
      </c>
      <c r="AD351" s="22" t="s">
        <v>3140</v>
      </c>
      <c r="AE351" s="23">
        <f t="shared" si="21"/>
        <v>85.731000000000009</v>
      </c>
      <c r="AF351" s="24">
        <f t="shared" si="22"/>
        <v>0</v>
      </c>
      <c r="AG351" s="23">
        <f t="shared" si="23"/>
        <v>1</v>
      </c>
    </row>
    <row r="352" spans="1:33" ht="20" hidden="1" customHeight="1" x14ac:dyDescent="0.25">
      <c r="A352" s="12" t="s">
        <v>31</v>
      </c>
      <c r="B352" s="9">
        <v>46177</v>
      </c>
      <c r="C352" s="10" t="s">
        <v>597</v>
      </c>
      <c r="D352" s="10" t="s">
        <v>598</v>
      </c>
      <c r="E352" s="10" t="s">
        <v>51</v>
      </c>
      <c r="F352" s="10" t="s">
        <v>35</v>
      </c>
      <c r="G352" s="10" t="s">
        <v>3145</v>
      </c>
      <c r="H352" s="8" t="s">
        <v>48</v>
      </c>
      <c r="I352" s="11">
        <v>20.6</v>
      </c>
      <c r="J352" s="6">
        <v>15.45</v>
      </c>
      <c r="K352" s="6">
        <v>0.74999999999999989</v>
      </c>
      <c r="L352" s="6">
        <v>18.8</v>
      </c>
      <c r="M352" s="11">
        <v>14.1</v>
      </c>
      <c r="N352" s="11">
        <f t="shared" si="20"/>
        <v>14.1</v>
      </c>
      <c r="O352" s="6">
        <v>0.75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1.8</v>
      </c>
      <c r="Z352" s="6">
        <v>1.35</v>
      </c>
      <c r="AA352" s="6">
        <v>0.75</v>
      </c>
      <c r="AB352" s="6">
        <v>-1.8000000000000007</v>
      </c>
      <c r="AC352" s="6">
        <v>1.8000000000000007</v>
      </c>
      <c r="AD352" s="22" t="s">
        <v>3140</v>
      </c>
      <c r="AE352" s="23">
        <f t="shared" si="21"/>
        <v>14.1</v>
      </c>
      <c r="AF352" s="24">
        <f t="shared" si="22"/>
        <v>0</v>
      </c>
      <c r="AG352" s="23">
        <f t="shared" si="23"/>
        <v>1</v>
      </c>
    </row>
    <row r="353" spans="1:33" ht="12.5" customHeight="1" x14ac:dyDescent="0.25">
      <c r="A353" s="12" t="s">
        <v>31</v>
      </c>
      <c r="B353" s="9">
        <v>46177</v>
      </c>
      <c r="C353" s="8" t="s">
        <v>599</v>
      </c>
      <c r="D353" s="10" t="s">
        <v>600</v>
      </c>
      <c r="E353" s="10" t="s">
        <v>51</v>
      </c>
      <c r="F353" s="10" t="s">
        <v>35</v>
      </c>
      <c r="G353" s="10" t="s">
        <v>3146</v>
      </c>
      <c r="H353" s="8" t="s">
        <v>36</v>
      </c>
      <c r="I353" s="11">
        <v>8.44</v>
      </c>
      <c r="J353" s="6">
        <v>7.7394800000000004</v>
      </c>
      <c r="K353" s="6">
        <v>0.91700000000000015</v>
      </c>
      <c r="L353" s="6">
        <v>7.77</v>
      </c>
      <c r="M353" s="11">
        <v>7.1250900000000001</v>
      </c>
      <c r="N353" s="11">
        <f t="shared" si="20"/>
        <v>7.1260000000000003</v>
      </c>
      <c r="O353" s="6">
        <v>0.91700000000000004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0.67</v>
      </c>
      <c r="Z353" s="6">
        <v>0.61438999999999999</v>
      </c>
      <c r="AA353" s="6">
        <v>0.91699999999999993</v>
      </c>
      <c r="AB353" s="6">
        <v>-0.67</v>
      </c>
      <c r="AC353" s="6">
        <v>0.67</v>
      </c>
      <c r="AD353" s="22" t="s">
        <v>3140</v>
      </c>
      <c r="AE353" s="23">
        <f t="shared" si="21"/>
        <v>7.1260000000000003</v>
      </c>
      <c r="AF353" s="24">
        <f t="shared" si="22"/>
        <v>0</v>
      </c>
      <c r="AG353" s="23">
        <f t="shared" si="23"/>
        <v>1</v>
      </c>
    </row>
    <row r="354" spans="1:33" ht="12.5" customHeight="1" x14ac:dyDescent="0.25">
      <c r="A354" s="12" t="s">
        <v>31</v>
      </c>
      <c r="B354" s="9">
        <v>46177</v>
      </c>
      <c r="C354" s="12" t="s">
        <v>599</v>
      </c>
      <c r="D354" s="10" t="s">
        <v>601</v>
      </c>
      <c r="E354" s="10" t="s">
        <v>51</v>
      </c>
      <c r="F354" s="10" t="s">
        <v>35</v>
      </c>
      <c r="G354" s="10" t="s">
        <v>3146</v>
      </c>
      <c r="H354" s="8" t="s">
        <v>36</v>
      </c>
      <c r="I354" s="11">
        <v>5.73</v>
      </c>
      <c r="J354" s="6">
        <v>5.25441</v>
      </c>
      <c r="K354" s="6">
        <v>0.91699999999999993</v>
      </c>
      <c r="L354" s="6">
        <v>5.59</v>
      </c>
      <c r="M354" s="11">
        <v>5.1260300000000001</v>
      </c>
      <c r="N354" s="11">
        <f t="shared" si="20"/>
        <v>5.1270000000000007</v>
      </c>
      <c r="O354" s="6">
        <v>0.91700000000000004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0.14000000000000001</v>
      </c>
      <c r="Z354" s="6">
        <v>0.12837999999999999</v>
      </c>
      <c r="AA354" s="6">
        <v>0.91699999999999982</v>
      </c>
      <c r="AB354" s="6">
        <v>-0.14000000000000057</v>
      </c>
      <c r="AC354" s="6">
        <v>0.14000000000000057</v>
      </c>
      <c r="AD354" s="22" t="s">
        <v>3140</v>
      </c>
      <c r="AE354" s="23">
        <f t="shared" si="21"/>
        <v>5.1270000000000007</v>
      </c>
      <c r="AF354" s="24">
        <f t="shared" si="22"/>
        <v>0</v>
      </c>
      <c r="AG354" s="23">
        <f t="shared" si="23"/>
        <v>1</v>
      </c>
    </row>
    <row r="355" spans="1:33" ht="12.5" customHeight="1" x14ac:dyDescent="0.25">
      <c r="A355" s="12" t="s">
        <v>31</v>
      </c>
      <c r="B355" s="9">
        <v>46177</v>
      </c>
      <c r="C355" s="12" t="s">
        <v>599</v>
      </c>
      <c r="D355" s="10" t="s">
        <v>602</v>
      </c>
      <c r="E355" s="10" t="s">
        <v>51</v>
      </c>
      <c r="F355" s="10" t="s">
        <v>35</v>
      </c>
      <c r="G355" s="10" t="s">
        <v>3146</v>
      </c>
      <c r="H355" s="8" t="s">
        <v>36</v>
      </c>
      <c r="I355" s="11">
        <v>8.2200000000000006</v>
      </c>
      <c r="J355" s="6">
        <v>7.5377400000000003</v>
      </c>
      <c r="K355" s="6">
        <v>0.91699999999999993</v>
      </c>
      <c r="L355" s="6">
        <v>7.89</v>
      </c>
      <c r="M355" s="11">
        <v>7.2351299999999998</v>
      </c>
      <c r="N355" s="11">
        <f t="shared" si="20"/>
        <v>7.2360000000000007</v>
      </c>
      <c r="O355" s="6">
        <v>0.91700000000000004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0.33</v>
      </c>
      <c r="Z355" s="6">
        <v>0.30260999999999999</v>
      </c>
      <c r="AA355" s="6">
        <v>0.91699999999999993</v>
      </c>
      <c r="AB355" s="6">
        <v>-0.33000000000000096</v>
      </c>
      <c r="AC355" s="6">
        <v>0.33000000000000096</v>
      </c>
      <c r="AD355" s="22" t="s">
        <v>3140</v>
      </c>
      <c r="AE355" s="23">
        <f t="shared" si="21"/>
        <v>7.2360000000000007</v>
      </c>
      <c r="AF355" s="24">
        <f t="shared" si="22"/>
        <v>0</v>
      </c>
      <c r="AG355" s="23">
        <f t="shared" si="23"/>
        <v>1</v>
      </c>
    </row>
    <row r="356" spans="1:33" ht="12.5" customHeight="1" x14ac:dyDescent="0.25">
      <c r="A356" s="12" t="s">
        <v>31</v>
      </c>
      <c r="B356" s="9">
        <v>46177</v>
      </c>
      <c r="C356" s="12" t="s">
        <v>599</v>
      </c>
      <c r="D356" s="10" t="s">
        <v>603</v>
      </c>
      <c r="E356" s="10" t="s">
        <v>51</v>
      </c>
      <c r="F356" s="10" t="s">
        <v>35</v>
      </c>
      <c r="G356" s="10" t="s">
        <v>3146</v>
      </c>
      <c r="H356" s="8" t="s">
        <v>36</v>
      </c>
      <c r="I356" s="11">
        <v>10.6501</v>
      </c>
      <c r="J356" s="6">
        <v>9.7661417000000004</v>
      </c>
      <c r="K356" s="6">
        <v>0.91700000000000004</v>
      </c>
      <c r="L356" s="6">
        <v>10.199999999999999</v>
      </c>
      <c r="M356" s="11">
        <v>9.3534000000000006</v>
      </c>
      <c r="N356" s="11">
        <f t="shared" si="20"/>
        <v>9.3539999999999992</v>
      </c>
      <c r="O356" s="6">
        <v>0.91700000000000015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0.4501</v>
      </c>
      <c r="Z356" s="6">
        <v>0.41274169999999999</v>
      </c>
      <c r="AA356" s="6">
        <v>0.91699999999999993</v>
      </c>
      <c r="AB356" s="6">
        <v>-0.45010000000000083</v>
      </c>
      <c r="AC356" s="6">
        <v>0.45010000000000083</v>
      </c>
      <c r="AD356" s="22" t="s">
        <v>3140</v>
      </c>
      <c r="AE356" s="23">
        <f t="shared" si="21"/>
        <v>9.3539999999999992</v>
      </c>
      <c r="AF356" s="24">
        <f t="shared" si="22"/>
        <v>0</v>
      </c>
      <c r="AG356" s="23">
        <f t="shared" si="23"/>
        <v>1</v>
      </c>
    </row>
    <row r="357" spans="1:33" ht="12.5" hidden="1" customHeight="1" x14ac:dyDescent="0.25">
      <c r="A357" s="12" t="s">
        <v>31</v>
      </c>
      <c r="B357" s="9">
        <v>46177</v>
      </c>
      <c r="C357" s="13" t="s">
        <v>599</v>
      </c>
      <c r="D357" s="10" t="s">
        <v>459</v>
      </c>
      <c r="E357" s="10" t="s">
        <v>51</v>
      </c>
      <c r="F357" s="10" t="s">
        <v>35</v>
      </c>
      <c r="G357" s="10" t="s">
        <v>3145</v>
      </c>
      <c r="H357" s="8" t="s">
        <v>48</v>
      </c>
      <c r="I357" s="11">
        <v>21.89</v>
      </c>
      <c r="J357" s="6">
        <v>16.4175</v>
      </c>
      <c r="K357" s="6">
        <v>0.75</v>
      </c>
      <c r="L357" s="6">
        <v>20.399999999999999</v>
      </c>
      <c r="M357" s="11">
        <v>15.3</v>
      </c>
      <c r="N357" s="11">
        <f t="shared" si="20"/>
        <v>15.3</v>
      </c>
      <c r="O357" s="6">
        <v>0.75000000000000011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1.49</v>
      </c>
      <c r="Z357" s="6">
        <v>1.1174999999999999</v>
      </c>
      <c r="AA357" s="6">
        <v>0.75</v>
      </c>
      <c r="AB357" s="6">
        <v>-1.490000000000002</v>
      </c>
      <c r="AC357" s="6">
        <v>1.490000000000002</v>
      </c>
      <c r="AD357" s="22" t="s">
        <v>3140</v>
      </c>
      <c r="AE357" s="23">
        <f t="shared" si="21"/>
        <v>15.3</v>
      </c>
      <c r="AF357" s="24">
        <f t="shared" si="22"/>
        <v>0</v>
      </c>
      <c r="AG357" s="23">
        <f t="shared" si="23"/>
        <v>2</v>
      </c>
    </row>
    <row r="358" spans="1:33" ht="12.5" hidden="1" customHeight="1" x14ac:dyDescent="0.25">
      <c r="A358" s="12" t="s">
        <v>31</v>
      </c>
      <c r="B358" s="9">
        <v>46177</v>
      </c>
      <c r="C358" s="8" t="s">
        <v>604</v>
      </c>
      <c r="D358" s="10" t="s">
        <v>605</v>
      </c>
      <c r="E358" s="10" t="s">
        <v>51</v>
      </c>
      <c r="F358" s="10" t="s">
        <v>35</v>
      </c>
      <c r="G358" s="10" t="s">
        <v>3145</v>
      </c>
      <c r="H358" s="8" t="s">
        <v>48</v>
      </c>
      <c r="I358" s="11">
        <v>63.47</v>
      </c>
      <c r="J358" s="6">
        <v>47.602499999999999</v>
      </c>
      <c r="K358" s="6">
        <v>0.75</v>
      </c>
      <c r="L358" s="6">
        <v>59.33</v>
      </c>
      <c r="M358" s="11">
        <v>44.497500000000002</v>
      </c>
      <c r="N358" s="11">
        <f t="shared" si="20"/>
        <v>44.497999999999998</v>
      </c>
      <c r="O358" s="6">
        <v>0.75000000000000011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4.1399999999999997</v>
      </c>
      <c r="Z358" s="6">
        <v>3.105</v>
      </c>
      <c r="AA358" s="6">
        <v>0.75</v>
      </c>
      <c r="AB358" s="6">
        <v>-4.1400000000000006</v>
      </c>
      <c r="AC358" s="6">
        <v>4.1400000000000006</v>
      </c>
      <c r="AD358" s="22" t="s">
        <v>3140</v>
      </c>
      <c r="AE358" s="23">
        <f t="shared" si="21"/>
        <v>44.497999999999998</v>
      </c>
      <c r="AF358" s="24">
        <f t="shared" si="22"/>
        <v>0</v>
      </c>
      <c r="AG358" s="23">
        <f t="shared" si="23"/>
        <v>1</v>
      </c>
    </row>
    <row r="359" spans="1:33" ht="12.5" hidden="1" customHeight="1" x14ac:dyDescent="0.25">
      <c r="A359" s="12" t="s">
        <v>31</v>
      </c>
      <c r="B359" s="9">
        <v>46177</v>
      </c>
      <c r="C359" s="12" t="s">
        <v>604</v>
      </c>
      <c r="D359" s="10" t="s">
        <v>606</v>
      </c>
      <c r="E359" s="10" t="s">
        <v>51</v>
      </c>
      <c r="F359" s="10" t="s">
        <v>35</v>
      </c>
      <c r="G359" s="10" t="s">
        <v>3145</v>
      </c>
      <c r="H359" s="8" t="s">
        <v>48</v>
      </c>
      <c r="I359" s="11">
        <v>22.72</v>
      </c>
      <c r="J359" s="6">
        <v>17.04</v>
      </c>
      <c r="K359" s="6">
        <v>0.75</v>
      </c>
      <c r="L359" s="6">
        <v>21.92</v>
      </c>
      <c r="M359" s="11">
        <v>16.440000000000001</v>
      </c>
      <c r="N359" s="11">
        <f t="shared" si="20"/>
        <v>16.440000000000001</v>
      </c>
      <c r="O359" s="6">
        <v>0.75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0.8</v>
      </c>
      <c r="Z359" s="6">
        <v>0.6</v>
      </c>
      <c r="AA359" s="6">
        <v>0.74999999999999989</v>
      </c>
      <c r="AB359" s="6">
        <v>-0.79999999999999716</v>
      </c>
      <c r="AC359" s="6">
        <v>0.79999999999999716</v>
      </c>
      <c r="AD359" s="22" t="s">
        <v>3140</v>
      </c>
      <c r="AE359" s="23">
        <f t="shared" si="21"/>
        <v>16.440000000000001</v>
      </c>
      <c r="AF359" s="24">
        <f t="shared" si="22"/>
        <v>0</v>
      </c>
      <c r="AG359" s="23">
        <f t="shared" si="23"/>
        <v>1</v>
      </c>
    </row>
    <row r="360" spans="1:33" ht="12.5" hidden="1" customHeight="1" x14ac:dyDescent="0.25">
      <c r="A360" s="12" t="s">
        <v>31</v>
      </c>
      <c r="B360" s="9">
        <v>46177</v>
      </c>
      <c r="C360" s="12" t="s">
        <v>604</v>
      </c>
      <c r="D360" s="10" t="s">
        <v>607</v>
      </c>
      <c r="E360" s="10" t="s">
        <v>51</v>
      </c>
      <c r="F360" s="10" t="s">
        <v>35</v>
      </c>
      <c r="G360" s="10" t="s">
        <v>3145</v>
      </c>
      <c r="H360" s="8" t="s">
        <v>48</v>
      </c>
      <c r="I360" s="11">
        <v>20.71</v>
      </c>
      <c r="J360" s="6">
        <v>15.532500000000001</v>
      </c>
      <c r="K360" s="6">
        <v>0.75</v>
      </c>
      <c r="L360" s="6">
        <v>19.12</v>
      </c>
      <c r="M360" s="11">
        <v>14.34</v>
      </c>
      <c r="N360" s="11">
        <f t="shared" si="20"/>
        <v>14.34</v>
      </c>
      <c r="O360" s="6">
        <v>0.75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1.59</v>
      </c>
      <c r="Z360" s="6">
        <v>1.1924999999999999</v>
      </c>
      <c r="AA360" s="6">
        <v>0.74999999999999989</v>
      </c>
      <c r="AB360" s="6">
        <v>-1.59</v>
      </c>
      <c r="AC360" s="6">
        <v>1.59</v>
      </c>
      <c r="AD360" s="22" t="s">
        <v>3140</v>
      </c>
      <c r="AE360" s="23">
        <f t="shared" si="21"/>
        <v>14.34</v>
      </c>
      <c r="AF360" s="24">
        <f t="shared" si="22"/>
        <v>0</v>
      </c>
      <c r="AG360" s="23">
        <f t="shared" si="23"/>
        <v>1</v>
      </c>
    </row>
    <row r="361" spans="1:33" ht="12.5" customHeight="1" x14ac:dyDescent="0.25">
      <c r="A361" s="12" t="s">
        <v>31</v>
      </c>
      <c r="B361" s="9">
        <v>46177</v>
      </c>
      <c r="C361" s="13" t="s">
        <v>604</v>
      </c>
      <c r="D361" s="10" t="s">
        <v>608</v>
      </c>
      <c r="E361" s="10" t="s">
        <v>51</v>
      </c>
      <c r="F361" s="10" t="s">
        <v>35</v>
      </c>
      <c r="G361" s="10" t="s">
        <v>3146</v>
      </c>
      <c r="H361" s="8" t="s">
        <v>36</v>
      </c>
      <c r="I361" s="11">
        <v>131.09</v>
      </c>
      <c r="J361" s="6">
        <v>120.20953</v>
      </c>
      <c r="K361" s="6">
        <v>0.91700000000000004</v>
      </c>
      <c r="L361" s="6">
        <v>124.48</v>
      </c>
      <c r="M361" s="11">
        <v>114.14816</v>
      </c>
      <c r="N361" s="11">
        <f t="shared" si="20"/>
        <v>114.149</v>
      </c>
      <c r="O361" s="6">
        <v>0.91700000000000004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6.61</v>
      </c>
      <c r="Z361" s="6">
        <v>6.0613700000000001</v>
      </c>
      <c r="AA361" s="6">
        <v>0.91699999999999993</v>
      </c>
      <c r="AB361" s="6">
        <v>-6.61</v>
      </c>
      <c r="AC361" s="6">
        <v>6.61</v>
      </c>
      <c r="AD361" s="22" t="s">
        <v>3140</v>
      </c>
      <c r="AE361" s="23">
        <f t="shared" si="21"/>
        <v>114.149</v>
      </c>
      <c r="AF361" s="24">
        <f t="shared" si="22"/>
        <v>0</v>
      </c>
      <c r="AG361" s="23">
        <f t="shared" si="23"/>
        <v>1</v>
      </c>
    </row>
    <row r="362" spans="1:33" ht="20" hidden="1" customHeight="1" x14ac:dyDescent="0.25">
      <c r="A362" s="12" t="s">
        <v>31</v>
      </c>
      <c r="B362" s="9">
        <v>46177</v>
      </c>
      <c r="C362" s="10" t="s">
        <v>609</v>
      </c>
      <c r="D362" s="10" t="s">
        <v>610</v>
      </c>
      <c r="E362" s="10" t="s">
        <v>51</v>
      </c>
      <c r="F362" s="10" t="s">
        <v>35</v>
      </c>
      <c r="G362" s="10" t="s">
        <v>3145</v>
      </c>
      <c r="H362" s="8" t="s">
        <v>48</v>
      </c>
      <c r="I362" s="11">
        <v>21.75</v>
      </c>
      <c r="J362" s="6">
        <v>16.3125</v>
      </c>
      <c r="K362" s="6">
        <v>0.75</v>
      </c>
      <c r="L362" s="6">
        <v>19.98</v>
      </c>
      <c r="M362" s="11">
        <v>14.984999999999999</v>
      </c>
      <c r="N362" s="11">
        <f t="shared" si="20"/>
        <v>14.984999999999999</v>
      </c>
      <c r="O362" s="6">
        <v>0.75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1.77</v>
      </c>
      <c r="Z362" s="6">
        <v>1.3274999999999999</v>
      </c>
      <c r="AA362" s="6">
        <v>0.74999999999999989</v>
      </c>
      <c r="AB362" s="6">
        <v>-1.7699999999999996</v>
      </c>
      <c r="AC362" s="6">
        <v>1.7699999999999996</v>
      </c>
      <c r="AD362" s="22" t="s">
        <v>3140</v>
      </c>
      <c r="AE362" s="23">
        <f t="shared" si="21"/>
        <v>14.984999999999999</v>
      </c>
      <c r="AF362" s="24">
        <f t="shared" si="22"/>
        <v>0</v>
      </c>
      <c r="AG362" s="23">
        <f t="shared" si="23"/>
        <v>1</v>
      </c>
    </row>
    <row r="363" spans="1:33" hidden="1" x14ac:dyDescent="0.25">
      <c r="A363" s="12" t="s">
        <v>31</v>
      </c>
      <c r="B363" s="9">
        <v>46177</v>
      </c>
      <c r="C363" s="10" t="s">
        <v>611</v>
      </c>
      <c r="D363" s="10" t="s">
        <v>612</v>
      </c>
      <c r="E363" s="10" t="s">
        <v>51</v>
      </c>
      <c r="F363" s="10" t="s">
        <v>35</v>
      </c>
      <c r="G363" s="10" t="s">
        <v>3145</v>
      </c>
      <c r="H363" s="8" t="s">
        <v>41</v>
      </c>
      <c r="I363" s="11">
        <v>2.056</v>
      </c>
      <c r="J363" s="6">
        <v>1.542</v>
      </c>
      <c r="K363" s="6">
        <v>0.75</v>
      </c>
      <c r="L363" s="6">
        <v>1.8859999999999999</v>
      </c>
      <c r="M363" s="11">
        <v>1.4145000000000001</v>
      </c>
      <c r="N363" s="11">
        <f t="shared" si="20"/>
        <v>1.4149999999999998</v>
      </c>
      <c r="O363" s="6">
        <v>0.75000000000000011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0.17</v>
      </c>
      <c r="Z363" s="6">
        <v>0.1275</v>
      </c>
      <c r="AA363" s="6">
        <v>0.75</v>
      </c>
      <c r="AB363" s="6">
        <v>-0.17000000000000015</v>
      </c>
      <c r="AC363" s="6">
        <v>0.17000000000000015</v>
      </c>
      <c r="AD363" s="22" t="s">
        <v>3140</v>
      </c>
      <c r="AE363" s="23">
        <f t="shared" si="21"/>
        <v>1.4149999999999998</v>
      </c>
      <c r="AF363" s="24">
        <f t="shared" si="22"/>
        <v>0</v>
      </c>
      <c r="AG363" s="23">
        <f t="shared" si="23"/>
        <v>1</v>
      </c>
    </row>
    <row r="364" spans="1:33" hidden="1" x14ac:dyDescent="0.25">
      <c r="A364" s="12" t="s">
        <v>31</v>
      </c>
      <c r="B364" s="9">
        <v>46177</v>
      </c>
      <c r="C364" s="10" t="s">
        <v>613</v>
      </c>
      <c r="D364" s="10" t="s">
        <v>614</v>
      </c>
      <c r="E364" s="10" t="s">
        <v>51</v>
      </c>
      <c r="F364" s="10" t="s">
        <v>35</v>
      </c>
      <c r="G364" s="10" t="s">
        <v>3145</v>
      </c>
      <c r="H364" s="8" t="s">
        <v>41</v>
      </c>
      <c r="I364" s="11">
        <v>2.19</v>
      </c>
      <c r="J364" s="6">
        <v>1.6425000000000001</v>
      </c>
      <c r="K364" s="6">
        <v>0.75</v>
      </c>
      <c r="L364" s="6">
        <v>2.0499999999999998</v>
      </c>
      <c r="M364" s="11">
        <v>1.5375000000000001</v>
      </c>
      <c r="N364" s="11">
        <f t="shared" si="20"/>
        <v>1.5379999999999998</v>
      </c>
      <c r="O364" s="6">
        <v>0.75000000000000011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0.14000000000000001</v>
      </c>
      <c r="Z364" s="6">
        <v>0.105</v>
      </c>
      <c r="AA364" s="6">
        <v>0.74999999999999989</v>
      </c>
      <c r="AB364" s="6">
        <v>-0.14000000000000012</v>
      </c>
      <c r="AC364" s="6">
        <v>0.14000000000000012</v>
      </c>
      <c r="AD364" s="22" t="s">
        <v>3140</v>
      </c>
      <c r="AE364" s="23">
        <f t="shared" si="21"/>
        <v>1.5379999999999998</v>
      </c>
      <c r="AF364" s="24">
        <f t="shared" si="22"/>
        <v>0</v>
      </c>
      <c r="AG364" s="23">
        <f t="shared" si="23"/>
        <v>1</v>
      </c>
    </row>
    <row r="365" spans="1:33" ht="20" hidden="1" customHeight="1" x14ac:dyDescent="0.25">
      <c r="A365" s="12" t="s">
        <v>31</v>
      </c>
      <c r="B365" s="9">
        <v>46177</v>
      </c>
      <c r="C365" s="10" t="s">
        <v>615</v>
      </c>
      <c r="D365" s="10" t="s">
        <v>616</v>
      </c>
      <c r="E365" s="10" t="s">
        <v>51</v>
      </c>
      <c r="F365" s="10" t="s">
        <v>35</v>
      </c>
      <c r="G365" s="10" t="s">
        <v>3145</v>
      </c>
      <c r="H365" s="8" t="s">
        <v>48</v>
      </c>
      <c r="I365" s="11">
        <v>14.29</v>
      </c>
      <c r="J365" s="6">
        <v>10.717499999999999</v>
      </c>
      <c r="K365" s="6">
        <v>0.75</v>
      </c>
      <c r="L365" s="6">
        <v>13.56</v>
      </c>
      <c r="M365" s="11">
        <v>10.17</v>
      </c>
      <c r="N365" s="11">
        <f t="shared" si="20"/>
        <v>10.17</v>
      </c>
      <c r="O365" s="6">
        <v>0.75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0.73</v>
      </c>
      <c r="Z365" s="6">
        <v>0.54749999999999999</v>
      </c>
      <c r="AA365" s="6">
        <v>0.75</v>
      </c>
      <c r="AB365" s="6">
        <v>-0.72999999999999865</v>
      </c>
      <c r="AC365" s="6">
        <v>0.72999999999999865</v>
      </c>
      <c r="AD365" s="22" t="s">
        <v>3140</v>
      </c>
      <c r="AE365" s="23">
        <f t="shared" si="21"/>
        <v>10.17</v>
      </c>
      <c r="AF365" s="24">
        <f t="shared" si="22"/>
        <v>0</v>
      </c>
      <c r="AG365" s="23">
        <f t="shared" si="23"/>
        <v>1</v>
      </c>
    </row>
    <row r="366" spans="1:33" x14ac:dyDescent="0.25">
      <c r="A366" s="12" t="s">
        <v>31</v>
      </c>
      <c r="B366" s="9">
        <v>46177</v>
      </c>
      <c r="C366" s="10" t="s">
        <v>617</v>
      </c>
      <c r="D366" s="10" t="s">
        <v>618</v>
      </c>
      <c r="E366" s="10" t="s">
        <v>51</v>
      </c>
      <c r="F366" s="10" t="s">
        <v>35</v>
      </c>
      <c r="G366" s="10" t="s">
        <v>3146</v>
      </c>
      <c r="H366" s="8" t="s">
        <v>36</v>
      </c>
      <c r="I366" s="11">
        <v>90.88</v>
      </c>
      <c r="J366" s="6">
        <v>83.336960000000005</v>
      </c>
      <c r="K366" s="6">
        <v>0.91700000000000015</v>
      </c>
      <c r="L366" s="6">
        <v>86.31</v>
      </c>
      <c r="M366" s="11">
        <v>79.146270000000001</v>
      </c>
      <c r="N366" s="11">
        <f t="shared" si="20"/>
        <v>79.147000000000006</v>
      </c>
      <c r="O366" s="6">
        <v>0.91700000000000004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4.57</v>
      </c>
      <c r="Z366" s="6">
        <v>4.19069</v>
      </c>
      <c r="AA366" s="6">
        <v>0.91699999999999993</v>
      </c>
      <c r="AB366" s="6">
        <v>-4.5699999999999932</v>
      </c>
      <c r="AC366" s="6">
        <v>4.5699999999999932</v>
      </c>
      <c r="AD366" s="22" t="s">
        <v>3140</v>
      </c>
      <c r="AE366" s="23">
        <f t="shared" si="21"/>
        <v>79.147000000000006</v>
      </c>
      <c r="AF366" s="24">
        <f t="shared" si="22"/>
        <v>0</v>
      </c>
      <c r="AG366" s="23">
        <f t="shared" si="23"/>
        <v>1</v>
      </c>
    </row>
    <row r="367" spans="1:33" hidden="1" x14ac:dyDescent="0.25">
      <c r="A367" s="12" t="s">
        <v>31</v>
      </c>
      <c r="B367" s="9">
        <v>46177</v>
      </c>
      <c r="C367" s="10" t="s">
        <v>619</v>
      </c>
      <c r="D367" s="10" t="s">
        <v>620</v>
      </c>
      <c r="E367" s="10" t="s">
        <v>51</v>
      </c>
      <c r="F367" s="10" t="s">
        <v>35</v>
      </c>
      <c r="G367" s="10" t="s">
        <v>3145</v>
      </c>
      <c r="H367" s="8" t="s">
        <v>41</v>
      </c>
      <c r="I367" s="11">
        <v>6.66</v>
      </c>
      <c r="J367" s="6">
        <v>4.9950000000000001</v>
      </c>
      <c r="K367" s="6">
        <v>0.75</v>
      </c>
      <c r="L367" s="6">
        <v>5.86</v>
      </c>
      <c r="M367" s="11">
        <v>4.3949999999999996</v>
      </c>
      <c r="N367" s="11">
        <f t="shared" si="20"/>
        <v>4.3949999999999996</v>
      </c>
      <c r="O367" s="6">
        <v>0.74999999999999989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0.8</v>
      </c>
      <c r="Z367" s="6">
        <v>0.6</v>
      </c>
      <c r="AA367" s="6">
        <v>0.74999999999999989</v>
      </c>
      <c r="AB367" s="6">
        <v>-0.79999999999999982</v>
      </c>
      <c r="AC367" s="6">
        <v>0.79999999999999982</v>
      </c>
      <c r="AD367" s="22" t="s">
        <v>3140</v>
      </c>
      <c r="AE367" s="23">
        <f t="shared" si="21"/>
        <v>4.3949999999999996</v>
      </c>
      <c r="AF367" s="24">
        <f t="shared" si="22"/>
        <v>0</v>
      </c>
      <c r="AG367" s="23">
        <f t="shared" si="23"/>
        <v>1</v>
      </c>
    </row>
    <row r="368" spans="1:33" hidden="1" x14ac:dyDescent="0.25">
      <c r="A368" s="12" t="s">
        <v>31</v>
      </c>
      <c r="B368" s="9">
        <v>46177</v>
      </c>
      <c r="C368" s="10" t="s">
        <v>621</v>
      </c>
      <c r="D368" s="10" t="s">
        <v>622</v>
      </c>
      <c r="E368" s="10" t="s">
        <v>51</v>
      </c>
      <c r="F368" s="10" t="s">
        <v>35</v>
      </c>
      <c r="G368" s="10" t="s">
        <v>3145</v>
      </c>
      <c r="H368" s="8" t="s">
        <v>41</v>
      </c>
      <c r="I368" s="11">
        <v>2.66</v>
      </c>
      <c r="J368" s="6">
        <v>1.9950000000000001</v>
      </c>
      <c r="K368" s="6">
        <v>0.75</v>
      </c>
      <c r="L368" s="6">
        <v>2.34</v>
      </c>
      <c r="M368" s="11">
        <v>1.7549999999999999</v>
      </c>
      <c r="N368" s="11">
        <f t="shared" si="20"/>
        <v>1.7549999999999999</v>
      </c>
      <c r="O368" s="6">
        <v>0.75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0.32</v>
      </c>
      <c r="Z368" s="6">
        <v>0.24</v>
      </c>
      <c r="AA368" s="6">
        <v>0.75</v>
      </c>
      <c r="AB368" s="6">
        <v>-0.32000000000000028</v>
      </c>
      <c r="AC368" s="6">
        <v>0.32000000000000028</v>
      </c>
      <c r="AD368" s="22" t="s">
        <v>3140</v>
      </c>
      <c r="AE368" s="23">
        <f t="shared" si="21"/>
        <v>1.7549999999999999</v>
      </c>
      <c r="AF368" s="24">
        <f t="shared" si="22"/>
        <v>0</v>
      </c>
      <c r="AG368" s="23">
        <f t="shared" si="23"/>
        <v>1</v>
      </c>
    </row>
    <row r="369" spans="1:33" ht="20" hidden="1" customHeight="1" x14ac:dyDescent="0.25">
      <c r="A369" s="12" t="s">
        <v>31</v>
      </c>
      <c r="B369" s="9">
        <v>46177</v>
      </c>
      <c r="C369" s="10" t="s">
        <v>623</v>
      </c>
      <c r="D369" s="10" t="s">
        <v>624</v>
      </c>
      <c r="E369" s="10" t="s">
        <v>51</v>
      </c>
      <c r="F369" s="10" t="s">
        <v>35</v>
      </c>
      <c r="G369" s="10" t="s">
        <v>3145</v>
      </c>
      <c r="H369" s="8" t="s">
        <v>48</v>
      </c>
      <c r="I369" s="11">
        <v>63.38</v>
      </c>
      <c r="J369" s="6">
        <v>47.534999999999997</v>
      </c>
      <c r="K369" s="6">
        <v>0.74999999999999989</v>
      </c>
      <c r="L369" s="6">
        <v>59.44</v>
      </c>
      <c r="M369" s="11">
        <v>44.58</v>
      </c>
      <c r="N369" s="11">
        <f t="shared" si="20"/>
        <v>44.58</v>
      </c>
      <c r="O369" s="6">
        <v>0.75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3.94</v>
      </c>
      <c r="Z369" s="6">
        <v>2.9550000000000001</v>
      </c>
      <c r="AA369" s="6">
        <v>0.75</v>
      </c>
      <c r="AB369" s="6">
        <v>-3.9400000000000048</v>
      </c>
      <c r="AC369" s="6">
        <v>3.9400000000000048</v>
      </c>
      <c r="AD369" s="22" t="s">
        <v>3140</v>
      </c>
      <c r="AE369" s="23">
        <f t="shared" si="21"/>
        <v>44.58</v>
      </c>
      <c r="AF369" s="24">
        <f t="shared" si="22"/>
        <v>0</v>
      </c>
      <c r="AG369" s="23">
        <f t="shared" si="23"/>
        <v>1</v>
      </c>
    </row>
    <row r="370" spans="1:33" ht="12.5" customHeight="1" x14ac:dyDescent="0.25">
      <c r="A370" s="12" t="s">
        <v>31</v>
      </c>
      <c r="B370" s="9">
        <v>46177</v>
      </c>
      <c r="C370" s="8" t="s">
        <v>625</v>
      </c>
      <c r="D370" s="10" t="s">
        <v>626</v>
      </c>
      <c r="E370" s="10" t="s">
        <v>51</v>
      </c>
      <c r="F370" s="10" t="s">
        <v>35</v>
      </c>
      <c r="G370" s="10" t="s">
        <v>3146</v>
      </c>
      <c r="H370" s="8" t="s">
        <v>36</v>
      </c>
      <c r="I370" s="11">
        <v>16.809999999999999</v>
      </c>
      <c r="J370" s="6">
        <v>15.414770000000001</v>
      </c>
      <c r="K370" s="6">
        <v>0.91700000000000015</v>
      </c>
      <c r="L370" s="6">
        <v>16.53</v>
      </c>
      <c r="M370" s="11">
        <v>15.158010000000001</v>
      </c>
      <c r="N370" s="11">
        <f t="shared" si="20"/>
        <v>15.158999999999999</v>
      </c>
      <c r="O370" s="6">
        <v>0.91700000000000004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0.28000000000000003</v>
      </c>
      <c r="Z370" s="6">
        <v>0.25675999999999999</v>
      </c>
      <c r="AA370" s="6">
        <v>0.91699999999999982</v>
      </c>
      <c r="AB370" s="6">
        <v>-0.27999999999999758</v>
      </c>
      <c r="AC370" s="6">
        <v>0.27999999999999758</v>
      </c>
      <c r="AD370" s="22" t="s">
        <v>3140</v>
      </c>
      <c r="AE370" s="23">
        <f t="shared" si="21"/>
        <v>15.158999999999999</v>
      </c>
      <c r="AF370" s="24">
        <f t="shared" si="22"/>
        <v>0</v>
      </c>
      <c r="AG370" s="23">
        <f t="shared" si="23"/>
        <v>1</v>
      </c>
    </row>
    <row r="371" spans="1:33" ht="12.5" customHeight="1" x14ac:dyDescent="0.25">
      <c r="A371" s="12" t="s">
        <v>31</v>
      </c>
      <c r="B371" s="9">
        <v>46177</v>
      </c>
      <c r="C371" s="13" t="s">
        <v>625</v>
      </c>
      <c r="D371" s="10" t="s">
        <v>627</v>
      </c>
      <c r="E371" s="10" t="s">
        <v>51</v>
      </c>
      <c r="F371" s="10" t="s">
        <v>35</v>
      </c>
      <c r="G371" s="10" t="s">
        <v>3146</v>
      </c>
      <c r="H371" s="8" t="s">
        <v>36</v>
      </c>
      <c r="I371" s="11">
        <v>18.100000000000001</v>
      </c>
      <c r="J371" s="6">
        <v>16.5977</v>
      </c>
      <c r="K371" s="6">
        <v>0.91699999999999993</v>
      </c>
      <c r="L371" s="6">
        <v>17.73</v>
      </c>
      <c r="M371" s="11">
        <v>16.258410000000001</v>
      </c>
      <c r="N371" s="11">
        <f t="shared" si="20"/>
        <v>16.259</v>
      </c>
      <c r="O371" s="6">
        <v>0.91700000000000004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0.37</v>
      </c>
      <c r="Z371" s="6">
        <v>0.33928999999999998</v>
      </c>
      <c r="AA371" s="6">
        <v>0.91699999999999993</v>
      </c>
      <c r="AB371" s="6">
        <v>-0.37000000000000099</v>
      </c>
      <c r="AC371" s="6">
        <v>0.37000000000000099</v>
      </c>
      <c r="AD371" s="22" t="s">
        <v>3140</v>
      </c>
      <c r="AE371" s="23">
        <f t="shared" si="21"/>
        <v>16.259</v>
      </c>
      <c r="AF371" s="24">
        <f t="shared" si="22"/>
        <v>0</v>
      </c>
      <c r="AG371" s="23">
        <f t="shared" si="23"/>
        <v>1</v>
      </c>
    </row>
    <row r="372" spans="1:33" ht="20" hidden="1" customHeight="1" x14ac:dyDescent="0.25">
      <c r="A372" s="12" t="s">
        <v>31</v>
      </c>
      <c r="B372" s="9">
        <v>46177</v>
      </c>
      <c r="C372" s="10" t="s">
        <v>628</v>
      </c>
      <c r="D372" s="10" t="s">
        <v>629</v>
      </c>
      <c r="E372" s="10" t="s">
        <v>51</v>
      </c>
      <c r="F372" s="10" t="s">
        <v>35</v>
      </c>
      <c r="G372" s="10" t="s">
        <v>3145</v>
      </c>
      <c r="H372" s="8" t="s">
        <v>48</v>
      </c>
      <c r="I372" s="11">
        <v>51.5</v>
      </c>
      <c r="J372" s="6">
        <v>38.625</v>
      </c>
      <c r="K372" s="6">
        <v>0.75</v>
      </c>
      <c r="L372" s="6">
        <v>45.88</v>
      </c>
      <c r="M372" s="11">
        <v>34.409999999999997</v>
      </c>
      <c r="N372" s="11">
        <f t="shared" si="20"/>
        <v>34.409999999999997</v>
      </c>
      <c r="O372" s="6">
        <v>0.74999999999999989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5.62</v>
      </c>
      <c r="Z372" s="6">
        <v>4.2149999999999999</v>
      </c>
      <c r="AA372" s="6">
        <v>0.75</v>
      </c>
      <c r="AB372" s="6">
        <v>-5.6199999999999974</v>
      </c>
      <c r="AC372" s="6">
        <v>5.6199999999999974</v>
      </c>
      <c r="AD372" s="22" t="s">
        <v>3140</v>
      </c>
      <c r="AE372" s="23">
        <f t="shared" si="21"/>
        <v>34.409999999999997</v>
      </c>
      <c r="AF372" s="24">
        <f t="shared" si="22"/>
        <v>0</v>
      </c>
      <c r="AG372" s="23">
        <f t="shared" si="23"/>
        <v>1</v>
      </c>
    </row>
    <row r="373" spans="1:33" ht="20" hidden="1" customHeight="1" x14ac:dyDescent="0.25">
      <c r="A373" s="12" t="s">
        <v>31</v>
      </c>
      <c r="B373" s="9">
        <v>46177</v>
      </c>
      <c r="C373" s="10" t="s">
        <v>630</v>
      </c>
      <c r="D373" s="10" t="s">
        <v>631</v>
      </c>
      <c r="E373" s="10" t="s">
        <v>51</v>
      </c>
      <c r="F373" s="10" t="s">
        <v>35</v>
      </c>
      <c r="G373" s="10" t="s">
        <v>3145</v>
      </c>
      <c r="H373" s="8" t="s">
        <v>48</v>
      </c>
      <c r="I373" s="11">
        <v>14.55</v>
      </c>
      <c r="J373" s="6">
        <v>10.9125</v>
      </c>
      <c r="K373" s="6">
        <v>0.74999999999999989</v>
      </c>
      <c r="L373" s="6">
        <v>12.75</v>
      </c>
      <c r="M373" s="11">
        <v>9.5625</v>
      </c>
      <c r="N373" s="11">
        <f t="shared" si="20"/>
        <v>9.5629999999999988</v>
      </c>
      <c r="O373" s="6">
        <v>0.75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1.8</v>
      </c>
      <c r="Z373" s="6">
        <v>1.35</v>
      </c>
      <c r="AA373" s="6">
        <v>0.75</v>
      </c>
      <c r="AB373" s="6">
        <v>-1.8000000000000007</v>
      </c>
      <c r="AC373" s="6">
        <v>1.8000000000000007</v>
      </c>
      <c r="AD373" s="22" t="s">
        <v>3140</v>
      </c>
      <c r="AE373" s="23">
        <f t="shared" si="21"/>
        <v>9.5629999999999988</v>
      </c>
      <c r="AF373" s="24">
        <f t="shared" si="22"/>
        <v>0</v>
      </c>
      <c r="AG373" s="23">
        <f t="shared" si="23"/>
        <v>1</v>
      </c>
    </row>
    <row r="374" spans="1:33" x14ac:dyDescent="0.25">
      <c r="A374" s="12" t="s">
        <v>31</v>
      </c>
      <c r="B374" s="9">
        <v>46177</v>
      </c>
      <c r="C374" s="10" t="s">
        <v>632</v>
      </c>
      <c r="D374" s="10" t="s">
        <v>633</v>
      </c>
      <c r="E374" s="10" t="s">
        <v>51</v>
      </c>
      <c r="F374" s="10" t="s">
        <v>35</v>
      </c>
      <c r="G374" s="10" t="s">
        <v>3146</v>
      </c>
      <c r="H374" s="8" t="s">
        <v>36</v>
      </c>
      <c r="I374" s="11">
        <v>11.56</v>
      </c>
      <c r="J374" s="6">
        <v>10.600519999999999</v>
      </c>
      <c r="K374" s="6">
        <v>0.91699999999999993</v>
      </c>
      <c r="L374" s="6">
        <v>11.03</v>
      </c>
      <c r="M374" s="11">
        <v>10.114509999999999</v>
      </c>
      <c r="N374" s="11">
        <f t="shared" si="20"/>
        <v>10.115</v>
      </c>
      <c r="O374" s="6">
        <v>0.91700000000000004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0.53</v>
      </c>
      <c r="Z374" s="6">
        <v>0.48601</v>
      </c>
      <c r="AA374" s="6">
        <v>0.91699999999999993</v>
      </c>
      <c r="AB374" s="6">
        <v>-0.53000000000000114</v>
      </c>
      <c r="AC374" s="6">
        <v>0.53000000000000114</v>
      </c>
      <c r="AD374" s="22" t="s">
        <v>3140</v>
      </c>
      <c r="AE374" s="23">
        <f t="shared" si="21"/>
        <v>10.115</v>
      </c>
      <c r="AF374" s="24">
        <f t="shared" si="22"/>
        <v>0</v>
      </c>
      <c r="AG374" s="23">
        <f t="shared" si="23"/>
        <v>1</v>
      </c>
    </row>
    <row r="375" spans="1:33" ht="12.5" hidden="1" customHeight="1" x14ac:dyDescent="0.25">
      <c r="A375" s="12" t="s">
        <v>31</v>
      </c>
      <c r="B375" s="9">
        <v>46178</v>
      </c>
      <c r="C375" s="10" t="s">
        <v>634</v>
      </c>
      <c r="D375" s="10" t="s">
        <v>635</v>
      </c>
      <c r="E375" s="10" t="s">
        <v>34</v>
      </c>
      <c r="F375" s="10" t="s">
        <v>35</v>
      </c>
      <c r="G375" s="10" t="s">
        <v>3145</v>
      </c>
      <c r="H375" s="8" t="s">
        <v>48</v>
      </c>
      <c r="I375" s="11">
        <v>115.4</v>
      </c>
      <c r="J375" s="6">
        <v>86.55</v>
      </c>
      <c r="K375" s="6">
        <v>0.74999999999999989</v>
      </c>
      <c r="L375" s="6">
        <v>101.24</v>
      </c>
      <c r="M375" s="11">
        <v>75.930000000000007</v>
      </c>
      <c r="N375" s="11">
        <f t="shared" si="20"/>
        <v>75.930000000000007</v>
      </c>
      <c r="O375" s="6">
        <v>0.75000000000000011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14.16</v>
      </c>
      <c r="Z375" s="6">
        <v>10.62</v>
      </c>
      <c r="AA375" s="6">
        <v>0.74999999999999989</v>
      </c>
      <c r="AB375" s="6">
        <v>-14.160000000000011</v>
      </c>
      <c r="AC375" s="6">
        <v>14.160000000000011</v>
      </c>
      <c r="AD375" s="22" t="s">
        <v>3140</v>
      </c>
      <c r="AE375" s="23">
        <f t="shared" si="21"/>
        <v>75.930000000000007</v>
      </c>
      <c r="AF375" s="24">
        <f t="shared" si="22"/>
        <v>0</v>
      </c>
      <c r="AG375" s="23">
        <f t="shared" si="23"/>
        <v>1</v>
      </c>
    </row>
    <row r="376" spans="1:33" ht="12.5" hidden="1" customHeight="1" x14ac:dyDescent="0.25">
      <c r="A376" s="12" t="s">
        <v>31</v>
      </c>
      <c r="B376" s="9">
        <v>46178</v>
      </c>
      <c r="C376" s="10" t="s">
        <v>636</v>
      </c>
      <c r="D376" s="10" t="s">
        <v>637</v>
      </c>
      <c r="E376" s="10" t="s">
        <v>34</v>
      </c>
      <c r="F376" s="10" t="s">
        <v>35</v>
      </c>
      <c r="G376" s="10" t="s">
        <v>3145</v>
      </c>
      <c r="H376" s="8" t="s">
        <v>48</v>
      </c>
      <c r="I376" s="11">
        <v>164.59</v>
      </c>
      <c r="J376" s="6">
        <v>123.4425</v>
      </c>
      <c r="K376" s="6">
        <v>0.75</v>
      </c>
      <c r="L376" s="6">
        <v>151.83000000000001</v>
      </c>
      <c r="M376" s="11">
        <v>113.8725</v>
      </c>
      <c r="N376" s="11">
        <f t="shared" si="20"/>
        <v>113.873</v>
      </c>
      <c r="O376" s="6">
        <v>0.75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12.76</v>
      </c>
      <c r="Z376" s="6">
        <v>9.57</v>
      </c>
      <c r="AA376" s="6">
        <v>0.75</v>
      </c>
      <c r="AB376" s="6">
        <v>-12.759999999999991</v>
      </c>
      <c r="AC376" s="6">
        <v>12.759999999999991</v>
      </c>
      <c r="AD376" s="22" t="s">
        <v>3140</v>
      </c>
      <c r="AE376" s="23">
        <f t="shared" si="21"/>
        <v>113.873</v>
      </c>
      <c r="AF376" s="24">
        <f t="shared" si="22"/>
        <v>0</v>
      </c>
      <c r="AG376" s="23">
        <f t="shared" si="23"/>
        <v>1</v>
      </c>
    </row>
    <row r="377" spans="1:33" ht="12.5" hidden="1" customHeight="1" x14ac:dyDescent="0.25">
      <c r="A377" s="12" t="s">
        <v>31</v>
      </c>
      <c r="B377" s="9">
        <v>46178</v>
      </c>
      <c r="C377" s="10" t="s">
        <v>638</v>
      </c>
      <c r="D377" s="10" t="s">
        <v>639</v>
      </c>
      <c r="E377" s="10" t="s">
        <v>34</v>
      </c>
      <c r="F377" s="10" t="s">
        <v>35</v>
      </c>
      <c r="G377" s="10" t="s">
        <v>3145</v>
      </c>
      <c r="H377" s="8" t="s">
        <v>48</v>
      </c>
      <c r="I377" s="11">
        <v>85.16</v>
      </c>
      <c r="J377" s="6">
        <v>63.87</v>
      </c>
      <c r="K377" s="6">
        <v>0.75</v>
      </c>
      <c r="L377" s="6">
        <v>76.84</v>
      </c>
      <c r="M377" s="11">
        <v>57.63</v>
      </c>
      <c r="N377" s="11">
        <f t="shared" si="20"/>
        <v>57.63</v>
      </c>
      <c r="O377" s="6">
        <v>0.75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8.32</v>
      </c>
      <c r="Z377" s="6">
        <v>6.24</v>
      </c>
      <c r="AA377" s="6">
        <v>0.75</v>
      </c>
      <c r="AB377" s="6">
        <v>-8.3199999999999932</v>
      </c>
      <c r="AC377" s="6">
        <v>8.3199999999999932</v>
      </c>
      <c r="AD377" s="22" t="s">
        <v>3140</v>
      </c>
      <c r="AE377" s="23">
        <f t="shared" si="21"/>
        <v>57.63</v>
      </c>
      <c r="AF377" s="24">
        <f t="shared" si="22"/>
        <v>0</v>
      </c>
      <c r="AG377" s="23">
        <f t="shared" si="23"/>
        <v>1</v>
      </c>
    </row>
    <row r="378" spans="1:33" ht="12.5" hidden="1" customHeight="1" x14ac:dyDescent="0.25">
      <c r="A378" s="12" t="s">
        <v>31</v>
      </c>
      <c r="B378" s="9">
        <v>46178</v>
      </c>
      <c r="C378" s="10" t="s">
        <v>640</v>
      </c>
      <c r="D378" s="10" t="s">
        <v>641</v>
      </c>
      <c r="E378" s="10" t="s">
        <v>34</v>
      </c>
      <c r="F378" s="10" t="s">
        <v>35</v>
      </c>
      <c r="G378" s="10" t="s">
        <v>3145</v>
      </c>
      <c r="H378" s="8" t="s">
        <v>48</v>
      </c>
      <c r="I378" s="11">
        <v>113.03</v>
      </c>
      <c r="J378" s="6">
        <v>84.772499999999994</v>
      </c>
      <c r="K378" s="6">
        <v>0.74999999999999989</v>
      </c>
      <c r="L378" s="6">
        <v>101.34</v>
      </c>
      <c r="M378" s="11">
        <v>76.004999999999995</v>
      </c>
      <c r="N378" s="11">
        <f t="shared" si="20"/>
        <v>76.004999999999995</v>
      </c>
      <c r="O378" s="6">
        <v>0.74999999999999989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11.69</v>
      </c>
      <c r="Z378" s="6">
        <v>8.7675000000000001</v>
      </c>
      <c r="AA378" s="6">
        <v>0.75</v>
      </c>
      <c r="AB378" s="6">
        <v>-11.689999999999998</v>
      </c>
      <c r="AC378" s="6">
        <v>11.689999999999998</v>
      </c>
      <c r="AD378" s="22" t="s">
        <v>3140</v>
      </c>
      <c r="AE378" s="23">
        <f t="shared" si="21"/>
        <v>76.004999999999995</v>
      </c>
      <c r="AF378" s="24">
        <f t="shared" si="22"/>
        <v>0</v>
      </c>
      <c r="AG378" s="23">
        <f t="shared" si="23"/>
        <v>1</v>
      </c>
    </row>
    <row r="379" spans="1:33" ht="12.5" customHeight="1" x14ac:dyDescent="0.25">
      <c r="A379" s="12" t="s">
        <v>31</v>
      </c>
      <c r="B379" s="9">
        <v>46178</v>
      </c>
      <c r="C379" s="10" t="s">
        <v>642</v>
      </c>
      <c r="D379" s="10" t="s">
        <v>643</v>
      </c>
      <c r="E379" s="10" t="s">
        <v>34</v>
      </c>
      <c r="F379" s="10" t="s">
        <v>35</v>
      </c>
      <c r="G379" s="10" t="s">
        <v>3146</v>
      </c>
      <c r="H379" s="8" t="s">
        <v>36</v>
      </c>
      <c r="I379" s="11">
        <v>110.24</v>
      </c>
      <c r="J379" s="6">
        <v>101.09008</v>
      </c>
      <c r="K379" s="6">
        <v>0.91700000000000004</v>
      </c>
      <c r="L379" s="6">
        <v>110.24</v>
      </c>
      <c r="M379" s="11">
        <v>101.09008</v>
      </c>
      <c r="N379" s="11">
        <f t="shared" si="20"/>
        <v>101.09100000000001</v>
      </c>
      <c r="O379" s="6">
        <v>0.91700000000000004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23" t="s">
        <v>3143</v>
      </c>
      <c r="AE379" s="23">
        <f t="shared" si="21"/>
        <v>86.822000000000003</v>
      </c>
      <c r="AF379" s="24">
        <f t="shared" si="22"/>
        <v>14.269000000000005</v>
      </c>
      <c r="AG379" s="23">
        <f t="shared" si="23"/>
        <v>2</v>
      </c>
    </row>
    <row r="380" spans="1:33" ht="12.5" customHeight="1" x14ac:dyDescent="0.25">
      <c r="A380" s="12" t="s">
        <v>31</v>
      </c>
      <c r="B380" s="9">
        <v>46178</v>
      </c>
      <c r="C380" s="10" t="s">
        <v>644</v>
      </c>
      <c r="D380" s="10" t="s">
        <v>645</v>
      </c>
      <c r="E380" s="10" t="s">
        <v>34</v>
      </c>
      <c r="F380" s="10" t="s">
        <v>35</v>
      </c>
      <c r="G380" s="10" t="s">
        <v>3146</v>
      </c>
      <c r="H380" s="8" t="s">
        <v>36</v>
      </c>
      <c r="I380" s="11">
        <v>200.54</v>
      </c>
      <c r="J380" s="6">
        <v>183.89518000000001</v>
      </c>
      <c r="K380" s="6">
        <v>0.91700000000000004</v>
      </c>
      <c r="L380" s="6">
        <v>182.99</v>
      </c>
      <c r="M380" s="11">
        <v>167.80183</v>
      </c>
      <c r="N380" s="11">
        <f t="shared" si="20"/>
        <v>167.80199999999999</v>
      </c>
      <c r="O380" s="6">
        <v>0.91699999999999993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17.55</v>
      </c>
      <c r="Z380" s="6">
        <v>16.093350000000001</v>
      </c>
      <c r="AA380" s="6">
        <v>0.91700000000000004</v>
      </c>
      <c r="AB380" s="6">
        <v>-17.549999999999983</v>
      </c>
      <c r="AC380" s="6">
        <v>17.549999999999983</v>
      </c>
      <c r="AD380" s="22" t="s">
        <v>3140</v>
      </c>
      <c r="AE380" s="23">
        <f t="shared" si="21"/>
        <v>167.80199999999999</v>
      </c>
      <c r="AF380" s="24">
        <f t="shared" si="22"/>
        <v>0</v>
      </c>
      <c r="AG380" s="23">
        <f t="shared" si="23"/>
        <v>1</v>
      </c>
    </row>
    <row r="381" spans="1:33" ht="12.5" customHeight="1" x14ac:dyDescent="0.25">
      <c r="A381" s="12" t="s">
        <v>31</v>
      </c>
      <c r="B381" s="9">
        <v>46178</v>
      </c>
      <c r="C381" s="10" t="s">
        <v>646</v>
      </c>
      <c r="D381" s="10" t="s">
        <v>338</v>
      </c>
      <c r="E381" s="10" t="s">
        <v>34</v>
      </c>
      <c r="F381" s="10" t="s">
        <v>35</v>
      </c>
      <c r="G381" s="10" t="s">
        <v>3146</v>
      </c>
      <c r="H381" s="8" t="s">
        <v>36</v>
      </c>
      <c r="I381" s="11">
        <v>15.3</v>
      </c>
      <c r="J381" s="6">
        <v>14.030099999999999</v>
      </c>
      <c r="K381" s="6">
        <v>0.91699999999999993</v>
      </c>
      <c r="L381" s="6">
        <v>11.75</v>
      </c>
      <c r="M381" s="11">
        <v>10.774749999999999</v>
      </c>
      <c r="N381" s="11">
        <f t="shared" si="20"/>
        <v>10.774999999999999</v>
      </c>
      <c r="O381" s="6">
        <v>0.91699999999999993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3.55</v>
      </c>
      <c r="Z381" s="6">
        <v>3.25535</v>
      </c>
      <c r="AA381" s="6">
        <v>0.91700000000000004</v>
      </c>
      <c r="AB381" s="6">
        <v>-3.5500000000000007</v>
      </c>
      <c r="AC381" s="6">
        <v>3.5500000000000007</v>
      </c>
      <c r="AD381" s="23" t="s">
        <v>3143</v>
      </c>
      <c r="AE381" s="23">
        <f t="shared" si="21"/>
        <v>0</v>
      </c>
      <c r="AF381" s="24">
        <f t="shared" si="22"/>
        <v>10.774999999999999</v>
      </c>
      <c r="AG381" s="23">
        <f t="shared" si="23"/>
        <v>67</v>
      </c>
    </row>
    <row r="382" spans="1:33" x14ac:dyDescent="0.25">
      <c r="A382" s="12" t="s">
        <v>31</v>
      </c>
      <c r="B382" s="9">
        <v>46178</v>
      </c>
      <c r="C382" s="10" t="s">
        <v>647</v>
      </c>
      <c r="D382" s="10" t="s">
        <v>648</v>
      </c>
      <c r="E382" s="10" t="s">
        <v>51</v>
      </c>
      <c r="F382" s="10" t="s">
        <v>35</v>
      </c>
      <c r="G382" s="10" t="s">
        <v>3146</v>
      </c>
      <c r="H382" s="8" t="s">
        <v>36</v>
      </c>
      <c r="I382" s="11">
        <v>102.39</v>
      </c>
      <c r="J382" s="6">
        <v>93.891630000000006</v>
      </c>
      <c r="K382" s="6">
        <v>0.91700000000000004</v>
      </c>
      <c r="L382" s="6">
        <v>98.48</v>
      </c>
      <c r="M382" s="11">
        <v>90.306160000000006</v>
      </c>
      <c r="N382" s="11">
        <f t="shared" si="20"/>
        <v>90.307000000000002</v>
      </c>
      <c r="O382" s="6">
        <v>0.91700000000000004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3.91</v>
      </c>
      <c r="Z382" s="6">
        <v>3.5854699999999999</v>
      </c>
      <c r="AA382" s="6">
        <v>0.91699999999999993</v>
      </c>
      <c r="AB382" s="6">
        <v>-3.9099999999999966</v>
      </c>
      <c r="AC382" s="6">
        <v>3.9099999999999966</v>
      </c>
      <c r="AD382" s="22" t="s">
        <v>3140</v>
      </c>
      <c r="AE382" s="23">
        <f t="shared" si="21"/>
        <v>90.307000000000002</v>
      </c>
      <c r="AF382" s="24">
        <f t="shared" si="22"/>
        <v>0</v>
      </c>
      <c r="AG382" s="23">
        <f t="shared" si="23"/>
        <v>1</v>
      </c>
    </row>
    <row r="383" spans="1:33" hidden="1" x14ac:dyDescent="0.25">
      <c r="A383" s="12" t="s">
        <v>31</v>
      </c>
      <c r="B383" s="9">
        <v>46178</v>
      </c>
      <c r="C383" s="10" t="s">
        <v>649</v>
      </c>
      <c r="D383" s="10" t="s">
        <v>650</v>
      </c>
      <c r="E383" s="10" t="s">
        <v>51</v>
      </c>
      <c r="F383" s="10" t="s">
        <v>35</v>
      </c>
      <c r="G383" s="10" t="s">
        <v>3145</v>
      </c>
      <c r="H383" s="8" t="s">
        <v>41</v>
      </c>
      <c r="I383" s="11">
        <v>23.53</v>
      </c>
      <c r="J383" s="6">
        <v>17.647500000000001</v>
      </c>
      <c r="K383" s="6">
        <v>0.75</v>
      </c>
      <c r="L383" s="6">
        <v>22.02</v>
      </c>
      <c r="M383" s="11">
        <v>16.515000000000001</v>
      </c>
      <c r="N383" s="11">
        <f t="shared" si="20"/>
        <v>16.515000000000001</v>
      </c>
      <c r="O383" s="6">
        <v>0.75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1.51</v>
      </c>
      <c r="Z383" s="6">
        <v>1.1325000000000001</v>
      </c>
      <c r="AA383" s="6">
        <v>0.75</v>
      </c>
      <c r="AB383" s="6">
        <v>-1.5100000000000016</v>
      </c>
      <c r="AC383" s="6">
        <v>1.5100000000000016</v>
      </c>
      <c r="AD383" s="22" t="s">
        <v>3140</v>
      </c>
      <c r="AE383" s="23">
        <f t="shared" si="21"/>
        <v>16.515000000000001</v>
      </c>
      <c r="AF383" s="24">
        <f t="shared" si="22"/>
        <v>0</v>
      </c>
      <c r="AG383" s="23">
        <f t="shared" si="23"/>
        <v>1</v>
      </c>
    </row>
    <row r="384" spans="1:33" hidden="1" x14ac:dyDescent="0.25">
      <c r="A384" s="12" t="s">
        <v>31</v>
      </c>
      <c r="B384" s="9">
        <v>46178</v>
      </c>
      <c r="C384" s="10" t="s">
        <v>651</v>
      </c>
      <c r="D384" s="10" t="s">
        <v>652</v>
      </c>
      <c r="E384" s="10" t="s">
        <v>51</v>
      </c>
      <c r="F384" s="10" t="s">
        <v>35</v>
      </c>
      <c r="G384" s="10" t="s">
        <v>3145</v>
      </c>
      <c r="H384" s="8" t="s">
        <v>41</v>
      </c>
      <c r="I384" s="11">
        <v>6.73</v>
      </c>
      <c r="J384" s="6">
        <v>5.0475000000000003</v>
      </c>
      <c r="K384" s="6">
        <v>0.75</v>
      </c>
      <c r="L384" s="6">
        <v>5.89</v>
      </c>
      <c r="M384" s="11">
        <v>4.4175000000000004</v>
      </c>
      <c r="N384" s="11">
        <f t="shared" si="20"/>
        <v>4.4180000000000001</v>
      </c>
      <c r="O384" s="6">
        <v>0.75000000000000011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0.84</v>
      </c>
      <c r="Z384" s="6">
        <v>0.63</v>
      </c>
      <c r="AA384" s="6">
        <v>0.75</v>
      </c>
      <c r="AB384" s="6">
        <v>-0.84000000000000075</v>
      </c>
      <c r="AC384" s="6">
        <v>0.84000000000000075</v>
      </c>
      <c r="AD384" s="23" t="s">
        <v>3143</v>
      </c>
      <c r="AE384" s="23">
        <f t="shared" si="21"/>
        <v>4.0280000000000005</v>
      </c>
      <c r="AF384" s="24">
        <f t="shared" si="22"/>
        <v>0.38999999999999968</v>
      </c>
      <c r="AG384" s="23">
        <f t="shared" si="23"/>
        <v>2</v>
      </c>
    </row>
    <row r="385" spans="1:33" x14ac:dyDescent="0.25">
      <c r="A385" s="12" t="s">
        <v>31</v>
      </c>
      <c r="B385" s="9">
        <v>46178</v>
      </c>
      <c r="C385" s="10" t="s">
        <v>653</v>
      </c>
      <c r="D385" s="10" t="s">
        <v>654</v>
      </c>
      <c r="E385" s="10" t="s">
        <v>51</v>
      </c>
      <c r="F385" s="10" t="s">
        <v>35</v>
      </c>
      <c r="G385" s="10" t="s">
        <v>3146</v>
      </c>
      <c r="H385" s="8" t="s">
        <v>36</v>
      </c>
      <c r="I385" s="11">
        <v>10.98</v>
      </c>
      <c r="J385" s="6">
        <v>10.068659999999999</v>
      </c>
      <c r="K385" s="6">
        <v>0.91699999999999993</v>
      </c>
      <c r="L385" s="6">
        <v>10.35</v>
      </c>
      <c r="M385" s="11">
        <v>9.4909499999999998</v>
      </c>
      <c r="N385" s="11">
        <f t="shared" si="20"/>
        <v>9.4909999999999997</v>
      </c>
      <c r="O385" s="6">
        <v>0.91700000000000004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0.63</v>
      </c>
      <c r="Z385" s="6">
        <v>0.57770999999999995</v>
      </c>
      <c r="AA385" s="6">
        <v>0.91699999999999993</v>
      </c>
      <c r="AB385" s="6">
        <v>-0.63000000000000078</v>
      </c>
      <c r="AC385" s="6">
        <v>0.63000000000000078</v>
      </c>
      <c r="AD385" s="22" t="s">
        <v>3140</v>
      </c>
      <c r="AE385" s="23">
        <f t="shared" si="21"/>
        <v>9.4909999999999997</v>
      </c>
      <c r="AF385" s="24">
        <f t="shared" si="22"/>
        <v>0</v>
      </c>
      <c r="AG385" s="23">
        <f t="shared" si="23"/>
        <v>1</v>
      </c>
    </row>
    <row r="386" spans="1:33" hidden="1" x14ac:dyDescent="0.25">
      <c r="A386" s="12" t="s">
        <v>31</v>
      </c>
      <c r="B386" s="9">
        <v>46178</v>
      </c>
      <c r="C386" s="10" t="s">
        <v>655</v>
      </c>
      <c r="D386" s="10" t="s">
        <v>656</v>
      </c>
      <c r="E386" s="10" t="s">
        <v>51</v>
      </c>
      <c r="F386" s="10" t="s">
        <v>35</v>
      </c>
      <c r="G386" s="10" t="s">
        <v>3145</v>
      </c>
      <c r="H386" s="8" t="s">
        <v>41</v>
      </c>
      <c r="I386" s="11">
        <v>7.59</v>
      </c>
      <c r="J386" s="6">
        <v>5.6924999999999999</v>
      </c>
      <c r="K386" s="6">
        <v>0.75</v>
      </c>
      <c r="L386" s="6">
        <v>6.82</v>
      </c>
      <c r="M386" s="11">
        <v>5.1150000000000002</v>
      </c>
      <c r="N386" s="11">
        <f t="shared" si="20"/>
        <v>5.1150000000000002</v>
      </c>
      <c r="O386" s="6">
        <v>0.75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0.77</v>
      </c>
      <c r="Z386" s="6">
        <v>0.57750000000000001</v>
      </c>
      <c r="AA386" s="6">
        <v>0.75</v>
      </c>
      <c r="AB386" s="6">
        <v>-0.76999999999999957</v>
      </c>
      <c r="AC386" s="6">
        <v>0.76999999999999957</v>
      </c>
      <c r="AD386" s="22" t="s">
        <v>3140</v>
      </c>
      <c r="AE386" s="23">
        <f t="shared" si="21"/>
        <v>5.1150000000000002</v>
      </c>
      <c r="AF386" s="24">
        <f t="shared" si="22"/>
        <v>0</v>
      </c>
      <c r="AG386" s="23">
        <f t="shared" si="23"/>
        <v>1</v>
      </c>
    </row>
    <row r="387" spans="1:33" x14ac:dyDescent="0.25">
      <c r="A387" s="12" t="s">
        <v>31</v>
      </c>
      <c r="B387" s="9">
        <v>46178</v>
      </c>
      <c r="C387" s="10" t="s">
        <v>657</v>
      </c>
      <c r="D387" s="10" t="s">
        <v>658</v>
      </c>
      <c r="E387" s="10" t="s">
        <v>51</v>
      </c>
      <c r="F387" s="10" t="s">
        <v>35</v>
      </c>
      <c r="G387" s="10" t="s">
        <v>3146</v>
      </c>
      <c r="H387" s="8" t="s">
        <v>36</v>
      </c>
      <c r="I387" s="11">
        <v>102.49</v>
      </c>
      <c r="J387" s="6">
        <v>93.983329999999995</v>
      </c>
      <c r="K387" s="6">
        <v>0.91700000000000004</v>
      </c>
      <c r="L387" s="6">
        <v>98.7</v>
      </c>
      <c r="M387" s="11">
        <v>90.507900000000006</v>
      </c>
      <c r="N387" s="11">
        <f t="shared" ref="N387:N450" si="24">ROUNDUP(M387,3)</f>
        <v>90.50800000000001</v>
      </c>
      <c r="O387" s="6">
        <v>0.91700000000000004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3.79</v>
      </c>
      <c r="Z387" s="6">
        <v>3.4754299999999998</v>
      </c>
      <c r="AA387" s="6">
        <v>0.91699999999999993</v>
      </c>
      <c r="AB387" s="6">
        <v>-3.789999999999992</v>
      </c>
      <c r="AC387" s="6">
        <v>3.789999999999992</v>
      </c>
      <c r="AD387" s="22" t="s">
        <v>3140</v>
      </c>
      <c r="AE387" s="23">
        <f t="shared" ref="AE387:AE450" si="25">_xlfn.MINIFS(N:N,D:D,D387)</f>
        <v>90.50800000000001</v>
      </c>
      <c r="AF387" s="24">
        <f t="shared" ref="AF387:AF450" si="26">N387-AE387</f>
        <v>0</v>
      </c>
      <c r="AG387" s="23">
        <f t="shared" ref="AG387:AG450" si="27">COUNTIF(D:D,D387)</f>
        <v>1</v>
      </c>
    </row>
    <row r="388" spans="1:33" x14ac:dyDescent="0.25">
      <c r="A388" s="12" t="s">
        <v>31</v>
      </c>
      <c r="B388" s="9">
        <v>46178</v>
      </c>
      <c r="C388" s="10" t="s">
        <v>659</v>
      </c>
      <c r="D388" s="10" t="s">
        <v>660</v>
      </c>
      <c r="E388" s="10" t="s">
        <v>51</v>
      </c>
      <c r="F388" s="10" t="s">
        <v>35</v>
      </c>
      <c r="G388" s="10" t="s">
        <v>3146</v>
      </c>
      <c r="H388" s="8" t="s">
        <v>36</v>
      </c>
      <c r="I388" s="11">
        <v>113.84</v>
      </c>
      <c r="J388" s="6">
        <v>104.39127999999999</v>
      </c>
      <c r="K388" s="6">
        <v>0.91699999999999993</v>
      </c>
      <c r="L388" s="6">
        <v>103.36</v>
      </c>
      <c r="M388" s="11">
        <v>94.781120000000001</v>
      </c>
      <c r="N388" s="11">
        <f t="shared" si="24"/>
        <v>94.782000000000011</v>
      </c>
      <c r="O388" s="6">
        <v>0.91700000000000004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10.48</v>
      </c>
      <c r="Z388" s="6">
        <v>9.6101600000000005</v>
      </c>
      <c r="AA388" s="6">
        <v>0.91700000000000004</v>
      </c>
      <c r="AB388" s="6">
        <v>-10.480000000000004</v>
      </c>
      <c r="AC388" s="6">
        <v>10.480000000000004</v>
      </c>
      <c r="AD388" s="23" t="s">
        <v>3143</v>
      </c>
      <c r="AE388" s="23">
        <f t="shared" si="25"/>
        <v>90.472000000000008</v>
      </c>
      <c r="AF388" s="24">
        <f t="shared" si="26"/>
        <v>4.3100000000000023</v>
      </c>
      <c r="AG388" s="23">
        <f t="shared" si="27"/>
        <v>2</v>
      </c>
    </row>
    <row r="389" spans="1:33" x14ac:dyDescent="0.25">
      <c r="A389" s="12" t="s">
        <v>31</v>
      </c>
      <c r="B389" s="9">
        <v>46178</v>
      </c>
      <c r="C389" s="10" t="s">
        <v>661</v>
      </c>
      <c r="D389" s="10" t="s">
        <v>662</v>
      </c>
      <c r="E389" s="10" t="s">
        <v>51</v>
      </c>
      <c r="F389" s="10" t="s">
        <v>35</v>
      </c>
      <c r="G389" s="10" t="s">
        <v>3146</v>
      </c>
      <c r="H389" s="8" t="s">
        <v>36</v>
      </c>
      <c r="I389" s="11">
        <v>22.48</v>
      </c>
      <c r="J389" s="6">
        <v>20.614159999999998</v>
      </c>
      <c r="K389" s="6">
        <v>0.91699999999999993</v>
      </c>
      <c r="L389" s="6">
        <v>21.26</v>
      </c>
      <c r="M389" s="11">
        <v>19.495419999999999</v>
      </c>
      <c r="N389" s="11">
        <f t="shared" si="24"/>
        <v>19.496000000000002</v>
      </c>
      <c r="O389" s="6">
        <v>0.91699999999999993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1.22</v>
      </c>
      <c r="Z389" s="6">
        <v>1.1187400000000001</v>
      </c>
      <c r="AA389" s="6">
        <v>0.91700000000000004</v>
      </c>
      <c r="AB389" s="6">
        <v>-1.2199999999999989</v>
      </c>
      <c r="AC389" s="6">
        <v>1.2199999999999989</v>
      </c>
      <c r="AD389" s="22" t="s">
        <v>3140</v>
      </c>
      <c r="AE389" s="23">
        <f t="shared" si="25"/>
        <v>19.496000000000002</v>
      </c>
      <c r="AF389" s="24">
        <f t="shared" si="26"/>
        <v>0</v>
      </c>
      <c r="AG389" s="23">
        <f t="shared" si="27"/>
        <v>1</v>
      </c>
    </row>
    <row r="390" spans="1:33" ht="20" hidden="1" customHeight="1" x14ac:dyDescent="0.25">
      <c r="A390" s="12" t="s">
        <v>31</v>
      </c>
      <c r="B390" s="9">
        <v>46178</v>
      </c>
      <c r="C390" s="10" t="s">
        <v>663</v>
      </c>
      <c r="D390" s="10" t="s">
        <v>664</v>
      </c>
      <c r="E390" s="10" t="s">
        <v>51</v>
      </c>
      <c r="F390" s="10" t="s">
        <v>35</v>
      </c>
      <c r="G390" s="10" t="s">
        <v>3145</v>
      </c>
      <c r="H390" s="8" t="s">
        <v>48</v>
      </c>
      <c r="I390" s="11">
        <v>304.02999999999997</v>
      </c>
      <c r="J390" s="6">
        <v>228.02250000000001</v>
      </c>
      <c r="K390" s="6">
        <v>0.75000000000000011</v>
      </c>
      <c r="L390" s="6">
        <v>269.86</v>
      </c>
      <c r="M390" s="11">
        <v>202.39500000000001</v>
      </c>
      <c r="N390" s="11">
        <f t="shared" si="24"/>
        <v>202.39500000000001</v>
      </c>
      <c r="O390" s="6">
        <v>0.75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34.17</v>
      </c>
      <c r="Z390" s="6">
        <v>25.627500000000001</v>
      </c>
      <c r="AA390" s="6">
        <v>0.75</v>
      </c>
      <c r="AB390" s="6">
        <v>-34.169999999999959</v>
      </c>
      <c r="AC390" s="6">
        <v>34.169999999999959</v>
      </c>
      <c r="AD390" s="22" t="s">
        <v>3140</v>
      </c>
      <c r="AE390" s="23">
        <f t="shared" si="25"/>
        <v>202.39500000000001</v>
      </c>
      <c r="AF390" s="24">
        <f t="shared" si="26"/>
        <v>0</v>
      </c>
      <c r="AG390" s="23">
        <f t="shared" si="27"/>
        <v>1</v>
      </c>
    </row>
    <row r="391" spans="1:33" ht="20" hidden="1" customHeight="1" x14ac:dyDescent="0.25">
      <c r="A391" s="12" t="s">
        <v>31</v>
      </c>
      <c r="B391" s="9">
        <v>46178</v>
      </c>
      <c r="C391" s="10" t="s">
        <v>665</v>
      </c>
      <c r="D391" s="10" t="s">
        <v>666</v>
      </c>
      <c r="E391" s="10" t="s">
        <v>51</v>
      </c>
      <c r="F391" s="10" t="s">
        <v>35</v>
      </c>
      <c r="G391" s="10" t="s">
        <v>3145</v>
      </c>
      <c r="H391" s="8" t="s">
        <v>48</v>
      </c>
      <c r="I391" s="11">
        <v>18.93</v>
      </c>
      <c r="J391" s="6">
        <v>14.1975</v>
      </c>
      <c r="K391" s="6">
        <v>0.75</v>
      </c>
      <c r="L391" s="6">
        <v>18.420000000000002</v>
      </c>
      <c r="M391" s="11">
        <v>13.815</v>
      </c>
      <c r="N391" s="11">
        <f t="shared" si="24"/>
        <v>13.815</v>
      </c>
      <c r="O391" s="6">
        <v>0.74999999999999989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0.51</v>
      </c>
      <c r="Z391" s="6">
        <v>0.38250000000000001</v>
      </c>
      <c r="AA391" s="6">
        <v>0.75</v>
      </c>
      <c r="AB391" s="6">
        <v>-0.50999999999999801</v>
      </c>
      <c r="AC391" s="6">
        <v>0.50999999999999801</v>
      </c>
      <c r="AD391" s="22" t="s">
        <v>3140</v>
      </c>
      <c r="AE391" s="23">
        <f t="shared" si="25"/>
        <v>13.815</v>
      </c>
      <c r="AF391" s="24">
        <f t="shared" si="26"/>
        <v>0</v>
      </c>
      <c r="AG391" s="23">
        <f t="shared" si="27"/>
        <v>1</v>
      </c>
    </row>
    <row r="392" spans="1:33" ht="20" hidden="1" customHeight="1" x14ac:dyDescent="0.25">
      <c r="A392" s="12" t="s">
        <v>31</v>
      </c>
      <c r="B392" s="9">
        <v>46178</v>
      </c>
      <c r="C392" s="10" t="s">
        <v>667</v>
      </c>
      <c r="D392" s="10" t="s">
        <v>668</v>
      </c>
      <c r="E392" s="10" t="s">
        <v>51</v>
      </c>
      <c r="F392" s="10" t="s">
        <v>35</v>
      </c>
      <c r="G392" s="10" t="s">
        <v>3145</v>
      </c>
      <c r="H392" s="8" t="s">
        <v>48</v>
      </c>
      <c r="I392" s="11">
        <v>17.87</v>
      </c>
      <c r="J392" s="6">
        <v>13.4025</v>
      </c>
      <c r="K392" s="6">
        <v>0.75</v>
      </c>
      <c r="L392" s="6">
        <v>17.62</v>
      </c>
      <c r="M392" s="11">
        <v>13.215</v>
      </c>
      <c r="N392" s="11">
        <f t="shared" si="24"/>
        <v>13.215</v>
      </c>
      <c r="O392" s="6">
        <v>0.75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0.25</v>
      </c>
      <c r="Z392" s="6">
        <v>0.1875</v>
      </c>
      <c r="AA392" s="6">
        <v>0.75</v>
      </c>
      <c r="AB392" s="6">
        <v>-0.25</v>
      </c>
      <c r="AC392" s="6">
        <v>0.25</v>
      </c>
      <c r="AD392" s="22" t="s">
        <v>3140</v>
      </c>
      <c r="AE392" s="23">
        <f t="shared" si="25"/>
        <v>13.215</v>
      </c>
      <c r="AF392" s="24">
        <f t="shared" si="26"/>
        <v>0</v>
      </c>
      <c r="AG392" s="23">
        <f t="shared" si="27"/>
        <v>1</v>
      </c>
    </row>
    <row r="393" spans="1:33" ht="12.5" hidden="1" customHeight="1" x14ac:dyDescent="0.25">
      <c r="A393" s="12" t="s">
        <v>31</v>
      </c>
      <c r="B393" s="9">
        <v>46178</v>
      </c>
      <c r="C393" s="8" t="s">
        <v>669</v>
      </c>
      <c r="D393" s="10" t="s">
        <v>670</v>
      </c>
      <c r="E393" s="10" t="s">
        <v>51</v>
      </c>
      <c r="F393" s="10" t="s">
        <v>35</v>
      </c>
      <c r="G393" s="10" t="s">
        <v>3145</v>
      </c>
      <c r="H393" s="8" t="s">
        <v>48</v>
      </c>
      <c r="I393" s="11">
        <v>8.1999999999999993</v>
      </c>
      <c r="J393" s="6">
        <v>6.15</v>
      </c>
      <c r="K393" s="6">
        <v>0.75000000000000011</v>
      </c>
      <c r="L393" s="6">
        <v>8.1999999999999993</v>
      </c>
      <c r="M393" s="11">
        <v>6.15</v>
      </c>
      <c r="N393" s="11">
        <f t="shared" si="24"/>
        <v>6.15</v>
      </c>
      <c r="O393" s="6">
        <v>0.75000000000000011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23" t="s">
        <v>3143</v>
      </c>
      <c r="AE393" s="23">
        <f t="shared" si="25"/>
        <v>5.79</v>
      </c>
      <c r="AF393" s="24">
        <f t="shared" si="26"/>
        <v>0.36000000000000032</v>
      </c>
      <c r="AG393" s="23">
        <f t="shared" si="27"/>
        <v>2</v>
      </c>
    </row>
    <row r="394" spans="1:33" ht="12.5" customHeight="1" x14ac:dyDescent="0.25">
      <c r="A394" s="12" t="s">
        <v>31</v>
      </c>
      <c r="B394" s="9">
        <v>46178</v>
      </c>
      <c r="C394" s="12" t="s">
        <v>669</v>
      </c>
      <c r="D394" s="10" t="s">
        <v>671</v>
      </c>
      <c r="E394" s="10" t="s">
        <v>51</v>
      </c>
      <c r="F394" s="10" t="s">
        <v>35</v>
      </c>
      <c r="G394" s="10" t="s">
        <v>3146</v>
      </c>
      <c r="H394" s="8" t="s">
        <v>36</v>
      </c>
      <c r="I394" s="11">
        <v>137.93</v>
      </c>
      <c r="J394" s="6">
        <v>126.48181</v>
      </c>
      <c r="K394" s="6">
        <v>0.91699999999999993</v>
      </c>
      <c r="L394" s="6">
        <v>137.93</v>
      </c>
      <c r="M394" s="11">
        <v>126.48181</v>
      </c>
      <c r="N394" s="11">
        <f t="shared" si="24"/>
        <v>126.482</v>
      </c>
      <c r="O394" s="6">
        <v>0.91699999999999993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23" t="s">
        <v>3143</v>
      </c>
      <c r="AE394" s="23">
        <f t="shared" si="25"/>
        <v>119.376</v>
      </c>
      <c r="AF394" s="24">
        <f t="shared" si="26"/>
        <v>7.1059999999999945</v>
      </c>
      <c r="AG394" s="23">
        <f t="shared" si="27"/>
        <v>2</v>
      </c>
    </row>
    <row r="395" spans="1:33" ht="12.5" hidden="1" customHeight="1" x14ac:dyDescent="0.25">
      <c r="A395" s="12" t="s">
        <v>31</v>
      </c>
      <c r="B395" s="9">
        <v>46178</v>
      </c>
      <c r="C395" s="12" t="s">
        <v>669</v>
      </c>
      <c r="D395" s="10" t="s">
        <v>672</v>
      </c>
      <c r="E395" s="10" t="s">
        <v>51</v>
      </c>
      <c r="F395" s="10" t="s">
        <v>35</v>
      </c>
      <c r="G395" s="10" t="s">
        <v>3145</v>
      </c>
      <c r="H395" s="8" t="s">
        <v>48</v>
      </c>
      <c r="I395" s="11">
        <v>3.72</v>
      </c>
      <c r="J395" s="6">
        <v>2.79</v>
      </c>
      <c r="K395" s="6">
        <v>0.75</v>
      </c>
      <c r="L395" s="6">
        <v>3.6</v>
      </c>
      <c r="M395" s="11">
        <v>2.7</v>
      </c>
      <c r="N395" s="11">
        <f t="shared" si="24"/>
        <v>2.7</v>
      </c>
      <c r="O395" s="6">
        <v>0.75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0.12</v>
      </c>
      <c r="Z395" s="6">
        <v>0.09</v>
      </c>
      <c r="AA395" s="6">
        <v>0.75</v>
      </c>
      <c r="AB395" s="6">
        <v>-0.12000000000000011</v>
      </c>
      <c r="AC395" s="6">
        <v>0.12000000000000011</v>
      </c>
      <c r="AD395" s="22" t="s">
        <v>3140</v>
      </c>
      <c r="AE395" s="23">
        <f t="shared" si="25"/>
        <v>2.7</v>
      </c>
      <c r="AF395" s="24">
        <f t="shared" si="26"/>
        <v>0</v>
      </c>
      <c r="AG395" s="23">
        <f t="shared" si="27"/>
        <v>1</v>
      </c>
    </row>
    <row r="396" spans="1:33" ht="12.5" hidden="1" customHeight="1" x14ac:dyDescent="0.25">
      <c r="A396" s="12" t="s">
        <v>31</v>
      </c>
      <c r="B396" s="9">
        <v>46178</v>
      </c>
      <c r="C396" s="13" t="s">
        <v>669</v>
      </c>
      <c r="D396" s="10" t="s">
        <v>673</v>
      </c>
      <c r="E396" s="10" t="s">
        <v>51</v>
      </c>
      <c r="F396" s="10" t="s">
        <v>35</v>
      </c>
      <c r="G396" s="10" t="s">
        <v>3145</v>
      </c>
      <c r="H396" s="8" t="s">
        <v>48</v>
      </c>
      <c r="I396" s="11">
        <v>3.72</v>
      </c>
      <c r="J396" s="6">
        <v>2.79</v>
      </c>
      <c r="K396" s="6">
        <v>0.75</v>
      </c>
      <c r="L396" s="6">
        <v>3.6</v>
      </c>
      <c r="M396" s="11">
        <v>2.7</v>
      </c>
      <c r="N396" s="11">
        <f t="shared" si="24"/>
        <v>2.7</v>
      </c>
      <c r="O396" s="6">
        <v>0.75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0.12</v>
      </c>
      <c r="Z396" s="6">
        <v>0.09</v>
      </c>
      <c r="AA396" s="6">
        <v>0.75</v>
      </c>
      <c r="AB396" s="6">
        <v>-0.12000000000000011</v>
      </c>
      <c r="AC396" s="6">
        <v>0.12000000000000011</v>
      </c>
      <c r="AD396" s="22" t="s">
        <v>3140</v>
      </c>
      <c r="AE396" s="23">
        <f t="shared" si="25"/>
        <v>2.7</v>
      </c>
      <c r="AF396" s="24">
        <f t="shared" si="26"/>
        <v>0</v>
      </c>
      <c r="AG396" s="23">
        <f t="shared" si="27"/>
        <v>1</v>
      </c>
    </row>
    <row r="397" spans="1:33" x14ac:dyDescent="0.25">
      <c r="A397" s="12" t="s">
        <v>31</v>
      </c>
      <c r="B397" s="9">
        <v>46178</v>
      </c>
      <c r="C397" s="10" t="s">
        <v>674</v>
      </c>
      <c r="D397" s="10" t="s">
        <v>675</v>
      </c>
      <c r="E397" s="10" t="s">
        <v>51</v>
      </c>
      <c r="F397" s="10" t="s">
        <v>35</v>
      </c>
      <c r="G397" s="10" t="s">
        <v>3146</v>
      </c>
      <c r="H397" s="8" t="s">
        <v>36</v>
      </c>
      <c r="I397" s="11">
        <v>11.94</v>
      </c>
      <c r="J397" s="6">
        <v>10.948980000000001</v>
      </c>
      <c r="K397" s="6">
        <v>0.91700000000000004</v>
      </c>
      <c r="L397" s="6">
        <v>11.73</v>
      </c>
      <c r="M397" s="11">
        <v>10.756410000000001</v>
      </c>
      <c r="N397" s="11">
        <f t="shared" si="24"/>
        <v>10.757</v>
      </c>
      <c r="O397" s="6">
        <v>0.91700000000000004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0.21</v>
      </c>
      <c r="Z397" s="6">
        <v>0.19256999999999999</v>
      </c>
      <c r="AA397" s="6">
        <v>0.91700000000000004</v>
      </c>
      <c r="AB397" s="6">
        <v>-0.20999999999999908</v>
      </c>
      <c r="AC397" s="6">
        <v>0.20999999999999908</v>
      </c>
      <c r="AD397" s="22" t="s">
        <v>3140</v>
      </c>
      <c r="AE397" s="23">
        <f t="shared" si="25"/>
        <v>10.757</v>
      </c>
      <c r="AF397" s="24">
        <f t="shared" si="26"/>
        <v>0</v>
      </c>
      <c r="AG397" s="23">
        <f t="shared" si="27"/>
        <v>1</v>
      </c>
    </row>
    <row r="398" spans="1:33" ht="12.5" hidden="1" customHeight="1" x14ac:dyDescent="0.25">
      <c r="A398" s="12" t="s">
        <v>31</v>
      </c>
      <c r="B398" s="9">
        <v>46178</v>
      </c>
      <c r="C398" s="8" t="s">
        <v>676</v>
      </c>
      <c r="D398" s="10" t="s">
        <v>677</v>
      </c>
      <c r="E398" s="10" t="s">
        <v>51</v>
      </c>
      <c r="F398" s="10" t="s">
        <v>35</v>
      </c>
      <c r="G398" s="10" t="s">
        <v>3145</v>
      </c>
      <c r="H398" s="8" t="s">
        <v>41</v>
      </c>
      <c r="I398" s="11">
        <v>25.58</v>
      </c>
      <c r="J398" s="6">
        <v>19.184999999999999</v>
      </c>
      <c r="K398" s="6">
        <v>0.75</v>
      </c>
      <c r="L398" s="6">
        <v>23.7</v>
      </c>
      <c r="M398" s="11">
        <v>17.774999999999999</v>
      </c>
      <c r="N398" s="11">
        <f t="shared" si="24"/>
        <v>17.774999999999999</v>
      </c>
      <c r="O398" s="6">
        <v>0.75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1.88</v>
      </c>
      <c r="Z398" s="6">
        <v>1.41</v>
      </c>
      <c r="AA398" s="6">
        <v>0.75</v>
      </c>
      <c r="AB398" s="6">
        <v>-1.879999999999999</v>
      </c>
      <c r="AC398" s="6">
        <v>1.879999999999999</v>
      </c>
      <c r="AD398" s="22" t="s">
        <v>3140</v>
      </c>
      <c r="AE398" s="23">
        <f t="shared" si="25"/>
        <v>17.774999999999999</v>
      </c>
      <c r="AF398" s="24">
        <f t="shared" si="26"/>
        <v>0</v>
      </c>
      <c r="AG398" s="23">
        <f t="shared" si="27"/>
        <v>2</v>
      </c>
    </row>
    <row r="399" spans="1:33" ht="12.5" hidden="1" customHeight="1" x14ac:dyDescent="0.25">
      <c r="A399" s="12" t="s">
        <v>31</v>
      </c>
      <c r="B399" s="9">
        <v>46178</v>
      </c>
      <c r="C399" s="12" t="s">
        <v>676</v>
      </c>
      <c r="D399" s="10" t="s">
        <v>678</v>
      </c>
      <c r="E399" s="10" t="s">
        <v>51</v>
      </c>
      <c r="F399" s="10" t="s">
        <v>35</v>
      </c>
      <c r="G399" s="10" t="s">
        <v>3145</v>
      </c>
      <c r="H399" s="8" t="s">
        <v>48</v>
      </c>
      <c r="I399" s="11">
        <v>14.56</v>
      </c>
      <c r="J399" s="6">
        <v>10.92</v>
      </c>
      <c r="K399" s="6">
        <v>0.75</v>
      </c>
      <c r="L399" s="6">
        <v>13.46</v>
      </c>
      <c r="M399" s="11">
        <v>10.095000000000001</v>
      </c>
      <c r="N399" s="11">
        <f t="shared" si="24"/>
        <v>10.095000000000001</v>
      </c>
      <c r="O399" s="6">
        <v>0.75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1.1000000000000001</v>
      </c>
      <c r="Z399" s="6">
        <v>0.82499999999999996</v>
      </c>
      <c r="AA399" s="6">
        <v>0.74999999999999989</v>
      </c>
      <c r="AB399" s="6">
        <v>-1.0999999999999996</v>
      </c>
      <c r="AC399" s="6">
        <v>1.0999999999999996</v>
      </c>
      <c r="AD399" s="22" t="s">
        <v>3140</v>
      </c>
      <c r="AE399" s="23">
        <f t="shared" si="25"/>
        <v>10.095000000000001</v>
      </c>
      <c r="AF399" s="24">
        <f t="shared" si="26"/>
        <v>0</v>
      </c>
      <c r="AG399" s="23">
        <f t="shared" si="27"/>
        <v>1</v>
      </c>
    </row>
    <row r="400" spans="1:33" ht="12.5" customHeight="1" x14ac:dyDescent="0.25">
      <c r="A400" s="12" t="s">
        <v>31</v>
      </c>
      <c r="B400" s="9">
        <v>46178</v>
      </c>
      <c r="C400" s="12" t="s">
        <v>676</v>
      </c>
      <c r="D400" s="10" t="s">
        <v>679</v>
      </c>
      <c r="E400" s="10" t="s">
        <v>51</v>
      </c>
      <c r="F400" s="10" t="s">
        <v>35</v>
      </c>
      <c r="G400" s="10" t="s">
        <v>3146</v>
      </c>
      <c r="H400" s="8" t="s">
        <v>36</v>
      </c>
      <c r="I400" s="11">
        <v>23.63</v>
      </c>
      <c r="J400" s="6">
        <v>21.668710000000001</v>
      </c>
      <c r="K400" s="6">
        <v>0.91700000000000004</v>
      </c>
      <c r="L400" s="6">
        <v>22.54</v>
      </c>
      <c r="M400" s="11">
        <v>20.669180000000001</v>
      </c>
      <c r="N400" s="11">
        <f t="shared" si="24"/>
        <v>20.67</v>
      </c>
      <c r="O400" s="6">
        <v>0.91700000000000004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1.0900000000000001</v>
      </c>
      <c r="Z400" s="6">
        <v>0.99953000000000003</v>
      </c>
      <c r="AA400" s="6">
        <v>0.91699999999999993</v>
      </c>
      <c r="AB400" s="6">
        <v>-1.0899999999999999</v>
      </c>
      <c r="AC400" s="6">
        <v>1.0899999999999999</v>
      </c>
      <c r="AD400" s="22" t="s">
        <v>3140</v>
      </c>
      <c r="AE400" s="23">
        <f t="shared" si="25"/>
        <v>20.67</v>
      </c>
      <c r="AF400" s="24">
        <f t="shared" si="26"/>
        <v>0</v>
      </c>
      <c r="AG400" s="23">
        <f t="shared" si="27"/>
        <v>1</v>
      </c>
    </row>
    <row r="401" spans="1:33" ht="12.5" customHeight="1" x14ac:dyDescent="0.25">
      <c r="A401" s="12" t="s">
        <v>31</v>
      </c>
      <c r="B401" s="9">
        <v>46178</v>
      </c>
      <c r="C401" s="13" t="s">
        <v>676</v>
      </c>
      <c r="D401" s="10" t="s">
        <v>680</v>
      </c>
      <c r="E401" s="10" t="s">
        <v>51</v>
      </c>
      <c r="F401" s="10" t="s">
        <v>35</v>
      </c>
      <c r="G401" s="10" t="s">
        <v>3146</v>
      </c>
      <c r="H401" s="8" t="s">
        <v>36</v>
      </c>
      <c r="I401" s="11">
        <v>50.25</v>
      </c>
      <c r="J401" s="6">
        <v>46.079250000000002</v>
      </c>
      <c r="K401" s="6">
        <v>0.91700000000000004</v>
      </c>
      <c r="L401" s="6">
        <v>49.25</v>
      </c>
      <c r="M401" s="11">
        <v>45.16225</v>
      </c>
      <c r="N401" s="11">
        <f t="shared" si="24"/>
        <v>45.162999999999997</v>
      </c>
      <c r="O401" s="6">
        <v>0.91700000000000004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1</v>
      </c>
      <c r="Z401" s="6">
        <v>0.91700000000000004</v>
      </c>
      <c r="AA401" s="6">
        <v>0.91700000000000004</v>
      </c>
      <c r="AB401" s="6">
        <v>-1</v>
      </c>
      <c r="AC401" s="6">
        <v>1</v>
      </c>
      <c r="AD401" s="22" t="s">
        <v>3140</v>
      </c>
      <c r="AE401" s="23">
        <f t="shared" si="25"/>
        <v>45.162999999999997</v>
      </c>
      <c r="AF401" s="24">
        <f t="shared" si="26"/>
        <v>0</v>
      </c>
      <c r="AG401" s="23">
        <f t="shared" si="27"/>
        <v>1</v>
      </c>
    </row>
    <row r="402" spans="1:33" x14ac:dyDescent="0.25">
      <c r="A402" s="12" t="s">
        <v>31</v>
      </c>
      <c r="B402" s="9">
        <v>46178</v>
      </c>
      <c r="C402" s="10" t="s">
        <v>681</v>
      </c>
      <c r="D402" s="10" t="s">
        <v>682</v>
      </c>
      <c r="E402" s="10" t="s">
        <v>51</v>
      </c>
      <c r="F402" s="10" t="s">
        <v>35</v>
      </c>
      <c r="G402" s="10" t="s">
        <v>3146</v>
      </c>
      <c r="H402" s="8" t="s">
        <v>36</v>
      </c>
      <c r="I402" s="11">
        <v>8.9</v>
      </c>
      <c r="J402" s="6">
        <v>8.1613000000000007</v>
      </c>
      <c r="K402" s="6">
        <v>0.91700000000000004</v>
      </c>
      <c r="L402" s="6">
        <v>8.9</v>
      </c>
      <c r="M402" s="11">
        <v>8.1613000000000007</v>
      </c>
      <c r="N402" s="11">
        <f t="shared" si="24"/>
        <v>8.161999999999999</v>
      </c>
      <c r="O402" s="6">
        <v>0.91700000000000004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23" t="s">
        <v>3143</v>
      </c>
      <c r="AE402" s="23">
        <f t="shared" si="25"/>
        <v>7.9510000000000005</v>
      </c>
      <c r="AF402" s="24">
        <f t="shared" si="26"/>
        <v>0.21099999999999852</v>
      </c>
      <c r="AG402" s="23">
        <f t="shared" si="27"/>
        <v>2</v>
      </c>
    </row>
    <row r="403" spans="1:33" x14ac:dyDescent="0.25">
      <c r="A403" s="12" t="s">
        <v>31</v>
      </c>
      <c r="B403" s="9">
        <v>46178</v>
      </c>
      <c r="C403" s="10" t="s">
        <v>683</v>
      </c>
      <c r="D403" s="10" t="s">
        <v>684</v>
      </c>
      <c r="E403" s="10" t="s">
        <v>51</v>
      </c>
      <c r="F403" s="10" t="s">
        <v>35</v>
      </c>
      <c r="G403" s="10" t="s">
        <v>3146</v>
      </c>
      <c r="H403" s="8" t="s">
        <v>36</v>
      </c>
      <c r="I403" s="11">
        <v>20.99</v>
      </c>
      <c r="J403" s="6">
        <v>19.24783</v>
      </c>
      <c r="K403" s="6">
        <v>0.91700000000000004</v>
      </c>
      <c r="L403" s="6">
        <v>20.16</v>
      </c>
      <c r="M403" s="11">
        <v>18.486719999999998</v>
      </c>
      <c r="N403" s="11">
        <f t="shared" si="24"/>
        <v>18.487000000000002</v>
      </c>
      <c r="O403" s="6">
        <v>0.91699999999999993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0.83</v>
      </c>
      <c r="Z403" s="6">
        <v>0.76110999999999995</v>
      </c>
      <c r="AA403" s="6">
        <v>0.91700000000000004</v>
      </c>
      <c r="AB403" s="6">
        <v>-0.82999999999999829</v>
      </c>
      <c r="AC403" s="6">
        <v>0.82999999999999829</v>
      </c>
      <c r="AD403" s="22" t="s">
        <v>3140</v>
      </c>
      <c r="AE403" s="23">
        <f t="shared" si="25"/>
        <v>18.487000000000002</v>
      </c>
      <c r="AF403" s="24">
        <f t="shared" si="26"/>
        <v>0</v>
      </c>
      <c r="AG403" s="23">
        <f t="shared" si="27"/>
        <v>1</v>
      </c>
    </row>
    <row r="404" spans="1:33" ht="20" hidden="1" customHeight="1" x14ac:dyDescent="0.25">
      <c r="A404" s="12" t="s">
        <v>31</v>
      </c>
      <c r="B404" s="9">
        <v>46178</v>
      </c>
      <c r="C404" s="10" t="s">
        <v>685</v>
      </c>
      <c r="D404" s="10" t="s">
        <v>686</v>
      </c>
      <c r="E404" s="10" t="s">
        <v>51</v>
      </c>
      <c r="F404" s="10" t="s">
        <v>35</v>
      </c>
      <c r="G404" s="10" t="s">
        <v>3145</v>
      </c>
      <c r="H404" s="8" t="s">
        <v>48</v>
      </c>
      <c r="I404" s="11">
        <v>11.55</v>
      </c>
      <c r="J404" s="6">
        <v>8.6624999999999996</v>
      </c>
      <c r="K404" s="6">
        <v>0.74999999999999989</v>
      </c>
      <c r="L404" s="6">
        <v>11.37</v>
      </c>
      <c r="M404" s="11">
        <v>8.5274999999999999</v>
      </c>
      <c r="N404" s="11">
        <f t="shared" si="24"/>
        <v>8.5279999999999987</v>
      </c>
      <c r="O404" s="6">
        <v>0.75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0.18</v>
      </c>
      <c r="Z404" s="6">
        <v>0.13500000000000001</v>
      </c>
      <c r="AA404" s="6">
        <v>0.75000000000000011</v>
      </c>
      <c r="AB404" s="6">
        <v>-0.18000000000000149</v>
      </c>
      <c r="AC404" s="6">
        <v>0.18000000000000149</v>
      </c>
      <c r="AD404" s="22" t="s">
        <v>3140</v>
      </c>
      <c r="AE404" s="23">
        <f t="shared" si="25"/>
        <v>8.5279999999999987</v>
      </c>
      <c r="AF404" s="24">
        <f t="shared" si="26"/>
        <v>0</v>
      </c>
      <c r="AG404" s="23">
        <f t="shared" si="27"/>
        <v>1</v>
      </c>
    </row>
    <row r="405" spans="1:33" ht="12.5" hidden="1" customHeight="1" x14ac:dyDescent="0.25">
      <c r="A405" s="12" t="s">
        <v>31</v>
      </c>
      <c r="B405" s="9">
        <v>46178</v>
      </c>
      <c r="C405" s="8" t="s">
        <v>687</v>
      </c>
      <c r="D405" s="10" t="s">
        <v>688</v>
      </c>
      <c r="E405" s="10" t="s">
        <v>51</v>
      </c>
      <c r="F405" s="10" t="s">
        <v>35</v>
      </c>
      <c r="G405" s="10" t="s">
        <v>3145</v>
      </c>
      <c r="H405" s="8" t="s">
        <v>41</v>
      </c>
      <c r="I405" s="11">
        <v>17.46</v>
      </c>
      <c r="J405" s="6">
        <v>13.095000000000001</v>
      </c>
      <c r="K405" s="6">
        <v>0.75</v>
      </c>
      <c r="L405" s="6">
        <v>16.38</v>
      </c>
      <c r="M405" s="11">
        <v>12.285</v>
      </c>
      <c r="N405" s="11">
        <f t="shared" si="24"/>
        <v>12.285</v>
      </c>
      <c r="O405" s="6">
        <v>0.75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1.08</v>
      </c>
      <c r="Z405" s="6">
        <v>0.81</v>
      </c>
      <c r="AA405" s="6">
        <v>0.75</v>
      </c>
      <c r="AB405" s="6">
        <v>-1.0800000000000018</v>
      </c>
      <c r="AC405" s="6">
        <v>1.0800000000000018</v>
      </c>
      <c r="AD405" s="22" t="s">
        <v>3140</v>
      </c>
      <c r="AE405" s="23">
        <f t="shared" si="25"/>
        <v>12.285</v>
      </c>
      <c r="AF405" s="24">
        <f t="shared" si="26"/>
        <v>0</v>
      </c>
      <c r="AG405" s="23">
        <f t="shared" si="27"/>
        <v>1</v>
      </c>
    </row>
    <row r="406" spans="1:33" ht="12.5" hidden="1" customHeight="1" x14ac:dyDescent="0.25">
      <c r="A406" s="12" t="s">
        <v>31</v>
      </c>
      <c r="B406" s="9">
        <v>46178</v>
      </c>
      <c r="C406" s="12" t="s">
        <v>687</v>
      </c>
      <c r="D406" s="10" t="s">
        <v>689</v>
      </c>
      <c r="E406" s="10" t="s">
        <v>51</v>
      </c>
      <c r="F406" s="10" t="s">
        <v>35</v>
      </c>
      <c r="G406" s="10" t="s">
        <v>3145</v>
      </c>
      <c r="H406" s="8" t="s">
        <v>48</v>
      </c>
      <c r="I406" s="11">
        <v>21.97</v>
      </c>
      <c r="J406" s="6">
        <v>16.477499999999999</v>
      </c>
      <c r="K406" s="6">
        <v>0.75</v>
      </c>
      <c r="L406" s="6">
        <v>21.04</v>
      </c>
      <c r="M406" s="11">
        <v>15.78</v>
      </c>
      <c r="N406" s="11">
        <f t="shared" si="24"/>
        <v>15.78</v>
      </c>
      <c r="O406" s="6">
        <v>0.75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0.93</v>
      </c>
      <c r="Z406" s="6">
        <v>0.69750000000000001</v>
      </c>
      <c r="AA406" s="6">
        <v>0.75</v>
      </c>
      <c r="AB406" s="6">
        <v>-0.92999999999999972</v>
      </c>
      <c r="AC406" s="6">
        <v>0.92999999999999972</v>
      </c>
      <c r="AD406" s="22" t="s">
        <v>3140</v>
      </c>
      <c r="AE406" s="23">
        <f t="shared" si="25"/>
        <v>15.78</v>
      </c>
      <c r="AF406" s="24">
        <f t="shared" si="26"/>
        <v>0</v>
      </c>
      <c r="AG406" s="23">
        <f t="shared" si="27"/>
        <v>1</v>
      </c>
    </row>
    <row r="407" spans="1:33" ht="12.5" hidden="1" customHeight="1" x14ac:dyDescent="0.25">
      <c r="A407" s="12" t="s">
        <v>31</v>
      </c>
      <c r="B407" s="9">
        <v>46178</v>
      </c>
      <c r="C407" s="12" t="s">
        <v>687</v>
      </c>
      <c r="D407" s="10" t="s">
        <v>690</v>
      </c>
      <c r="E407" s="10" t="s">
        <v>51</v>
      </c>
      <c r="F407" s="10" t="s">
        <v>35</v>
      </c>
      <c r="G407" s="10" t="s">
        <v>3145</v>
      </c>
      <c r="H407" s="8" t="s">
        <v>48</v>
      </c>
      <c r="I407" s="11">
        <v>36.729999999999997</v>
      </c>
      <c r="J407" s="6">
        <v>27.547499999999999</v>
      </c>
      <c r="K407" s="6">
        <v>0.75</v>
      </c>
      <c r="L407" s="6">
        <v>35.21</v>
      </c>
      <c r="M407" s="11">
        <v>26.407499999999999</v>
      </c>
      <c r="N407" s="11">
        <f t="shared" si="24"/>
        <v>26.408000000000001</v>
      </c>
      <c r="O407" s="6">
        <v>0.75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1.52</v>
      </c>
      <c r="Z407" s="6">
        <v>1.1399999999999999</v>
      </c>
      <c r="AA407" s="6">
        <v>0.74999999999999989</v>
      </c>
      <c r="AB407" s="6">
        <v>-1.519999999999996</v>
      </c>
      <c r="AC407" s="6">
        <v>1.519999999999996</v>
      </c>
      <c r="AD407" s="22" t="s">
        <v>3140</v>
      </c>
      <c r="AE407" s="23">
        <f t="shared" si="25"/>
        <v>26.408000000000001</v>
      </c>
      <c r="AF407" s="24">
        <f t="shared" si="26"/>
        <v>0</v>
      </c>
      <c r="AG407" s="23">
        <f t="shared" si="27"/>
        <v>1</v>
      </c>
    </row>
    <row r="408" spans="1:33" ht="12.5" hidden="1" customHeight="1" x14ac:dyDescent="0.25">
      <c r="A408" s="12" t="s">
        <v>31</v>
      </c>
      <c r="B408" s="9">
        <v>46178</v>
      </c>
      <c r="C408" s="12" t="s">
        <v>687</v>
      </c>
      <c r="D408" s="10" t="s">
        <v>691</v>
      </c>
      <c r="E408" s="10" t="s">
        <v>51</v>
      </c>
      <c r="F408" s="10" t="s">
        <v>35</v>
      </c>
      <c r="G408" s="10" t="s">
        <v>3145</v>
      </c>
      <c r="H408" s="8" t="s">
        <v>48</v>
      </c>
      <c r="I408" s="11">
        <v>40.51</v>
      </c>
      <c r="J408" s="6">
        <v>30.3825</v>
      </c>
      <c r="K408" s="6">
        <v>0.75</v>
      </c>
      <c r="L408" s="6">
        <v>37.28</v>
      </c>
      <c r="M408" s="11">
        <v>27.96</v>
      </c>
      <c r="N408" s="11">
        <f t="shared" si="24"/>
        <v>27.96</v>
      </c>
      <c r="O408" s="6">
        <v>0.75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3.23</v>
      </c>
      <c r="Z408" s="6">
        <v>2.4224999999999999</v>
      </c>
      <c r="AA408" s="6">
        <v>0.75</v>
      </c>
      <c r="AB408" s="6">
        <v>-3.2299999999999969</v>
      </c>
      <c r="AC408" s="6">
        <v>3.2299999999999969</v>
      </c>
      <c r="AD408" s="22" t="s">
        <v>3140</v>
      </c>
      <c r="AE408" s="23">
        <f t="shared" si="25"/>
        <v>27.96</v>
      </c>
      <c r="AF408" s="24">
        <f t="shared" si="26"/>
        <v>0</v>
      </c>
      <c r="AG408" s="23">
        <f t="shared" si="27"/>
        <v>1</v>
      </c>
    </row>
    <row r="409" spans="1:33" ht="12.5" hidden="1" customHeight="1" x14ac:dyDescent="0.25">
      <c r="A409" s="12" t="s">
        <v>31</v>
      </c>
      <c r="B409" s="9">
        <v>46178</v>
      </c>
      <c r="C409" s="13" t="s">
        <v>687</v>
      </c>
      <c r="D409" s="10" t="s">
        <v>692</v>
      </c>
      <c r="E409" s="10" t="s">
        <v>51</v>
      </c>
      <c r="F409" s="10" t="s">
        <v>35</v>
      </c>
      <c r="G409" s="10" t="s">
        <v>3145</v>
      </c>
      <c r="H409" s="8" t="s">
        <v>48</v>
      </c>
      <c r="I409" s="11">
        <v>17.32</v>
      </c>
      <c r="J409" s="6">
        <v>12.99</v>
      </c>
      <c r="K409" s="6">
        <v>0.75</v>
      </c>
      <c r="L409" s="6">
        <v>16.760000000000002</v>
      </c>
      <c r="M409" s="11">
        <v>12.57</v>
      </c>
      <c r="N409" s="11">
        <f t="shared" si="24"/>
        <v>12.57</v>
      </c>
      <c r="O409" s="6">
        <v>0.75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0.56000000000000005</v>
      </c>
      <c r="Z409" s="6">
        <v>0.42</v>
      </c>
      <c r="AA409" s="6">
        <v>0.74999999999999989</v>
      </c>
      <c r="AB409" s="6">
        <v>-0.55999999999999872</v>
      </c>
      <c r="AC409" s="6">
        <v>0.55999999999999872</v>
      </c>
      <c r="AD409" s="22" t="s">
        <v>3140</v>
      </c>
      <c r="AE409" s="23">
        <f t="shared" si="25"/>
        <v>12.57</v>
      </c>
      <c r="AF409" s="24">
        <f t="shared" si="26"/>
        <v>0</v>
      </c>
      <c r="AG409" s="23">
        <f t="shared" si="27"/>
        <v>1</v>
      </c>
    </row>
    <row r="410" spans="1:33" ht="12.5" customHeight="1" x14ac:dyDescent="0.25">
      <c r="A410" s="12" t="s">
        <v>31</v>
      </c>
      <c r="B410" s="9">
        <v>46178</v>
      </c>
      <c r="C410" s="8" t="s">
        <v>693</v>
      </c>
      <c r="D410" s="10" t="s">
        <v>694</v>
      </c>
      <c r="E410" s="10" t="s">
        <v>51</v>
      </c>
      <c r="F410" s="10" t="s">
        <v>35</v>
      </c>
      <c r="G410" s="10" t="s">
        <v>3146</v>
      </c>
      <c r="H410" s="8" t="s">
        <v>36</v>
      </c>
      <c r="I410" s="11">
        <v>11.58</v>
      </c>
      <c r="J410" s="6">
        <v>10.61886</v>
      </c>
      <c r="K410" s="6">
        <v>0.91699999999999993</v>
      </c>
      <c r="L410" s="6">
        <v>11.2</v>
      </c>
      <c r="M410" s="11">
        <v>10.2704</v>
      </c>
      <c r="N410" s="11">
        <f t="shared" si="24"/>
        <v>10.270999999999999</v>
      </c>
      <c r="O410" s="6">
        <v>0.91700000000000015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0.38</v>
      </c>
      <c r="Z410" s="6">
        <v>0.34845999999999999</v>
      </c>
      <c r="AA410" s="6">
        <v>0.91699999999999993</v>
      </c>
      <c r="AB410" s="6">
        <v>-0.38000000000000078</v>
      </c>
      <c r="AC410" s="6">
        <v>0.38000000000000078</v>
      </c>
      <c r="AD410" s="22" t="s">
        <v>3140</v>
      </c>
      <c r="AE410" s="23">
        <f t="shared" si="25"/>
        <v>10.270999999999999</v>
      </c>
      <c r="AF410" s="24">
        <f t="shared" si="26"/>
        <v>0</v>
      </c>
      <c r="AG410" s="23">
        <f t="shared" si="27"/>
        <v>1</v>
      </c>
    </row>
    <row r="411" spans="1:33" ht="12.5" customHeight="1" x14ac:dyDescent="0.25">
      <c r="A411" s="12" t="s">
        <v>31</v>
      </c>
      <c r="B411" s="9">
        <v>46178</v>
      </c>
      <c r="C411" s="13" t="s">
        <v>693</v>
      </c>
      <c r="D411" s="10" t="s">
        <v>695</v>
      </c>
      <c r="E411" s="10" t="s">
        <v>51</v>
      </c>
      <c r="F411" s="10" t="s">
        <v>35</v>
      </c>
      <c r="G411" s="10" t="s">
        <v>3146</v>
      </c>
      <c r="H411" s="8" t="s">
        <v>36</v>
      </c>
      <c r="I411" s="11">
        <v>34.21</v>
      </c>
      <c r="J411" s="6">
        <v>31.370570000000001</v>
      </c>
      <c r="K411" s="6">
        <v>0.91700000000000004</v>
      </c>
      <c r="L411" s="6">
        <v>33.97</v>
      </c>
      <c r="M411" s="11">
        <v>31.150490000000001</v>
      </c>
      <c r="N411" s="11">
        <f t="shared" si="24"/>
        <v>31.151</v>
      </c>
      <c r="O411" s="6">
        <v>0.91700000000000004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0.24</v>
      </c>
      <c r="Z411" s="6">
        <v>0.22008</v>
      </c>
      <c r="AA411" s="6">
        <v>0.91700000000000004</v>
      </c>
      <c r="AB411" s="6">
        <v>-0.24000000000000199</v>
      </c>
      <c r="AC411" s="6">
        <v>0.24000000000000199</v>
      </c>
      <c r="AD411" s="22" t="s">
        <v>3140</v>
      </c>
      <c r="AE411" s="23">
        <f t="shared" si="25"/>
        <v>31.151</v>
      </c>
      <c r="AF411" s="24">
        <f t="shared" si="26"/>
        <v>0</v>
      </c>
      <c r="AG411" s="23">
        <f t="shared" si="27"/>
        <v>1</v>
      </c>
    </row>
    <row r="412" spans="1:33" ht="20" hidden="1" customHeight="1" x14ac:dyDescent="0.25">
      <c r="A412" s="12" t="s">
        <v>31</v>
      </c>
      <c r="B412" s="9">
        <v>46178</v>
      </c>
      <c r="C412" s="10" t="s">
        <v>696</v>
      </c>
      <c r="D412" s="10" t="s">
        <v>697</v>
      </c>
      <c r="E412" s="10" t="s">
        <v>51</v>
      </c>
      <c r="F412" s="10" t="s">
        <v>35</v>
      </c>
      <c r="G412" s="10" t="s">
        <v>3145</v>
      </c>
      <c r="H412" s="8" t="s">
        <v>48</v>
      </c>
      <c r="I412" s="11">
        <v>44.88</v>
      </c>
      <c r="J412" s="6">
        <v>33.659999999999997</v>
      </c>
      <c r="K412" s="6">
        <v>0.74999999999999989</v>
      </c>
      <c r="L412" s="6">
        <v>38.93</v>
      </c>
      <c r="M412" s="11">
        <v>29.197500000000002</v>
      </c>
      <c r="N412" s="11">
        <f t="shared" si="24"/>
        <v>29.198</v>
      </c>
      <c r="O412" s="6">
        <v>0.75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5.95</v>
      </c>
      <c r="Z412" s="6">
        <v>4.4625000000000004</v>
      </c>
      <c r="AA412" s="6">
        <v>0.75</v>
      </c>
      <c r="AB412" s="6">
        <v>-5.9500000000000028</v>
      </c>
      <c r="AC412" s="6">
        <v>5.9500000000000028</v>
      </c>
      <c r="AD412" s="22" t="s">
        <v>3140</v>
      </c>
      <c r="AE412" s="23">
        <f t="shared" si="25"/>
        <v>29.198</v>
      </c>
      <c r="AF412" s="24">
        <f t="shared" si="26"/>
        <v>0</v>
      </c>
      <c r="AG412" s="23">
        <f t="shared" si="27"/>
        <v>1</v>
      </c>
    </row>
    <row r="413" spans="1:33" x14ac:dyDescent="0.25">
      <c r="A413" s="12" t="s">
        <v>31</v>
      </c>
      <c r="B413" s="9">
        <v>46178</v>
      </c>
      <c r="C413" s="10" t="s">
        <v>698</v>
      </c>
      <c r="D413" s="10" t="s">
        <v>699</v>
      </c>
      <c r="E413" s="10" t="s">
        <v>51</v>
      </c>
      <c r="F413" s="10" t="s">
        <v>35</v>
      </c>
      <c r="G413" s="10" t="s">
        <v>3146</v>
      </c>
      <c r="H413" s="8" t="s">
        <v>36</v>
      </c>
      <c r="I413" s="11">
        <v>6.88</v>
      </c>
      <c r="J413" s="6">
        <v>6.3089599999999999</v>
      </c>
      <c r="K413" s="6">
        <v>0.91700000000000004</v>
      </c>
      <c r="L413" s="6">
        <v>6.24</v>
      </c>
      <c r="M413" s="11">
        <v>5.7220800000000001</v>
      </c>
      <c r="N413" s="11">
        <f t="shared" si="24"/>
        <v>5.7230000000000008</v>
      </c>
      <c r="O413" s="6">
        <v>0.91699999999999993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0.64</v>
      </c>
      <c r="Z413" s="6">
        <v>0.58687999999999996</v>
      </c>
      <c r="AA413" s="6">
        <v>0.91699999999999993</v>
      </c>
      <c r="AB413" s="6">
        <v>-0.63999999999999968</v>
      </c>
      <c r="AC413" s="6">
        <v>0.63999999999999968</v>
      </c>
      <c r="AD413" s="22" t="s">
        <v>3140</v>
      </c>
      <c r="AE413" s="23">
        <f t="shared" si="25"/>
        <v>5.7230000000000008</v>
      </c>
      <c r="AF413" s="24">
        <f t="shared" si="26"/>
        <v>0</v>
      </c>
      <c r="AG413" s="23">
        <f t="shared" si="27"/>
        <v>1</v>
      </c>
    </row>
    <row r="414" spans="1:33" ht="20" hidden="1" customHeight="1" x14ac:dyDescent="0.25">
      <c r="A414" s="12" t="s">
        <v>31</v>
      </c>
      <c r="B414" s="9">
        <v>46178</v>
      </c>
      <c r="C414" s="10" t="s">
        <v>700</v>
      </c>
      <c r="D414" s="10" t="s">
        <v>701</v>
      </c>
      <c r="E414" s="10" t="s">
        <v>51</v>
      </c>
      <c r="F414" s="10" t="s">
        <v>35</v>
      </c>
      <c r="G414" s="10" t="s">
        <v>3145</v>
      </c>
      <c r="H414" s="8" t="s">
        <v>48</v>
      </c>
      <c r="I414" s="11">
        <v>206.44</v>
      </c>
      <c r="J414" s="6">
        <v>154.83000000000001</v>
      </c>
      <c r="K414" s="6">
        <v>0.75000000000000011</v>
      </c>
      <c r="L414" s="6">
        <v>182.34</v>
      </c>
      <c r="M414" s="11">
        <v>136.755</v>
      </c>
      <c r="N414" s="11">
        <f t="shared" si="24"/>
        <v>136.755</v>
      </c>
      <c r="O414" s="6">
        <v>0.75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24.1</v>
      </c>
      <c r="Z414" s="6">
        <v>18.074999999999999</v>
      </c>
      <c r="AA414" s="6">
        <v>0.74999999999999989</v>
      </c>
      <c r="AB414" s="6">
        <v>-24.099999999999994</v>
      </c>
      <c r="AC414" s="6">
        <v>24.099999999999994</v>
      </c>
      <c r="AD414" s="22" t="s">
        <v>3140</v>
      </c>
      <c r="AE414" s="23">
        <f t="shared" si="25"/>
        <v>136.755</v>
      </c>
      <c r="AF414" s="24">
        <f t="shared" si="26"/>
        <v>0</v>
      </c>
      <c r="AG414" s="23">
        <f t="shared" si="27"/>
        <v>1</v>
      </c>
    </row>
    <row r="415" spans="1:33" x14ac:dyDescent="0.25">
      <c r="A415" s="12" t="s">
        <v>31</v>
      </c>
      <c r="B415" s="9">
        <v>46178</v>
      </c>
      <c r="C415" s="10" t="s">
        <v>702</v>
      </c>
      <c r="D415" s="10" t="s">
        <v>703</v>
      </c>
      <c r="E415" s="10" t="s">
        <v>51</v>
      </c>
      <c r="F415" s="10" t="s">
        <v>35</v>
      </c>
      <c r="G415" s="10" t="s">
        <v>3146</v>
      </c>
      <c r="H415" s="8" t="s">
        <v>36</v>
      </c>
      <c r="I415" s="11">
        <v>68.260000000000005</v>
      </c>
      <c r="J415" s="6">
        <v>62.59442</v>
      </c>
      <c r="K415" s="6">
        <v>0.91699999999999993</v>
      </c>
      <c r="L415" s="6">
        <v>65.540000000000006</v>
      </c>
      <c r="M415" s="11">
        <v>60.100180000000002</v>
      </c>
      <c r="N415" s="11">
        <f t="shared" si="24"/>
        <v>60.100999999999999</v>
      </c>
      <c r="O415" s="6">
        <v>0.91699999999999993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2.72</v>
      </c>
      <c r="Z415" s="6">
        <v>2.49424</v>
      </c>
      <c r="AA415" s="6">
        <v>0.91699999999999993</v>
      </c>
      <c r="AB415" s="6">
        <v>-2.7199999999999989</v>
      </c>
      <c r="AC415" s="6">
        <v>2.7199999999999989</v>
      </c>
      <c r="AD415" s="22" t="s">
        <v>3140</v>
      </c>
      <c r="AE415" s="23">
        <f t="shared" si="25"/>
        <v>60.100999999999999</v>
      </c>
      <c r="AF415" s="24">
        <f t="shared" si="26"/>
        <v>0</v>
      </c>
      <c r="AG415" s="23">
        <f t="shared" si="27"/>
        <v>1</v>
      </c>
    </row>
    <row r="416" spans="1:33" x14ac:dyDescent="0.25">
      <c r="A416" s="12" t="s">
        <v>31</v>
      </c>
      <c r="B416" s="9">
        <v>46178</v>
      </c>
      <c r="C416" s="10" t="s">
        <v>704</v>
      </c>
      <c r="D416" s="10" t="s">
        <v>705</v>
      </c>
      <c r="E416" s="10" t="s">
        <v>51</v>
      </c>
      <c r="F416" s="10" t="s">
        <v>35</v>
      </c>
      <c r="G416" s="10" t="s">
        <v>3146</v>
      </c>
      <c r="H416" s="8" t="s">
        <v>36</v>
      </c>
      <c r="I416" s="11">
        <v>7.74</v>
      </c>
      <c r="J416" s="6">
        <v>7.0975799999999998</v>
      </c>
      <c r="K416" s="6">
        <v>0.91699999999999993</v>
      </c>
      <c r="L416" s="6">
        <v>7.2</v>
      </c>
      <c r="M416" s="11">
        <v>6.6024000000000003</v>
      </c>
      <c r="N416" s="11">
        <f t="shared" si="24"/>
        <v>6.6030000000000006</v>
      </c>
      <c r="O416" s="6">
        <v>0.91700000000000004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0.54</v>
      </c>
      <c r="Z416" s="6">
        <v>0.49518000000000001</v>
      </c>
      <c r="AA416" s="6">
        <v>0.91699999999999993</v>
      </c>
      <c r="AB416" s="6">
        <v>-0.54</v>
      </c>
      <c r="AC416" s="6">
        <v>0.54</v>
      </c>
      <c r="AD416" s="22" t="s">
        <v>3140</v>
      </c>
      <c r="AE416" s="23">
        <f t="shared" si="25"/>
        <v>6.6030000000000006</v>
      </c>
      <c r="AF416" s="24">
        <f t="shared" si="26"/>
        <v>0</v>
      </c>
      <c r="AG416" s="23">
        <f t="shared" si="27"/>
        <v>1</v>
      </c>
    </row>
    <row r="417" spans="1:33" ht="20" hidden="1" customHeight="1" x14ac:dyDescent="0.25">
      <c r="A417" s="12" t="s">
        <v>31</v>
      </c>
      <c r="B417" s="9">
        <v>46178</v>
      </c>
      <c r="C417" s="10" t="s">
        <v>706</v>
      </c>
      <c r="D417" s="10" t="s">
        <v>707</v>
      </c>
      <c r="E417" s="10" t="s">
        <v>51</v>
      </c>
      <c r="F417" s="10" t="s">
        <v>35</v>
      </c>
      <c r="G417" s="10" t="s">
        <v>3145</v>
      </c>
      <c r="H417" s="8" t="s">
        <v>48</v>
      </c>
      <c r="I417" s="11">
        <v>14.02</v>
      </c>
      <c r="J417" s="6">
        <v>10.515000000000001</v>
      </c>
      <c r="K417" s="6">
        <v>0.75000000000000011</v>
      </c>
      <c r="L417" s="6">
        <v>12.61</v>
      </c>
      <c r="M417" s="11">
        <v>9.4574999999999996</v>
      </c>
      <c r="N417" s="11">
        <f t="shared" si="24"/>
        <v>9.4580000000000002</v>
      </c>
      <c r="O417" s="6">
        <v>0.75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1.41</v>
      </c>
      <c r="Z417" s="6">
        <v>1.0575000000000001</v>
      </c>
      <c r="AA417" s="6">
        <v>0.75000000000000011</v>
      </c>
      <c r="AB417" s="6">
        <v>-1.41</v>
      </c>
      <c r="AC417" s="6">
        <v>1.41</v>
      </c>
      <c r="AD417" s="22" t="s">
        <v>3140</v>
      </c>
      <c r="AE417" s="23">
        <f t="shared" si="25"/>
        <v>9.4580000000000002</v>
      </c>
      <c r="AF417" s="24">
        <f t="shared" si="26"/>
        <v>0</v>
      </c>
      <c r="AG417" s="23">
        <f t="shared" si="27"/>
        <v>1</v>
      </c>
    </row>
    <row r="418" spans="1:33" hidden="1" x14ac:dyDescent="0.25">
      <c r="A418" s="12" t="s">
        <v>31</v>
      </c>
      <c r="B418" s="9">
        <v>46178</v>
      </c>
      <c r="C418" s="10" t="s">
        <v>708</v>
      </c>
      <c r="D418" s="10" t="s">
        <v>709</v>
      </c>
      <c r="E418" s="10" t="s">
        <v>51</v>
      </c>
      <c r="F418" s="10" t="s">
        <v>35</v>
      </c>
      <c r="G418" s="10" t="s">
        <v>3145</v>
      </c>
      <c r="H418" s="8" t="s">
        <v>41</v>
      </c>
      <c r="I418" s="11">
        <v>7.47</v>
      </c>
      <c r="J418" s="6">
        <v>5.6025</v>
      </c>
      <c r="K418" s="6">
        <v>0.75</v>
      </c>
      <c r="L418" s="6">
        <v>7.05</v>
      </c>
      <c r="M418" s="11">
        <v>5.2874999999999996</v>
      </c>
      <c r="N418" s="11">
        <f t="shared" si="24"/>
        <v>5.2880000000000003</v>
      </c>
      <c r="O418" s="6">
        <v>0.75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0.42</v>
      </c>
      <c r="Z418" s="6">
        <v>0.315</v>
      </c>
      <c r="AA418" s="6">
        <v>0.75</v>
      </c>
      <c r="AB418" s="6">
        <v>-0.41999999999999993</v>
      </c>
      <c r="AC418" s="6">
        <v>0.41999999999999993</v>
      </c>
      <c r="AD418" s="22" t="s">
        <v>3140</v>
      </c>
      <c r="AE418" s="23">
        <f t="shared" si="25"/>
        <v>5.2880000000000003</v>
      </c>
      <c r="AF418" s="24">
        <f t="shared" si="26"/>
        <v>0</v>
      </c>
      <c r="AG418" s="23">
        <f t="shared" si="27"/>
        <v>1</v>
      </c>
    </row>
    <row r="419" spans="1:33" hidden="1" x14ac:dyDescent="0.25">
      <c r="A419" s="12" t="s">
        <v>31</v>
      </c>
      <c r="B419" s="9">
        <v>46178</v>
      </c>
      <c r="C419" s="10" t="s">
        <v>710</v>
      </c>
      <c r="D419" s="10" t="s">
        <v>711</v>
      </c>
      <c r="E419" s="10" t="s">
        <v>51</v>
      </c>
      <c r="F419" s="10" t="s">
        <v>35</v>
      </c>
      <c r="G419" s="10" t="s">
        <v>3145</v>
      </c>
      <c r="H419" s="8" t="s">
        <v>41</v>
      </c>
      <c r="I419" s="11">
        <v>6.79</v>
      </c>
      <c r="J419" s="6">
        <v>5.0925000000000002</v>
      </c>
      <c r="K419" s="6">
        <v>0.75</v>
      </c>
      <c r="L419" s="6">
        <v>6.43</v>
      </c>
      <c r="M419" s="11">
        <v>4.8224999999999998</v>
      </c>
      <c r="N419" s="11">
        <f t="shared" si="24"/>
        <v>4.8230000000000004</v>
      </c>
      <c r="O419" s="6">
        <v>0.75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0.36</v>
      </c>
      <c r="Z419" s="6">
        <v>0.27</v>
      </c>
      <c r="AA419" s="6">
        <v>0.75000000000000011</v>
      </c>
      <c r="AB419" s="6">
        <v>-0.36000000000000032</v>
      </c>
      <c r="AC419" s="6">
        <v>0.36000000000000032</v>
      </c>
      <c r="AD419" s="22" t="s">
        <v>3140</v>
      </c>
      <c r="AE419" s="23">
        <f t="shared" si="25"/>
        <v>4.8230000000000004</v>
      </c>
      <c r="AF419" s="24">
        <f t="shared" si="26"/>
        <v>0</v>
      </c>
      <c r="AG419" s="23">
        <f t="shared" si="27"/>
        <v>1</v>
      </c>
    </row>
    <row r="420" spans="1:33" hidden="1" x14ac:dyDescent="0.25">
      <c r="A420" s="12" t="s">
        <v>31</v>
      </c>
      <c r="B420" s="9">
        <v>46178</v>
      </c>
      <c r="C420" s="10" t="s">
        <v>712</v>
      </c>
      <c r="D420" s="10" t="s">
        <v>713</v>
      </c>
      <c r="E420" s="10" t="s">
        <v>51</v>
      </c>
      <c r="F420" s="10" t="s">
        <v>35</v>
      </c>
      <c r="G420" s="10" t="s">
        <v>3145</v>
      </c>
      <c r="H420" s="8" t="s">
        <v>41</v>
      </c>
      <c r="I420" s="11">
        <v>7.16</v>
      </c>
      <c r="J420" s="6">
        <v>5.37</v>
      </c>
      <c r="K420" s="6">
        <v>0.75</v>
      </c>
      <c r="L420" s="6">
        <v>6.67</v>
      </c>
      <c r="M420" s="11">
        <v>5.0025000000000004</v>
      </c>
      <c r="N420" s="11">
        <f t="shared" si="24"/>
        <v>5.0030000000000001</v>
      </c>
      <c r="O420" s="6">
        <v>0.75000000000000011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0.49</v>
      </c>
      <c r="Z420" s="6">
        <v>0.36749999999999999</v>
      </c>
      <c r="AA420" s="6">
        <v>0.75</v>
      </c>
      <c r="AB420" s="6">
        <v>-0.49000000000000021</v>
      </c>
      <c r="AC420" s="6">
        <v>0.49000000000000021</v>
      </c>
      <c r="AD420" s="22" t="s">
        <v>3140</v>
      </c>
      <c r="AE420" s="23">
        <f t="shared" si="25"/>
        <v>5.0030000000000001</v>
      </c>
      <c r="AF420" s="24">
        <f t="shared" si="26"/>
        <v>0</v>
      </c>
      <c r="AG420" s="23">
        <f t="shared" si="27"/>
        <v>1</v>
      </c>
    </row>
    <row r="421" spans="1:33" hidden="1" x14ac:dyDescent="0.25">
      <c r="A421" s="12" t="s">
        <v>31</v>
      </c>
      <c r="B421" s="9">
        <v>46178</v>
      </c>
      <c r="C421" s="10" t="s">
        <v>714</v>
      </c>
      <c r="D421" s="10" t="s">
        <v>715</v>
      </c>
      <c r="E421" s="10" t="s">
        <v>51</v>
      </c>
      <c r="F421" s="10" t="s">
        <v>35</v>
      </c>
      <c r="G421" s="10" t="s">
        <v>3145</v>
      </c>
      <c r="H421" s="8" t="s">
        <v>41</v>
      </c>
      <c r="I421" s="11">
        <v>7.26</v>
      </c>
      <c r="J421" s="6">
        <v>5.4450000000000003</v>
      </c>
      <c r="K421" s="6">
        <v>0.75000000000000011</v>
      </c>
      <c r="L421" s="6">
        <v>6.85</v>
      </c>
      <c r="M421" s="11">
        <v>5.1375000000000002</v>
      </c>
      <c r="N421" s="11">
        <f t="shared" si="24"/>
        <v>5.1379999999999999</v>
      </c>
      <c r="O421" s="6">
        <v>0.75000000000000011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0.41</v>
      </c>
      <c r="Z421" s="6">
        <v>0.3075</v>
      </c>
      <c r="AA421" s="6">
        <v>0.75</v>
      </c>
      <c r="AB421" s="6">
        <v>-0.41000000000000014</v>
      </c>
      <c r="AC421" s="6">
        <v>0.41000000000000014</v>
      </c>
      <c r="AD421" s="22" t="s">
        <v>3140</v>
      </c>
      <c r="AE421" s="23">
        <f t="shared" si="25"/>
        <v>5.1379999999999999</v>
      </c>
      <c r="AF421" s="24">
        <f t="shared" si="26"/>
        <v>0</v>
      </c>
      <c r="AG421" s="23">
        <f t="shared" si="27"/>
        <v>1</v>
      </c>
    </row>
    <row r="422" spans="1:33" ht="20" hidden="1" customHeight="1" x14ac:dyDescent="0.25">
      <c r="A422" s="12" t="s">
        <v>31</v>
      </c>
      <c r="B422" s="9">
        <v>46178</v>
      </c>
      <c r="C422" s="10" t="s">
        <v>716</v>
      </c>
      <c r="D422" s="10" t="s">
        <v>717</v>
      </c>
      <c r="E422" s="10" t="s">
        <v>51</v>
      </c>
      <c r="F422" s="10" t="s">
        <v>35</v>
      </c>
      <c r="G422" s="10" t="s">
        <v>3145</v>
      </c>
      <c r="H422" s="8" t="s">
        <v>48</v>
      </c>
      <c r="I422" s="11">
        <v>53.51</v>
      </c>
      <c r="J422" s="6">
        <v>40.1325</v>
      </c>
      <c r="K422" s="6">
        <v>0.75</v>
      </c>
      <c r="L422" s="6">
        <v>51.87</v>
      </c>
      <c r="M422" s="11">
        <v>38.902500000000003</v>
      </c>
      <c r="N422" s="11">
        <f t="shared" si="24"/>
        <v>38.902999999999999</v>
      </c>
      <c r="O422" s="6">
        <v>0.75000000000000011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1.64</v>
      </c>
      <c r="Z422" s="6">
        <v>1.23</v>
      </c>
      <c r="AA422" s="6">
        <v>0.75</v>
      </c>
      <c r="AB422" s="6">
        <v>-1.6400000000000006</v>
      </c>
      <c r="AC422" s="6">
        <v>1.6400000000000006</v>
      </c>
      <c r="AD422" s="23" t="s">
        <v>3143</v>
      </c>
      <c r="AE422" s="23">
        <f t="shared" si="25"/>
        <v>38.67</v>
      </c>
      <c r="AF422" s="24">
        <f t="shared" si="26"/>
        <v>0.23299999999999699</v>
      </c>
      <c r="AG422" s="23">
        <f t="shared" si="27"/>
        <v>2</v>
      </c>
    </row>
    <row r="423" spans="1:33" ht="20" hidden="1" customHeight="1" x14ac:dyDescent="0.25">
      <c r="A423" s="12" t="s">
        <v>31</v>
      </c>
      <c r="B423" s="9">
        <v>46178</v>
      </c>
      <c r="C423" s="10" t="s">
        <v>718</v>
      </c>
      <c r="D423" s="10" t="s">
        <v>719</v>
      </c>
      <c r="E423" s="10" t="s">
        <v>51</v>
      </c>
      <c r="F423" s="10" t="s">
        <v>35</v>
      </c>
      <c r="G423" s="10" t="s">
        <v>3145</v>
      </c>
      <c r="H423" s="8" t="s">
        <v>48</v>
      </c>
      <c r="I423" s="11">
        <v>17.71</v>
      </c>
      <c r="J423" s="6">
        <v>13.282500000000001</v>
      </c>
      <c r="K423" s="6">
        <v>0.75</v>
      </c>
      <c r="L423" s="6">
        <v>16.149999999999999</v>
      </c>
      <c r="M423" s="11">
        <v>12.112500000000001</v>
      </c>
      <c r="N423" s="11">
        <f t="shared" si="24"/>
        <v>12.113</v>
      </c>
      <c r="O423" s="6">
        <v>0.75000000000000011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1.56</v>
      </c>
      <c r="Z423" s="6">
        <v>1.17</v>
      </c>
      <c r="AA423" s="6">
        <v>0.74999999999999989</v>
      </c>
      <c r="AB423" s="6">
        <v>-1.5600000000000023</v>
      </c>
      <c r="AC423" s="6">
        <v>1.5600000000000023</v>
      </c>
      <c r="AD423" s="22" t="s">
        <v>3140</v>
      </c>
      <c r="AE423" s="23">
        <f t="shared" si="25"/>
        <v>12.113</v>
      </c>
      <c r="AF423" s="24">
        <f t="shared" si="26"/>
        <v>0</v>
      </c>
      <c r="AG423" s="23">
        <f t="shared" si="27"/>
        <v>1</v>
      </c>
    </row>
    <row r="424" spans="1:33" ht="20" hidden="1" customHeight="1" x14ac:dyDescent="0.25">
      <c r="A424" s="12" t="s">
        <v>31</v>
      </c>
      <c r="B424" s="9">
        <v>46178</v>
      </c>
      <c r="C424" s="10" t="s">
        <v>720</v>
      </c>
      <c r="D424" s="10" t="s">
        <v>721</v>
      </c>
      <c r="E424" s="10" t="s">
        <v>51</v>
      </c>
      <c r="F424" s="10" t="s">
        <v>35</v>
      </c>
      <c r="G424" s="10" t="s">
        <v>3145</v>
      </c>
      <c r="H424" s="8" t="s">
        <v>48</v>
      </c>
      <c r="I424" s="11">
        <v>6.1449999999999996</v>
      </c>
      <c r="J424" s="6">
        <v>4.6087499999999997</v>
      </c>
      <c r="K424" s="6">
        <v>0.75</v>
      </c>
      <c r="L424" s="6">
        <v>5.4950000000000001</v>
      </c>
      <c r="M424" s="11">
        <v>4.1212499999999999</v>
      </c>
      <c r="N424" s="11">
        <f t="shared" si="24"/>
        <v>4.1220000000000008</v>
      </c>
      <c r="O424" s="6">
        <v>0.75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0.65</v>
      </c>
      <c r="Z424" s="6">
        <v>0.48749999999999999</v>
      </c>
      <c r="AA424" s="6">
        <v>0.75</v>
      </c>
      <c r="AB424" s="6">
        <v>-0.64999999999999947</v>
      </c>
      <c r="AC424" s="6">
        <v>0.64999999999999947</v>
      </c>
      <c r="AD424" s="22" t="s">
        <v>3140</v>
      </c>
      <c r="AE424" s="23">
        <f t="shared" si="25"/>
        <v>4.1220000000000008</v>
      </c>
      <c r="AF424" s="24">
        <f t="shared" si="26"/>
        <v>0</v>
      </c>
      <c r="AG424" s="23">
        <f t="shared" si="27"/>
        <v>1</v>
      </c>
    </row>
    <row r="425" spans="1:33" ht="12.5" hidden="1" customHeight="1" x14ac:dyDescent="0.25">
      <c r="A425" s="12" t="s">
        <v>31</v>
      </c>
      <c r="B425" s="9">
        <v>46178</v>
      </c>
      <c r="C425" s="8" t="s">
        <v>722</v>
      </c>
      <c r="D425" s="10" t="s">
        <v>723</v>
      </c>
      <c r="E425" s="10" t="s">
        <v>51</v>
      </c>
      <c r="F425" s="10" t="s">
        <v>35</v>
      </c>
      <c r="G425" s="10" t="s">
        <v>3145</v>
      </c>
      <c r="H425" s="8" t="s">
        <v>41</v>
      </c>
      <c r="I425" s="11">
        <v>7.1</v>
      </c>
      <c r="J425" s="6">
        <v>5.3250000000000002</v>
      </c>
      <c r="K425" s="6">
        <v>0.75000000000000011</v>
      </c>
      <c r="L425" s="6">
        <v>6.59</v>
      </c>
      <c r="M425" s="11">
        <v>4.9424999999999999</v>
      </c>
      <c r="N425" s="11">
        <f t="shared" si="24"/>
        <v>4.9430000000000005</v>
      </c>
      <c r="O425" s="6">
        <v>0.75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0.51</v>
      </c>
      <c r="Z425" s="6">
        <v>0.38250000000000001</v>
      </c>
      <c r="AA425" s="6">
        <v>0.75</v>
      </c>
      <c r="AB425" s="6">
        <v>-0.50999999999999979</v>
      </c>
      <c r="AC425" s="6">
        <v>0.50999999999999979</v>
      </c>
      <c r="AD425" s="22" t="s">
        <v>3140</v>
      </c>
      <c r="AE425" s="23">
        <f t="shared" si="25"/>
        <v>4.9430000000000005</v>
      </c>
      <c r="AF425" s="24">
        <f t="shared" si="26"/>
        <v>0</v>
      </c>
      <c r="AG425" s="23">
        <f t="shared" si="27"/>
        <v>1</v>
      </c>
    </row>
    <row r="426" spans="1:33" ht="12.5" hidden="1" customHeight="1" x14ac:dyDescent="0.25">
      <c r="A426" s="12" t="s">
        <v>31</v>
      </c>
      <c r="B426" s="9">
        <v>46178</v>
      </c>
      <c r="C426" s="13" t="s">
        <v>722</v>
      </c>
      <c r="D426" s="10" t="s">
        <v>724</v>
      </c>
      <c r="E426" s="10" t="s">
        <v>51</v>
      </c>
      <c r="F426" s="10" t="s">
        <v>35</v>
      </c>
      <c r="G426" s="10" t="s">
        <v>3145</v>
      </c>
      <c r="H426" s="8" t="s">
        <v>41</v>
      </c>
      <c r="I426" s="11">
        <v>7.58</v>
      </c>
      <c r="J426" s="6">
        <v>5.6849999999999996</v>
      </c>
      <c r="K426" s="6">
        <v>0.74999999999999989</v>
      </c>
      <c r="L426" s="6">
        <v>7.14</v>
      </c>
      <c r="M426" s="11">
        <v>5.3550000000000004</v>
      </c>
      <c r="N426" s="11">
        <f t="shared" si="24"/>
        <v>5.3550000000000004</v>
      </c>
      <c r="O426" s="6">
        <v>0.75000000000000011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0.44</v>
      </c>
      <c r="Z426" s="6">
        <v>0.33</v>
      </c>
      <c r="AA426" s="6">
        <v>0.75</v>
      </c>
      <c r="AB426" s="6">
        <v>-0.44000000000000039</v>
      </c>
      <c r="AC426" s="6">
        <v>0.44000000000000039</v>
      </c>
      <c r="AD426" s="22" t="s">
        <v>3140</v>
      </c>
      <c r="AE426" s="23">
        <f t="shared" si="25"/>
        <v>5.3550000000000004</v>
      </c>
      <c r="AF426" s="24">
        <f t="shared" si="26"/>
        <v>0</v>
      </c>
      <c r="AG426" s="23">
        <f t="shared" si="27"/>
        <v>1</v>
      </c>
    </row>
    <row r="427" spans="1:33" ht="12.5" hidden="1" customHeight="1" x14ac:dyDescent="0.25">
      <c r="A427" s="12" t="s">
        <v>31</v>
      </c>
      <c r="B427" s="9">
        <v>46178</v>
      </c>
      <c r="C427" s="8" t="s">
        <v>725</v>
      </c>
      <c r="D427" s="10" t="s">
        <v>65</v>
      </c>
      <c r="E427" s="10" t="s">
        <v>51</v>
      </c>
      <c r="F427" s="10" t="s">
        <v>35</v>
      </c>
      <c r="G427" s="10" t="s">
        <v>3145</v>
      </c>
      <c r="H427" s="8" t="s">
        <v>48</v>
      </c>
      <c r="I427" s="11">
        <v>7.5789999999999997</v>
      </c>
      <c r="J427" s="6">
        <v>5.6842499999999996</v>
      </c>
      <c r="K427" s="6">
        <v>0.75</v>
      </c>
      <c r="L427" s="6">
        <v>7.1189999999999998</v>
      </c>
      <c r="M427" s="11">
        <v>5.3392499999999998</v>
      </c>
      <c r="N427" s="11">
        <f t="shared" si="24"/>
        <v>5.3400000000000007</v>
      </c>
      <c r="O427" s="6">
        <v>0.75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0.46</v>
      </c>
      <c r="Z427" s="6">
        <v>0.34499999999999997</v>
      </c>
      <c r="AA427" s="6">
        <v>0.74999999999999989</v>
      </c>
      <c r="AB427" s="6">
        <v>-0.46</v>
      </c>
      <c r="AC427" s="6">
        <v>0.46</v>
      </c>
      <c r="AD427" s="22" t="s">
        <v>3140</v>
      </c>
      <c r="AE427" s="23">
        <f t="shared" si="25"/>
        <v>5.3400000000000007</v>
      </c>
      <c r="AF427" s="24">
        <f t="shared" si="26"/>
        <v>0</v>
      </c>
      <c r="AG427" s="23">
        <f t="shared" si="27"/>
        <v>2</v>
      </c>
    </row>
    <row r="428" spans="1:33" ht="12.5" hidden="1" customHeight="1" x14ac:dyDescent="0.25">
      <c r="A428" s="12" t="s">
        <v>31</v>
      </c>
      <c r="B428" s="9">
        <v>46178</v>
      </c>
      <c r="C428" s="13" t="s">
        <v>725</v>
      </c>
      <c r="D428" s="10" t="s">
        <v>66</v>
      </c>
      <c r="E428" s="10" t="s">
        <v>51</v>
      </c>
      <c r="F428" s="10" t="s">
        <v>35</v>
      </c>
      <c r="G428" s="10" t="s">
        <v>3145</v>
      </c>
      <c r="H428" s="8" t="s">
        <v>48</v>
      </c>
      <c r="I428" s="11">
        <v>5.81</v>
      </c>
      <c r="J428" s="6">
        <v>4.3574999999999999</v>
      </c>
      <c r="K428" s="6">
        <v>0.75</v>
      </c>
      <c r="L428" s="6">
        <v>5.36</v>
      </c>
      <c r="M428" s="11">
        <v>4.0199999999999996</v>
      </c>
      <c r="N428" s="11">
        <f t="shared" si="24"/>
        <v>4.0199999999999996</v>
      </c>
      <c r="O428" s="6">
        <v>0.74999999999999989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0.45</v>
      </c>
      <c r="Z428" s="6">
        <v>0.33750000000000002</v>
      </c>
      <c r="AA428" s="6">
        <v>0.75</v>
      </c>
      <c r="AB428" s="6">
        <v>-0.44999999999999929</v>
      </c>
      <c r="AC428" s="6">
        <v>0.44999999999999929</v>
      </c>
      <c r="AD428" s="22" t="s">
        <v>3140</v>
      </c>
      <c r="AE428" s="23">
        <f t="shared" si="25"/>
        <v>4.0199999999999996</v>
      </c>
      <c r="AF428" s="24">
        <f t="shared" si="26"/>
        <v>0</v>
      </c>
      <c r="AG428" s="23">
        <f t="shared" si="27"/>
        <v>2</v>
      </c>
    </row>
    <row r="429" spans="1:33" ht="12.5" hidden="1" customHeight="1" x14ac:dyDescent="0.25">
      <c r="A429" s="12" t="s">
        <v>31</v>
      </c>
      <c r="B429" s="9">
        <v>46178</v>
      </c>
      <c r="C429" s="8" t="s">
        <v>726</v>
      </c>
      <c r="D429" s="10" t="s">
        <v>67</v>
      </c>
      <c r="E429" s="10" t="s">
        <v>51</v>
      </c>
      <c r="F429" s="10" t="s">
        <v>35</v>
      </c>
      <c r="G429" s="10" t="s">
        <v>3145</v>
      </c>
      <c r="H429" s="8" t="s">
        <v>48</v>
      </c>
      <c r="I429" s="11">
        <v>6.3579999999999997</v>
      </c>
      <c r="J429" s="6">
        <v>4.7685000000000004</v>
      </c>
      <c r="K429" s="6">
        <v>0.75000000000000011</v>
      </c>
      <c r="L429" s="6">
        <v>5.8079999999999998</v>
      </c>
      <c r="M429" s="11">
        <v>4.3559999999999999</v>
      </c>
      <c r="N429" s="11">
        <f t="shared" si="24"/>
        <v>4.3559999999999999</v>
      </c>
      <c r="O429" s="6">
        <v>0.75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0.55000000000000004</v>
      </c>
      <c r="Z429" s="6">
        <v>0.41249999999999998</v>
      </c>
      <c r="AA429" s="6">
        <v>0.74999999999999989</v>
      </c>
      <c r="AB429" s="6">
        <v>-0.54999999999999982</v>
      </c>
      <c r="AC429" s="6">
        <v>0.54999999999999982</v>
      </c>
      <c r="AD429" s="22" t="s">
        <v>3140</v>
      </c>
      <c r="AE429" s="23">
        <f t="shared" si="25"/>
        <v>4.3559999999999999</v>
      </c>
      <c r="AF429" s="24">
        <f t="shared" si="26"/>
        <v>0</v>
      </c>
      <c r="AG429" s="23">
        <f t="shared" si="27"/>
        <v>2</v>
      </c>
    </row>
    <row r="430" spans="1:33" ht="12.5" hidden="1" customHeight="1" x14ac:dyDescent="0.25">
      <c r="A430" s="12" t="s">
        <v>31</v>
      </c>
      <c r="B430" s="9">
        <v>46178</v>
      </c>
      <c r="C430" s="13" t="s">
        <v>726</v>
      </c>
      <c r="D430" s="10" t="s">
        <v>727</v>
      </c>
      <c r="E430" s="10" t="s">
        <v>51</v>
      </c>
      <c r="F430" s="10" t="s">
        <v>35</v>
      </c>
      <c r="G430" s="10" t="s">
        <v>3145</v>
      </c>
      <c r="H430" s="8" t="s">
        <v>48</v>
      </c>
      <c r="I430" s="11">
        <v>6.5419999999999998</v>
      </c>
      <c r="J430" s="6">
        <v>4.9065000000000003</v>
      </c>
      <c r="K430" s="6">
        <v>0.75000000000000011</v>
      </c>
      <c r="L430" s="6">
        <v>6.1420000000000003</v>
      </c>
      <c r="M430" s="11">
        <v>4.6064999999999996</v>
      </c>
      <c r="N430" s="11">
        <f t="shared" si="24"/>
        <v>4.6070000000000002</v>
      </c>
      <c r="O430" s="6">
        <v>0.74999999999999989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0.4</v>
      </c>
      <c r="Z430" s="6">
        <v>0.3</v>
      </c>
      <c r="AA430" s="6">
        <v>0.74999999999999989</v>
      </c>
      <c r="AB430" s="6">
        <v>-0.39999999999999947</v>
      </c>
      <c r="AC430" s="6">
        <v>0.39999999999999947</v>
      </c>
      <c r="AD430" s="22" t="s">
        <v>3140</v>
      </c>
      <c r="AE430" s="23">
        <f t="shared" si="25"/>
        <v>4.6070000000000002</v>
      </c>
      <c r="AF430" s="24">
        <f t="shared" si="26"/>
        <v>0</v>
      </c>
      <c r="AG430" s="23">
        <f t="shared" si="27"/>
        <v>1</v>
      </c>
    </row>
    <row r="431" spans="1:33" ht="20" hidden="1" customHeight="1" x14ac:dyDescent="0.25">
      <c r="A431" s="12" t="s">
        <v>31</v>
      </c>
      <c r="B431" s="9">
        <v>46178</v>
      </c>
      <c r="C431" s="10" t="s">
        <v>728</v>
      </c>
      <c r="D431" s="10" t="s">
        <v>729</v>
      </c>
      <c r="E431" s="10" t="s">
        <v>51</v>
      </c>
      <c r="F431" s="10" t="s">
        <v>35</v>
      </c>
      <c r="G431" s="10" t="s">
        <v>3145</v>
      </c>
      <c r="H431" s="8" t="s">
        <v>48</v>
      </c>
      <c r="I431" s="11">
        <v>16.52</v>
      </c>
      <c r="J431" s="6">
        <v>12.39</v>
      </c>
      <c r="K431" s="6">
        <v>0.75</v>
      </c>
      <c r="L431" s="6">
        <v>16.02</v>
      </c>
      <c r="M431" s="11">
        <v>12.015000000000001</v>
      </c>
      <c r="N431" s="11">
        <f t="shared" si="24"/>
        <v>12.015000000000001</v>
      </c>
      <c r="O431" s="6">
        <v>0.75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0.5</v>
      </c>
      <c r="Z431" s="6">
        <v>0.375</v>
      </c>
      <c r="AA431" s="6">
        <v>0.75</v>
      </c>
      <c r="AB431" s="6">
        <v>-0.5</v>
      </c>
      <c r="AC431" s="6">
        <v>0.5</v>
      </c>
      <c r="AD431" s="22" t="s">
        <v>3140</v>
      </c>
      <c r="AE431" s="23">
        <f t="shared" si="25"/>
        <v>12.015000000000001</v>
      </c>
      <c r="AF431" s="24">
        <f t="shared" si="26"/>
        <v>0</v>
      </c>
      <c r="AG431" s="23">
        <f t="shared" si="27"/>
        <v>1</v>
      </c>
    </row>
    <row r="432" spans="1:33" ht="20" hidden="1" customHeight="1" x14ac:dyDescent="0.25">
      <c r="A432" s="12" t="s">
        <v>31</v>
      </c>
      <c r="B432" s="9">
        <v>46178</v>
      </c>
      <c r="C432" s="10" t="s">
        <v>730</v>
      </c>
      <c r="D432" s="10" t="s">
        <v>64</v>
      </c>
      <c r="E432" s="10" t="s">
        <v>51</v>
      </c>
      <c r="F432" s="10" t="s">
        <v>35</v>
      </c>
      <c r="G432" s="10" t="s">
        <v>3145</v>
      </c>
      <c r="H432" s="8" t="s">
        <v>48</v>
      </c>
      <c r="I432" s="11">
        <v>6.0890000000000004</v>
      </c>
      <c r="J432" s="6">
        <v>4.5667499999999999</v>
      </c>
      <c r="K432" s="6">
        <v>0.74999999999999989</v>
      </c>
      <c r="L432" s="6">
        <v>5.649</v>
      </c>
      <c r="M432" s="11">
        <v>4.2367499999999998</v>
      </c>
      <c r="N432" s="11">
        <f t="shared" si="24"/>
        <v>4.2370000000000001</v>
      </c>
      <c r="O432" s="6">
        <v>0.75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0.44</v>
      </c>
      <c r="Z432" s="6">
        <v>0.33</v>
      </c>
      <c r="AA432" s="6">
        <v>0.75</v>
      </c>
      <c r="AB432" s="6">
        <v>-0.44000000000000039</v>
      </c>
      <c r="AC432" s="6">
        <v>0.44000000000000039</v>
      </c>
      <c r="AD432" s="22" t="s">
        <v>3140</v>
      </c>
      <c r="AE432" s="23">
        <f t="shared" si="25"/>
        <v>4.2370000000000001</v>
      </c>
      <c r="AF432" s="24">
        <f t="shared" si="26"/>
        <v>0</v>
      </c>
      <c r="AG432" s="23">
        <f t="shared" si="27"/>
        <v>2</v>
      </c>
    </row>
    <row r="433" spans="1:33" ht="20" hidden="1" customHeight="1" x14ac:dyDescent="0.25">
      <c r="A433" s="12" t="s">
        <v>31</v>
      </c>
      <c r="B433" s="9">
        <v>46178</v>
      </c>
      <c r="C433" s="10" t="s">
        <v>731</v>
      </c>
      <c r="D433" s="10" t="s">
        <v>732</v>
      </c>
      <c r="E433" s="10" t="s">
        <v>51</v>
      </c>
      <c r="F433" s="10" t="s">
        <v>35</v>
      </c>
      <c r="G433" s="10" t="s">
        <v>3145</v>
      </c>
      <c r="H433" s="8" t="s">
        <v>48</v>
      </c>
      <c r="I433" s="11">
        <v>64.75</v>
      </c>
      <c r="J433" s="6">
        <v>48.5625</v>
      </c>
      <c r="K433" s="6">
        <v>0.75</v>
      </c>
      <c r="L433" s="6">
        <v>61.34</v>
      </c>
      <c r="M433" s="11">
        <v>46.005000000000003</v>
      </c>
      <c r="N433" s="11">
        <f t="shared" si="24"/>
        <v>46.005000000000003</v>
      </c>
      <c r="O433" s="6">
        <v>0.75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3.41</v>
      </c>
      <c r="Z433" s="6">
        <v>2.5575000000000001</v>
      </c>
      <c r="AA433" s="6">
        <v>0.75</v>
      </c>
      <c r="AB433" s="6">
        <v>-3.4099999999999966</v>
      </c>
      <c r="AC433" s="6">
        <v>3.4099999999999966</v>
      </c>
      <c r="AD433" s="22" t="s">
        <v>3140</v>
      </c>
      <c r="AE433" s="23">
        <f t="shared" si="25"/>
        <v>46.005000000000003</v>
      </c>
      <c r="AF433" s="24">
        <f t="shared" si="26"/>
        <v>0</v>
      </c>
      <c r="AG433" s="23">
        <f t="shared" si="27"/>
        <v>1</v>
      </c>
    </row>
    <row r="434" spans="1:33" x14ac:dyDescent="0.25">
      <c r="A434" s="12" t="s">
        <v>31</v>
      </c>
      <c r="B434" s="9">
        <v>46178</v>
      </c>
      <c r="C434" s="10" t="s">
        <v>733</v>
      </c>
      <c r="D434" s="10" t="s">
        <v>734</v>
      </c>
      <c r="E434" s="10" t="s">
        <v>51</v>
      </c>
      <c r="F434" s="10" t="s">
        <v>35</v>
      </c>
      <c r="G434" s="10" t="s">
        <v>3146</v>
      </c>
      <c r="H434" s="8" t="s">
        <v>36</v>
      </c>
      <c r="I434" s="11">
        <v>9.06</v>
      </c>
      <c r="J434" s="6">
        <v>8.3080200000000008</v>
      </c>
      <c r="K434" s="6">
        <v>0.91700000000000004</v>
      </c>
      <c r="L434" s="6">
        <v>8.8800000000000008</v>
      </c>
      <c r="M434" s="11">
        <v>8.1429600000000004</v>
      </c>
      <c r="N434" s="11">
        <f t="shared" si="24"/>
        <v>8.1429999999999989</v>
      </c>
      <c r="O434" s="6">
        <v>0.91699999999999993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0.18</v>
      </c>
      <c r="Z434" s="6">
        <v>0.16506000000000001</v>
      </c>
      <c r="AA434" s="6">
        <v>0.91700000000000015</v>
      </c>
      <c r="AB434" s="6">
        <v>-0.17999999999999972</v>
      </c>
      <c r="AC434" s="6">
        <v>0.17999999999999972</v>
      </c>
      <c r="AD434" s="22" t="s">
        <v>3140</v>
      </c>
      <c r="AE434" s="23">
        <f t="shared" si="25"/>
        <v>8.1429999999999989</v>
      </c>
      <c r="AF434" s="24">
        <f t="shared" si="26"/>
        <v>0</v>
      </c>
      <c r="AG434" s="23">
        <f t="shared" si="27"/>
        <v>1</v>
      </c>
    </row>
    <row r="435" spans="1:33" x14ac:dyDescent="0.25">
      <c r="A435" s="12" t="s">
        <v>31</v>
      </c>
      <c r="B435" s="9">
        <v>46178</v>
      </c>
      <c r="C435" s="10" t="s">
        <v>735</v>
      </c>
      <c r="D435" s="10" t="s">
        <v>736</v>
      </c>
      <c r="E435" s="10" t="s">
        <v>51</v>
      </c>
      <c r="F435" s="10" t="s">
        <v>35</v>
      </c>
      <c r="G435" s="10" t="s">
        <v>3146</v>
      </c>
      <c r="H435" s="8" t="s">
        <v>36</v>
      </c>
      <c r="I435" s="11">
        <v>10.11</v>
      </c>
      <c r="J435" s="6">
        <v>9.2708700000000004</v>
      </c>
      <c r="K435" s="6">
        <v>0.91700000000000004</v>
      </c>
      <c r="L435" s="6">
        <v>9.9600000000000009</v>
      </c>
      <c r="M435" s="11">
        <v>9.1333199999999994</v>
      </c>
      <c r="N435" s="11">
        <f t="shared" si="24"/>
        <v>9.1339999999999986</v>
      </c>
      <c r="O435" s="6">
        <v>0.91699999999999982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0.15</v>
      </c>
      <c r="Z435" s="6">
        <v>0.13755000000000001</v>
      </c>
      <c r="AA435" s="6">
        <v>0.91700000000000004</v>
      </c>
      <c r="AB435" s="6">
        <v>-0.14999999999999858</v>
      </c>
      <c r="AC435" s="6">
        <v>0.14999999999999858</v>
      </c>
      <c r="AD435" s="22" t="s">
        <v>3140</v>
      </c>
      <c r="AE435" s="23">
        <f t="shared" si="25"/>
        <v>9.1339999999999986</v>
      </c>
      <c r="AF435" s="24">
        <f t="shared" si="26"/>
        <v>0</v>
      </c>
      <c r="AG435" s="23">
        <f t="shared" si="27"/>
        <v>1</v>
      </c>
    </row>
    <row r="436" spans="1:33" x14ac:dyDescent="0.25">
      <c r="A436" s="12" t="s">
        <v>31</v>
      </c>
      <c r="B436" s="9">
        <v>46178</v>
      </c>
      <c r="C436" s="10" t="s">
        <v>737</v>
      </c>
      <c r="D436" s="10" t="s">
        <v>738</v>
      </c>
      <c r="E436" s="10" t="s">
        <v>51</v>
      </c>
      <c r="F436" s="10" t="s">
        <v>35</v>
      </c>
      <c r="G436" s="10" t="s">
        <v>3146</v>
      </c>
      <c r="H436" s="8" t="s">
        <v>36</v>
      </c>
      <c r="I436" s="11">
        <v>14.9</v>
      </c>
      <c r="J436" s="6">
        <v>13.6633</v>
      </c>
      <c r="K436" s="6">
        <v>0.91699999999999993</v>
      </c>
      <c r="L436" s="6">
        <v>14.83</v>
      </c>
      <c r="M436" s="11">
        <v>13.59911</v>
      </c>
      <c r="N436" s="11">
        <f t="shared" si="24"/>
        <v>13.6</v>
      </c>
      <c r="O436" s="6">
        <v>0.91699999999999993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7.0000000000000007E-2</v>
      </c>
      <c r="Z436" s="6">
        <v>6.4189999999999997E-2</v>
      </c>
      <c r="AA436" s="6">
        <v>0.91699999999999982</v>
      </c>
      <c r="AB436" s="6">
        <v>-7.0000000000000284E-2</v>
      </c>
      <c r="AC436" s="6">
        <v>7.0000000000000284E-2</v>
      </c>
      <c r="AD436" s="22" t="s">
        <v>3140</v>
      </c>
      <c r="AE436" s="23">
        <f t="shared" si="25"/>
        <v>13.6</v>
      </c>
      <c r="AF436" s="24">
        <f t="shared" si="26"/>
        <v>0</v>
      </c>
      <c r="AG436" s="23">
        <f t="shared" si="27"/>
        <v>1</v>
      </c>
    </row>
    <row r="437" spans="1:33" x14ac:dyDescent="0.25">
      <c r="A437" s="12" t="s">
        <v>31</v>
      </c>
      <c r="B437" s="9">
        <v>46178</v>
      </c>
      <c r="C437" s="10" t="s">
        <v>739</v>
      </c>
      <c r="D437" s="10" t="s">
        <v>740</v>
      </c>
      <c r="E437" s="10" t="s">
        <v>51</v>
      </c>
      <c r="F437" s="10" t="s">
        <v>35</v>
      </c>
      <c r="G437" s="10" t="s">
        <v>3146</v>
      </c>
      <c r="H437" s="8" t="s">
        <v>36</v>
      </c>
      <c r="I437" s="11">
        <v>4.2300000000000004</v>
      </c>
      <c r="J437" s="6">
        <v>3.8789099999999999</v>
      </c>
      <c r="K437" s="6">
        <v>0.91699999999999993</v>
      </c>
      <c r="L437" s="6">
        <v>3.98</v>
      </c>
      <c r="M437" s="11">
        <v>3.6496599999999999</v>
      </c>
      <c r="N437" s="11">
        <f t="shared" si="24"/>
        <v>3.65</v>
      </c>
      <c r="O437" s="6">
        <v>0.91699999999999993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0.25</v>
      </c>
      <c r="Z437" s="6">
        <v>0.22925000000000001</v>
      </c>
      <c r="AA437" s="6">
        <v>0.91700000000000004</v>
      </c>
      <c r="AB437" s="6">
        <v>-0.25000000000000044</v>
      </c>
      <c r="AC437" s="6">
        <v>0.25000000000000044</v>
      </c>
      <c r="AD437" s="22" t="s">
        <v>3140</v>
      </c>
      <c r="AE437" s="23">
        <f t="shared" si="25"/>
        <v>3.65</v>
      </c>
      <c r="AF437" s="24">
        <f t="shared" si="26"/>
        <v>0</v>
      </c>
      <c r="AG437" s="23">
        <f t="shared" si="27"/>
        <v>1</v>
      </c>
    </row>
    <row r="438" spans="1:33" x14ac:dyDescent="0.25">
      <c r="A438" s="12" t="s">
        <v>31</v>
      </c>
      <c r="B438" s="9">
        <v>46178</v>
      </c>
      <c r="C438" s="10" t="s">
        <v>741</v>
      </c>
      <c r="D438" s="10" t="s">
        <v>359</v>
      </c>
      <c r="E438" s="10" t="s">
        <v>51</v>
      </c>
      <c r="F438" s="10" t="s">
        <v>35</v>
      </c>
      <c r="G438" s="10" t="s">
        <v>3146</v>
      </c>
      <c r="H438" s="8" t="s">
        <v>36</v>
      </c>
      <c r="I438" s="11">
        <v>24.04</v>
      </c>
      <c r="J438" s="6">
        <v>22.04468</v>
      </c>
      <c r="K438" s="6">
        <v>0.91700000000000004</v>
      </c>
      <c r="L438" s="6">
        <v>23.77</v>
      </c>
      <c r="M438" s="11">
        <v>21.797090000000001</v>
      </c>
      <c r="N438" s="11">
        <f t="shared" si="24"/>
        <v>21.798000000000002</v>
      </c>
      <c r="O438" s="6">
        <v>0.91700000000000004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0.27</v>
      </c>
      <c r="Z438" s="6">
        <v>0.24759</v>
      </c>
      <c r="AA438" s="6">
        <v>0.91699999999999993</v>
      </c>
      <c r="AB438" s="6">
        <v>-0.26999999999999957</v>
      </c>
      <c r="AC438" s="6">
        <v>0.26999999999999957</v>
      </c>
      <c r="AD438" s="23" t="s">
        <v>3143</v>
      </c>
      <c r="AE438" s="23">
        <f t="shared" si="25"/>
        <v>20.037000000000003</v>
      </c>
      <c r="AF438" s="24">
        <f t="shared" si="26"/>
        <v>1.7609999999999992</v>
      </c>
      <c r="AG438" s="23">
        <f t="shared" si="27"/>
        <v>2</v>
      </c>
    </row>
    <row r="439" spans="1:33" hidden="1" x14ac:dyDescent="0.25">
      <c r="A439" s="12" t="s">
        <v>31</v>
      </c>
      <c r="B439" s="9">
        <v>46178</v>
      </c>
      <c r="C439" s="10" t="s">
        <v>742</v>
      </c>
      <c r="D439" s="10" t="s">
        <v>743</v>
      </c>
      <c r="E439" s="10" t="s">
        <v>51</v>
      </c>
      <c r="F439" s="10" t="s">
        <v>35</v>
      </c>
      <c r="G439" s="10" t="s">
        <v>3145</v>
      </c>
      <c r="H439" s="8" t="s">
        <v>41</v>
      </c>
      <c r="I439" s="11">
        <v>7.88</v>
      </c>
      <c r="J439" s="6">
        <v>5.91</v>
      </c>
      <c r="K439" s="6">
        <v>0.75</v>
      </c>
      <c r="L439" s="6">
        <v>7.26</v>
      </c>
      <c r="M439" s="11">
        <v>5.4450000000000003</v>
      </c>
      <c r="N439" s="11">
        <f t="shared" si="24"/>
        <v>5.4450000000000003</v>
      </c>
      <c r="O439" s="6">
        <v>0.75000000000000011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0.62</v>
      </c>
      <c r="Z439" s="6">
        <v>0.46500000000000002</v>
      </c>
      <c r="AA439" s="6">
        <v>0.75</v>
      </c>
      <c r="AB439" s="6">
        <v>-0.62000000000000011</v>
      </c>
      <c r="AC439" s="6">
        <v>0.62000000000000011</v>
      </c>
      <c r="AD439" s="22" t="s">
        <v>3140</v>
      </c>
      <c r="AE439" s="23">
        <f t="shared" si="25"/>
        <v>5.4450000000000003</v>
      </c>
      <c r="AF439" s="24">
        <f t="shared" si="26"/>
        <v>0</v>
      </c>
      <c r="AG439" s="23">
        <f t="shared" si="27"/>
        <v>1</v>
      </c>
    </row>
    <row r="440" spans="1:33" hidden="1" x14ac:dyDescent="0.25">
      <c r="A440" s="12" t="s">
        <v>31</v>
      </c>
      <c r="B440" s="9">
        <v>46178</v>
      </c>
      <c r="C440" s="10" t="s">
        <v>744</v>
      </c>
      <c r="D440" s="10" t="s">
        <v>745</v>
      </c>
      <c r="E440" s="10" t="s">
        <v>51</v>
      </c>
      <c r="F440" s="10" t="s">
        <v>35</v>
      </c>
      <c r="G440" s="10" t="s">
        <v>3145</v>
      </c>
      <c r="H440" s="8" t="s">
        <v>41</v>
      </c>
      <c r="I440" s="11">
        <v>7.01</v>
      </c>
      <c r="J440" s="6">
        <v>5.2575000000000003</v>
      </c>
      <c r="K440" s="6">
        <v>0.75000000000000011</v>
      </c>
      <c r="L440" s="6">
        <v>6.57</v>
      </c>
      <c r="M440" s="11">
        <v>4.9275000000000002</v>
      </c>
      <c r="N440" s="11">
        <f t="shared" si="24"/>
        <v>4.9279999999999999</v>
      </c>
      <c r="O440" s="6">
        <v>0.75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0.44</v>
      </c>
      <c r="Z440" s="6">
        <v>0.33</v>
      </c>
      <c r="AA440" s="6">
        <v>0.75</v>
      </c>
      <c r="AB440" s="6">
        <v>-0.4399999999999995</v>
      </c>
      <c r="AC440" s="6">
        <v>0.4399999999999995</v>
      </c>
      <c r="AD440" s="22" t="s">
        <v>3140</v>
      </c>
      <c r="AE440" s="23">
        <f t="shared" si="25"/>
        <v>4.9279999999999999</v>
      </c>
      <c r="AF440" s="24">
        <f t="shared" si="26"/>
        <v>0</v>
      </c>
      <c r="AG440" s="23">
        <f t="shared" si="27"/>
        <v>1</v>
      </c>
    </row>
    <row r="441" spans="1:33" hidden="1" x14ac:dyDescent="0.25">
      <c r="A441" s="12" t="s">
        <v>31</v>
      </c>
      <c r="B441" s="9">
        <v>46178</v>
      </c>
      <c r="C441" s="10" t="s">
        <v>746</v>
      </c>
      <c r="D441" s="10" t="s">
        <v>747</v>
      </c>
      <c r="E441" s="10" t="s">
        <v>51</v>
      </c>
      <c r="F441" s="10" t="s">
        <v>35</v>
      </c>
      <c r="G441" s="10" t="s">
        <v>3145</v>
      </c>
      <c r="H441" s="8" t="s">
        <v>41</v>
      </c>
      <c r="I441" s="11">
        <v>8.7799999999999994</v>
      </c>
      <c r="J441" s="6">
        <v>6.585</v>
      </c>
      <c r="K441" s="6">
        <v>0.75</v>
      </c>
      <c r="L441" s="6">
        <v>8.35</v>
      </c>
      <c r="M441" s="11">
        <v>6.2625000000000002</v>
      </c>
      <c r="N441" s="11">
        <f t="shared" si="24"/>
        <v>6.2629999999999999</v>
      </c>
      <c r="O441" s="6">
        <v>0.75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0.43</v>
      </c>
      <c r="Z441" s="6">
        <v>0.32250000000000001</v>
      </c>
      <c r="AA441" s="6">
        <v>0.75</v>
      </c>
      <c r="AB441" s="6">
        <v>-0.42999999999999972</v>
      </c>
      <c r="AC441" s="6">
        <v>0.42999999999999972</v>
      </c>
      <c r="AD441" s="22" t="s">
        <v>3140</v>
      </c>
      <c r="AE441" s="23">
        <f t="shared" si="25"/>
        <v>6.2629999999999999</v>
      </c>
      <c r="AF441" s="24">
        <f t="shared" si="26"/>
        <v>0</v>
      </c>
      <c r="AG441" s="23">
        <f t="shared" si="27"/>
        <v>1</v>
      </c>
    </row>
    <row r="442" spans="1:33" hidden="1" x14ac:dyDescent="0.25">
      <c r="A442" s="12" t="s">
        <v>31</v>
      </c>
      <c r="B442" s="9">
        <v>46178</v>
      </c>
      <c r="C442" s="10" t="s">
        <v>748</v>
      </c>
      <c r="D442" s="10" t="s">
        <v>749</v>
      </c>
      <c r="E442" s="10" t="s">
        <v>51</v>
      </c>
      <c r="F442" s="10" t="s">
        <v>35</v>
      </c>
      <c r="G442" s="10" t="s">
        <v>3145</v>
      </c>
      <c r="H442" s="8" t="s">
        <v>41</v>
      </c>
      <c r="I442" s="11">
        <v>7.28</v>
      </c>
      <c r="J442" s="6">
        <v>5.46</v>
      </c>
      <c r="K442" s="6">
        <v>0.75</v>
      </c>
      <c r="L442" s="6">
        <v>6.86</v>
      </c>
      <c r="M442" s="11">
        <v>5.1449999999999996</v>
      </c>
      <c r="N442" s="11">
        <f t="shared" si="24"/>
        <v>5.1449999999999996</v>
      </c>
      <c r="O442" s="6">
        <v>0.74999999999999989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0.42</v>
      </c>
      <c r="Z442" s="6">
        <v>0.315</v>
      </c>
      <c r="AA442" s="6">
        <v>0.75</v>
      </c>
      <c r="AB442" s="6">
        <v>-0.41999999999999993</v>
      </c>
      <c r="AC442" s="6">
        <v>0.41999999999999993</v>
      </c>
      <c r="AD442" s="22" t="s">
        <v>3140</v>
      </c>
      <c r="AE442" s="23">
        <f t="shared" si="25"/>
        <v>5.1449999999999996</v>
      </c>
      <c r="AF442" s="24">
        <f t="shared" si="26"/>
        <v>0</v>
      </c>
      <c r="AG442" s="23">
        <f t="shared" si="27"/>
        <v>1</v>
      </c>
    </row>
    <row r="443" spans="1:33" ht="12.5" hidden="1" customHeight="1" x14ac:dyDescent="0.25">
      <c r="A443" s="12" t="s">
        <v>31</v>
      </c>
      <c r="B443" s="9">
        <v>46178</v>
      </c>
      <c r="C443" s="8" t="s">
        <v>750</v>
      </c>
      <c r="D443" s="10" t="s">
        <v>751</v>
      </c>
      <c r="E443" s="10" t="s">
        <v>51</v>
      </c>
      <c r="F443" s="10" t="s">
        <v>35</v>
      </c>
      <c r="G443" s="10" t="s">
        <v>3145</v>
      </c>
      <c r="H443" s="8" t="s">
        <v>41</v>
      </c>
      <c r="I443" s="11">
        <v>32.46</v>
      </c>
      <c r="J443" s="6">
        <v>24.344999999999999</v>
      </c>
      <c r="K443" s="6">
        <v>0.75</v>
      </c>
      <c r="L443" s="6">
        <v>30.32</v>
      </c>
      <c r="M443" s="11">
        <v>22.74</v>
      </c>
      <c r="N443" s="11">
        <f t="shared" si="24"/>
        <v>22.74</v>
      </c>
      <c r="O443" s="6">
        <v>0.74999999999999989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2.14</v>
      </c>
      <c r="Z443" s="6">
        <v>1.605</v>
      </c>
      <c r="AA443" s="6">
        <v>0.75</v>
      </c>
      <c r="AB443" s="6">
        <v>-2.1400000000000006</v>
      </c>
      <c r="AC443" s="6">
        <v>2.1400000000000006</v>
      </c>
      <c r="AD443" s="23" t="s">
        <v>3143</v>
      </c>
      <c r="AE443" s="23">
        <f t="shared" si="25"/>
        <v>18.585000000000001</v>
      </c>
      <c r="AF443" s="24">
        <f t="shared" si="26"/>
        <v>4.1549999999999976</v>
      </c>
      <c r="AG443" s="23">
        <f t="shared" si="27"/>
        <v>2</v>
      </c>
    </row>
    <row r="444" spans="1:33" ht="12.5" hidden="1" customHeight="1" x14ac:dyDescent="0.25">
      <c r="A444" s="12" t="s">
        <v>31</v>
      </c>
      <c r="B444" s="9">
        <v>46178</v>
      </c>
      <c r="C444" s="12" t="s">
        <v>750</v>
      </c>
      <c r="D444" s="10" t="s">
        <v>752</v>
      </c>
      <c r="E444" s="10" t="s">
        <v>51</v>
      </c>
      <c r="F444" s="10" t="s">
        <v>35</v>
      </c>
      <c r="G444" s="10" t="s">
        <v>3145</v>
      </c>
      <c r="H444" s="8" t="s">
        <v>48</v>
      </c>
      <c r="I444" s="11">
        <v>27.47</v>
      </c>
      <c r="J444" s="6">
        <v>20.602499999999999</v>
      </c>
      <c r="K444" s="6">
        <v>0.75</v>
      </c>
      <c r="L444" s="6">
        <v>25.55</v>
      </c>
      <c r="M444" s="11">
        <v>19.162500000000001</v>
      </c>
      <c r="N444" s="11">
        <f t="shared" si="24"/>
        <v>19.163</v>
      </c>
      <c r="O444" s="6">
        <v>0.75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1.92</v>
      </c>
      <c r="Z444" s="6">
        <v>1.44</v>
      </c>
      <c r="AA444" s="6">
        <v>0.75</v>
      </c>
      <c r="AB444" s="6">
        <v>-1.9199999999999982</v>
      </c>
      <c r="AC444" s="6">
        <v>1.9199999999999982</v>
      </c>
      <c r="AD444" s="22" t="s">
        <v>3140</v>
      </c>
      <c r="AE444" s="23">
        <f t="shared" si="25"/>
        <v>19.163</v>
      </c>
      <c r="AF444" s="24">
        <f t="shared" si="26"/>
        <v>0</v>
      </c>
      <c r="AG444" s="23">
        <f t="shared" si="27"/>
        <v>1</v>
      </c>
    </row>
    <row r="445" spans="1:33" ht="12.5" customHeight="1" x14ac:dyDescent="0.25">
      <c r="A445" s="12" t="s">
        <v>31</v>
      </c>
      <c r="B445" s="9">
        <v>46178</v>
      </c>
      <c r="C445" s="12" t="s">
        <v>750</v>
      </c>
      <c r="D445" s="10" t="s">
        <v>753</v>
      </c>
      <c r="E445" s="10" t="s">
        <v>51</v>
      </c>
      <c r="F445" s="10" t="s">
        <v>35</v>
      </c>
      <c r="G445" s="10" t="s">
        <v>3146</v>
      </c>
      <c r="H445" s="8" t="s">
        <v>36</v>
      </c>
      <c r="I445" s="11">
        <v>123.95</v>
      </c>
      <c r="J445" s="6">
        <v>113.66215</v>
      </c>
      <c r="K445" s="6">
        <v>0.91699999999999993</v>
      </c>
      <c r="L445" s="6">
        <v>119.75</v>
      </c>
      <c r="M445" s="11">
        <v>109.81075</v>
      </c>
      <c r="N445" s="11">
        <f t="shared" si="24"/>
        <v>109.81100000000001</v>
      </c>
      <c r="O445" s="6">
        <v>0.91700000000000004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4.2</v>
      </c>
      <c r="Z445" s="6">
        <v>3.8513999999999999</v>
      </c>
      <c r="AA445" s="6">
        <v>0.91699999999999993</v>
      </c>
      <c r="AB445" s="6">
        <v>-4.2000000000000028</v>
      </c>
      <c r="AC445" s="6">
        <v>4.2000000000000028</v>
      </c>
      <c r="AD445" s="22" t="s">
        <v>3140</v>
      </c>
      <c r="AE445" s="23">
        <f t="shared" si="25"/>
        <v>109.81100000000001</v>
      </c>
      <c r="AF445" s="24">
        <f t="shared" si="26"/>
        <v>0</v>
      </c>
      <c r="AG445" s="23">
        <f t="shared" si="27"/>
        <v>1</v>
      </c>
    </row>
    <row r="446" spans="1:33" ht="12.5" customHeight="1" x14ac:dyDescent="0.25">
      <c r="A446" s="12" t="s">
        <v>31</v>
      </c>
      <c r="B446" s="9">
        <v>46178</v>
      </c>
      <c r="C446" s="12" t="s">
        <v>750</v>
      </c>
      <c r="D446" s="10" t="s">
        <v>754</v>
      </c>
      <c r="E446" s="10" t="s">
        <v>51</v>
      </c>
      <c r="F446" s="10" t="s">
        <v>35</v>
      </c>
      <c r="G446" s="10" t="s">
        <v>3146</v>
      </c>
      <c r="H446" s="8" t="s">
        <v>36</v>
      </c>
      <c r="I446" s="11">
        <v>39.89</v>
      </c>
      <c r="J446" s="6">
        <v>36.579129999999999</v>
      </c>
      <c r="K446" s="6">
        <v>0.91699999999999993</v>
      </c>
      <c r="L446" s="6">
        <v>37.119999999999997</v>
      </c>
      <c r="M446" s="11">
        <v>34.03904</v>
      </c>
      <c r="N446" s="11">
        <f t="shared" si="24"/>
        <v>34.04</v>
      </c>
      <c r="O446" s="6">
        <v>0.91700000000000004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2.77</v>
      </c>
      <c r="Z446" s="6">
        <v>2.5400900000000002</v>
      </c>
      <c r="AA446" s="6">
        <v>0.91700000000000004</v>
      </c>
      <c r="AB446" s="6">
        <v>-2.7700000000000031</v>
      </c>
      <c r="AC446" s="6">
        <v>2.7700000000000031</v>
      </c>
      <c r="AD446" s="22" t="s">
        <v>3140</v>
      </c>
      <c r="AE446" s="23">
        <f t="shared" si="25"/>
        <v>34.04</v>
      </c>
      <c r="AF446" s="24">
        <f t="shared" si="26"/>
        <v>0</v>
      </c>
      <c r="AG446" s="23">
        <f t="shared" si="27"/>
        <v>1</v>
      </c>
    </row>
    <row r="447" spans="1:33" ht="12.5" customHeight="1" x14ac:dyDescent="0.25">
      <c r="A447" s="12" t="s">
        <v>31</v>
      </c>
      <c r="B447" s="9">
        <v>46178</v>
      </c>
      <c r="C447" s="13" t="s">
        <v>750</v>
      </c>
      <c r="D447" s="10" t="s">
        <v>755</v>
      </c>
      <c r="E447" s="10" t="s">
        <v>51</v>
      </c>
      <c r="F447" s="10" t="s">
        <v>35</v>
      </c>
      <c r="G447" s="10" t="s">
        <v>3146</v>
      </c>
      <c r="H447" s="8" t="s">
        <v>36</v>
      </c>
      <c r="I447" s="11">
        <v>42.26</v>
      </c>
      <c r="J447" s="6">
        <v>38.752420000000001</v>
      </c>
      <c r="K447" s="6">
        <v>0.91700000000000004</v>
      </c>
      <c r="L447" s="6">
        <v>39.06</v>
      </c>
      <c r="M447" s="11">
        <v>35.818019999999997</v>
      </c>
      <c r="N447" s="11">
        <f t="shared" si="24"/>
        <v>35.818999999999996</v>
      </c>
      <c r="O447" s="6">
        <v>0.91699999999999993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3.2</v>
      </c>
      <c r="Z447" s="6">
        <v>2.9344000000000001</v>
      </c>
      <c r="AA447" s="6">
        <v>0.91700000000000004</v>
      </c>
      <c r="AB447" s="6">
        <v>-3.1999999999999957</v>
      </c>
      <c r="AC447" s="6">
        <v>3.1999999999999957</v>
      </c>
      <c r="AD447" s="22" t="s">
        <v>3140</v>
      </c>
      <c r="AE447" s="23">
        <f t="shared" si="25"/>
        <v>35.818999999999996</v>
      </c>
      <c r="AF447" s="24">
        <f t="shared" si="26"/>
        <v>0</v>
      </c>
      <c r="AG447" s="23">
        <f t="shared" si="27"/>
        <v>1</v>
      </c>
    </row>
    <row r="448" spans="1:33" x14ac:dyDescent="0.25">
      <c r="A448" s="12" t="s">
        <v>31</v>
      </c>
      <c r="B448" s="9">
        <v>46178</v>
      </c>
      <c r="C448" s="10" t="s">
        <v>756</v>
      </c>
      <c r="D448" s="10" t="s">
        <v>757</v>
      </c>
      <c r="E448" s="10" t="s">
        <v>51</v>
      </c>
      <c r="F448" s="10" t="s">
        <v>35</v>
      </c>
      <c r="G448" s="10" t="s">
        <v>3146</v>
      </c>
      <c r="H448" s="8" t="s">
        <v>36</v>
      </c>
      <c r="I448" s="11">
        <v>34.591999999999999</v>
      </c>
      <c r="J448" s="6">
        <v>31.720863999999999</v>
      </c>
      <c r="K448" s="6">
        <v>0.91700000000000004</v>
      </c>
      <c r="L448" s="6">
        <v>33.161999999999999</v>
      </c>
      <c r="M448" s="11">
        <v>30.409554</v>
      </c>
      <c r="N448" s="11">
        <f t="shared" si="24"/>
        <v>30.41</v>
      </c>
      <c r="O448" s="6">
        <v>0.91700000000000004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1.43</v>
      </c>
      <c r="Z448" s="6">
        <v>1.31131</v>
      </c>
      <c r="AA448" s="6">
        <v>0.91700000000000004</v>
      </c>
      <c r="AB448" s="6">
        <v>-1.4299999999999997</v>
      </c>
      <c r="AC448" s="6">
        <v>1.4299999999999997</v>
      </c>
      <c r="AD448" s="22" t="s">
        <v>3140</v>
      </c>
      <c r="AE448" s="23">
        <f t="shared" si="25"/>
        <v>30.41</v>
      </c>
      <c r="AF448" s="24">
        <f t="shared" si="26"/>
        <v>0</v>
      </c>
      <c r="AG448" s="23">
        <f t="shared" si="27"/>
        <v>1</v>
      </c>
    </row>
    <row r="449" spans="1:33" x14ac:dyDescent="0.25">
      <c r="A449" s="12" t="s">
        <v>31</v>
      </c>
      <c r="B449" s="9">
        <v>46178</v>
      </c>
      <c r="C449" s="10" t="s">
        <v>758</v>
      </c>
      <c r="D449" s="10" t="s">
        <v>759</v>
      </c>
      <c r="E449" s="10" t="s">
        <v>51</v>
      </c>
      <c r="F449" s="10" t="s">
        <v>35</v>
      </c>
      <c r="G449" s="10" t="s">
        <v>3146</v>
      </c>
      <c r="H449" s="8" t="s">
        <v>36</v>
      </c>
      <c r="I449" s="11">
        <v>9.02</v>
      </c>
      <c r="J449" s="6">
        <v>8.2713400000000004</v>
      </c>
      <c r="K449" s="6">
        <v>0.91700000000000004</v>
      </c>
      <c r="L449" s="6">
        <v>8.9600000000000009</v>
      </c>
      <c r="M449" s="11">
        <v>8.2163199999999996</v>
      </c>
      <c r="N449" s="11">
        <f t="shared" si="24"/>
        <v>8.2169999999999987</v>
      </c>
      <c r="O449" s="6">
        <v>0.91699999999999982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0.06</v>
      </c>
      <c r="Z449" s="6">
        <v>5.5019999999999999E-2</v>
      </c>
      <c r="AA449" s="6">
        <v>0.91700000000000004</v>
      </c>
      <c r="AB449" s="6">
        <v>-5.9999999999998721E-2</v>
      </c>
      <c r="AC449" s="6">
        <v>5.9999999999998721E-2</v>
      </c>
      <c r="AD449" s="22" t="s">
        <v>3140</v>
      </c>
      <c r="AE449" s="23">
        <f t="shared" si="25"/>
        <v>8.2169999999999987</v>
      </c>
      <c r="AF449" s="24">
        <f t="shared" si="26"/>
        <v>0</v>
      </c>
      <c r="AG449" s="23">
        <f t="shared" si="27"/>
        <v>1</v>
      </c>
    </row>
    <row r="450" spans="1:33" x14ac:dyDescent="0.25">
      <c r="A450" s="12" t="s">
        <v>31</v>
      </c>
      <c r="B450" s="9">
        <v>46178</v>
      </c>
      <c r="C450" s="10" t="s">
        <v>760</v>
      </c>
      <c r="D450" s="10" t="s">
        <v>761</v>
      </c>
      <c r="E450" s="10" t="s">
        <v>51</v>
      </c>
      <c r="F450" s="10" t="s">
        <v>35</v>
      </c>
      <c r="G450" s="10" t="s">
        <v>3146</v>
      </c>
      <c r="H450" s="8" t="s">
        <v>36</v>
      </c>
      <c r="I450" s="11">
        <v>13.62</v>
      </c>
      <c r="J450" s="6">
        <v>12.48954</v>
      </c>
      <c r="K450" s="6">
        <v>0.91700000000000004</v>
      </c>
      <c r="L450" s="6">
        <v>12.93</v>
      </c>
      <c r="M450" s="11">
        <v>11.856809999999999</v>
      </c>
      <c r="N450" s="11">
        <f t="shared" si="24"/>
        <v>11.856999999999999</v>
      </c>
      <c r="O450" s="6">
        <v>0.91699999999999993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0.69</v>
      </c>
      <c r="Z450" s="6">
        <v>0.63273000000000001</v>
      </c>
      <c r="AA450" s="6">
        <v>0.91700000000000004</v>
      </c>
      <c r="AB450" s="6">
        <v>-0.6899999999999995</v>
      </c>
      <c r="AC450" s="6">
        <v>0.6899999999999995</v>
      </c>
      <c r="AD450" s="22" t="s">
        <v>3140</v>
      </c>
      <c r="AE450" s="23">
        <f t="shared" si="25"/>
        <v>11.856999999999999</v>
      </c>
      <c r="AF450" s="24">
        <f t="shared" si="26"/>
        <v>0</v>
      </c>
      <c r="AG450" s="23">
        <f t="shared" si="27"/>
        <v>1</v>
      </c>
    </row>
    <row r="451" spans="1:33" ht="12.5" hidden="1" customHeight="1" x14ac:dyDescent="0.25">
      <c r="A451" s="12" t="s">
        <v>31</v>
      </c>
      <c r="B451" s="9">
        <v>46178</v>
      </c>
      <c r="C451" s="8" t="s">
        <v>762</v>
      </c>
      <c r="D451" s="10" t="s">
        <v>520</v>
      </c>
      <c r="E451" s="10" t="s">
        <v>51</v>
      </c>
      <c r="F451" s="10" t="s">
        <v>35</v>
      </c>
      <c r="G451" s="10" t="s">
        <v>3145</v>
      </c>
      <c r="H451" s="8" t="s">
        <v>48</v>
      </c>
      <c r="I451" s="11">
        <v>18.727</v>
      </c>
      <c r="J451" s="6">
        <v>14.045249999999999</v>
      </c>
      <c r="K451" s="6">
        <v>0.75</v>
      </c>
      <c r="L451" s="6">
        <v>18.727</v>
      </c>
      <c r="M451" s="11">
        <v>14.045249999999999</v>
      </c>
      <c r="N451" s="11">
        <f t="shared" ref="N451:N514" si="28">ROUNDUP(M451,3)</f>
        <v>14.045999999999999</v>
      </c>
      <c r="O451" s="6">
        <v>0.75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22" t="s">
        <v>3140</v>
      </c>
      <c r="AE451" s="23">
        <f t="shared" ref="AE451:AE514" si="29">_xlfn.MINIFS(N:N,D:D,D451)</f>
        <v>14.045999999999999</v>
      </c>
      <c r="AF451" s="24">
        <f t="shared" ref="AF451:AF514" si="30">N451-AE451</f>
        <v>0</v>
      </c>
      <c r="AG451" s="23">
        <f t="shared" ref="AG451:AG514" si="31">COUNTIF(D:D,D451)</f>
        <v>2</v>
      </c>
    </row>
    <row r="452" spans="1:33" ht="12.5" customHeight="1" x14ac:dyDescent="0.25">
      <c r="A452" s="12" t="s">
        <v>31</v>
      </c>
      <c r="B452" s="9">
        <v>46178</v>
      </c>
      <c r="C452" s="13" t="s">
        <v>762</v>
      </c>
      <c r="D452" s="10" t="s">
        <v>763</v>
      </c>
      <c r="E452" s="10" t="s">
        <v>51</v>
      </c>
      <c r="F452" s="10" t="s">
        <v>35</v>
      </c>
      <c r="G452" s="10" t="s">
        <v>3146</v>
      </c>
      <c r="H452" s="8" t="s">
        <v>36</v>
      </c>
      <c r="I452" s="11">
        <v>91.03</v>
      </c>
      <c r="J452" s="6">
        <v>83.474509999999995</v>
      </c>
      <c r="K452" s="6">
        <v>0.91699999999999993</v>
      </c>
      <c r="L452" s="6">
        <v>83.44</v>
      </c>
      <c r="M452" s="11">
        <v>76.514480000000006</v>
      </c>
      <c r="N452" s="11">
        <f t="shared" si="28"/>
        <v>76.515000000000001</v>
      </c>
      <c r="O452" s="6">
        <v>0.91700000000000015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7.59</v>
      </c>
      <c r="Z452" s="6">
        <v>6.9600299999999997</v>
      </c>
      <c r="AA452" s="6">
        <v>0.91699999999999993</v>
      </c>
      <c r="AB452" s="6">
        <v>-7.5900000000000034</v>
      </c>
      <c r="AC452" s="6">
        <v>7.5900000000000034</v>
      </c>
      <c r="AD452" s="23" t="s">
        <v>3143</v>
      </c>
      <c r="AE452" s="23">
        <f t="shared" si="29"/>
        <v>75.286000000000001</v>
      </c>
      <c r="AF452" s="24">
        <f t="shared" si="30"/>
        <v>1.2289999999999992</v>
      </c>
      <c r="AG452" s="23">
        <f t="shared" si="31"/>
        <v>3</v>
      </c>
    </row>
    <row r="453" spans="1:33" x14ac:dyDescent="0.25">
      <c r="A453" s="12" t="s">
        <v>31</v>
      </c>
      <c r="B453" s="9">
        <v>46178</v>
      </c>
      <c r="C453" s="10" t="s">
        <v>764</v>
      </c>
      <c r="D453" s="10" t="s">
        <v>765</v>
      </c>
      <c r="E453" s="10" t="s">
        <v>51</v>
      </c>
      <c r="F453" s="10" t="s">
        <v>35</v>
      </c>
      <c r="G453" s="10" t="s">
        <v>3146</v>
      </c>
      <c r="H453" s="8" t="s">
        <v>36</v>
      </c>
      <c r="I453" s="11">
        <v>55.83</v>
      </c>
      <c r="J453" s="6">
        <v>51.196109999999997</v>
      </c>
      <c r="K453" s="6">
        <v>0.91699999999999993</v>
      </c>
      <c r="L453" s="6">
        <v>55.83</v>
      </c>
      <c r="M453" s="11">
        <v>51.196109999999997</v>
      </c>
      <c r="N453" s="11">
        <f t="shared" si="28"/>
        <v>51.196999999999996</v>
      </c>
      <c r="O453" s="6">
        <v>0.91699999999999993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22" t="s">
        <v>3140</v>
      </c>
      <c r="AE453" s="23">
        <f t="shared" si="29"/>
        <v>51.196999999999996</v>
      </c>
      <c r="AF453" s="24">
        <f t="shared" si="30"/>
        <v>0</v>
      </c>
      <c r="AG453" s="23">
        <f t="shared" si="31"/>
        <v>2</v>
      </c>
    </row>
    <row r="454" spans="1:33" x14ac:dyDescent="0.25">
      <c r="A454" s="12" t="s">
        <v>31</v>
      </c>
      <c r="B454" s="9">
        <v>46178</v>
      </c>
      <c r="C454" s="10" t="s">
        <v>766</v>
      </c>
      <c r="D454" s="10" t="s">
        <v>767</v>
      </c>
      <c r="E454" s="10" t="s">
        <v>51</v>
      </c>
      <c r="F454" s="10" t="s">
        <v>35</v>
      </c>
      <c r="G454" s="10" t="s">
        <v>3146</v>
      </c>
      <c r="H454" s="8" t="s">
        <v>36</v>
      </c>
      <c r="I454" s="11">
        <v>3.23</v>
      </c>
      <c r="J454" s="6">
        <v>2.96191</v>
      </c>
      <c r="K454" s="6">
        <v>0.91700000000000004</v>
      </c>
      <c r="L454" s="6">
        <v>3.23</v>
      </c>
      <c r="M454" s="11">
        <v>2.96191</v>
      </c>
      <c r="N454" s="11">
        <f t="shared" si="28"/>
        <v>2.9619999999999997</v>
      </c>
      <c r="O454" s="6">
        <v>0.91700000000000004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22" t="s">
        <v>3140</v>
      </c>
      <c r="AE454" s="23">
        <f t="shared" si="29"/>
        <v>2.9619999999999997</v>
      </c>
      <c r="AF454" s="24">
        <f t="shared" si="30"/>
        <v>0</v>
      </c>
      <c r="AG454" s="23">
        <f t="shared" si="31"/>
        <v>1</v>
      </c>
    </row>
    <row r="455" spans="1:33" ht="12.5" hidden="1" customHeight="1" x14ac:dyDescent="0.25">
      <c r="A455" s="12" t="s">
        <v>31</v>
      </c>
      <c r="B455" s="9">
        <v>46178</v>
      </c>
      <c r="C455" s="8" t="s">
        <v>768</v>
      </c>
      <c r="D455" s="10" t="s">
        <v>769</v>
      </c>
      <c r="E455" s="10" t="s">
        <v>51</v>
      </c>
      <c r="F455" s="10" t="s">
        <v>35</v>
      </c>
      <c r="G455" s="10" t="s">
        <v>3145</v>
      </c>
      <c r="H455" s="8" t="s">
        <v>41</v>
      </c>
      <c r="I455" s="11">
        <v>4.7699999999999996</v>
      </c>
      <c r="J455" s="6">
        <v>3.5775000000000001</v>
      </c>
      <c r="K455" s="6">
        <v>0.75000000000000011</v>
      </c>
      <c r="L455" s="6">
        <v>4.7699999999999996</v>
      </c>
      <c r="M455" s="11">
        <v>3.5775000000000001</v>
      </c>
      <c r="N455" s="11">
        <f t="shared" si="28"/>
        <v>3.5779999999999998</v>
      </c>
      <c r="O455" s="6">
        <v>0.75000000000000011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23" t="s">
        <v>3143</v>
      </c>
      <c r="AE455" s="23">
        <f t="shared" si="29"/>
        <v>3.4049999999999998</v>
      </c>
      <c r="AF455" s="24">
        <f t="shared" si="30"/>
        <v>0.17300000000000004</v>
      </c>
      <c r="AG455" s="23">
        <f t="shared" si="31"/>
        <v>2</v>
      </c>
    </row>
    <row r="456" spans="1:33" ht="12.5" hidden="1" customHeight="1" x14ac:dyDescent="0.25">
      <c r="A456" s="12" t="s">
        <v>31</v>
      </c>
      <c r="B456" s="9">
        <v>46178</v>
      </c>
      <c r="C456" s="13" t="s">
        <v>768</v>
      </c>
      <c r="D456" s="10" t="s">
        <v>770</v>
      </c>
      <c r="E456" s="10" t="s">
        <v>51</v>
      </c>
      <c r="F456" s="10" t="s">
        <v>35</v>
      </c>
      <c r="G456" s="10" t="s">
        <v>3145</v>
      </c>
      <c r="H456" s="8" t="s">
        <v>41</v>
      </c>
      <c r="I456" s="11">
        <v>1.56</v>
      </c>
      <c r="J456" s="6">
        <v>1.17</v>
      </c>
      <c r="K456" s="6">
        <v>0.74999999999999989</v>
      </c>
      <c r="L456" s="6">
        <v>1.56</v>
      </c>
      <c r="M456" s="11">
        <v>1.17</v>
      </c>
      <c r="N456" s="11">
        <f t="shared" si="28"/>
        <v>1.17</v>
      </c>
      <c r="O456" s="6">
        <v>0.74999999999999989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22" t="s">
        <v>3140</v>
      </c>
      <c r="AE456" s="23">
        <f t="shared" si="29"/>
        <v>1.17</v>
      </c>
      <c r="AF456" s="24">
        <f t="shared" si="30"/>
        <v>0</v>
      </c>
      <c r="AG456" s="23">
        <f t="shared" si="31"/>
        <v>2</v>
      </c>
    </row>
    <row r="457" spans="1:33" ht="12.5" customHeight="1" x14ac:dyDescent="0.25">
      <c r="A457" s="12" t="s">
        <v>31</v>
      </c>
      <c r="B457" s="9">
        <v>46178</v>
      </c>
      <c r="C457" s="8" t="s">
        <v>771</v>
      </c>
      <c r="D457" s="10" t="s">
        <v>772</v>
      </c>
      <c r="E457" s="10" t="s">
        <v>51</v>
      </c>
      <c r="F457" s="10" t="s">
        <v>35</v>
      </c>
      <c r="G457" s="10" t="s">
        <v>3146</v>
      </c>
      <c r="H457" s="8" t="s">
        <v>36</v>
      </c>
      <c r="I457" s="11">
        <v>220.78</v>
      </c>
      <c r="J457" s="6">
        <v>202.45526000000001</v>
      </c>
      <c r="K457" s="6">
        <v>0.91700000000000004</v>
      </c>
      <c r="L457" s="6">
        <v>209.51</v>
      </c>
      <c r="M457" s="11">
        <v>192.12066999999999</v>
      </c>
      <c r="N457" s="11">
        <f t="shared" si="28"/>
        <v>192.12100000000001</v>
      </c>
      <c r="O457" s="6">
        <v>0.91700000000000004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11.27</v>
      </c>
      <c r="Z457" s="6">
        <v>10.33459</v>
      </c>
      <c r="AA457" s="6">
        <v>0.91700000000000004</v>
      </c>
      <c r="AB457" s="6">
        <v>-11.27000000000001</v>
      </c>
      <c r="AC457" s="6">
        <v>11.27000000000001</v>
      </c>
      <c r="AD457" s="22" t="s">
        <v>3140</v>
      </c>
      <c r="AE457" s="23">
        <f t="shared" si="29"/>
        <v>192.12100000000001</v>
      </c>
      <c r="AF457" s="24">
        <f t="shared" si="30"/>
        <v>0</v>
      </c>
      <c r="AG457" s="23">
        <f t="shared" si="31"/>
        <v>1</v>
      </c>
    </row>
    <row r="458" spans="1:33" ht="12.5" hidden="1" customHeight="1" x14ac:dyDescent="0.25">
      <c r="A458" s="12" t="s">
        <v>31</v>
      </c>
      <c r="B458" s="9">
        <v>46178</v>
      </c>
      <c r="C458" s="12" t="s">
        <v>771</v>
      </c>
      <c r="D458" s="10" t="s">
        <v>773</v>
      </c>
      <c r="E458" s="10" t="s">
        <v>51</v>
      </c>
      <c r="F458" s="10" t="s">
        <v>35</v>
      </c>
      <c r="G458" s="10" t="s">
        <v>3145</v>
      </c>
      <c r="H458" s="8" t="s">
        <v>48</v>
      </c>
      <c r="I458" s="11">
        <v>32.11</v>
      </c>
      <c r="J458" s="6">
        <v>24.0825</v>
      </c>
      <c r="K458" s="6">
        <v>0.75</v>
      </c>
      <c r="L458" s="6">
        <v>30.7</v>
      </c>
      <c r="M458" s="11">
        <v>23.024999999999999</v>
      </c>
      <c r="N458" s="11">
        <f t="shared" si="28"/>
        <v>23.024999999999999</v>
      </c>
      <c r="O458" s="6">
        <v>0.75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1.41</v>
      </c>
      <c r="Z458" s="6">
        <v>1.0575000000000001</v>
      </c>
      <c r="AA458" s="6">
        <v>0.75000000000000011</v>
      </c>
      <c r="AB458" s="6">
        <v>-1.41</v>
      </c>
      <c r="AC458" s="6">
        <v>1.41</v>
      </c>
      <c r="AD458" s="22" t="s">
        <v>3140</v>
      </c>
      <c r="AE458" s="23">
        <f t="shared" si="29"/>
        <v>23.024999999999999</v>
      </c>
      <c r="AF458" s="24">
        <f t="shared" si="30"/>
        <v>0</v>
      </c>
      <c r="AG458" s="23">
        <f t="shared" si="31"/>
        <v>1</v>
      </c>
    </row>
    <row r="459" spans="1:33" ht="12.5" hidden="1" customHeight="1" x14ac:dyDescent="0.25">
      <c r="A459" s="12" t="s">
        <v>31</v>
      </c>
      <c r="B459" s="9">
        <v>46178</v>
      </c>
      <c r="C459" s="12" t="s">
        <v>771</v>
      </c>
      <c r="D459" s="10" t="s">
        <v>774</v>
      </c>
      <c r="E459" s="10" t="s">
        <v>51</v>
      </c>
      <c r="F459" s="10" t="s">
        <v>35</v>
      </c>
      <c r="G459" s="10" t="s">
        <v>3145</v>
      </c>
      <c r="H459" s="8" t="s">
        <v>48</v>
      </c>
      <c r="I459" s="11">
        <v>16.71</v>
      </c>
      <c r="J459" s="6">
        <v>12.532500000000001</v>
      </c>
      <c r="K459" s="6">
        <v>0.75</v>
      </c>
      <c r="L459" s="6">
        <v>14.93</v>
      </c>
      <c r="M459" s="11">
        <v>11.1975</v>
      </c>
      <c r="N459" s="11">
        <f t="shared" si="28"/>
        <v>11.197999999999999</v>
      </c>
      <c r="O459" s="6">
        <v>0.75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1.78</v>
      </c>
      <c r="Z459" s="6">
        <v>1.335</v>
      </c>
      <c r="AA459" s="6">
        <v>0.75</v>
      </c>
      <c r="AB459" s="6">
        <v>-1.7800000000000011</v>
      </c>
      <c r="AC459" s="6">
        <v>1.7800000000000011</v>
      </c>
      <c r="AD459" s="22" t="s">
        <v>3140</v>
      </c>
      <c r="AE459" s="23">
        <f t="shared" si="29"/>
        <v>11.197999999999999</v>
      </c>
      <c r="AF459" s="24">
        <f t="shared" si="30"/>
        <v>0</v>
      </c>
      <c r="AG459" s="23">
        <f t="shared" si="31"/>
        <v>1</v>
      </c>
    </row>
    <row r="460" spans="1:33" ht="12.5" hidden="1" customHeight="1" x14ac:dyDescent="0.25">
      <c r="A460" s="12" t="s">
        <v>31</v>
      </c>
      <c r="B460" s="9">
        <v>46178</v>
      </c>
      <c r="C460" s="12" t="s">
        <v>771</v>
      </c>
      <c r="D460" s="10" t="s">
        <v>775</v>
      </c>
      <c r="E460" s="10" t="s">
        <v>51</v>
      </c>
      <c r="F460" s="10" t="s">
        <v>35</v>
      </c>
      <c r="G460" s="10" t="s">
        <v>3145</v>
      </c>
      <c r="H460" s="8" t="s">
        <v>41</v>
      </c>
      <c r="I460" s="11">
        <v>20.22</v>
      </c>
      <c r="J460" s="6">
        <v>15.164999999999999</v>
      </c>
      <c r="K460" s="6">
        <v>0.75</v>
      </c>
      <c r="L460" s="6">
        <v>19.649999999999999</v>
      </c>
      <c r="M460" s="11">
        <v>14.737500000000001</v>
      </c>
      <c r="N460" s="11">
        <f t="shared" si="28"/>
        <v>14.738</v>
      </c>
      <c r="O460" s="6">
        <v>0.75000000000000011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0.56999999999999995</v>
      </c>
      <c r="Z460" s="6">
        <v>0.42749999999999999</v>
      </c>
      <c r="AA460" s="6">
        <v>0.75</v>
      </c>
      <c r="AB460" s="6">
        <v>-0.57000000000000028</v>
      </c>
      <c r="AC460" s="6">
        <v>0.57000000000000028</v>
      </c>
      <c r="AD460" s="22" t="s">
        <v>3140</v>
      </c>
      <c r="AE460" s="23">
        <f t="shared" si="29"/>
        <v>14.738</v>
      </c>
      <c r="AF460" s="24">
        <f t="shared" si="30"/>
        <v>0</v>
      </c>
      <c r="AG460" s="23">
        <f t="shared" si="31"/>
        <v>1</v>
      </c>
    </row>
    <row r="461" spans="1:33" ht="12.5" customHeight="1" x14ac:dyDescent="0.25">
      <c r="A461" s="12" t="s">
        <v>31</v>
      </c>
      <c r="B461" s="9">
        <v>46178</v>
      </c>
      <c r="C461" s="13" t="s">
        <v>771</v>
      </c>
      <c r="D461" s="10" t="s">
        <v>776</v>
      </c>
      <c r="E461" s="10" t="s">
        <v>51</v>
      </c>
      <c r="F461" s="10" t="s">
        <v>35</v>
      </c>
      <c r="G461" s="10" t="s">
        <v>3146</v>
      </c>
      <c r="H461" s="8" t="s">
        <v>36</v>
      </c>
      <c r="I461" s="11">
        <v>48.78</v>
      </c>
      <c r="J461" s="6">
        <v>44.731259999999999</v>
      </c>
      <c r="K461" s="6">
        <v>0.91699999999999993</v>
      </c>
      <c r="L461" s="6">
        <v>46.33</v>
      </c>
      <c r="M461" s="11">
        <v>42.484610000000004</v>
      </c>
      <c r="N461" s="11">
        <f t="shared" si="28"/>
        <v>42.484999999999999</v>
      </c>
      <c r="O461" s="6">
        <v>0.91700000000000015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2.4500000000000002</v>
      </c>
      <c r="Z461" s="6">
        <v>2.2466499999999998</v>
      </c>
      <c r="AA461" s="6">
        <v>0.91699999999999982</v>
      </c>
      <c r="AB461" s="6">
        <v>-2.4500000000000028</v>
      </c>
      <c r="AC461" s="6">
        <v>2.4500000000000028</v>
      </c>
      <c r="AD461" s="22" t="s">
        <v>3140</v>
      </c>
      <c r="AE461" s="23">
        <f t="shared" si="29"/>
        <v>42.484999999999999</v>
      </c>
      <c r="AF461" s="24">
        <f t="shared" si="30"/>
        <v>0</v>
      </c>
      <c r="AG461" s="23">
        <f t="shared" si="31"/>
        <v>1</v>
      </c>
    </row>
    <row r="462" spans="1:33" ht="12.5" hidden="1" customHeight="1" x14ac:dyDescent="0.25">
      <c r="A462" s="12" t="s">
        <v>31</v>
      </c>
      <c r="B462" s="9">
        <v>46178</v>
      </c>
      <c r="C462" s="8" t="s">
        <v>777</v>
      </c>
      <c r="D462" s="10" t="s">
        <v>778</v>
      </c>
      <c r="E462" s="10" t="s">
        <v>51</v>
      </c>
      <c r="F462" s="10" t="s">
        <v>35</v>
      </c>
      <c r="G462" s="10" t="s">
        <v>3145</v>
      </c>
      <c r="H462" s="8" t="s">
        <v>48</v>
      </c>
      <c r="I462" s="11">
        <v>19.68</v>
      </c>
      <c r="J462" s="6">
        <v>14.76</v>
      </c>
      <c r="K462" s="6">
        <v>0.75</v>
      </c>
      <c r="L462" s="6">
        <v>17.190000000000001</v>
      </c>
      <c r="M462" s="11">
        <v>12.8925</v>
      </c>
      <c r="N462" s="11">
        <f t="shared" si="28"/>
        <v>12.892999999999999</v>
      </c>
      <c r="O462" s="6">
        <v>0.75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2.4900000000000002</v>
      </c>
      <c r="Z462" s="6">
        <v>1.8674999999999999</v>
      </c>
      <c r="AA462" s="6">
        <v>0.74999999999999989</v>
      </c>
      <c r="AB462" s="6">
        <v>-2.4899999999999984</v>
      </c>
      <c r="AC462" s="6">
        <v>2.4899999999999984</v>
      </c>
      <c r="AD462" s="22" t="s">
        <v>3140</v>
      </c>
      <c r="AE462" s="23">
        <f t="shared" si="29"/>
        <v>12.892999999999999</v>
      </c>
      <c r="AF462" s="24">
        <f t="shared" si="30"/>
        <v>0</v>
      </c>
      <c r="AG462" s="23">
        <f t="shared" si="31"/>
        <v>1</v>
      </c>
    </row>
    <row r="463" spans="1:33" ht="12.5" customHeight="1" x14ac:dyDescent="0.25">
      <c r="A463" s="12" t="s">
        <v>31</v>
      </c>
      <c r="B463" s="9">
        <v>46178</v>
      </c>
      <c r="C463" s="12" t="s">
        <v>777</v>
      </c>
      <c r="D463" s="10" t="s">
        <v>779</v>
      </c>
      <c r="E463" s="10" t="s">
        <v>51</v>
      </c>
      <c r="F463" s="10" t="s">
        <v>35</v>
      </c>
      <c r="G463" s="10" t="s">
        <v>3146</v>
      </c>
      <c r="H463" s="8" t="s">
        <v>36</v>
      </c>
      <c r="I463" s="11">
        <v>56.09</v>
      </c>
      <c r="J463" s="6">
        <v>51.434530000000002</v>
      </c>
      <c r="K463" s="6">
        <v>0.91700000000000004</v>
      </c>
      <c r="L463" s="6">
        <v>53.32</v>
      </c>
      <c r="M463" s="11">
        <v>48.894440000000003</v>
      </c>
      <c r="N463" s="11">
        <f t="shared" si="28"/>
        <v>48.894999999999996</v>
      </c>
      <c r="O463" s="6">
        <v>0.91700000000000004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2.77</v>
      </c>
      <c r="Z463" s="6">
        <v>2.5400900000000002</v>
      </c>
      <c r="AA463" s="6">
        <v>0.91700000000000004</v>
      </c>
      <c r="AB463" s="6">
        <v>-2.7700000000000031</v>
      </c>
      <c r="AC463" s="6">
        <v>2.7700000000000031</v>
      </c>
      <c r="AD463" s="22" t="s">
        <v>3140</v>
      </c>
      <c r="AE463" s="23">
        <f t="shared" si="29"/>
        <v>48.894999999999996</v>
      </c>
      <c r="AF463" s="24">
        <f t="shared" si="30"/>
        <v>0</v>
      </c>
      <c r="AG463" s="23">
        <f t="shared" si="31"/>
        <v>1</v>
      </c>
    </row>
    <row r="464" spans="1:33" ht="12.5" customHeight="1" x14ac:dyDescent="0.25">
      <c r="A464" s="12" t="s">
        <v>31</v>
      </c>
      <c r="B464" s="9">
        <v>46178</v>
      </c>
      <c r="C464" s="13" t="s">
        <v>777</v>
      </c>
      <c r="D464" s="10" t="s">
        <v>780</v>
      </c>
      <c r="E464" s="10" t="s">
        <v>51</v>
      </c>
      <c r="F464" s="10" t="s">
        <v>35</v>
      </c>
      <c r="G464" s="10" t="s">
        <v>3146</v>
      </c>
      <c r="H464" s="8" t="s">
        <v>36</v>
      </c>
      <c r="I464" s="11">
        <v>47.99</v>
      </c>
      <c r="J464" s="6">
        <v>44.006830000000001</v>
      </c>
      <c r="K464" s="6">
        <v>0.91699999999999993</v>
      </c>
      <c r="L464" s="6">
        <v>45.67</v>
      </c>
      <c r="M464" s="11">
        <v>41.879390000000001</v>
      </c>
      <c r="N464" s="11">
        <f t="shared" si="28"/>
        <v>41.879999999999995</v>
      </c>
      <c r="O464" s="6">
        <v>0.91700000000000004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2.3199999999999998</v>
      </c>
      <c r="Z464" s="6">
        <v>2.12744</v>
      </c>
      <c r="AA464" s="6">
        <v>0.91700000000000004</v>
      </c>
      <c r="AB464" s="6">
        <v>-2.3200000000000003</v>
      </c>
      <c r="AC464" s="6">
        <v>2.3200000000000003</v>
      </c>
      <c r="AD464" s="22" t="s">
        <v>3140</v>
      </c>
      <c r="AE464" s="23">
        <f t="shared" si="29"/>
        <v>41.879999999999995</v>
      </c>
      <c r="AF464" s="24">
        <f t="shared" si="30"/>
        <v>0</v>
      </c>
      <c r="AG464" s="23">
        <f t="shared" si="31"/>
        <v>1</v>
      </c>
    </row>
    <row r="465" spans="1:33" ht="12.5" hidden="1" customHeight="1" x14ac:dyDescent="0.25">
      <c r="A465" s="12" t="s">
        <v>31</v>
      </c>
      <c r="B465" s="9">
        <v>46178</v>
      </c>
      <c r="C465" s="8" t="s">
        <v>781</v>
      </c>
      <c r="D465" s="8" t="s">
        <v>338</v>
      </c>
      <c r="E465" s="8" t="s">
        <v>51</v>
      </c>
      <c r="F465" s="8" t="s">
        <v>35</v>
      </c>
      <c r="G465" s="10" t="s">
        <v>3145</v>
      </c>
      <c r="H465" s="8" t="s">
        <v>48</v>
      </c>
      <c r="I465" s="11">
        <v>7.53</v>
      </c>
      <c r="J465" s="6">
        <v>5.6475</v>
      </c>
      <c r="K465" s="6">
        <v>0.75</v>
      </c>
      <c r="L465" s="6">
        <v>5.59</v>
      </c>
      <c r="M465" s="11">
        <v>4.1924999999999999</v>
      </c>
      <c r="N465" s="11">
        <f t="shared" si="28"/>
        <v>4.1930000000000005</v>
      </c>
      <c r="O465" s="6">
        <v>0.75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1.94</v>
      </c>
      <c r="Z465" s="6">
        <v>1.4550000000000001</v>
      </c>
      <c r="AA465" s="6">
        <v>0.75000000000000011</v>
      </c>
      <c r="AB465" s="6">
        <v>-1.9400000000000004</v>
      </c>
      <c r="AC465" s="6">
        <v>1.9400000000000004</v>
      </c>
      <c r="AD465" s="23" t="s">
        <v>3143</v>
      </c>
      <c r="AE465" s="23">
        <f t="shared" si="29"/>
        <v>0</v>
      </c>
      <c r="AF465" s="24">
        <f t="shared" si="30"/>
        <v>4.1930000000000005</v>
      </c>
      <c r="AG465" s="23">
        <f t="shared" si="31"/>
        <v>67</v>
      </c>
    </row>
    <row r="466" spans="1:33" ht="12.5" hidden="1" customHeight="1" x14ac:dyDescent="0.25">
      <c r="A466" s="12" t="s">
        <v>31</v>
      </c>
      <c r="B466" s="9">
        <v>46178</v>
      </c>
      <c r="C466" s="13" t="s">
        <v>781</v>
      </c>
      <c r="D466" s="13" t="s">
        <v>338</v>
      </c>
      <c r="E466" s="13" t="s">
        <v>51</v>
      </c>
      <c r="F466" s="13" t="s">
        <v>35</v>
      </c>
      <c r="G466" s="10" t="s">
        <v>3145</v>
      </c>
      <c r="H466" s="8" t="s">
        <v>41</v>
      </c>
      <c r="I466" s="11">
        <v>10.48</v>
      </c>
      <c r="J466" s="6">
        <v>7.86</v>
      </c>
      <c r="K466" s="6">
        <v>0.75</v>
      </c>
      <c r="L466" s="6">
        <v>10.16</v>
      </c>
      <c r="M466" s="11">
        <v>7.62</v>
      </c>
      <c r="N466" s="11">
        <f t="shared" si="28"/>
        <v>7.62</v>
      </c>
      <c r="O466" s="6">
        <v>0.75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0.32</v>
      </c>
      <c r="Z466" s="6">
        <v>0.24</v>
      </c>
      <c r="AA466" s="6">
        <v>0.75</v>
      </c>
      <c r="AB466" s="6">
        <v>-0.32000000000000028</v>
      </c>
      <c r="AC466" s="6">
        <v>0.32000000000000028</v>
      </c>
      <c r="AD466" s="23" t="s">
        <v>3143</v>
      </c>
      <c r="AE466" s="23">
        <f t="shared" si="29"/>
        <v>0</v>
      </c>
      <c r="AF466" s="24">
        <f t="shared" si="30"/>
        <v>7.62</v>
      </c>
      <c r="AG466" s="23">
        <f t="shared" si="31"/>
        <v>67</v>
      </c>
    </row>
    <row r="467" spans="1:33" ht="12.5" hidden="1" customHeight="1" x14ac:dyDescent="0.25">
      <c r="A467" s="12" t="s">
        <v>31</v>
      </c>
      <c r="B467" s="9">
        <v>46179</v>
      </c>
      <c r="C467" s="10" t="s">
        <v>782</v>
      </c>
      <c r="D467" s="10" t="s">
        <v>783</v>
      </c>
      <c r="E467" s="10" t="s">
        <v>34</v>
      </c>
      <c r="F467" s="10" t="s">
        <v>35</v>
      </c>
      <c r="G467" s="10" t="s">
        <v>3145</v>
      </c>
      <c r="H467" s="8" t="s">
        <v>48</v>
      </c>
      <c r="I467" s="11">
        <v>54.02</v>
      </c>
      <c r="J467" s="6">
        <v>40.515000000000001</v>
      </c>
      <c r="K467" s="6">
        <v>0.75</v>
      </c>
      <c r="L467" s="6">
        <v>49.55</v>
      </c>
      <c r="M467" s="11">
        <v>37.162500000000001</v>
      </c>
      <c r="N467" s="11">
        <f t="shared" si="28"/>
        <v>37.162999999999997</v>
      </c>
      <c r="O467" s="6">
        <v>0.75000000000000011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4.47</v>
      </c>
      <c r="Z467" s="6">
        <v>3.3525</v>
      </c>
      <c r="AA467" s="6">
        <v>0.75</v>
      </c>
      <c r="AB467" s="6">
        <v>-4.470000000000006</v>
      </c>
      <c r="AC467" s="6">
        <v>4.470000000000006</v>
      </c>
      <c r="AD467" s="22" t="s">
        <v>3140</v>
      </c>
      <c r="AE467" s="23">
        <f t="shared" si="29"/>
        <v>37.162999999999997</v>
      </c>
      <c r="AF467" s="24">
        <f t="shared" si="30"/>
        <v>0</v>
      </c>
      <c r="AG467" s="23">
        <f t="shared" si="31"/>
        <v>1</v>
      </c>
    </row>
    <row r="468" spans="1:33" ht="12.5" customHeight="1" x14ac:dyDescent="0.25">
      <c r="A468" s="12" t="s">
        <v>31</v>
      </c>
      <c r="B468" s="9">
        <v>46179</v>
      </c>
      <c r="C468" s="10" t="s">
        <v>784</v>
      </c>
      <c r="D468" s="10" t="s">
        <v>785</v>
      </c>
      <c r="E468" s="10" t="s">
        <v>34</v>
      </c>
      <c r="F468" s="10" t="s">
        <v>35</v>
      </c>
      <c r="G468" s="10" t="s">
        <v>3146</v>
      </c>
      <c r="H468" s="8" t="s">
        <v>36</v>
      </c>
      <c r="I468" s="11">
        <v>47.13</v>
      </c>
      <c r="J468" s="6">
        <v>43.218209999999999</v>
      </c>
      <c r="K468" s="6">
        <v>0.91699999999999993</v>
      </c>
      <c r="L468" s="6">
        <v>45.35</v>
      </c>
      <c r="M468" s="11">
        <v>41.585949999999997</v>
      </c>
      <c r="N468" s="11">
        <f t="shared" si="28"/>
        <v>41.585999999999999</v>
      </c>
      <c r="O468" s="6">
        <v>0.91699999999999993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1.78</v>
      </c>
      <c r="Z468" s="6">
        <v>1.63226</v>
      </c>
      <c r="AA468" s="6">
        <v>0.91700000000000004</v>
      </c>
      <c r="AB468" s="6">
        <v>-1.7800000000000011</v>
      </c>
      <c r="AC468" s="6">
        <v>1.7800000000000011</v>
      </c>
      <c r="AD468" s="22" t="s">
        <v>3140</v>
      </c>
      <c r="AE468" s="23">
        <f t="shared" si="29"/>
        <v>41.585999999999999</v>
      </c>
      <c r="AF468" s="24">
        <f t="shared" si="30"/>
        <v>0</v>
      </c>
      <c r="AG468" s="23">
        <f t="shared" si="31"/>
        <v>1</v>
      </c>
    </row>
    <row r="469" spans="1:33" ht="12.5" hidden="1" customHeight="1" x14ac:dyDescent="0.25">
      <c r="A469" s="12" t="s">
        <v>31</v>
      </c>
      <c r="B469" s="9">
        <v>46179</v>
      </c>
      <c r="C469" s="10" t="s">
        <v>786</v>
      </c>
      <c r="D469" s="10" t="s">
        <v>787</v>
      </c>
      <c r="E469" s="10" t="s">
        <v>34</v>
      </c>
      <c r="F469" s="10" t="s">
        <v>35</v>
      </c>
      <c r="G469" s="10" t="s">
        <v>3145</v>
      </c>
      <c r="H469" s="8" t="s">
        <v>48</v>
      </c>
      <c r="I469" s="11">
        <v>103.89</v>
      </c>
      <c r="J469" s="6">
        <v>77.917500000000004</v>
      </c>
      <c r="K469" s="6">
        <v>0.75</v>
      </c>
      <c r="L469" s="6">
        <v>93.95</v>
      </c>
      <c r="M469" s="11">
        <v>70.462500000000006</v>
      </c>
      <c r="N469" s="11">
        <f t="shared" si="28"/>
        <v>70.463000000000008</v>
      </c>
      <c r="O469" s="6">
        <v>0.75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9.94</v>
      </c>
      <c r="Z469" s="6">
        <v>7.4550000000000001</v>
      </c>
      <c r="AA469" s="6">
        <v>0.75</v>
      </c>
      <c r="AB469" s="6">
        <v>-9.9399999999999977</v>
      </c>
      <c r="AC469" s="6">
        <v>9.9399999999999977</v>
      </c>
      <c r="AD469" s="22" t="s">
        <v>3140</v>
      </c>
      <c r="AE469" s="23">
        <f t="shared" si="29"/>
        <v>70.463000000000008</v>
      </c>
      <c r="AF469" s="24">
        <f t="shared" si="30"/>
        <v>0</v>
      </c>
      <c r="AG469" s="23">
        <f t="shared" si="31"/>
        <v>1</v>
      </c>
    </row>
    <row r="470" spans="1:33" ht="12.5" hidden="1" customHeight="1" x14ac:dyDescent="0.25">
      <c r="A470" s="12" t="s">
        <v>31</v>
      </c>
      <c r="B470" s="9">
        <v>46179</v>
      </c>
      <c r="C470" s="10" t="s">
        <v>788</v>
      </c>
      <c r="D470" s="10" t="s">
        <v>184</v>
      </c>
      <c r="E470" s="10" t="s">
        <v>34</v>
      </c>
      <c r="F470" s="10" t="s">
        <v>35</v>
      </c>
      <c r="G470" s="10" t="s">
        <v>3145</v>
      </c>
      <c r="H470" s="8" t="s">
        <v>48</v>
      </c>
      <c r="I470" s="11">
        <v>171.41</v>
      </c>
      <c r="J470" s="6">
        <v>128.5575</v>
      </c>
      <c r="K470" s="6">
        <v>0.75</v>
      </c>
      <c r="L470" s="6">
        <v>155.59</v>
      </c>
      <c r="M470" s="11">
        <v>116.6925</v>
      </c>
      <c r="N470" s="11">
        <f t="shared" si="28"/>
        <v>116.693</v>
      </c>
      <c r="O470" s="6">
        <v>0.75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15.82</v>
      </c>
      <c r="Z470" s="6">
        <v>11.865</v>
      </c>
      <c r="AA470" s="6">
        <v>0.75</v>
      </c>
      <c r="AB470" s="6">
        <v>-15.819999999999993</v>
      </c>
      <c r="AC470" s="6">
        <v>15.819999999999993</v>
      </c>
      <c r="AD470" s="22" t="s">
        <v>3140</v>
      </c>
      <c r="AE470" s="23">
        <f t="shared" si="29"/>
        <v>116.693</v>
      </c>
      <c r="AF470" s="24">
        <f t="shared" si="30"/>
        <v>0</v>
      </c>
      <c r="AG470" s="23">
        <f t="shared" si="31"/>
        <v>2</v>
      </c>
    </row>
    <row r="471" spans="1:33" ht="12.5" customHeight="1" x14ac:dyDescent="0.25">
      <c r="A471" s="12" t="s">
        <v>31</v>
      </c>
      <c r="B471" s="9">
        <v>46179</v>
      </c>
      <c r="C471" s="10" t="s">
        <v>789</v>
      </c>
      <c r="D471" s="10" t="s">
        <v>38</v>
      </c>
      <c r="E471" s="10" t="s">
        <v>34</v>
      </c>
      <c r="F471" s="10" t="s">
        <v>35</v>
      </c>
      <c r="G471" s="10" t="s">
        <v>3146</v>
      </c>
      <c r="H471" s="8" t="s">
        <v>36</v>
      </c>
      <c r="I471" s="11">
        <v>66.715999999999994</v>
      </c>
      <c r="J471" s="6">
        <v>61.178572000000003</v>
      </c>
      <c r="K471" s="6">
        <v>0.91700000000000015</v>
      </c>
      <c r="L471" s="6">
        <v>65.665999999999997</v>
      </c>
      <c r="M471" s="11">
        <v>60.215722</v>
      </c>
      <c r="N471" s="11">
        <f t="shared" si="28"/>
        <v>60.216000000000001</v>
      </c>
      <c r="O471" s="6">
        <v>0.91700000000000004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1.05</v>
      </c>
      <c r="Z471" s="6">
        <v>0.96284999999999998</v>
      </c>
      <c r="AA471" s="6">
        <v>0.91699999999999993</v>
      </c>
      <c r="AB471" s="6">
        <v>-1.0499999999999972</v>
      </c>
      <c r="AC471" s="6">
        <v>1.0499999999999972</v>
      </c>
      <c r="AD471" s="23" t="s">
        <v>3143</v>
      </c>
      <c r="AE471" s="23">
        <f t="shared" si="29"/>
        <v>18.456</v>
      </c>
      <c r="AF471" s="24">
        <f t="shared" si="30"/>
        <v>41.760000000000005</v>
      </c>
      <c r="AG471" s="23">
        <f t="shared" si="31"/>
        <v>3</v>
      </c>
    </row>
    <row r="472" spans="1:33" ht="12.5" customHeight="1" x14ac:dyDescent="0.25">
      <c r="A472" s="12" t="s">
        <v>31</v>
      </c>
      <c r="B472" s="9">
        <v>46179</v>
      </c>
      <c r="C472" s="10" t="s">
        <v>790</v>
      </c>
      <c r="D472" s="10" t="s">
        <v>338</v>
      </c>
      <c r="E472" s="10" t="s">
        <v>34</v>
      </c>
      <c r="F472" s="10" t="s">
        <v>35</v>
      </c>
      <c r="G472" s="10" t="s">
        <v>3146</v>
      </c>
      <c r="H472" s="8" t="s">
        <v>36</v>
      </c>
      <c r="I472" s="11">
        <v>11.75</v>
      </c>
      <c r="J472" s="6">
        <v>10.774749999999999</v>
      </c>
      <c r="K472" s="6">
        <v>0.91699999999999993</v>
      </c>
      <c r="L472" s="6">
        <v>7.21</v>
      </c>
      <c r="M472" s="11">
        <v>6.6115700000000004</v>
      </c>
      <c r="N472" s="11">
        <f t="shared" si="28"/>
        <v>6.6120000000000001</v>
      </c>
      <c r="O472" s="6">
        <v>0.91700000000000004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4.54</v>
      </c>
      <c r="Z472" s="6">
        <v>4.1631799999999997</v>
      </c>
      <c r="AA472" s="6">
        <v>0.91699999999999993</v>
      </c>
      <c r="AB472" s="6">
        <v>-4.54</v>
      </c>
      <c r="AC472" s="6">
        <v>4.54</v>
      </c>
      <c r="AD472" s="23" t="s">
        <v>3143</v>
      </c>
      <c r="AE472" s="23">
        <f t="shared" si="29"/>
        <v>0</v>
      </c>
      <c r="AF472" s="24">
        <f t="shared" si="30"/>
        <v>6.6120000000000001</v>
      </c>
      <c r="AG472" s="23">
        <f t="shared" si="31"/>
        <v>67</v>
      </c>
    </row>
    <row r="473" spans="1:33" ht="20" hidden="1" customHeight="1" x14ac:dyDescent="0.25">
      <c r="A473" s="12" t="s">
        <v>31</v>
      </c>
      <c r="B473" s="9">
        <v>46179</v>
      </c>
      <c r="C473" s="10" t="s">
        <v>791</v>
      </c>
      <c r="D473" s="10" t="s">
        <v>792</v>
      </c>
      <c r="E473" s="10" t="s">
        <v>51</v>
      </c>
      <c r="F473" s="10" t="s">
        <v>35</v>
      </c>
      <c r="G473" s="10" t="s">
        <v>3145</v>
      </c>
      <c r="H473" s="8" t="s">
        <v>48</v>
      </c>
      <c r="I473" s="11">
        <v>23.33</v>
      </c>
      <c r="J473" s="6">
        <v>17.497499999999999</v>
      </c>
      <c r="K473" s="6">
        <v>0.75</v>
      </c>
      <c r="L473" s="6">
        <v>21.84</v>
      </c>
      <c r="M473" s="11">
        <v>16.38</v>
      </c>
      <c r="N473" s="11">
        <f t="shared" si="28"/>
        <v>16.38</v>
      </c>
      <c r="O473" s="6">
        <v>0.75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1.49</v>
      </c>
      <c r="Z473" s="6">
        <v>1.1174999999999999</v>
      </c>
      <c r="AA473" s="6">
        <v>0.75</v>
      </c>
      <c r="AB473" s="6">
        <v>-1.4899999999999984</v>
      </c>
      <c r="AC473" s="6">
        <v>1.4899999999999984</v>
      </c>
      <c r="AD473" s="22" t="s">
        <v>3140</v>
      </c>
      <c r="AE473" s="23">
        <f t="shared" si="29"/>
        <v>16.38</v>
      </c>
      <c r="AF473" s="24">
        <f t="shared" si="30"/>
        <v>0</v>
      </c>
      <c r="AG473" s="23">
        <f t="shared" si="31"/>
        <v>1</v>
      </c>
    </row>
    <row r="474" spans="1:33" hidden="1" x14ac:dyDescent="0.25">
      <c r="A474" s="12" t="s">
        <v>31</v>
      </c>
      <c r="B474" s="9">
        <v>46179</v>
      </c>
      <c r="C474" s="10" t="s">
        <v>793</v>
      </c>
      <c r="D474" s="10" t="s">
        <v>794</v>
      </c>
      <c r="E474" s="10" t="s">
        <v>51</v>
      </c>
      <c r="F474" s="10" t="s">
        <v>35</v>
      </c>
      <c r="G474" s="10" t="s">
        <v>3145</v>
      </c>
      <c r="H474" s="8" t="s">
        <v>41</v>
      </c>
      <c r="I474" s="11">
        <v>14.5</v>
      </c>
      <c r="J474" s="6">
        <v>10.875</v>
      </c>
      <c r="K474" s="6">
        <v>0.75</v>
      </c>
      <c r="L474" s="6">
        <v>13.92</v>
      </c>
      <c r="M474" s="11">
        <v>10.44</v>
      </c>
      <c r="N474" s="11">
        <f t="shared" si="28"/>
        <v>10.44</v>
      </c>
      <c r="O474" s="6">
        <v>0.75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0.57999999999999996</v>
      </c>
      <c r="Z474" s="6">
        <v>0.435</v>
      </c>
      <c r="AA474" s="6">
        <v>0.75</v>
      </c>
      <c r="AB474" s="6">
        <v>-0.58000000000000007</v>
      </c>
      <c r="AC474" s="6">
        <v>0.58000000000000007</v>
      </c>
      <c r="AD474" s="22" t="s">
        <v>3140</v>
      </c>
      <c r="AE474" s="23">
        <f t="shared" si="29"/>
        <v>10.44</v>
      </c>
      <c r="AF474" s="24">
        <f t="shared" si="30"/>
        <v>0</v>
      </c>
      <c r="AG474" s="23">
        <f t="shared" si="31"/>
        <v>1</v>
      </c>
    </row>
    <row r="475" spans="1:33" ht="20" hidden="1" customHeight="1" x14ac:dyDescent="0.25">
      <c r="A475" s="12" t="s">
        <v>31</v>
      </c>
      <c r="B475" s="9">
        <v>46179</v>
      </c>
      <c r="C475" s="10" t="s">
        <v>795</v>
      </c>
      <c r="D475" s="10" t="s">
        <v>54</v>
      </c>
      <c r="E475" s="10" t="s">
        <v>51</v>
      </c>
      <c r="F475" s="10" t="s">
        <v>35</v>
      </c>
      <c r="G475" s="10" t="s">
        <v>3145</v>
      </c>
      <c r="H475" s="8" t="s">
        <v>48</v>
      </c>
      <c r="I475" s="11">
        <v>15.86</v>
      </c>
      <c r="J475" s="6">
        <v>11.895</v>
      </c>
      <c r="K475" s="6">
        <v>0.75</v>
      </c>
      <c r="L475" s="6">
        <v>15.75</v>
      </c>
      <c r="M475" s="11">
        <v>11.8125</v>
      </c>
      <c r="N475" s="11">
        <f t="shared" si="28"/>
        <v>11.812999999999999</v>
      </c>
      <c r="O475" s="6">
        <v>0.75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0.11</v>
      </c>
      <c r="Z475" s="6">
        <v>8.2500000000000004E-2</v>
      </c>
      <c r="AA475" s="6">
        <v>0.75</v>
      </c>
      <c r="AB475" s="6">
        <v>-0.10999999999999943</v>
      </c>
      <c r="AC475" s="6">
        <v>0.10999999999999943</v>
      </c>
      <c r="AD475" s="23" t="s">
        <v>3143</v>
      </c>
      <c r="AE475" s="23">
        <f t="shared" si="29"/>
        <v>10.808</v>
      </c>
      <c r="AF475" s="24">
        <f t="shared" si="30"/>
        <v>1.004999999999999</v>
      </c>
      <c r="AG475" s="23">
        <f t="shared" si="31"/>
        <v>4</v>
      </c>
    </row>
    <row r="476" spans="1:33" ht="20" hidden="1" customHeight="1" x14ac:dyDescent="0.25">
      <c r="A476" s="12" t="s">
        <v>31</v>
      </c>
      <c r="B476" s="9">
        <v>46179</v>
      </c>
      <c r="C476" s="10" t="s">
        <v>796</v>
      </c>
      <c r="D476" s="10" t="s">
        <v>797</v>
      </c>
      <c r="E476" s="10" t="s">
        <v>51</v>
      </c>
      <c r="F476" s="10" t="s">
        <v>35</v>
      </c>
      <c r="G476" s="10" t="s">
        <v>3145</v>
      </c>
      <c r="H476" s="8" t="s">
        <v>48</v>
      </c>
      <c r="I476" s="11">
        <v>5.88</v>
      </c>
      <c r="J476" s="6">
        <v>4.41</v>
      </c>
      <c r="K476" s="6">
        <v>0.75</v>
      </c>
      <c r="L476" s="6">
        <v>5.39</v>
      </c>
      <c r="M476" s="11">
        <v>4.0425000000000004</v>
      </c>
      <c r="N476" s="11">
        <f t="shared" si="28"/>
        <v>4.0430000000000001</v>
      </c>
      <c r="O476" s="6">
        <v>0.75000000000000011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0.49</v>
      </c>
      <c r="Z476" s="6">
        <v>0.36749999999999999</v>
      </c>
      <c r="AA476" s="6">
        <v>0.75</v>
      </c>
      <c r="AB476" s="6">
        <v>-0.49000000000000021</v>
      </c>
      <c r="AC476" s="6">
        <v>0.49000000000000021</v>
      </c>
      <c r="AD476" s="22" t="s">
        <v>3140</v>
      </c>
      <c r="AE476" s="23">
        <f t="shared" si="29"/>
        <v>4.0430000000000001</v>
      </c>
      <c r="AF476" s="24">
        <f t="shared" si="30"/>
        <v>0</v>
      </c>
      <c r="AG476" s="23">
        <f t="shared" si="31"/>
        <v>1</v>
      </c>
    </row>
    <row r="477" spans="1:33" x14ac:dyDescent="0.25">
      <c r="A477" s="12" t="s">
        <v>31</v>
      </c>
      <c r="B477" s="9">
        <v>46179</v>
      </c>
      <c r="C477" s="10" t="s">
        <v>798</v>
      </c>
      <c r="D477" s="10" t="s">
        <v>460</v>
      </c>
      <c r="E477" s="10" t="s">
        <v>51</v>
      </c>
      <c r="F477" s="10" t="s">
        <v>35</v>
      </c>
      <c r="G477" s="10" t="s">
        <v>3146</v>
      </c>
      <c r="H477" s="8" t="s">
        <v>36</v>
      </c>
      <c r="I477" s="11">
        <v>87.99</v>
      </c>
      <c r="J477" s="6">
        <v>80.68683</v>
      </c>
      <c r="K477" s="6">
        <v>0.91700000000000004</v>
      </c>
      <c r="L477" s="6">
        <v>84.21</v>
      </c>
      <c r="M477" s="11">
        <v>77.220569999999995</v>
      </c>
      <c r="N477" s="11">
        <f t="shared" si="28"/>
        <v>77.221000000000004</v>
      </c>
      <c r="O477" s="6">
        <v>0.91700000000000004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3.78</v>
      </c>
      <c r="Z477" s="6">
        <v>3.4662600000000001</v>
      </c>
      <c r="AA477" s="6">
        <v>0.91700000000000004</v>
      </c>
      <c r="AB477" s="6">
        <v>-3.7800000000000011</v>
      </c>
      <c r="AC477" s="6">
        <v>3.7800000000000011</v>
      </c>
      <c r="AD477" s="22" t="s">
        <v>3140</v>
      </c>
      <c r="AE477" s="23">
        <f t="shared" si="29"/>
        <v>77.221000000000004</v>
      </c>
      <c r="AF477" s="24">
        <f t="shared" si="30"/>
        <v>0</v>
      </c>
      <c r="AG477" s="23">
        <f t="shared" si="31"/>
        <v>2</v>
      </c>
    </row>
    <row r="478" spans="1:33" x14ac:dyDescent="0.25">
      <c r="A478" s="12" t="s">
        <v>31</v>
      </c>
      <c r="B478" s="9">
        <v>46179</v>
      </c>
      <c r="C478" s="10" t="s">
        <v>799</v>
      </c>
      <c r="D478" s="10" t="s">
        <v>800</v>
      </c>
      <c r="E478" s="10" t="s">
        <v>51</v>
      </c>
      <c r="F478" s="10" t="s">
        <v>35</v>
      </c>
      <c r="G478" s="10" t="s">
        <v>3146</v>
      </c>
      <c r="H478" s="8" t="s">
        <v>36</v>
      </c>
      <c r="I478" s="11">
        <v>73</v>
      </c>
      <c r="J478" s="6">
        <v>66.941000000000003</v>
      </c>
      <c r="K478" s="6">
        <v>0.91700000000000004</v>
      </c>
      <c r="L478" s="6">
        <v>71.91</v>
      </c>
      <c r="M478" s="11">
        <v>65.941469999999995</v>
      </c>
      <c r="N478" s="11">
        <f t="shared" si="28"/>
        <v>65.942000000000007</v>
      </c>
      <c r="O478" s="6">
        <v>0.91699999999999993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1.0900000000000001</v>
      </c>
      <c r="Z478" s="6">
        <v>0.99953000000000003</v>
      </c>
      <c r="AA478" s="6">
        <v>0.91699999999999993</v>
      </c>
      <c r="AB478" s="6">
        <v>-1.0900000000000034</v>
      </c>
      <c r="AC478" s="6">
        <v>1.0900000000000034</v>
      </c>
      <c r="AD478" s="22" t="s">
        <v>3140</v>
      </c>
      <c r="AE478" s="23">
        <f t="shared" si="29"/>
        <v>65.942000000000007</v>
      </c>
      <c r="AF478" s="24">
        <f t="shared" si="30"/>
        <v>0</v>
      </c>
      <c r="AG478" s="23">
        <f t="shared" si="31"/>
        <v>1</v>
      </c>
    </row>
    <row r="479" spans="1:33" ht="20" hidden="1" customHeight="1" x14ac:dyDescent="0.25">
      <c r="A479" s="12" t="s">
        <v>31</v>
      </c>
      <c r="B479" s="9">
        <v>46179</v>
      </c>
      <c r="C479" s="10" t="s">
        <v>801</v>
      </c>
      <c r="D479" s="10" t="s">
        <v>802</v>
      </c>
      <c r="E479" s="10" t="s">
        <v>51</v>
      </c>
      <c r="F479" s="10" t="s">
        <v>35</v>
      </c>
      <c r="G479" s="10" t="s">
        <v>3145</v>
      </c>
      <c r="H479" s="8" t="s">
        <v>48</v>
      </c>
      <c r="I479" s="11">
        <v>68.2</v>
      </c>
      <c r="J479" s="6">
        <v>51.15</v>
      </c>
      <c r="K479" s="6">
        <v>0.75</v>
      </c>
      <c r="L479" s="6">
        <v>61.51</v>
      </c>
      <c r="M479" s="11">
        <v>46.1325</v>
      </c>
      <c r="N479" s="11">
        <f t="shared" si="28"/>
        <v>46.132999999999996</v>
      </c>
      <c r="O479" s="6">
        <v>0.75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6.69</v>
      </c>
      <c r="Z479" s="6">
        <v>5.0175000000000001</v>
      </c>
      <c r="AA479" s="6">
        <v>0.75</v>
      </c>
      <c r="AB479" s="6">
        <v>-6.6900000000000048</v>
      </c>
      <c r="AC479" s="6">
        <v>6.6900000000000048</v>
      </c>
      <c r="AD479" s="22" t="s">
        <v>3140</v>
      </c>
      <c r="AE479" s="23">
        <f t="shared" si="29"/>
        <v>46.132999999999996</v>
      </c>
      <c r="AF479" s="24">
        <f t="shared" si="30"/>
        <v>0</v>
      </c>
      <c r="AG479" s="23">
        <f t="shared" si="31"/>
        <v>1</v>
      </c>
    </row>
    <row r="480" spans="1:33" ht="20" hidden="1" customHeight="1" x14ac:dyDescent="0.25">
      <c r="A480" s="12" t="s">
        <v>31</v>
      </c>
      <c r="B480" s="9">
        <v>46179</v>
      </c>
      <c r="C480" s="10" t="s">
        <v>803</v>
      </c>
      <c r="D480" s="10" t="s">
        <v>804</v>
      </c>
      <c r="E480" s="10" t="s">
        <v>51</v>
      </c>
      <c r="F480" s="10" t="s">
        <v>35</v>
      </c>
      <c r="G480" s="10" t="s">
        <v>3145</v>
      </c>
      <c r="H480" s="8" t="s">
        <v>48</v>
      </c>
      <c r="I480" s="11">
        <v>30.38</v>
      </c>
      <c r="J480" s="6">
        <v>22.785</v>
      </c>
      <c r="K480" s="6">
        <v>0.75</v>
      </c>
      <c r="L480" s="6">
        <v>26.1</v>
      </c>
      <c r="M480" s="11">
        <v>19.574999999999999</v>
      </c>
      <c r="N480" s="11">
        <f t="shared" si="28"/>
        <v>19.574999999999999</v>
      </c>
      <c r="O480" s="6">
        <v>0.74999999999999989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4.28</v>
      </c>
      <c r="Z480" s="6">
        <v>3.21</v>
      </c>
      <c r="AA480" s="6">
        <v>0.75</v>
      </c>
      <c r="AB480" s="6">
        <v>-4.2799999999999976</v>
      </c>
      <c r="AC480" s="6">
        <v>4.2799999999999976</v>
      </c>
      <c r="AD480" s="22" t="s">
        <v>3140</v>
      </c>
      <c r="AE480" s="23">
        <f t="shared" si="29"/>
        <v>19.574999999999999</v>
      </c>
      <c r="AF480" s="24">
        <f t="shared" si="30"/>
        <v>0</v>
      </c>
      <c r="AG480" s="23">
        <f t="shared" si="31"/>
        <v>1</v>
      </c>
    </row>
    <row r="481" spans="1:33" ht="20" hidden="1" customHeight="1" x14ac:dyDescent="0.25">
      <c r="A481" s="12" t="s">
        <v>31</v>
      </c>
      <c r="B481" s="9">
        <v>46179</v>
      </c>
      <c r="C481" s="10" t="s">
        <v>805</v>
      </c>
      <c r="D481" s="10" t="s">
        <v>806</v>
      </c>
      <c r="E481" s="10" t="s">
        <v>51</v>
      </c>
      <c r="F481" s="10" t="s">
        <v>35</v>
      </c>
      <c r="G481" s="10" t="s">
        <v>3145</v>
      </c>
      <c r="H481" s="8" t="s">
        <v>48</v>
      </c>
      <c r="I481" s="11">
        <v>18.440000000000001</v>
      </c>
      <c r="J481" s="6">
        <v>13.83</v>
      </c>
      <c r="K481" s="6">
        <v>0.75</v>
      </c>
      <c r="L481" s="6">
        <v>15.56</v>
      </c>
      <c r="M481" s="11">
        <v>11.67</v>
      </c>
      <c r="N481" s="11">
        <f t="shared" si="28"/>
        <v>11.67</v>
      </c>
      <c r="O481" s="6">
        <v>0.75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2.88</v>
      </c>
      <c r="Z481" s="6">
        <v>2.16</v>
      </c>
      <c r="AA481" s="6">
        <v>0.75000000000000011</v>
      </c>
      <c r="AB481" s="6">
        <v>-2.8800000000000008</v>
      </c>
      <c r="AC481" s="6">
        <v>2.8800000000000008</v>
      </c>
      <c r="AD481" s="22" t="s">
        <v>3140</v>
      </c>
      <c r="AE481" s="23">
        <f t="shared" si="29"/>
        <v>11.67</v>
      </c>
      <c r="AF481" s="24">
        <f t="shared" si="30"/>
        <v>0</v>
      </c>
      <c r="AG481" s="23">
        <f t="shared" si="31"/>
        <v>1</v>
      </c>
    </row>
    <row r="482" spans="1:33" x14ac:dyDescent="0.25">
      <c r="A482" s="12" t="s">
        <v>31</v>
      </c>
      <c r="B482" s="9">
        <v>46179</v>
      </c>
      <c r="C482" s="10" t="s">
        <v>807</v>
      </c>
      <c r="D482" s="10" t="s">
        <v>808</v>
      </c>
      <c r="E482" s="10" t="s">
        <v>51</v>
      </c>
      <c r="F482" s="10" t="s">
        <v>35</v>
      </c>
      <c r="G482" s="10" t="s">
        <v>3146</v>
      </c>
      <c r="H482" s="8" t="s">
        <v>36</v>
      </c>
      <c r="I482" s="11">
        <v>21.31</v>
      </c>
      <c r="J482" s="6">
        <v>19.541270000000001</v>
      </c>
      <c r="K482" s="6">
        <v>0.91700000000000015</v>
      </c>
      <c r="L482" s="6">
        <v>20.29</v>
      </c>
      <c r="M482" s="11">
        <v>18.605930000000001</v>
      </c>
      <c r="N482" s="11">
        <f t="shared" si="28"/>
        <v>18.606000000000002</v>
      </c>
      <c r="O482" s="6">
        <v>0.91700000000000004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1.02</v>
      </c>
      <c r="Z482" s="6">
        <v>0.93533999999999995</v>
      </c>
      <c r="AA482" s="6">
        <v>0.91699999999999993</v>
      </c>
      <c r="AB482" s="6">
        <v>-1.0199999999999996</v>
      </c>
      <c r="AC482" s="6">
        <v>1.0199999999999996</v>
      </c>
      <c r="AD482" s="22" t="s">
        <v>3140</v>
      </c>
      <c r="AE482" s="23">
        <f t="shared" si="29"/>
        <v>18.606000000000002</v>
      </c>
      <c r="AF482" s="24">
        <f t="shared" si="30"/>
        <v>0</v>
      </c>
      <c r="AG482" s="23">
        <f t="shared" si="31"/>
        <v>1</v>
      </c>
    </row>
    <row r="483" spans="1:33" ht="20" hidden="1" customHeight="1" x14ac:dyDescent="0.25">
      <c r="A483" s="12" t="s">
        <v>31</v>
      </c>
      <c r="B483" s="9">
        <v>46179</v>
      </c>
      <c r="C483" s="10" t="s">
        <v>809</v>
      </c>
      <c r="D483" s="10" t="s">
        <v>810</v>
      </c>
      <c r="E483" s="10" t="s">
        <v>51</v>
      </c>
      <c r="F483" s="10" t="s">
        <v>35</v>
      </c>
      <c r="G483" s="10" t="s">
        <v>3145</v>
      </c>
      <c r="H483" s="8" t="s">
        <v>48</v>
      </c>
      <c r="I483" s="11">
        <v>18.579999999999998</v>
      </c>
      <c r="J483" s="6">
        <v>13.935</v>
      </c>
      <c r="K483" s="6">
        <v>0.75000000000000011</v>
      </c>
      <c r="L483" s="6">
        <v>17.05</v>
      </c>
      <c r="M483" s="11">
        <v>12.7875</v>
      </c>
      <c r="N483" s="11">
        <f t="shared" si="28"/>
        <v>12.788</v>
      </c>
      <c r="O483" s="6">
        <v>0.75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1.53</v>
      </c>
      <c r="Z483" s="6">
        <v>1.1475</v>
      </c>
      <c r="AA483" s="6">
        <v>0.75</v>
      </c>
      <c r="AB483" s="6">
        <v>-1.5299999999999976</v>
      </c>
      <c r="AC483" s="6">
        <v>1.5299999999999976</v>
      </c>
      <c r="AD483" s="22" t="s">
        <v>3140</v>
      </c>
      <c r="AE483" s="23">
        <f t="shared" si="29"/>
        <v>12.788</v>
      </c>
      <c r="AF483" s="24">
        <f t="shared" si="30"/>
        <v>0</v>
      </c>
      <c r="AG483" s="23">
        <f t="shared" si="31"/>
        <v>1</v>
      </c>
    </row>
    <row r="484" spans="1:33" ht="20" hidden="1" customHeight="1" x14ac:dyDescent="0.25">
      <c r="A484" s="12" t="s">
        <v>31</v>
      </c>
      <c r="B484" s="9">
        <v>46179</v>
      </c>
      <c r="C484" s="10" t="s">
        <v>811</v>
      </c>
      <c r="D484" s="10" t="s">
        <v>812</v>
      </c>
      <c r="E484" s="10" t="s">
        <v>51</v>
      </c>
      <c r="F484" s="10" t="s">
        <v>35</v>
      </c>
      <c r="G484" s="10" t="s">
        <v>3145</v>
      </c>
      <c r="H484" s="8" t="s">
        <v>48</v>
      </c>
      <c r="I484" s="11">
        <v>19.100000000000001</v>
      </c>
      <c r="J484" s="6">
        <v>14.324999999999999</v>
      </c>
      <c r="K484" s="6">
        <v>0.74999999999999989</v>
      </c>
      <c r="L484" s="6">
        <v>16.41</v>
      </c>
      <c r="M484" s="11">
        <v>12.307499999999999</v>
      </c>
      <c r="N484" s="11">
        <f t="shared" si="28"/>
        <v>12.308</v>
      </c>
      <c r="O484" s="6">
        <v>0.75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2.69</v>
      </c>
      <c r="Z484" s="6">
        <v>2.0175000000000001</v>
      </c>
      <c r="AA484" s="6">
        <v>0.75</v>
      </c>
      <c r="AB484" s="6">
        <v>-2.6900000000000013</v>
      </c>
      <c r="AC484" s="6">
        <v>2.6900000000000013</v>
      </c>
      <c r="AD484" s="22" t="s">
        <v>3140</v>
      </c>
      <c r="AE484" s="23">
        <f t="shared" si="29"/>
        <v>12.308</v>
      </c>
      <c r="AF484" s="24">
        <f t="shared" si="30"/>
        <v>0</v>
      </c>
      <c r="AG484" s="23">
        <f t="shared" si="31"/>
        <v>1</v>
      </c>
    </row>
    <row r="485" spans="1:33" hidden="1" x14ac:dyDescent="0.25">
      <c r="A485" s="12" t="s">
        <v>31</v>
      </c>
      <c r="B485" s="9">
        <v>46179</v>
      </c>
      <c r="C485" s="10" t="s">
        <v>813</v>
      </c>
      <c r="D485" s="10" t="s">
        <v>814</v>
      </c>
      <c r="E485" s="10" t="s">
        <v>51</v>
      </c>
      <c r="F485" s="10" t="s">
        <v>35</v>
      </c>
      <c r="G485" s="10" t="s">
        <v>3145</v>
      </c>
      <c r="H485" s="8" t="s">
        <v>41</v>
      </c>
      <c r="I485" s="11">
        <v>45.59</v>
      </c>
      <c r="J485" s="6">
        <v>34.192500000000003</v>
      </c>
      <c r="K485" s="6">
        <v>0.75</v>
      </c>
      <c r="L485" s="6">
        <v>42.4</v>
      </c>
      <c r="M485" s="11">
        <v>31.8</v>
      </c>
      <c r="N485" s="11">
        <f t="shared" si="28"/>
        <v>31.8</v>
      </c>
      <c r="O485" s="6">
        <v>0.75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3.19</v>
      </c>
      <c r="Z485" s="6">
        <v>2.3925000000000001</v>
      </c>
      <c r="AA485" s="6">
        <v>0.75</v>
      </c>
      <c r="AB485" s="6">
        <v>-3.1900000000000048</v>
      </c>
      <c r="AC485" s="6">
        <v>3.1900000000000048</v>
      </c>
      <c r="AD485" s="23" t="s">
        <v>3143</v>
      </c>
      <c r="AE485" s="23">
        <f t="shared" si="29"/>
        <v>29.843</v>
      </c>
      <c r="AF485" s="24">
        <f t="shared" si="30"/>
        <v>1.9570000000000007</v>
      </c>
      <c r="AG485" s="23">
        <f t="shared" si="31"/>
        <v>2</v>
      </c>
    </row>
    <row r="486" spans="1:33" ht="20" hidden="1" customHeight="1" x14ac:dyDescent="0.25">
      <c r="A486" s="12" t="s">
        <v>31</v>
      </c>
      <c r="B486" s="9">
        <v>46179</v>
      </c>
      <c r="C486" s="10" t="s">
        <v>815</v>
      </c>
      <c r="D486" s="10" t="s">
        <v>816</v>
      </c>
      <c r="E486" s="10" t="s">
        <v>51</v>
      </c>
      <c r="F486" s="10" t="s">
        <v>35</v>
      </c>
      <c r="G486" s="10" t="s">
        <v>3145</v>
      </c>
      <c r="H486" s="8" t="s">
        <v>48</v>
      </c>
      <c r="I486" s="11">
        <v>47.82</v>
      </c>
      <c r="J486" s="6">
        <v>35.865000000000002</v>
      </c>
      <c r="K486" s="6">
        <v>0.75</v>
      </c>
      <c r="L486" s="6">
        <v>41.88</v>
      </c>
      <c r="M486" s="11">
        <v>31.41</v>
      </c>
      <c r="N486" s="11">
        <f t="shared" si="28"/>
        <v>31.41</v>
      </c>
      <c r="O486" s="6">
        <v>0.75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5.94</v>
      </c>
      <c r="Z486" s="6">
        <v>4.4550000000000001</v>
      </c>
      <c r="AA486" s="6">
        <v>0.75</v>
      </c>
      <c r="AB486" s="6">
        <v>-5.9399999999999977</v>
      </c>
      <c r="AC486" s="6">
        <v>5.9399999999999977</v>
      </c>
      <c r="AD486" s="22" t="s">
        <v>3140</v>
      </c>
      <c r="AE486" s="23">
        <f t="shared" si="29"/>
        <v>31.41</v>
      </c>
      <c r="AF486" s="24">
        <f t="shared" si="30"/>
        <v>0</v>
      </c>
      <c r="AG486" s="23">
        <f t="shared" si="31"/>
        <v>1</v>
      </c>
    </row>
    <row r="487" spans="1:33" ht="12.5" customHeight="1" x14ac:dyDescent="0.25">
      <c r="A487" s="12" t="s">
        <v>31</v>
      </c>
      <c r="B487" s="9">
        <v>46179</v>
      </c>
      <c r="C487" s="8" t="s">
        <v>817</v>
      </c>
      <c r="D487" s="10" t="s">
        <v>281</v>
      </c>
      <c r="E487" s="10" t="s">
        <v>51</v>
      </c>
      <c r="F487" s="10" t="s">
        <v>35</v>
      </c>
      <c r="G487" s="10" t="s">
        <v>3146</v>
      </c>
      <c r="H487" s="8" t="s">
        <v>36</v>
      </c>
      <c r="I487" s="11">
        <v>3.68</v>
      </c>
      <c r="J487" s="6">
        <v>3.3745599999999998</v>
      </c>
      <c r="K487" s="6">
        <v>0.91699999999999993</v>
      </c>
      <c r="L487" s="6">
        <v>3.67</v>
      </c>
      <c r="M487" s="11">
        <v>3.3653900000000001</v>
      </c>
      <c r="N487" s="11">
        <f t="shared" si="28"/>
        <v>3.3660000000000001</v>
      </c>
      <c r="O487" s="6">
        <v>0.91700000000000004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0.01</v>
      </c>
      <c r="Z487" s="6">
        <v>9.1699999999999993E-3</v>
      </c>
      <c r="AA487" s="6">
        <v>0.91699999999999993</v>
      </c>
      <c r="AB487" s="6">
        <v>-1.0000000000000231E-2</v>
      </c>
      <c r="AC487" s="6">
        <v>1.0000000000000231E-2</v>
      </c>
      <c r="AD487" s="22" t="s">
        <v>3143</v>
      </c>
      <c r="AE487" s="23">
        <f t="shared" si="29"/>
        <v>3.3660000000000001</v>
      </c>
      <c r="AF487" s="24">
        <f t="shared" si="30"/>
        <v>0</v>
      </c>
      <c r="AG487" s="23">
        <f t="shared" si="31"/>
        <v>2</v>
      </c>
    </row>
    <row r="488" spans="1:33" ht="12.5" customHeight="1" x14ac:dyDescent="0.25">
      <c r="A488" s="12" t="s">
        <v>31</v>
      </c>
      <c r="B488" s="9">
        <v>46179</v>
      </c>
      <c r="C488" s="12" t="s">
        <v>817</v>
      </c>
      <c r="D488" s="10" t="s">
        <v>818</v>
      </c>
      <c r="E488" s="10" t="s">
        <v>51</v>
      </c>
      <c r="F488" s="10" t="s">
        <v>35</v>
      </c>
      <c r="G488" s="10" t="s">
        <v>3146</v>
      </c>
      <c r="H488" s="8" t="s">
        <v>36</v>
      </c>
      <c r="I488" s="11">
        <v>13.94</v>
      </c>
      <c r="J488" s="6">
        <v>12.78298</v>
      </c>
      <c r="K488" s="6">
        <v>0.91700000000000004</v>
      </c>
      <c r="L488" s="6">
        <v>13.34</v>
      </c>
      <c r="M488" s="11">
        <v>12.23278</v>
      </c>
      <c r="N488" s="11">
        <f t="shared" si="28"/>
        <v>12.232999999999999</v>
      </c>
      <c r="O488" s="6">
        <v>0.91700000000000004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0.6</v>
      </c>
      <c r="Z488" s="6">
        <v>0.55020000000000002</v>
      </c>
      <c r="AA488" s="6">
        <v>0.91700000000000004</v>
      </c>
      <c r="AB488" s="6">
        <v>-0.59999999999999964</v>
      </c>
      <c r="AC488" s="6">
        <v>0.59999999999999964</v>
      </c>
      <c r="AD488" s="22" t="s">
        <v>3140</v>
      </c>
      <c r="AE488" s="23">
        <f t="shared" si="29"/>
        <v>12.232999999999999</v>
      </c>
      <c r="AF488" s="24">
        <f t="shared" si="30"/>
        <v>0</v>
      </c>
      <c r="AG488" s="23">
        <f t="shared" si="31"/>
        <v>1</v>
      </c>
    </row>
    <row r="489" spans="1:33" ht="12.5" hidden="1" customHeight="1" x14ac:dyDescent="0.25">
      <c r="A489" s="12" t="s">
        <v>31</v>
      </c>
      <c r="B489" s="9">
        <v>46179</v>
      </c>
      <c r="C489" s="13" t="s">
        <v>817</v>
      </c>
      <c r="D489" s="10" t="s">
        <v>819</v>
      </c>
      <c r="E489" s="10" t="s">
        <v>51</v>
      </c>
      <c r="F489" s="10" t="s">
        <v>35</v>
      </c>
      <c r="G489" s="10" t="s">
        <v>3145</v>
      </c>
      <c r="H489" s="8" t="s">
        <v>41</v>
      </c>
      <c r="I489" s="11">
        <v>20.12</v>
      </c>
      <c r="J489" s="6">
        <v>15.09</v>
      </c>
      <c r="K489" s="6">
        <v>0.75</v>
      </c>
      <c r="L489" s="6">
        <v>19.82</v>
      </c>
      <c r="M489" s="11">
        <v>14.865</v>
      </c>
      <c r="N489" s="11">
        <f t="shared" si="28"/>
        <v>14.865</v>
      </c>
      <c r="O489" s="6">
        <v>0.75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0.3</v>
      </c>
      <c r="Z489" s="6">
        <v>0.22500000000000001</v>
      </c>
      <c r="AA489" s="6">
        <v>0.75</v>
      </c>
      <c r="AB489" s="6">
        <v>-0.30000000000000071</v>
      </c>
      <c r="AC489" s="6">
        <v>0.30000000000000071</v>
      </c>
      <c r="AD489" s="22" t="s">
        <v>3140</v>
      </c>
      <c r="AE489" s="23">
        <f t="shared" si="29"/>
        <v>14.865</v>
      </c>
      <c r="AF489" s="24">
        <f t="shared" si="30"/>
        <v>0</v>
      </c>
      <c r="AG489" s="23">
        <f t="shared" si="31"/>
        <v>1</v>
      </c>
    </row>
    <row r="490" spans="1:33" ht="20" hidden="1" customHeight="1" x14ac:dyDescent="0.25">
      <c r="A490" s="12" t="s">
        <v>31</v>
      </c>
      <c r="B490" s="9">
        <v>46179</v>
      </c>
      <c r="C490" s="10" t="s">
        <v>820</v>
      </c>
      <c r="D490" s="10" t="s">
        <v>821</v>
      </c>
      <c r="E490" s="10" t="s">
        <v>51</v>
      </c>
      <c r="F490" s="10" t="s">
        <v>35</v>
      </c>
      <c r="G490" s="10" t="s">
        <v>3145</v>
      </c>
      <c r="H490" s="8" t="s">
        <v>48</v>
      </c>
      <c r="I490" s="11">
        <v>10.19</v>
      </c>
      <c r="J490" s="6">
        <v>7.6425000000000001</v>
      </c>
      <c r="K490" s="6">
        <v>0.75</v>
      </c>
      <c r="L490" s="6">
        <v>9.68</v>
      </c>
      <c r="M490" s="11">
        <v>7.26</v>
      </c>
      <c r="N490" s="11">
        <f t="shared" si="28"/>
        <v>7.26</v>
      </c>
      <c r="O490" s="6">
        <v>0.75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0.51</v>
      </c>
      <c r="Z490" s="6">
        <v>0.38250000000000001</v>
      </c>
      <c r="AA490" s="6">
        <v>0.75</v>
      </c>
      <c r="AB490" s="6">
        <v>-0.50999999999999979</v>
      </c>
      <c r="AC490" s="6">
        <v>0.50999999999999979</v>
      </c>
      <c r="AD490" s="22" t="s">
        <v>3140</v>
      </c>
      <c r="AE490" s="23">
        <f t="shared" si="29"/>
        <v>7.26</v>
      </c>
      <c r="AF490" s="24">
        <f t="shared" si="30"/>
        <v>0</v>
      </c>
      <c r="AG490" s="23">
        <f t="shared" si="31"/>
        <v>1</v>
      </c>
    </row>
    <row r="491" spans="1:33" ht="20" hidden="1" customHeight="1" x14ac:dyDescent="0.25">
      <c r="A491" s="12" t="s">
        <v>31</v>
      </c>
      <c r="B491" s="9">
        <v>46179</v>
      </c>
      <c r="C491" s="10" t="s">
        <v>822</v>
      </c>
      <c r="D491" s="10" t="s">
        <v>823</v>
      </c>
      <c r="E491" s="10" t="s">
        <v>51</v>
      </c>
      <c r="F491" s="10" t="s">
        <v>35</v>
      </c>
      <c r="G491" s="10" t="s">
        <v>3145</v>
      </c>
      <c r="H491" s="8" t="s">
        <v>48</v>
      </c>
      <c r="I491" s="11">
        <v>69.05</v>
      </c>
      <c r="J491" s="6">
        <v>51.787500000000001</v>
      </c>
      <c r="K491" s="6">
        <v>0.75</v>
      </c>
      <c r="L491" s="6">
        <v>67.36</v>
      </c>
      <c r="M491" s="11">
        <v>50.52</v>
      </c>
      <c r="N491" s="11">
        <f t="shared" si="28"/>
        <v>50.52</v>
      </c>
      <c r="O491" s="6">
        <v>0.75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1.69</v>
      </c>
      <c r="Z491" s="6">
        <v>1.2675000000000001</v>
      </c>
      <c r="AA491" s="6">
        <v>0.75000000000000011</v>
      </c>
      <c r="AB491" s="6">
        <v>-1.6899999999999977</v>
      </c>
      <c r="AC491" s="6">
        <v>1.6899999999999977</v>
      </c>
      <c r="AD491" s="22" t="s">
        <v>3140</v>
      </c>
      <c r="AE491" s="23">
        <f t="shared" si="29"/>
        <v>50.52</v>
      </c>
      <c r="AF491" s="24">
        <f t="shared" si="30"/>
        <v>0</v>
      </c>
      <c r="AG491" s="23">
        <f t="shared" si="31"/>
        <v>1</v>
      </c>
    </row>
    <row r="492" spans="1:33" ht="12.5" hidden="1" customHeight="1" x14ac:dyDescent="0.25">
      <c r="A492" s="12" t="s">
        <v>31</v>
      </c>
      <c r="B492" s="9">
        <v>46179</v>
      </c>
      <c r="C492" s="8" t="s">
        <v>824</v>
      </c>
      <c r="D492" s="10" t="s">
        <v>825</v>
      </c>
      <c r="E492" s="10" t="s">
        <v>51</v>
      </c>
      <c r="F492" s="10" t="s">
        <v>35</v>
      </c>
      <c r="G492" s="10" t="s">
        <v>3145</v>
      </c>
      <c r="H492" s="8" t="s">
        <v>48</v>
      </c>
      <c r="I492" s="11">
        <v>39.909999999999997</v>
      </c>
      <c r="J492" s="6">
        <v>29.932500000000001</v>
      </c>
      <c r="K492" s="6">
        <v>0.75000000000000011</v>
      </c>
      <c r="L492" s="6">
        <v>37.6</v>
      </c>
      <c r="M492" s="11">
        <v>28.2</v>
      </c>
      <c r="N492" s="11">
        <f t="shared" si="28"/>
        <v>28.2</v>
      </c>
      <c r="O492" s="6">
        <v>0.75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2.31</v>
      </c>
      <c r="Z492" s="6">
        <v>1.7324999999999999</v>
      </c>
      <c r="AA492" s="6">
        <v>0.75</v>
      </c>
      <c r="AB492" s="6">
        <v>-2.3099999999999952</v>
      </c>
      <c r="AC492" s="6">
        <v>2.3099999999999952</v>
      </c>
      <c r="AD492" s="22" t="s">
        <v>3140</v>
      </c>
      <c r="AE492" s="23">
        <f t="shared" si="29"/>
        <v>28.2</v>
      </c>
      <c r="AF492" s="24">
        <f t="shared" si="30"/>
        <v>0</v>
      </c>
      <c r="AG492" s="23">
        <f t="shared" si="31"/>
        <v>1</v>
      </c>
    </row>
    <row r="493" spans="1:33" ht="12.5" customHeight="1" x14ac:dyDescent="0.25">
      <c r="A493" s="12" t="s">
        <v>31</v>
      </c>
      <c r="B493" s="9">
        <v>46179</v>
      </c>
      <c r="C493" s="13" t="s">
        <v>824</v>
      </c>
      <c r="D493" s="10" t="s">
        <v>826</v>
      </c>
      <c r="E493" s="10" t="s">
        <v>51</v>
      </c>
      <c r="F493" s="10" t="s">
        <v>35</v>
      </c>
      <c r="G493" s="10" t="s">
        <v>3146</v>
      </c>
      <c r="H493" s="8" t="s">
        <v>36</v>
      </c>
      <c r="I493" s="11">
        <v>54.46</v>
      </c>
      <c r="J493" s="6">
        <v>49.939819999999997</v>
      </c>
      <c r="K493" s="6">
        <v>0.91699999999999993</v>
      </c>
      <c r="L493" s="6">
        <v>51.25</v>
      </c>
      <c r="M493" s="11">
        <v>46.996250000000003</v>
      </c>
      <c r="N493" s="11">
        <f t="shared" si="28"/>
        <v>46.997</v>
      </c>
      <c r="O493" s="6">
        <v>0.91700000000000004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3.21</v>
      </c>
      <c r="Z493" s="6">
        <v>2.9435699999999998</v>
      </c>
      <c r="AA493" s="6">
        <v>0.91699999999999993</v>
      </c>
      <c r="AB493" s="6">
        <v>-3.2100000000000009</v>
      </c>
      <c r="AC493" s="6">
        <v>3.2100000000000009</v>
      </c>
      <c r="AD493" s="22" t="s">
        <v>3140</v>
      </c>
      <c r="AE493" s="23">
        <f t="shared" si="29"/>
        <v>46.997</v>
      </c>
      <c r="AF493" s="24">
        <f t="shared" si="30"/>
        <v>0</v>
      </c>
      <c r="AG493" s="23">
        <f t="shared" si="31"/>
        <v>1</v>
      </c>
    </row>
    <row r="494" spans="1:33" ht="12.5" hidden="1" customHeight="1" x14ac:dyDescent="0.25">
      <c r="A494" s="12" t="s">
        <v>31</v>
      </c>
      <c r="B494" s="9">
        <v>46179</v>
      </c>
      <c r="C494" s="8" t="s">
        <v>827</v>
      </c>
      <c r="D494" s="10" t="s">
        <v>828</v>
      </c>
      <c r="E494" s="10" t="s">
        <v>51</v>
      </c>
      <c r="F494" s="10" t="s">
        <v>35</v>
      </c>
      <c r="G494" s="10" t="s">
        <v>3145</v>
      </c>
      <c r="H494" s="8" t="s">
        <v>41</v>
      </c>
      <c r="I494" s="11">
        <v>7.96</v>
      </c>
      <c r="J494" s="6">
        <v>5.97</v>
      </c>
      <c r="K494" s="6">
        <v>0.75</v>
      </c>
      <c r="L494" s="6">
        <v>7.19</v>
      </c>
      <c r="M494" s="11">
        <v>5.3925000000000001</v>
      </c>
      <c r="N494" s="11">
        <f t="shared" si="28"/>
        <v>5.3930000000000007</v>
      </c>
      <c r="O494" s="6">
        <v>0.75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0.77</v>
      </c>
      <c r="Z494" s="6">
        <v>0.57750000000000001</v>
      </c>
      <c r="AA494" s="6">
        <v>0.75</v>
      </c>
      <c r="AB494" s="6">
        <v>-0.76999999999999957</v>
      </c>
      <c r="AC494" s="6">
        <v>0.76999999999999957</v>
      </c>
      <c r="AD494" s="22" t="s">
        <v>3140</v>
      </c>
      <c r="AE494" s="23">
        <f t="shared" si="29"/>
        <v>5.3930000000000007</v>
      </c>
      <c r="AF494" s="24">
        <f t="shared" si="30"/>
        <v>0</v>
      </c>
      <c r="AG494" s="23">
        <f t="shared" si="31"/>
        <v>1</v>
      </c>
    </row>
    <row r="495" spans="1:33" ht="12.5" hidden="1" customHeight="1" x14ac:dyDescent="0.25">
      <c r="A495" s="12" t="s">
        <v>31</v>
      </c>
      <c r="B495" s="9">
        <v>46179</v>
      </c>
      <c r="C495" s="13" t="s">
        <v>827</v>
      </c>
      <c r="D495" s="10" t="s">
        <v>829</v>
      </c>
      <c r="E495" s="10" t="s">
        <v>51</v>
      </c>
      <c r="F495" s="10" t="s">
        <v>35</v>
      </c>
      <c r="G495" s="10" t="s">
        <v>3145</v>
      </c>
      <c r="H495" s="8" t="s">
        <v>48</v>
      </c>
      <c r="I495" s="11">
        <v>18.63</v>
      </c>
      <c r="J495" s="6">
        <v>13.9725</v>
      </c>
      <c r="K495" s="6">
        <v>0.75</v>
      </c>
      <c r="L495" s="6">
        <v>16.989999999999998</v>
      </c>
      <c r="M495" s="11">
        <v>12.7425</v>
      </c>
      <c r="N495" s="11">
        <f t="shared" si="28"/>
        <v>12.743</v>
      </c>
      <c r="O495" s="6">
        <v>0.75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1.64</v>
      </c>
      <c r="Z495" s="6">
        <v>1.23</v>
      </c>
      <c r="AA495" s="6">
        <v>0.75</v>
      </c>
      <c r="AB495" s="6">
        <v>-1.6400000000000006</v>
      </c>
      <c r="AC495" s="6">
        <v>1.6400000000000006</v>
      </c>
      <c r="AD495" s="22" t="s">
        <v>3140</v>
      </c>
      <c r="AE495" s="23">
        <f t="shared" si="29"/>
        <v>12.743</v>
      </c>
      <c r="AF495" s="24">
        <f t="shared" si="30"/>
        <v>0</v>
      </c>
      <c r="AG495" s="23">
        <f t="shared" si="31"/>
        <v>1</v>
      </c>
    </row>
    <row r="496" spans="1:33" ht="20" hidden="1" customHeight="1" x14ac:dyDescent="0.25">
      <c r="A496" s="12" t="s">
        <v>31</v>
      </c>
      <c r="B496" s="9">
        <v>46179</v>
      </c>
      <c r="C496" s="10" t="s">
        <v>830</v>
      </c>
      <c r="D496" s="10" t="s">
        <v>831</v>
      </c>
      <c r="E496" s="10" t="s">
        <v>51</v>
      </c>
      <c r="F496" s="10" t="s">
        <v>35</v>
      </c>
      <c r="G496" s="10" t="s">
        <v>3145</v>
      </c>
      <c r="H496" s="8" t="s">
        <v>48</v>
      </c>
      <c r="I496" s="11">
        <v>43.19</v>
      </c>
      <c r="J496" s="6">
        <v>32.392499999999998</v>
      </c>
      <c r="K496" s="6">
        <v>0.75</v>
      </c>
      <c r="L496" s="6">
        <v>41.74</v>
      </c>
      <c r="M496" s="11">
        <v>31.305</v>
      </c>
      <c r="N496" s="11">
        <f t="shared" si="28"/>
        <v>31.305</v>
      </c>
      <c r="O496" s="6">
        <v>0.75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1.45</v>
      </c>
      <c r="Z496" s="6">
        <v>1.0874999999999999</v>
      </c>
      <c r="AA496" s="6">
        <v>0.75</v>
      </c>
      <c r="AB496" s="6">
        <v>-1.4499999999999957</v>
      </c>
      <c r="AC496" s="6">
        <v>1.4499999999999957</v>
      </c>
      <c r="AD496" s="22" t="s">
        <v>3140</v>
      </c>
      <c r="AE496" s="23">
        <f t="shared" si="29"/>
        <v>31.305</v>
      </c>
      <c r="AF496" s="24">
        <f t="shared" si="30"/>
        <v>0</v>
      </c>
      <c r="AG496" s="23">
        <f t="shared" si="31"/>
        <v>1</v>
      </c>
    </row>
    <row r="497" spans="1:33" ht="20" hidden="1" customHeight="1" x14ac:dyDescent="0.25">
      <c r="A497" s="12" t="s">
        <v>31</v>
      </c>
      <c r="B497" s="9">
        <v>46179</v>
      </c>
      <c r="C497" s="10" t="s">
        <v>832</v>
      </c>
      <c r="D497" s="10" t="s">
        <v>833</v>
      </c>
      <c r="E497" s="10" t="s">
        <v>51</v>
      </c>
      <c r="F497" s="10" t="s">
        <v>35</v>
      </c>
      <c r="G497" s="10" t="s">
        <v>3145</v>
      </c>
      <c r="H497" s="8" t="s">
        <v>48</v>
      </c>
      <c r="I497" s="11">
        <v>47.04</v>
      </c>
      <c r="J497" s="6">
        <v>35.28</v>
      </c>
      <c r="K497" s="6">
        <v>0.75</v>
      </c>
      <c r="L497" s="6">
        <v>43.54</v>
      </c>
      <c r="M497" s="11">
        <v>32.655000000000001</v>
      </c>
      <c r="N497" s="11">
        <f t="shared" si="28"/>
        <v>32.655000000000001</v>
      </c>
      <c r="O497" s="6">
        <v>0.75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3.5</v>
      </c>
      <c r="Z497" s="6">
        <v>2.625</v>
      </c>
      <c r="AA497" s="6">
        <v>0.75</v>
      </c>
      <c r="AB497" s="6">
        <v>-3.5</v>
      </c>
      <c r="AC497" s="6">
        <v>3.5</v>
      </c>
      <c r="AD497" s="22" t="s">
        <v>3140</v>
      </c>
      <c r="AE497" s="23">
        <f t="shared" si="29"/>
        <v>32.655000000000001</v>
      </c>
      <c r="AF497" s="24">
        <f t="shared" si="30"/>
        <v>0</v>
      </c>
      <c r="AG497" s="23">
        <f t="shared" si="31"/>
        <v>1</v>
      </c>
    </row>
    <row r="498" spans="1:33" ht="12.5" hidden="1" customHeight="1" x14ac:dyDescent="0.25">
      <c r="A498" s="12" t="s">
        <v>31</v>
      </c>
      <c r="B498" s="9">
        <v>46179</v>
      </c>
      <c r="C498" s="8" t="s">
        <v>834</v>
      </c>
      <c r="D498" s="10" t="s">
        <v>835</v>
      </c>
      <c r="E498" s="10" t="s">
        <v>51</v>
      </c>
      <c r="F498" s="10" t="s">
        <v>35</v>
      </c>
      <c r="G498" s="10" t="s">
        <v>3145</v>
      </c>
      <c r="H498" s="8" t="s">
        <v>48</v>
      </c>
      <c r="I498" s="11">
        <v>161.88999999999999</v>
      </c>
      <c r="J498" s="6">
        <v>121.4175</v>
      </c>
      <c r="K498" s="6">
        <v>0.75000000000000011</v>
      </c>
      <c r="L498" s="6">
        <v>142.25</v>
      </c>
      <c r="M498" s="11">
        <v>106.6875</v>
      </c>
      <c r="N498" s="11">
        <f t="shared" si="28"/>
        <v>106.688</v>
      </c>
      <c r="O498" s="6">
        <v>0.75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19.64</v>
      </c>
      <c r="Z498" s="6">
        <v>14.73</v>
      </c>
      <c r="AA498" s="6">
        <v>0.75</v>
      </c>
      <c r="AB498" s="6">
        <v>-19.639999999999986</v>
      </c>
      <c r="AC498" s="6">
        <v>19.639999999999986</v>
      </c>
      <c r="AD498" s="22" t="s">
        <v>3140</v>
      </c>
      <c r="AE498" s="23">
        <f t="shared" si="29"/>
        <v>106.688</v>
      </c>
      <c r="AF498" s="24">
        <f t="shared" si="30"/>
        <v>0</v>
      </c>
      <c r="AG498" s="23">
        <f t="shared" si="31"/>
        <v>1</v>
      </c>
    </row>
    <row r="499" spans="1:33" ht="12.5" hidden="1" customHeight="1" x14ac:dyDescent="0.25">
      <c r="A499" s="12" t="s">
        <v>31</v>
      </c>
      <c r="B499" s="9">
        <v>46179</v>
      </c>
      <c r="C499" s="12" t="s">
        <v>834</v>
      </c>
      <c r="D499" s="10" t="s">
        <v>836</v>
      </c>
      <c r="E499" s="10" t="s">
        <v>51</v>
      </c>
      <c r="F499" s="10" t="s">
        <v>35</v>
      </c>
      <c r="G499" s="10" t="s">
        <v>3145</v>
      </c>
      <c r="H499" s="8" t="s">
        <v>48</v>
      </c>
      <c r="I499" s="11">
        <v>50.39</v>
      </c>
      <c r="J499" s="6">
        <v>37.792499999999997</v>
      </c>
      <c r="K499" s="6">
        <v>0.74999999999999989</v>
      </c>
      <c r="L499" s="6">
        <v>45.38</v>
      </c>
      <c r="M499" s="11">
        <v>34.034999999999997</v>
      </c>
      <c r="N499" s="11">
        <f t="shared" si="28"/>
        <v>34.034999999999997</v>
      </c>
      <c r="O499" s="6">
        <v>0.74999999999999989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5.01</v>
      </c>
      <c r="Z499" s="6">
        <v>3.7574999999999998</v>
      </c>
      <c r="AA499" s="6">
        <v>0.75</v>
      </c>
      <c r="AB499" s="6">
        <v>-5.009999999999998</v>
      </c>
      <c r="AC499" s="6">
        <v>5.009999999999998</v>
      </c>
      <c r="AD499" s="22" t="s">
        <v>3140</v>
      </c>
      <c r="AE499" s="23">
        <f t="shared" si="29"/>
        <v>34.034999999999997</v>
      </c>
      <c r="AF499" s="24">
        <f t="shared" si="30"/>
        <v>0</v>
      </c>
      <c r="AG499" s="23">
        <f t="shared" si="31"/>
        <v>1</v>
      </c>
    </row>
    <row r="500" spans="1:33" ht="12.5" hidden="1" customHeight="1" x14ac:dyDescent="0.25">
      <c r="A500" s="12" t="s">
        <v>31</v>
      </c>
      <c r="B500" s="9">
        <v>46179</v>
      </c>
      <c r="C500" s="13" t="s">
        <v>834</v>
      </c>
      <c r="D500" s="10" t="s">
        <v>837</v>
      </c>
      <c r="E500" s="10" t="s">
        <v>51</v>
      </c>
      <c r="F500" s="10" t="s">
        <v>35</v>
      </c>
      <c r="G500" s="10" t="s">
        <v>3145</v>
      </c>
      <c r="H500" s="8" t="s">
        <v>48</v>
      </c>
      <c r="I500" s="11">
        <v>22.3</v>
      </c>
      <c r="J500" s="6">
        <v>16.725000000000001</v>
      </c>
      <c r="K500" s="6">
        <v>0.75</v>
      </c>
      <c r="L500" s="6">
        <v>20.350000000000001</v>
      </c>
      <c r="M500" s="11">
        <v>15.262499999999999</v>
      </c>
      <c r="N500" s="11">
        <f t="shared" si="28"/>
        <v>15.263</v>
      </c>
      <c r="O500" s="6">
        <v>0.74999999999999989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1.95</v>
      </c>
      <c r="Z500" s="6">
        <v>1.4624999999999999</v>
      </c>
      <c r="AA500" s="6">
        <v>0.75</v>
      </c>
      <c r="AB500" s="6">
        <v>-1.9499999999999993</v>
      </c>
      <c r="AC500" s="6">
        <v>1.9499999999999993</v>
      </c>
      <c r="AD500" s="22" t="s">
        <v>3140</v>
      </c>
      <c r="AE500" s="23">
        <f t="shared" si="29"/>
        <v>15.263</v>
      </c>
      <c r="AF500" s="24">
        <f t="shared" si="30"/>
        <v>0</v>
      </c>
      <c r="AG500" s="23">
        <f t="shared" si="31"/>
        <v>1</v>
      </c>
    </row>
    <row r="501" spans="1:33" ht="12.5" hidden="1" customHeight="1" x14ac:dyDescent="0.25">
      <c r="A501" s="12" t="s">
        <v>31</v>
      </c>
      <c r="B501" s="9">
        <v>46179</v>
      </c>
      <c r="C501" s="8" t="s">
        <v>838</v>
      </c>
      <c r="D501" s="10" t="s">
        <v>839</v>
      </c>
      <c r="E501" s="10" t="s">
        <v>51</v>
      </c>
      <c r="F501" s="10" t="s">
        <v>35</v>
      </c>
      <c r="G501" s="10" t="s">
        <v>3145</v>
      </c>
      <c r="H501" s="8" t="s">
        <v>48</v>
      </c>
      <c r="I501" s="11">
        <v>22.53</v>
      </c>
      <c r="J501" s="6">
        <v>16.897500000000001</v>
      </c>
      <c r="K501" s="6">
        <v>0.75</v>
      </c>
      <c r="L501" s="6">
        <v>21.05</v>
      </c>
      <c r="M501" s="11">
        <v>15.7875</v>
      </c>
      <c r="N501" s="11">
        <f t="shared" si="28"/>
        <v>15.788</v>
      </c>
      <c r="O501" s="6">
        <v>0.75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1.48</v>
      </c>
      <c r="Z501" s="6">
        <v>1.1100000000000001</v>
      </c>
      <c r="AA501" s="6">
        <v>0.75000000000000011</v>
      </c>
      <c r="AB501" s="6">
        <v>-1.4800000000000004</v>
      </c>
      <c r="AC501" s="6">
        <v>1.4800000000000004</v>
      </c>
      <c r="AD501" s="22" t="s">
        <v>3140</v>
      </c>
      <c r="AE501" s="23">
        <f t="shared" si="29"/>
        <v>15.788</v>
      </c>
      <c r="AF501" s="24">
        <f t="shared" si="30"/>
        <v>0</v>
      </c>
      <c r="AG501" s="23">
        <f t="shared" si="31"/>
        <v>1</v>
      </c>
    </row>
    <row r="502" spans="1:33" ht="12.5" hidden="1" customHeight="1" x14ac:dyDescent="0.25">
      <c r="A502" s="12" t="s">
        <v>31</v>
      </c>
      <c r="B502" s="9">
        <v>46179</v>
      </c>
      <c r="C502" s="12" t="s">
        <v>838</v>
      </c>
      <c r="D502" s="10" t="s">
        <v>840</v>
      </c>
      <c r="E502" s="10" t="s">
        <v>51</v>
      </c>
      <c r="F502" s="10" t="s">
        <v>35</v>
      </c>
      <c r="G502" s="10" t="s">
        <v>3145</v>
      </c>
      <c r="H502" s="8" t="s">
        <v>41</v>
      </c>
      <c r="I502" s="11">
        <v>14.14</v>
      </c>
      <c r="J502" s="6">
        <v>10.605</v>
      </c>
      <c r="K502" s="6">
        <v>0.75</v>
      </c>
      <c r="L502" s="6">
        <v>13.56</v>
      </c>
      <c r="M502" s="11">
        <v>10.17</v>
      </c>
      <c r="N502" s="11">
        <f t="shared" si="28"/>
        <v>10.17</v>
      </c>
      <c r="O502" s="6">
        <v>0.75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0.57999999999999996</v>
      </c>
      <c r="Z502" s="6">
        <v>0.435</v>
      </c>
      <c r="AA502" s="6">
        <v>0.75</v>
      </c>
      <c r="AB502" s="6">
        <v>-0.58000000000000007</v>
      </c>
      <c r="AC502" s="6">
        <v>0.58000000000000007</v>
      </c>
      <c r="AD502" s="22" t="s">
        <v>3140</v>
      </c>
      <c r="AE502" s="23">
        <f t="shared" si="29"/>
        <v>10.17</v>
      </c>
      <c r="AF502" s="24">
        <f t="shared" si="30"/>
        <v>0</v>
      </c>
      <c r="AG502" s="23">
        <f t="shared" si="31"/>
        <v>1</v>
      </c>
    </row>
    <row r="503" spans="1:33" ht="12.5" hidden="1" customHeight="1" x14ac:dyDescent="0.25">
      <c r="A503" s="12" t="s">
        <v>31</v>
      </c>
      <c r="B503" s="9">
        <v>46179</v>
      </c>
      <c r="C503" s="13" t="s">
        <v>838</v>
      </c>
      <c r="D503" s="10" t="s">
        <v>841</v>
      </c>
      <c r="E503" s="10" t="s">
        <v>51</v>
      </c>
      <c r="F503" s="10" t="s">
        <v>35</v>
      </c>
      <c r="G503" s="10" t="s">
        <v>3145</v>
      </c>
      <c r="H503" s="8" t="s">
        <v>48</v>
      </c>
      <c r="I503" s="11">
        <v>14.76</v>
      </c>
      <c r="J503" s="6">
        <v>11.07</v>
      </c>
      <c r="K503" s="6">
        <v>0.75</v>
      </c>
      <c r="L503" s="6">
        <v>14.41</v>
      </c>
      <c r="M503" s="11">
        <v>10.807499999999999</v>
      </c>
      <c r="N503" s="11">
        <f t="shared" si="28"/>
        <v>10.808</v>
      </c>
      <c r="O503" s="6">
        <v>0.74999999999999989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0.35</v>
      </c>
      <c r="Z503" s="6">
        <v>0.26250000000000001</v>
      </c>
      <c r="AA503" s="6">
        <v>0.75000000000000011</v>
      </c>
      <c r="AB503" s="6">
        <v>-0.34999999999999964</v>
      </c>
      <c r="AC503" s="6">
        <v>0.34999999999999964</v>
      </c>
      <c r="AD503" s="22" t="s">
        <v>3140</v>
      </c>
      <c r="AE503" s="23">
        <f t="shared" si="29"/>
        <v>10.808</v>
      </c>
      <c r="AF503" s="24">
        <f t="shared" si="30"/>
        <v>0</v>
      </c>
      <c r="AG503" s="23">
        <f t="shared" si="31"/>
        <v>1</v>
      </c>
    </row>
    <row r="504" spans="1:33" hidden="1" x14ac:dyDescent="0.25">
      <c r="A504" s="12" t="s">
        <v>31</v>
      </c>
      <c r="B504" s="9">
        <v>46179</v>
      </c>
      <c r="C504" s="10" t="s">
        <v>842</v>
      </c>
      <c r="D504" s="10" t="s">
        <v>552</v>
      </c>
      <c r="E504" s="10" t="s">
        <v>51</v>
      </c>
      <c r="F504" s="10" t="s">
        <v>35</v>
      </c>
      <c r="G504" s="10" t="s">
        <v>3145</v>
      </c>
      <c r="H504" s="8" t="s">
        <v>41</v>
      </c>
      <c r="I504" s="11">
        <v>36.85</v>
      </c>
      <c r="J504" s="6">
        <v>27.637499999999999</v>
      </c>
      <c r="K504" s="6">
        <v>0.75</v>
      </c>
      <c r="L504" s="6">
        <v>36.76</v>
      </c>
      <c r="M504" s="11">
        <v>27.57</v>
      </c>
      <c r="N504" s="11">
        <f t="shared" si="28"/>
        <v>27.57</v>
      </c>
      <c r="O504" s="6">
        <v>0.75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0.09</v>
      </c>
      <c r="Z504" s="6">
        <v>6.7500000000000004E-2</v>
      </c>
      <c r="AA504" s="6">
        <v>0.75000000000000011</v>
      </c>
      <c r="AB504" s="6">
        <v>-9.0000000000003411E-2</v>
      </c>
      <c r="AC504" s="6">
        <v>9.0000000000003411E-2</v>
      </c>
      <c r="AD504" s="22" t="s">
        <v>3140</v>
      </c>
      <c r="AE504" s="23">
        <f t="shared" si="29"/>
        <v>27.57</v>
      </c>
      <c r="AF504" s="24">
        <f t="shared" si="30"/>
        <v>0</v>
      </c>
      <c r="AG504" s="23">
        <f t="shared" si="31"/>
        <v>2</v>
      </c>
    </row>
    <row r="505" spans="1:33" ht="20" hidden="1" customHeight="1" x14ac:dyDescent="0.25">
      <c r="A505" s="12" t="s">
        <v>31</v>
      </c>
      <c r="B505" s="9">
        <v>46179</v>
      </c>
      <c r="C505" s="10" t="s">
        <v>843</v>
      </c>
      <c r="D505" s="10" t="s">
        <v>844</v>
      </c>
      <c r="E505" s="10" t="s">
        <v>51</v>
      </c>
      <c r="F505" s="10" t="s">
        <v>35</v>
      </c>
      <c r="G505" s="10" t="s">
        <v>3145</v>
      </c>
      <c r="H505" s="8" t="s">
        <v>48</v>
      </c>
      <c r="I505" s="11">
        <v>15.78</v>
      </c>
      <c r="J505" s="6">
        <v>11.835000000000001</v>
      </c>
      <c r="K505" s="6">
        <v>0.75000000000000011</v>
      </c>
      <c r="L505" s="6">
        <v>14.47</v>
      </c>
      <c r="M505" s="11">
        <v>10.852499999999999</v>
      </c>
      <c r="N505" s="11">
        <f t="shared" si="28"/>
        <v>10.853</v>
      </c>
      <c r="O505" s="6">
        <v>0.74999999999999989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1.31</v>
      </c>
      <c r="Z505" s="6">
        <v>0.98250000000000004</v>
      </c>
      <c r="AA505" s="6">
        <v>0.75</v>
      </c>
      <c r="AB505" s="6">
        <v>-1.3099999999999987</v>
      </c>
      <c r="AC505" s="6">
        <v>1.3099999999999987</v>
      </c>
      <c r="AD505" s="22" t="s">
        <v>3140</v>
      </c>
      <c r="AE505" s="23">
        <f t="shared" si="29"/>
        <v>10.853</v>
      </c>
      <c r="AF505" s="24">
        <f t="shared" si="30"/>
        <v>0</v>
      </c>
      <c r="AG505" s="23">
        <f t="shared" si="31"/>
        <v>1</v>
      </c>
    </row>
    <row r="506" spans="1:33" ht="12.5" hidden="1" customHeight="1" x14ac:dyDescent="0.25">
      <c r="A506" s="12" t="s">
        <v>31</v>
      </c>
      <c r="B506" s="9">
        <v>46179</v>
      </c>
      <c r="C506" s="8" t="s">
        <v>845</v>
      </c>
      <c r="D506" s="10" t="s">
        <v>846</v>
      </c>
      <c r="E506" s="10" t="s">
        <v>51</v>
      </c>
      <c r="F506" s="10" t="s">
        <v>35</v>
      </c>
      <c r="G506" s="10" t="s">
        <v>3145</v>
      </c>
      <c r="H506" s="8" t="s">
        <v>41</v>
      </c>
      <c r="I506" s="11">
        <v>181.07</v>
      </c>
      <c r="J506" s="6">
        <v>135.80250000000001</v>
      </c>
      <c r="K506" s="6">
        <v>0.75000000000000011</v>
      </c>
      <c r="L506" s="6">
        <v>168.58</v>
      </c>
      <c r="M506" s="11">
        <v>126.435</v>
      </c>
      <c r="N506" s="11">
        <f t="shared" si="28"/>
        <v>126.435</v>
      </c>
      <c r="O506" s="6">
        <v>0.75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12.49</v>
      </c>
      <c r="Z506" s="6">
        <v>9.3674999999999997</v>
      </c>
      <c r="AA506" s="6">
        <v>0.75</v>
      </c>
      <c r="AB506" s="6">
        <v>-12.489999999999981</v>
      </c>
      <c r="AC506" s="6">
        <v>12.489999999999981</v>
      </c>
      <c r="AD506" s="22" t="s">
        <v>3140</v>
      </c>
      <c r="AE506" s="23">
        <f t="shared" si="29"/>
        <v>126.435</v>
      </c>
      <c r="AF506" s="24">
        <f t="shared" si="30"/>
        <v>0</v>
      </c>
      <c r="AG506" s="23">
        <f t="shared" si="31"/>
        <v>1</v>
      </c>
    </row>
    <row r="507" spans="1:33" ht="12.5" hidden="1" customHeight="1" x14ac:dyDescent="0.25">
      <c r="A507" s="12" t="s">
        <v>31</v>
      </c>
      <c r="B507" s="9">
        <v>46179</v>
      </c>
      <c r="C507" s="13" t="s">
        <v>845</v>
      </c>
      <c r="D507" s="10" t="s">
        <v>847</v>
      </c>
      <c r="E507" s="10" t="s">
        <v>51</v>
      </c>
      <c r="F507" s="10" t="s">
        <v>35</v>
      </c>
      <c r="G507" s="10" t="s">
        <v>3145</v>
      </c>
      <c r="H507" s="8" t="s">
        <v>41</v>
      </c>
      <c r="I507" s="11">
        <v>11.34</v>
      </c>
      <c r="J507" s="6">
        <v>8.5050000000000008</v>
      </c>
      <c r="K507" s="6">
        <v>0.75000000000000011</v>
      </c>
      <c r="L507" s="6">
        <v>10.75</v>
      </c>
      <c r="M507" s="11">
        <v>8.0625</v>
      </c>
      <c r="N507" s="11">
        <f t="shared" si="28"/>
        <v>8.0629999999999988</v>
      </c>
      <c r="O507" s="6">
        <v>0.75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0.59</v>
      </c>
      <c r="Z507" s="6">
        <v>0.4425</v>
      </c>
      <c r="AA507" s="6">
        <v>0.75</v>
      </c>
      <c r="AB507" s="6">
        <v>-0.58999999999999986</v>
      </c>
      <c r="AC507" s="6">
        <v>0.58999999999999986</v>
      </c>
      <c r="AD507" s="22" t="s">
        <v>3140</v>
      </c>
      <c r="AE507" s="23">
        <f t="shared" si="29"/>
        <v>8.0629999999999988</v>
      </c>
      <c r="AF507" s="24">
        <f t="shared" si="30"/>
        <v>0</v>
      </c>
      <c r="AG507" s="23">
        <f t="shared" si="31"/>
        <v>1</v>
      </c>
    </row>
    <row r="508" spans="1:33" ht="12.5" hidden="1" customHeight="1" x14ac:dyDescent="0.25">
      <c r="A508" s="12" t="s">
        <v>31</v>
      </c>
      <c r="B508" s="9">
        <v>46179</v>
      </c>
      <c r="C508" s="8" t="s">
        <v>848</v>
      </c>
      <c r="D508" s="10" t="s">
        <v>849</v>
      </c>
      <c r="E508" s="10" t="s">
        <v>51</v>
      </c>
      <c r="F508" s="10" t="s">
        <v>35</v>
      </c>
      <c r="G508" s="10" t="s">
        <v>3145</v>
      </c>
      <c r="H508" s="8" t="s">
        <v>41</v>
      </c>
      <c r="I508" s="11">
        <v>6.62</v>
      </c>
      <c r="J508" s="6">
        <v>4.9649999999999999</v>
      </c>
      <c r="K508" s="6">
        <v>0.75</v>
      </c>
      <c r="L508" s="6">
        <v>5.99</v>
      </c>
      <c r="M508" s="11">
        <v>4.4924999999999997</v>
      </c>
      <c r="N508" s="11">
        <f t="shared" si="28"/>
        <v>4.4930000000000003</v>
      </c>
      <c r="O508" s="6">
        <v>0.74999999999999989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0.63</v>
      </c>
      <c r="Z508" s="6">
        <v>0.47249999999999998</v>
      </c>
      <c r="AA508" s="6">
        <v>0.75</v>
      </c>
      <c r="AB508" s="6">
        <v>-0.62999999999999989</v>
      </c>
      <c r="AC508" s="6">
        <v>0.62999999999999989</v>
      </c>
      <c r="AD508" s="22" t="s">
        <v>3140</v>
      </c>
      <c r="AE508" s="23">
        <f t="shared" si="29"/>
        <v>4.4930000000000003</v>
      </c>
      <c r="AF508" s="24">
        <f t="shared" si="30"/>
        <v>0</v>
      </c>
      <c r="AG508" s="23">
        <f t="shared" si="31"/>
        <v>1</v>
      </c>
    </row>
    <row r="509" spans="1:33" ht="12.5" hidden="1" customHeight="1" x14ac:dyDescent="0.25">
      <c r="A509" s="12" t="s">
        <v>31</v>
      </c>
      <c r="B509" s="9">
        <v>46179</v>
      </c>
      <c r="C509" s="12" t="s">
        <v>848</v>
      </c>
      <c r="D509" s="10" t="s">
        <v>850</v>
      </c>
      <c r="E509" s="10" t="s">
        <v>51</v>
      </c>
      <c r="F509" s="10" t="s">
        <v>35</v>
      </c>
      <c r="G509" s="10" t="s">
        <v>3145</v>
      </c>
      <c r="H509" s="8" t="s">
        <v>48</v>
      </c>
      <c r="I509" s="11">
        <v>34.97</v>
      </c>
      <c r="J509" s="6">
        <v>26.227499999999999</v>
      </c>
      <c r="K509" s="6">
        <v>0.75</v>
      </c>
      <c r="L509" s="6">
        <v>32.200000000000003</v>
      </c>
      <c r="M509" s="11">
        <v>24.15</v>
      </c>
      <c r="N509" s="11">
        <f t="shared" si="28"/>
        <v>24.15</v>
      </c>
      <c r="O509" s="6">
        <v>0.74999999999999989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2.77</v>
      </c>
      <c r="Z509" s="6">
        <v>2.0775000000000001</v>
      </c>
      <c r="AA509" s="6">
        <v>0.75</v>
      </c>
      <c r="AB509" s="6">
        <v>-2.769999999999996</v>
      </c>
      <c r="AC509" s="6">
        <v>2.769999999999996</v>
      </c>
      <c r="AD509" s="22" t="s">
        <v>3140</v>
      </c>
      <c r="AE509" s="23">
        <f t="shared" si="29"/>
        <v>24.15</v>
      </c>
      <c r="AF509" s="24">
        <f t="shared" si="30"/>
        <v>0</v>
      </c>
      <c r="AG509" s="23">
        <f t="shared" si="31"/>
        <v>1</v>
      </c>
    </row>
    <row r="510" spans="1:33" ht="12.5" hidden="1" customHeight="1" x14ac:dyDescent="0.25">
      <c r="A510" s="12" t="s">
        <v>31</v>
      </c>
      <c r="B510" s="9">
        <v>46179</v>
      </c>
      <c r="C510" s="12" t="s">
        <v>848</v>
      </c>
      <c r="D510" s="10" t="s">
        <v>851</v>
      </c>
      <c r="E510" s="10" t="s">
        <v>51</v>
      </c>
      <c r="F510" s="10" t="s">
        <v>35</v>
      </c>
      <c r="G510" s="10" t="s">
        <v>3145</v>
      </c>
      <c r="H510" s="8" t="s">
        <v>48</v>
      </c>
      <c r="I510" s="11">
        <v>17.73</v>
      </c>
      <c r="J510" s="6">
        <v>13.297499999999999</v>
      </c>
      <c r="K510" s="6">
        <v>0.75</v>
      </c>
      <c r="L510" s="6">
        <v>15.86</v>
      </c>
      <c r="M510" s="11">
        <v>11.895</v>
      </c>
      <c r="N510" s="11">
        <f t="shared" si="28"/>
        <v>11.895</v>
      </c>
      <c r="O510" s="6">
        <v>0.75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1.87</v>
      </c>
      <c r="Z510" s="6">
        <v>1.4025000000000001</v>
      </c>
      <c r="AA510" s="6">
        <v>0.75</v>
      </c>
      <c r="AB510" s="6">
        <v>-1.870000000000001</v>
      </c>
      <c r="AC510" s="6">
        <v>1.870000000000001</v>
      </c>
      <c r="AD510" s="22" t="s">
        <v>3140</v>
      </c>
      <c r="AE510" s="23">
        <f t="shared" si="29"/>
        <v>11.895</v>
      </c>
      <c r="AF510" s="24">
        <f t="shared" si="30"/>
        <v>0</v>
      </c>
      <c r="AG510" s="23">
        <f t="shared" si="31"/>
        <v>1</v>
      </c>
    </row>
    <row r="511" spans="1:33" ht="12.5" hidden="1" customHeight="1" x14ac:dyDescent="0.25">
      <c r="A511" s="12" t="s">
        <v>31</v>
      </c>
      <c r="B511" s="9">
        <v>46179</v>
      </c>
      <c r="C511" s="12" t="s">
        <v>848</v>
      </c>
      <c r="D511" s="10" t="s">
        <v>852</v>
      </c>
      <c r="E511" s="10" t="s">
        <v>51</v>
      </c>
      <c r="F511" s="10" t="s">
        <v>35</v>
      </c>
      <c r="G511" s="10" t="s">
        <v>3145</v>
      </c>
      <c r="H511" s="8" t="s">
        <v>48</v>
      </c>
      <c r="I511" s="11">
        <v>14.64</v>
      </c>
      <c r="J511" s="6">
        <v>10.98</v>
      </c>
      <c r="K511" s="6">
        <v>0.75</v>
      </c>
      <c r="L511" s="6">
        <v>13.67</v>
      </c>
      <c r="M511" s="11">
        <v>10.2525</v>
      </c>
      <c r="N511" s="11">
        <f t="shared" si="28"/>
        <v>10.253</v>
      </c>
      <c r="O511" s="6">
        <v>0.75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0.97</v>
      </c>
      <c r="Z511" s="6">
        <v>0.72750000000000004</v>
      </c>
      <c r="AA511" s="6">
        <v>0.75000000000000011</v>
      </c>
      <c r="AB511" s="6">
        <v>-0.97000000000000064</v>
      </c>
      <c r="AC511" s="6">
        <v>0.97000000000000064</v>
      </c>
      <c r="AD511" s="22" t="s">
        <v>3140</v>
      </c>
      <c r="AE511" s="23">
        <f t="shared" si="29"/>
        <v>10.253</v>
      </c>
      <c r="AF511" s="24">
        <f t="shared" si="30"/>
        <v>0</v>
      </c>
      <c r="AG511" s="23">
        <f t="shared" si="31"/>
        <v>1</v>
      </c>
    </row>
    <row r="512" spans="1:33" ht="12.5" hidden="1" customHeight="1" x14ac:dyDescent="0.25">
      <c r="A512" s="12" t="s">
        <v>31</v>
      </c>
      <c r="B512" s="9">
        <v>46179</v>
      </c>
      <c r="C512" s="12" t="s">
        <v>848</v>
      </c>
      <c r="D512" s="10" t="s">
        <v>853</v>
      </c>
      <c r="E512" s="10" t="s">
        <v>51</v>
      </c>
      <c r="F512" s="10" t="s">
        <v>35</v>
      </c>
      <c r="G512" s="10" t="s">
        <v>3145</v>
      </c>
      <c r="H512" s="8" t="s">
        <v>48</v>
      </c>
      <c r="I512" s="11">
        <v>14.45</v>
      </c>
      <c r="J512" s="6">
        <v>10.8375</v>
      </c>
      <c r="K512" s="6">
        <v>0.75000000000000011</v>
      </c>
      <c r="L512" s="6">
        <v>13.28</v>
      </c>
      <c r="M512" s="11">
        <v>9.9600000000000009</v>
      </c>
      <c r="N512" s="11">
        <f t="shared" si="28"/>
        <v>9.9600000000000009</v>
      </c>
      <c r="O512" s="6">
        <v>0.75000000000000011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1.17</v>
      </c>
      <c r="Z512" s="6">
        <v>0.87749999999999995</v>
      </c>
      <c r="AA512" s="6">
        <v>0.75</v>
      </c>
      <c r="AB512" s="6">
        <v>-1.17</v>
      </c>
      <c r="AC512" s="6">
        <v>1.17</v>
      </c>
      <c r="AD512" s="22" t="s">
        <v>3140</v>
      </c>
      <c r="AE512" s="23">
        <f t="shared" si="29"/>
        <v>9.9600000000000009</v>
      </c>
      <c r="AF512" s="24">
        <f t="shared" si="30"/>
        <v>0</v>
      </c>
      <c r="AG512" s="23">
        <f t="shared" si="31"/>
        <v>1</v>
      </c>
    </row>
    <row r="513" spans="1:33" ht="12.5" customHeight="1" x14ac:dyDescent="0.25">
      <c r="A513" s="12" t="s">
        <v>31</v>
      </c>
      <c r="B513" s="9">
        <v>46179</v>
      </c>
      <c r="C513" s="13" t="s">
        <v>848</v>
      </c>
      <c r="D513" s="10" t="s">
        <v>854</v>
      </c>
      <c r="E513" s="10" t="s">
        <v>51</v>
      </c>
      <c r="F513" s="10" t="s">
        <v>35</v>
      </c>
      <c r="G513" s="10" t="s">
        <v>3146</v>
      </c>
      <c r="H513" s="8" t="s">
        <v>36</v>
      </c>
      <c r="I513" s="11">
        <v>51.22</v>
      </c>
      <c r="J513" s="6">
        <v>46.968739999999997</v>
      </c>
      <c r="K513" s="6">
        <v>0.91699999999999993</v>
      </c>
      <c r="L513" s="6">
        <v>48.5</v>
      </c>
      <c r="M513" s="11">
        <v>44.474499999999999</v>
      </c>
      <c r="N513" s="11">
        <f t="shared" si="28"/>
        <v>44.474999999999994</v>
      </c>
      <c r="O513" s="6">
        <v>0.91699999999999993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2.72</v>
      </c>
      <c r="Z513" s="6">
        <v>2.49424</v>
      </c>
      <c r="AA513" s="6">
        <v>0.91699999999999993</v>
      </c>
      <c r="AB513" s="6">
        <v>-2.7199999999999989</v>
      </c>
      <c r="AC513" s="6">
        <v>2.7199999999999989</v>
      </c>
      <c r="AD513" s="22" t="s">
        <v>3140</v>
      </c>
      <c r="AE513" s="23">
        <f t="shared" si="29"/>
        <v>44.474999999999994</v>
      </c>
      <c r="AF513" s="24">
        <f t="shared" si="30"/>
        <v>0</v>
      </c>
      <c r="AG513" s="23">
        <f t="shared" si="31"/>
        <v>1</v>
      </c>
    </row>
    <row r="514" spans="1:33" ht="12.5" hidden="1" customHeight="1" x14ac:dyDescent="0.25">
      <c r="A514" s="12" t="s">
        <v>31</v>
      </c>
      <c r="B514" s="9">
        <v>46179</v>
      </c>
      <c r="C514" s="8" t="s">
        <v>855</v>
      </c>
      <c r="D514" s="10" t="s">
        <v>856</v>
      </c>
      <c r="E514" s="10" t="s">
        <v>51</v>
      </c>
      <c r="F514" s="10" t="s">
        <v>35</v>
      </c>
      <c r="G514" s="10" t="s">
        <v>3145</v>
      </c>
      <c r="H514" s="8" t="s">
        <v>48</v>
      </c>
      <c r="I514" s="11">
        <v>17.79</v>
      </c>
      <c r="J514" s="6">
        <v>13.342499999999999</v>
      </c>
      <c r="K514" s="6">
        <v>0.75</v>
      </c>
      <c r="L514" s="6">
        <v>16.100000000000001</v>
      </c>
      <c r="M514" s="11">
        <v>12.074999999999999</v>
      </c>
      <c r="N514" s="11">
        <f t="shared" si="28"/>
        <v>12.074999999999999</v>
      </c>
      <c r="O514" s="6">
        <v>0.74999999999999989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1.69</v>
      </c>
      <c r="Z514" s="6">
        <v>1.2675000000000001</v>
      </c>
      <c r="AA514" s="6">
        <v>0.75000000000000011</v>
      </c>
      <c r="AB514" s="6">
        <v>-1.6899999999999977</v>
      </c>
      <c r="AC514" s="6">
        <v>1.6899999999999977</v>
      </c>
      <c r="AD514" s="22" t="s">
        <v>3140</v>
      </c>
      <c r="AE514" s="23">
        <f t="shared" si="29"/>
        <v>12.074999999999999</v>
      </c>
      <c r="AF514" s="24">
        <f t="shared" si="30"/>
        <v>0</v>
      </c>
      <c r="AG514" s="23">
        <f t="shared" si="31"/>
        <v>1</v>
      </c>
    </row>
    <row r="515" spans="1:33" ht="12.5" hidden="1" customHeight="1" x14ac:dyDescent="0.25">
      <c r="A515" s="12" t="s">
        <v>31</v>
      </c>
      <c r="B515" s="9">
        <v>46179</v>
      </c>
      <c r="C515" s="12" t="s">
        <v>855</v>
      </c>
      <c r="D515" s="10" t="s">
        <v>857</v>
      </c>
      <c r="E515" s="10" t="s">
        <v>51</v>
      </c>
      <c r="F515" s="10" t="s">
        <v>35</v>
      </c>
      <c r="G515" s="10" t="s">
        <v>3145</v>
      </c>
      <c r="H515" s="8" t="s">
        <v>48</v>
      </c>
      <c r="I515" s="11">
        <v>16.79</v>
      </c>
      <c r="J515" s="6">
        <v>12.592499999999999</v>
      </c>
      <c r="K515" s="6">
        <v>0.75</v>
      </c>
      <c r="L515" s="6">
        <v>15.93</v>
      </c>
      <c r="M515" s="11">
        <v>11.9475</v>
      </c>
      <c r="N515" s="11">
        <f t="shared" ref="N515:N578" si="32">ROUNDUP(M515,3)</f>
        <v>11.947999999999999</v>
      </c>
      <c r="O515" s="6">
        <v>0.75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0.86</v>
      </c>
      <c r="Z515" s="6">
        <v>0.64500000000000002</v>
      </c>
      <c r="AA515" s="6">
        <v>0.75</v>
      </c>
      <c r="AB515" s="6">
        <v>-0.85999999999999943</v>
      </c>
      <c r="AC515" s="6">
        <v>0.85999999999999943</v>
      </c>
      <c r="AD515" s="22" t="s">
        <v>3140</v>
      </c>
      <c r="AE515" s="23">
        <f t="shared" ref="AE515:AE578" si="33">_xlfn.MINIFS(N:N,D:D,D515)</f>
        <v>11.947999999999999</v>
      </c>
      <c r="AF515" s="24">
        <f t="shared" ref="AF515:AF578" si="34">N515-AE515</f>
        <v>0</v>
      </c>
      <c r="AG515" s="23">
        <f t="shared" ref="AG515:AG578" si="35">COUNTIF(D:D,D515)</f>
        <v>1</v>
      </c>
    </row>
    <row r="516" spans="1:33" ht="12.5" hidden="1" customHeight="1" x14ac:dyDescent="0.25">
      <c r="A516" s="12" t="s">
        <v>31</v>
      </c>
      <c r="B516" s="9">
        <v>46179</v>
      </c>
      <c r="C516" s="12" t="s">
        <v>855</v>
      </c>
      <c r="D516" s="10" t="s">
        <v>858</v>
      </c>
      <c r="E516" s="10" t="s">
        <v>51</v>
      </c>
      <c r="F516" s="10" t="s">
        <v>35</v>
      </c>
      <c r="G516" s="10" t="s">
        <v>3145</v>
      </c>
      <c r="H516" s="8" t="s">
        <v>48</v>
      </c>
      <c r="I516" s="11">
        <v>14.59</v>
      </c>
      <c r="J516" s="6">
        <v>10.942500000000001</v>
      </c>
      <c r="K516" s="6">
        <v>0.75000000000000011</v>
      </c>
      <c r="L516" s="6">
        <v>13.6</v>
      </c>
      <c r="M516" s="11">
        <v>10.199999999999999</v>
      </c>
      <c r="N516" s="11">
        <f t="shared" si="32"/>
        <v>10.199999999999999</v>
      </c>
      <c r="O516" s="6">
        <v>0.75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0.99</v>
      </c>
      <c r="Z516" s="6">
        <v>0.74250000000000005</v>
      </c>
      <c r="AA516" s="6">
        <v>0.75000000000000011</v>
      </c>
      <c r="AB516" s="6">
        <v>-0.99000000000000021</v>
      </c>
      <c r="AC516" s="6">
        <v>0.99000000000000021</v>
      </c>
      <c r="AD516" s="22" t="s">
        <v>3140</v>
      </c>
      <c r="AE516" s="23">
        <f t="shared" si="33"/>
        <v>10.199999999999999</v>
      </c>
      <c r="AF516" s="24">
        <f t="shared" si="34"/>
        <v>0</v>
      </c>
      <c r="AG516" s="23">
        <f t="shared" si="35"/>
        <v>1</v>
      </c>
    </row>
    <row r="517" spans="1:33" ht="12.5" hidden="1" customHeight="1" x14ac:dyDescent="0.25">
      <c r="A517" s="12" t="s">
        <v>31</v>
      </c>
      <c r="B517" s="9">
        <v>46179</v>
      </c>
      <c r="C517" s="12" t="s">
        <v>855</v>
      </c>
      <c r="D517" s="10" t="s">
        <v>859</v>
      </c>
      <c r="E517" s="10" t="s">
        <v>51</v>
      </c>
      <c r="F517" s="10" t="s">
        <v>35</v>
      </c>
      <c r="G517" s="10" t="s">
        <v>3145</v>
      </c>
      <c r="H517" s="8" t="s">
        <v>48</v>
      </c>
      <c r="I517" s="11">
        <v>18.510000000000002</v>
      </c>
      <c r="J517" s="6">
        <v>13.8825</v>
      </c>
      <c r="K517" s="6">
        <v>0.75</v>
      </c>
      <c r="L517" s="6">
        <v>17.02</v>
      </c>
      <c r="M517" s="11">
        <v>12.765000000000001</v>
      </c>
      <c r="N517" s="11">
        <f t="shared" si="32"/>
        <v>12.765000000000001</v>
      </c>
      <c r="O517" s="6">
        <v>0.75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1.49</v>
      </c>
      <c r="Z517" s="6">
        <v>1.1174999999999999</v>
      </c>
      <c r="AA517" s="6">
        <v>0.75</v>
      </c>
      <c r="AB517" s="6">
        <v>-1.490000000000002</v>
      </c>
      <c r="AC517" s="6">
        <v>1.490000000000002</v>
      </c>
      <c r="AD517" s="22" t="s">
        <v>3140</v>
      </c>
      <c r="AE517" s="23">
        <f t="shared" si="33"/>
        <v>12.765000000000001</v>
      </c>
      <c r="AF517" s="24">
        <f t="shared" si="34"/>
        <v>0</v>
      </c>
      <c r="AG517" s="23">
        <f t="shared" si="35"/>
        <v>2</v>
      </c>
    </row>
    <row r="518" spans="1:33" ht="12.5" hidden="1" customHeight="1" x14ac:dyDescent="0.25">
      <c r="A518" s="12" t="s">
        <v>31</v>
      </c>
      <c r="B518" s="9">
        <v>46179</v>
      </c>
      <c r="C518" s="12" t="s">
        <v>855</v>
      </c>
      <c r="D518" s="10" t="s">
        <v>860</v>
      </c>
      <c r="E518" s="10" t="s">
        <v>51</v>
      </c>
      <c r="F518" s="10" t="s">
        <v>35</v>
      </c>
      <c r="G518" s="10" t="s">
        <v>3145</v>
      </c>
      <c r="H518" s="8" t="s">
        <v>48</v>
      </c>
      <c r="I518" s="11">
        <v>11.64</v>
      </c>
      <c r="J518" s="6">
        <v>8.73</v>
      </c>
      <c r="K518" s="6">
        <v>0.75</v>
      </c>
      <c r="L518" s="6">
        <v>10.96</v>
      </c>
      <c r="M518" s="11">
        <v>8.2200000000000006</v>
      </c>
      <c r="N518" s="11">
        <f t="shared" si="32"/>
        <v>8.2200000000000006</v>
      </c>
      <c r="O518" s="6">
        <v>0.75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0.68</v>
      </c>
      <c r="Z518" s="6">
        <v>0.51</v>
      </c>
      <c r="AA518" s="6">
        <v>0.75</v>
      </c>
      <c r="AB518" s="6">
        <v>-0.67999999999999972</v>
      </c>
      <c r="AC518" s="6">
        <v>0.67999999999999972</v>
      </c>
      <c r="AD518" s="22" t="s">
        <v>3140</v>
      </c>
      <c r="AE518" s="23">
        <f t="shared" si="33"/>
        <v>8.2200000000000006</v>
      </c>
      <c r="AF518" s="24">
        <f t="shared" si="34"/>
        <v>0</v>
      </c>
      <c r="AG518" s="23">
        <f t="shared" si="35"/>
        <v>1</v>
      </c>
    </row>
    <row r="519" spans="1:33" ht="12.5" hidden="1" customHeight="1" x14ac:dyDescent="0.25">
      <c r="A519" s="12" t="s">
        <v>31</v>
      </c>
      <c r="B519" s="9">
        <v>46179</v>
      </c>
      <c r="C519" s="12" t="s">
        <v>855</v>
      </c>
      <c r="D519" s="10" t="s">
        <v>861</v>
      </c>
      <c r="E519" s="10" t="s">
        <v>51</v>
      </c>
      <c r="F519" s="10" t="s">
        <v>35</v>
      </c>
      <c r="G519" s="10" t="s">
        <v>3145</v>
      </c>
      <c r="H519" s="8" t="s">
        <v>48</v>
      </c>
      <c r="I519" s="11">
        <v>17.36</v>
      </c>
      <c r="J519" s="6">
        <v>13.02</v>
      </c>
      <c r="K519" s="6">
        <v>0.75</v>
      </c>
      <c r="L519" s="6">
        <v>15.83</v>
      </c>
      <c r="M519" s="11">
        <v>11.8725</v>
      </c>
      <c r="N519" s="11">
        <f t="shared" si="32"/>
        <v>11.872999999999999</v>
      </c>
      <c r="O519" s="6">
        <v>0.75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1.53</v>
      </c>
      <c r="Z519" s="6">
        <v>1.1475</v>
      </c>
      <c r="AA519" s="6">
        <v>0.75</v>
      </c>
      <c r="AB519" s="6">
        <v>-1.5299999999999994</v>
      </c>
      <c r="AC519" s="6">
        <v>1.5299999999999994</v>
      </c>
      <c r="AD519" s="22" t="s">
        <v>3140</v>
      </c>
      <c r="AE519" s="23">
        <f t="shared" si="33"/>
        <v>11.872999999999999</v>
      </c>
      <c r="AF519" s="24">
        <f t="shared" si="34"/>
        <v>0</v>
      </c>
      <c r="AG519" s="23">
        <f t="shared" si="35"/>
        <v>1</v>
      </c>
    </row>
    <row r="520" spans="1:33" ht="12.5" hidden="1" customHeight="1" x14ac:dyDescent="0.25">
      <c r="A520" s="12" t="s">
        <v>31</v>
      </c>
      <c r="B520" s="9">
        <v>46179</v>
      </c>
      <c r="C520" s="12" t="s">
        <v>855</v>
      </c>
      <c r="D520" s="10" t="s">
        <v>862</v>
      </c>
      <c r="E520" s="10" t="s">
        <v>51</v>
      </c>
      <c r="F520" s="10" t="s">
        <v>35</v>
      </c>
      <c r="G520" s="10" t="s">
        <v>3145</v>
      </c>
      <c r="H520" s="8" t="s">
        <v>48</v>
      </c>
      <c r="I520" s="11">
        <v>20.88</v>
      </c>
      <c r="J520" s="6">
        <v>15.66</v>
      </c>
      <c r="K520" s="6">
        <v>0.75</v>
      </c>
      <c r="L520" s="6">
        <v>19.399999999999999</v>
      </c>
      <c r="M520" s="11">
        <v>14.55</v>
      </c>
      <c r="N520" s="11">
        <f t="shared" si="32"/>
        <v>14.55</v>
      </c>
      <c r="O520" s="6">
        <v>0.75000000000000011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1.48</v>
      </c>
      <c r="Z520" s="6">
        <v>1.1100000000000001</v>
      </c>
      <c r="AA520" s="6">
        <v>0.75000000000000011</v>
      </c>
      <c r="AB520" s="6">
        <v>-1.4800000000000004</v>
      </c>
      <c r="AC520" s="6">
        <v>1.4800000000000004</v>
      </c>
      <c r="AD520" s="22" t="s">
        <v>3140</v>
      </c>
      <c r="AE520" s="23">
        <f t="shared" si="33"/>
        <v>14.55</v>
      </c>
      <c r="AF520" s="24">
        <f t="shared" si="34"/>
        <v>0</v>
      </c>
      <c r="AG520" s="23">
        <f t="shared" si="35"/>
        <v>1</v>
      </c>
    </row>
    <row r="521" spans="1:33" ht="12.5" hidden="1" customHeight="1" x14ac:dyDescent="0.25">
      <c r="A521" s="12" t="s">
        <v>31</v>
      </c>
      <c r="B521" s="9">
        <v>46179</v>
      </c>
      <c r="C521" s="12" t="s">
        <v>855</v>
      </c>
      <c r="D521" s="10" t="s">
        <v>863</v>
      </c>
      <c r="E521" s="10" t="s">
        <v>51</v>
      </c>
      <c r="F521" s="10" t="s">
        <v>35</v>
      </c>
      <c r="G521" s="10" t="s">
        <v>3145</v>
      </c>
      <c r="H521" s="8" t="s">
        <v>48</v>
      </c>
      <c r="I521" s="11">
        <v>20.22</v>
      </c>
      <c r="J521" s="6">
        <v>15.164999999999999</v>
      </c>
      <c r="K521" s="6">
        <v>0.75</v>
      </c>
      <c r="L521" s="6">
        <v>18.829999999999998</v>
      </c>
      <c r="M521" s="11">
        <v>14.1225</v>
      </c>
      <c r="N521" s="11">
        <f t="shared" si="32"/>
        <v>14.122999999999999</v>
      </c>
      <c r="O521" s="6">
        <v>0.75000000000000011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1.39</v>
      </c>
      <c r="Z521" s="6">
        <v>1.0425</v>
      </c>
      <c r="AA521" s="6">
        <v>0.75</v>
      </c>
      <c r="AB521" s="6">
        <v>-1.3900000000000006</v>
      </c>
      <c r="AC521" s="6">
        <v>1.3900000000000006</v>
      </c>
      <c r="AD521" s="22" t="s">
        <v>3140</v>
      </c>
      <c r="AE521" s="23">
        <f t="shared" si="33"/>
        <v>14.122999999999999</v>
      </c>
      <c r="AF521" s="24">
        <f t="shared" si="34"/>
        <v>0</v>
      </c>
      <c r="AG521" s="23">
        <f t="shared" si="35"/>
        <v>1</v>
      </c>
    </row>
    <row r="522" spans="1:33" ht="12.5" hidden="1" customHeight="1" x14ac:dyDescent="0.25">
      <c r="A522" s="12" t="s">
        <v>31</v>
      </c>
      <c r="B522" s="9">
        <v>46179</v>
      </c>
      <c r="C522" s="13" t="s">
        <v>855</v>
      </c>
      <c r="D522" s="10" t="s">
        <v>864</v>
      </c>
      <c r="E522" s="10" t="s">
        <v>51</v>
      </c>
      <c r="F522" s="10" t="s">
        <v>35</v>
      </c>
      <c r="G522" s="10" t="s">
        <v>3145</v>
      </c>
      <c r="H522" s="8" t="s">
        <v>48</v>
      </c>
      <c r="I522" s="11">
        <v>18.700600000000001</v>
      </c>
      <c r="J522" s="6">
        <v>14.025449999999999</v>
      </c>
      <c r="K522" s="6">
        <v>0.74999999999999989</v>
      </c>
      <c r="L522" s="6">
        <v>16.880600000000001</v>
      </c>
      <c r="M522" s="11">
        <v>12.660450000000001</v>
      </c>
      <c r="N522" s="11">
        <f t="shared" si="32"/>
        <v>12.661</v>
      </c>
      <c r="O522" s="6">
        <v>0.75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1.82</v>
      </c>
      <c r="Z522" s="6">
        <v>1.365</v>
      </c>
      <c r="AA522" s="6">
        <v>0.75</v>
      </c>
      <c r="AB522" s="6">
        <v>-1.8200000000000003</v>
      </c>
      <c r="AC522" s="6">
        <v>1.8200000000000003</v>
      </c>
      <c r="AD522" s="22" t="s">
        <v>3140</v>
      </c>
      <c r="AE522" s="23">
        <f t="shared" si="33"/>
        <v>12.661</v>
      </c>
      <c r="AF522" s="24">
        <f t="shared" si="34"/>
        <v>0</v>
      </c>
      <c r="AG522" s="23">
        <f t="shared" si="35"/>
        <v>1</v>
      </c>
    </row>
    <row r="523" spans="1:33" ht="20" hidden="1" customHeight="1" x14ac:dyDescent="0.25">
      <c r="A523" s="12" t="s">
        <v>31</v>
      </c>
      <c r="B523" s="9">
        <v>46179</v>
      </c>
      <c r="C523" s="10" t="s">
        <v>865</v>
      </c>
      <c r="D523" s="10" t="s">
        <v>866</v>
      </c>
      <c r="E523" s="10" t="s">
        <v>51</v>
      </c>
      <c r="F523" s="10" t="s">
        <v>35</v>
      </c>
      <c r="G523" s="10" t="s">
        <v>3145</v>
      </c>
      <c r="H523" s="8" t="s">
        <v>48</v>
      </c>
      <c r="I523" s="11">
        <v>35.979999999999997</v>
      </c>
      <c r="J523" s="6">
        <v>26.984999999999999</v>
      </c>
      <c r="K523" s="6">
        <v>0.75</v>
      </c>
      <c r="L523" s="6">
        <v>35.28</v>
      </c>
      <c r="M523" s="11">
        <v>26.46</v>
      </c>
      <c r="N523" s="11">
        <f t="shared" si="32"/>
        <v>26.46</v>
      </c>
      <c r="O523" s="6">
        <v>0.75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0.7</v>
      </c>
      <c r="Z523" s="6">
        <v>0.52500000000000002</v>
      </c>
      <c r="AA523" s="6">
        <v>0.75000000000000011</v>
      </c>
      <c r="AB523" s="6">
        <v>-0.69999999999999574</v>
      </c>
      <c r="AC523" s="6">
        <v>0.69999999999999574</v>
      </c>
      <c r="AD523" s="22" t="s">
        <v>3140</v>
      </c>
      <c r="AE523" s="23">
        <f t="shared" si="33"/>
        <v>26.46</v>
      </c>
      <c r="AF523" s="24">
        <f t="shared" si="34"/>
        <v>0</v>
      </c>
      <c r="AG523" s="23">
        <f t="shared" si="35"/>
        <v>1</v>
      </c>
    </row>
    <row r="524" spans="1:33" x14ac:dyDescent="0.25">
      <c r="A524" s="12" t="s">
        <v>31</v>
      </c>
      <c r="B524" s="9">
        <v>46179</v>
      </c>
      <c r="C524" s="10" t="s">
        <v>867</v>
      </c>
      <c r="D524" s="10" t="s">
        <v>868</v>
      </c>
      <c r="E524" s="10" t="s">
        <v>51</v>
      </c>
      <c r="F524" s="10" t="s">
        <v>35</v>
      </c>
      <c r="G524" s="10" t="s">
        <v>3146</v>
      </c>
      <c r="H524" s="8" t="s">
        <v>36</v>
      </c>
      <c r="I524" s="11">
        <v>1.36</v>
      </c>
      <c r="J524" s="6">
        <v>1.24712</v>
      </c>
      <c r="K524" s="6">
        <v>0.91699999999999993</v>
      </c>
      <c r="L524" s="6">
        <v>1.27</v>
      </c>
      <c r="M524" s="11">
        <v>1.16459</v>
      </c>
      <c r="N524" s="11">
        <f t="shared" si="32"/>
        <v>1.1649999999999998</v>
      </c>
      <c r="O524" s="6">
        <v>0.91700000000000004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0.09</v>
      </c>
      <c r="Z524" s="6">
        <v>8.2530000000000006E-2</v>
      </c>
      <c r="AA524" s="6">
        <v>0.91700000000000015</v>
      </c>
      <c r="AB524" s="6">
        <v>-9.000000000000008E-2</v>
      </c>
      <c r="AC524" s="6">
        <v>9.000000000000008E-2</v>
      </c>
      <c r="AD524" s="22" t="s">
        <v>3140</v>
      </c>
      <c r="AE524" s="23">
        <f t="shared" si="33"/>
        <v>1.1649999999999998</v>
      </c>
      <c r="AF524" s="24">
        <f t="shared" si="34"/>
        <v>0</v>
      </c>
      <c r="AG524" s="23">
        <f t="shared" si="35"/>
        <v>1</v>
      </c>
    </row>
    <row r="525" spans="1:33" x14ac:dyDescent="0.25">
      <c r="A525" s="12" t="s">
        <v>31</v>
      </c>
      <c r="B525" s="9">
        <v>46179</v>
      </c>
      <c r="C525" s="10" t="s">
        <v>869</v>
      </c>
      <c r="D525" s="10" t="s">
        <v>870</v>
      </c>
      <c r="E525" s="10" t="s">
        <v>51</v>
      </c>
      <c r="F525" s="10" t="s">
        <v>35</v>
      </c>
      <c r="G525" s="10" t="s">
        <v>3146</v>
      </c>
      <c r="H525" s="8" t="s">
        <v>36</v>
      </c>
      <c r="I525" s="11">
        <v>3.07</v>
      </c>
      <c r="J525" s="6">
        <v>2.8151899999999999</v>
      </c>
      <c r="K525" s="6">
        <v>0.91700000000000004</v>
      </c>
      <c r="L525" s="6">
        <v>2.85</v>
      </c>
      <c r="M525" s="11">
        <v>2.6134499999999998</v>
      </c>
      <c r="N525" s="11">
        <f t="shared" si="32"/>
        <v>2.6139999999999999</v>
      </c>
      <c r="O525" s="6">
        <v>0.91699999999999993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0.22</v>
      </c>
      <c r="Z525" s="6">
        <v>0.20174</v>
      </c>
      <c r="AA525" s="6">
        <v>0.91700000000000004</v>
      </c>
      <c r="AB525" s="6">
        <v>-0.21999999999999975</v>
      </c>
      <c r="AC525" s="6">
        <v>0.21999999999999975</v>
      </c>
      <c r="AD525" s="22" t="s">
        <v>3140</v>
      </c>
      <c r="AE525" s="23">
        <f t="shared" si="33"/>
        <v>2.6139999999999999</v>
      </c>
      <c r="AF525" s="24">
        <f t="shared" si="34"/>
        <v>0</v>
      </c>
      <c r="AG525" s="23">
        <f t="shared" si="35"/>
        <v>1</v>
      </c>
    </row>
    <row r="526" spans="1:33" ht="20" hidden="1" customHeight="1" x14ac:dyDescent="0.25">
      <c r="A526" s="12" t="s">
        <v>31</v>
      </c>
      <c r="B526" s="9">
        <v>46179</v>
      </c>
      <c r="C526" s="10" t="s">
        <v>871</v>
      </c>
      <c r="D526" s="10" t="s">
        <v>872</v>
      </c>
      <c r="E526" s="10" t="s">
        <v>51</v>
      </c>
      <c r="F526" s="10" t="s">
        <v>35</v>
      </c>
      <c r="G526" s="10" t="s">
        <v>3145</v>
      </c>
      <c r="H526" s="8" t="s">
        <v>48</v>
      </c>
      <c r="I526" s="11">
        <v>19.010000000000002</v>
      </c>
      <c r="J526" s="6">
        <v>14.2575</v>
      </c>
      <c r="K526" s="6">
        <v>0.75</v>
      </c>
      <c r="L526" s="6">
        <v>17.48</v>
      </c>
      <c r="M526" s="11">
        <v>13.11</v>
      </c>
      <c r="N526" s="11">
        <f t="shared" si="32"/>
        <v>13.11</v>
      </c>
      <c r="O526" s="6">
        <v>0.75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1.53</v>
      </c>
      <c r="Z526" s="6">
        <v>1.1475</v>
      </c>
      <c r="AA526" s="6">
        <v>0.75</v>
      </c>
      <c r="AB526" s="6">
        <v>-1.5300000000000011</v>
      </c>
      <c r="AC526" s="6">
        <v>1.5300000000000011</v>
      </c>
      <c r="AD526" s="22" t="s">
        <v>3140</v>
      </c>
      <c r="AE526" s="23">
        <f t="shared" si="33"/>
        <v>13.11</v>
      </c>
      <c r="AF526" s="24">
        <f t="shared" si="34"/>
        <v>0</v>
      </c>
      <c r="AG526" s="23">
        <f t="shared" si="35"/>
        <v>1</v>
      </c>
    </row>
    <row r="527" spans="1:33" x14ac:dyDescent="0.25">
      <c r="A527" s="12" t="s">
        <v>31</v>
      </c>
      <c r="B527" s="9">
        <v>46179</v>
      </c>
      <c r="C527" s="10" t="s">
        <v>873</v>
      </c>
      <c r="D527" s="10" t="s">
        <v>874</v>
      </c>
      <c r="E527" s="10" t="s">
        <v>51</v>
      </c>
      <c r="F527" s="10" t="s">
        <v>35</v>
      </c>
      <c r="G527" s="10" t="s">
        <v>3146</v>
      </c>
      <c r="H527" s="8" t="s">
        <v>36</v>
      </c>
      <c r="I527" s="11">
        <v>1.21</v>
      </c>
      <c r="J527" s="6">
        <v>1.1095699999999999</v>
      </c>
      <c r="K527" s="6">
        <v>0.91699999999999993</v>
      </c>
      <c r="L527" s="6">
        <v>1.17</v>
      </c>
      <c r="M527" s="11">
        <v>1.0728899999999999</v>
      </c>
      <c r="N527" s="11">
        <f t="shared" si="32"/>
        <v>1.073</v>
      </c>
      <c r="O527" s="6">
        <v>0.91699999999999993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0.04</v>
      </c>
      <c r="Z527" s="6">
        <v>3.6679999999999997E-2</v>
      </c>
      <c r="AA527" s="6">
        <v>0.91699999999999993</v>
      </c>
      <c r="AB527" s="6">
        <v>-4.0000000000000036E-2</v>
      </c>
      <c r="AC527" s="6">
        <v>4.0000000000000036E-2</v>
      </c>
      <c r="AD527" s="22" t="s">
        <v>3140</v>
      </c>
      <c r="AE527" s="23">
        <f t="shared" si="33"/>
        <v>1.073</v>
      </c>
      <c r="AF527" s="24">
        <f t="shared" si="34"/>
        <v>0</v>
      </c>
      <c r="AG527" s="23">
        <f t="shared" si="35"/>
        <v>1</v>
      </c>
    </row>
    <row r="528" spans="1:33" hidden="1" x14ac:dyDescent="0.25">
      <c r="A528" s="12" t="s">
        <v>31</v>
      </c>
      <c r="B528" s="9">
        <v>46179</v>
      </c>
      <c r="C528" s="10" t="s">
        <v>875</v>
      </c>
      <c r="D528" s="10" t="s">
        <v>876</v>
      </c>
      <c r="E528" s="10" t="s">
        <v>51</v>
      </c>
      <c r="F528" s="10" t="s">
        <v>35</v>
      </c>
      <c r="G528" s="10" t="s">
        <v>3145</v>
      </c>
      <c r="H528" s="8" t="s">
        <v>41</v>
      </c>
      <c r="I528" s="11">
        <v>25.21</v>
      </c>
      <c r="J528" s="6">
        <v>18.907499999999999</v>
      </c>
      <c r="K528" s="6">
        <v>0.74999999999999989</v>
      </c>
      <c r="L528" s="6">
        <v>22.48</v>
      </c>
      <c r="M528" s="11">
        <v>16.86</v>
      </c>
      <c r="N528" s="11">
        <f t="shared" si="32"/>
        <v>16.86</v>
      </c>
      <c r="O528" s="6">
        <v>0.75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2.73</v>
      </c>
      <c r="Z528" s="6">
        <v>2.0474999999999999</v>
      </c>
      <c r="AA528" s="6">
        <v>0.75</v>
      </c>
      <c r="AB528" s="6">
        <v>-2.7300000000000004</v>
      </c>
      <c r="AC528" s="6">
        <v>2.7300000000000004</v>
      </c>
      <c r="AD528" s="22" t="s">
        <v>3140</v>
      </c>
      <c r="AE528" s="23">
        <f t="shared" si="33"/>
        <v>16.86</v>
      </c>
      <c r="AF528" s="24">
        <f t="shared" si="34"/>
        <v>0</v>
      </c>
      <c r="AG528" s="23">
        <f t="shared" si="35"/>
        <v>1</v>
      </c>
    </row>
    <row r="529" spans="1:33" ht="20" hidden="1" customHeight="1" x14ac:dyDescent="0.25">
      <c r="A529" s="12" t="s">
        <v>31</v>
      </c>
      <c r="B529" s="9">
        <v>46179</v>
      </c>
      <c r="C529" s="10" t="s">
        <v>877</v>
      </c>
      <c r="D529" s="10" t="s">
        <v>878</v>
      </c>
      <c r="E529" s="10" t="s">
        <v>51</v>
      </c>
      <c r="F529" s="10" t="s">
        <v>35</v>
      </c>
      <c r="G529" s="10" t="s">
        <v>3145</v>
      </c>
      <c r="H529" s="8" t="s">
        <v>48</v>
      </c>
      <c r="I529" s="11">
        <v>18.09</v>
      </c>
      <c r="J529" s="6">
        <v>13.567500000000001</v>
      </c>
      <c r="K529" s="6">
        <v>0.75</v>
      </c>
      <c r="L529" s="6">
        <v>16.850000000000001</v>
      </c>
      <c r="M529" s="11">
        <v>12.637499999999999</v>
      </c>
      <c r="N529" s="11">
        <f t="shared" si="32"/>
        <v>12.638</v>
      </c>
      <c r="O529" s="6">
        <v>0.74999999999999989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1.24</v>
      </c>
      <c r="Z529" s="6">
        <v>0.93</v>
      </c>
      <c r="AA529" s="6">
        <v>0.75</v>
      </c>
      <c r="AB529" s="6">
        <v>-1.2399999999999984</v>
      </c>
      <c r="AC529" s="6">
        <v>1.2399999999999984</v>
      </c>
      <c r="AD529" s="22" t="s">
        <v>3140</v>
      </c>
      <c r="AE529" s="23">
        <f t="shared" si="33"/>
        <v>12.638</v>
      </c>
      <c r="AF529" s="24">
        <f t="shared" si="34"/>
        <v>0</v>
      </c>
      <c r="AG529" s="23">
        <f t="shared" si="35"/>
        <v>1</v>
      </c>
    </row>
    <row r="530" spans="1:33" x14ac:dyDescent="0.25">
      <c r="A530" s="12" t="s">
        <v>31</v>
      </c>
      <c r="B530" s="9">
        <v>46179</v>
      </c>
      <c r="C530" s="10" t="s">
        <v>879</v>
      </c>
      <c r="D530" s="10" t="s">
        <v>880</v>
      </c>
      <c r="E530" s="10" t="s">
        <v>51</v>
      </c>
      <c r="F530" s="10" t="s">
        <v>35</v>
      </c>
      <c r="G530" s="10" t="s">
        <v>3146</v>
      </c>
      <c r="H530" s="8" t="s">
        <v>36</v>
      </c>
      <c r="I530" s="11">
        <v>68.099999999999994</v>
      </c>
      <c r="J530" s="6">
        <v>62.447699999999998</v>
      </c>
      <c r="K530" s="6">
        <v>0.91700000000000004</v>
      </c>
      <c r="L530" s="6">
        <v>64.05</v>
      </c>
      <c r="M530" s="11">
        <v>58.733849999999997</v>
      </c>
      <c r="N530" s="11">
        <f t="shared" si="32"/>
        <v>58.733999999999995</v>
      </c>
      <c r="O530" s="6">
        <v>0.91700000000000004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4.05</v>
      </c>
      <c r="Z530" s="6">
        <v>3.7138499999999999</v>
      </c>
      <c r="AA530" s="6">
        <v>0.91700000000000004</v>
      </c>
      <c r="AB530" s="6">
        <v>-4.0499999999999972</v>
      </c>
      <c r="AC530" s="6">
        <v>4.0499999999999972</v>
      </c>
      <c r="AD530" s="22" t="s">
        <v>3140</v>
      </c>
      <c r="AE530" s="23">
        <f t="shared" si="33"/>
        <v>58.733999999999995</v>
      </c>
      <c r="AF530" s="24">
        <f t="shared" si="34"/>
        <v>0</v>
      </c>
      <c r="AG530" s="23">
        <f t="shared" si="35"/>
        <v>1</v>
      </c>
    </row>
    <row r="531" spans="1:33" x14ac:dyDescent="0.25">
      <c r="A531" s="12" t="s">
        <v>31</v>
      </c>
      <c r="B531" s="9">
        <v>46179</v>
      </c>
      <c r="C531" s="10" t="s">
        <v>881</v>
      </c>
      <c r="D531" s="10" t="s">
        <v>882</v>
      </c>
      <c r="E531" s="10" t="s">
        <v>51</v>
      </c>
      <c r="F531" s="10" t="s">
        <v>35</v>
      </c>
      <c r="G531" s="10" t="s">
        <v>3146</v>
      </c>
      <c r="H531" s="8" t="s">
        <v>36</v>
      </c>
      <c r="I531" s="11">
        <v>129.33000000000001</v>
      </c>
      <c r="J531" s="6">
        <v>118.59560999999999</v>
      </c>
      <c r="K531" s="6">
        <v>0.91699999999999982</v>
      </c>
      <c r="L531" s="6">
        <v>123.2</v>
      </c>
      <c r="M531" s="11">
        <v>112.9744</v>
      </c>
      <c r="N531" s="11">
        <f t="shared" si="32"/>
        <v>112.97500000000001</v>
      </c>
      <c r="O531" s="6">
        <v>0.91700000000000004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6.13</v>
      </c>
      <c r="Z531" s="6">
        <v>5.6212099999999996</v>
      </c>
      <c r="AA531" s="6">
        <v>0.91699999999999993</v>
      </c>
      <c r="AB531" s="6">
        <v>-6.1300000000000097</v>
      </c>
      <c r="AC531" s="6">
        <v>6.1300000000000097</v>
      </c>
      <c r="AD531" s="22" t="s">
        <v>3140</v>
      </c>
      <c r="AE531" s="23">
        <f t="shared" si="33"/>
        <v>112.97500000000001</v>
      </c>
      <c r="AF531" s="24">
        <f t="shared" si="34"/>
        <v>0</v>
      </c>
      <c r="AG531" s="23">
        <f t="shared" si="35"/>
        <v>1</v>
      </c>
    </row>
    <row r="532" spans="1:33" x14ac:dyDescent="0.25">
      <c r="A532" s="12" t="s">
        <v>31</v>
      </c>
      <c r="B532" s="9">
        <v>46179</v>
      </c>
      <c r="C532" s="10" t="s">
        <v>883</v>
      </c>
      <c r="D532" s="10" t="s">
        <v>884</v>
      </c>
      <c r="E532" s="10" t="s">
        <v>51</v>
      </c>
      <c r="F532" s="10" t="s">
        <v>35</v>
      </c>
      <c r="G532" s="10" t="s">
        <v>3146</v>
      </c>
      <c r="H532" s="8" t="s">
        <v>36</v>
      </c>
      <c r="I532" s="11">
        <v>82.24</v>
      </c>
      <c r="J532" s="6">
        <v>75.414079999999998</v>
      </c>
      <c r="K532" s="6">
        <v>0.91700000000000004</v>
      </c>
      <c r="L532" s="6">
        <v>77.02</v>
      </c>
      <c r="M532" s="11">
        <v>70.627340000000004</v>
      </c>
      <c r="N532" s="11">
        <f t="shared" si="32"/>
        <v>70.628</v>
      </c>
      <c r="O532" s="6">
        <v>0.91700000000000015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5.22</v>
      </c>
      <c r="Z532" s="6">
        <v>4.78674</v>
      </c>
      <c r="AA532" s="6">
        <v>0.91700000000000004</v>
      </c>
      <c r="AB532" s="6">
        <v>-5.2199999999999989</v>
      </c>
      <c r="AC532" s="6">
        <v>5.2199999999999989</v>
      </c>
      <c r="AD532" s="22" t="s">
        <v>3140</v>
      </c>
      <c r="AE532" s="23">
        <f t="shared" si="33"/>
        <v>70.628</v>
      </c>
      <c r="AF532" s="24">
        <f t="shared" si="34"/>
        <v>0</v>
      </c>
      <c r="AG532" s="23">
        <f t="shared" si="35"/>
        <v>1</v>
      </c>
    </row>
    <row r="533" spans="1:33" ht="12.5" customHeight="1" x14ac:dyDescent="0.25">
      <c r="A533" s="12" t="s">
        <v>31</v>
      </c>
      <c r="B533" s="9">
        <v>46179</v>
      </c>
      <c r="C533" s="8" t="s">
        <v>885</v>
      </c>
      <c r="D533" s="10" t="s">
        <v>277</v>
      </c>
      <c r="E533" s="10" t="s">
        <v>51</v>
      </c>
      <c r="F533" s="10" t="s">
        <v>35</v>
      </c>
      <c r="G533" s="10" t="s">
        <v>3146</v>
      </c>
      <c r="H533" s="8" t="s">
        <v>36</v>
      </c>
      <c r="I533" s="11">
        <v>7.47</v>
      </c>
      <c r="J533" s="6">
        <v>6.84999</v>
      </c>
      <c r="K533" s="6">
        <v>0.91700000000000004</v>
      </c>
      <c r="L533" s="6">
        <v>7.09</v>
      </c>
      <c r="M533" s="11">
        <v>6.5015299999999998</v>
      </c>
      <c r="N533" s="11">
        <f t="shared" si="32"/>
        <v>6.5020000000000007</v>
      </c>
      <c r="O533" s="6">
        <v>0.91700000000000004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0.38</v>
      </c>
      <c r="Z533" s="6">
        <v>0.34845999999999999</v>
      </c>
      <c r="AA533" s="6">
        <v>0.91699999999999993</v>
      </c>
      <c r="AB533" s="6">
        <v>-0.37999999999999989</v>
      </c>
      <c r="AC533" s="6">
        <v>0.37999999999999989</v>
      </c>
      <c r="AD533" s="23" t="s">
        <v>3143</v>
      </c>
      <c r="AE533" s="23">
        <f t="shared" si="33"/>
        <v>6.0070000000000006</v>
      </c>
      <c r="AF533" s="24">
        <f t="shared" si="34"/>
        <v>0.49500000000000011</v>
      </c>
      <c r="AG533" s="23">
        <f t="shared" si="35"/>
        <v>2</v>
      </c>
    </row>
    <row r="534" spans="1:33" ht="12.5" customHeight="1" x14ac:dyDescent="0.25">
      <c r="A534" s="12" t="s">
        <v>31</v>
      </c>
      <c r="B534" s="9">
        <v>46179</v>
      </c>
      <c r="C534" s="13" t="s">
        <v>885</v>
      </c>
      <c r="D534" s="10" t="s">
        <v>886</v>
      </c>
      <c r="E534" s="10" t="s">
        <v>51</v>
      </c>
      <c r="F534" s="10" t="s">
        <v>35</v>
      </c>
      <c r="G534" s="10" t="s">
        <v>3146</v>
      </c>
      <c r="H534" s="8" t="s">
        <v>36</v>
      </c>
      <c r="I534" s="11">
        <v>36.340000000000003</v>
      </c>
      <c r="J534" s="6">
        <v>33.323779999999999</v>
      </c>
      <c r="K534" s="6">
        <v>0.91699999999999993</v>
      </c>
      <c r="L534" s="6">
        <v>35.42</v>
      </c>
      <c r="M534" s="11">
        <v>32.480139999999999</v>
      </c>
      <c r="N534" s="11">
        <f t="shared" si="32"/>
        <v>32.480999999999995</v>
      </c>
      <c r="O534" s="6">
        <v>0.91699999999999993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0.92</v>
      </c>
      <c r="Z534" s="6">
        <v>0.84363999999999995</v>
      </c>
      <c r="AA534" s="6">
        <v>0.91699999999999993</v>
      </c>
      <c r="AB534" s="6">
        <v>-0.92000000000000171</v>
      </c>
      <c r="AC534" s="6">
        <v>0.92000000000000171</v>
      </c>
      <c r="AD534" s="23" t="s">
        <v>3143</v>
      </c>
      <c r="AE534" s="23">
        <f t="shared" si="33"/>
        <v>30.381</v>
      </c>
      <c r="AF534" s="24">
        <f t="shared" si="34"/>
        <v>2.0999999999999943</v>
      </c>
      <c r="AG534" s="23">
        <f t="shared" si="35"/>
        <v>2</v>
      </c>
    </row>
    <row r="535" spans="1:33" ht="20" hidden="1" customHeight="1" x14ac:dyDescent="0.25">
      <c r="A535" s="12" t="s">
        <v>31</v>
      </c>
      <c r="B535" s="9">
        <v>46179</v>
      </c>
      <c r="C535" s="10" t="s">
        <v>887</v>
      </c>
      <c r="D535" s="10" t="s">
        <v>888</v>
      </c>
      <c r="E535" s="10" t="s">
        <v>51</v>
      </c>
      <c r="F535" s="10" t="s">
        <v>35</v>
      </c>
      <c r="G535" s="10" t="s">
        <v>3145</v>
      </c>
      <c r="H535" s="8" t="s">
        <v>48</v>
      </c>
      <c r="I535" s="11">
        <v>38.723999999999997</v>
      </c>
      <c r="J535" s="6">
        <v>29.042999999999999</v>
      </c>
      <c r="K535" s="6">
        <v>0.75</v>
      </c>
      <c r="L535" s="6">
        <v>36.314</v>
      </c>
      <c r="M535" s="11">
        <v>27.235499999999998</v>
      </c>
      <c r="N535" s="11">
        <f t="shared" si="32"/>
        <v>27.236000000000001</v>
      </c>
      <c r="O535" s="6">
        <v>0.75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2.41</v>
      </c>
      <c r="Z535" s="6">
        <v>1.8075000000000001</v>
      </c>
      <c r="AA535" s="6">
        <v>0.75</v>
      </c>
      <c r="AB535" s="6">
        <v>-2.4099999999999966</v>
      </c>
      <c r="AC535" s="6">
        <v>2.4099999999999966</v>
      </c>
      <c r="AD535" s="23" t="s">
        <v>3143</v>
      </c>
      <c r="AE535" s="23">
        <f t="shared" si="33"/>
        <v>26.597999999999999</v>
      </c>
      <c r="AF535" s="24">
        <f t="shared" si="34"/>
        <v>0.63800000000000168</v>
      </c>
      <c r="AG535" s="23">
        <f t="shared" si="35"/>
        <v>2</v>
      </c>
    </row>
    <row r="536" spans="1:33" ht="20" hidden="1" customHeight="1" x14ac:dyDescent="0.25">
      <c r="A536" s="12" t="s">
        <v>31</v>
      </c>
      <c r="B536" s="9">
        <v>46179</v>
      </c>
      <c r="C536" s="10" t="s">
        <v>889</v>
      </c>
      <c r="D536" s="10" t="s">
        <v>670</v>
      </c>
      <c r="E536" s="10" t="s">
        <v>51</v>
      </c>
      <c r="F536" s="10" t="s">
        <v>35</v>
      </c>
      <c r="G536" s="10" t="s">
        <v>3145</v>
      </c>
      <c r="H536" s="8" t="s">
        <v>48</v>
      </c>
      <c r="I536" s="11">
        <v>8.19</v>
      </c>
      <c r="J536" s="6">
        <v>6.1425000000000001</v>
      </c>
      <c r="K536" s="6">
        <v>0.75</v>
      </c>
      <c r="L536" s="6">
        <v>7.72</v>
      </c>
      <c r="M536" s="11">
        <v>5.79</v>
      </c>
      <c r="N536" s="11">
        <f t="shared" si="32"/>
        <v>5.79</v>
      </c>
      <c r="O536" s="6">
        <v>0.75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0.47</v>
      </c>
      <c r="Z536" s="6">
        <v>0.35249999999999998</v>
      </c>
      <c r="AA536" s="6">
        <v>0.75</v>
      </c>
      <c r="AB536" s="6">
        <v>-0.46999999999999975</v>
      </c>
      <c r="AC536" s="6">
        <v>0.46999999999999975</v>
      </c>
      <c r="AD536" s="22" t="s">
        <v>3140</v>
      </c>
      <c r="AE536" s="23">
        <f t="shared" si="33"/>
        <v>5.79</v>
      </c>
      <c r="AF536" s="24">
        <f t="shared" si="34"/>
        <v>0</v>
      </c>
      <c r="AG536" s="23">
        <f t="shared" si="35"/>
        <v>2</v>
      </c>
    </row>
    <row r="537" spans="1:33" x14ac:dyDescent="0.25">
      <c r="A537" s="12" t="s">
        <v>31</v>
      </c>
      <c r="B537" s="9">
        <v>46179</v>
      </c>
      <c r="C537" s="10" t="s">
        <v>890</v>
      </c>
      <c r="D537" s="10" t="s">
        <v>891</v>
      </c>
      <c r="E537" s="10" t="s">
        <v>51</v>
      </c>
      <c r="F537" s="10" t="s">
        <v>35</v>
      </c>
      <c r="G537" s="10" t="s">
        <v>3146</v>
      </c>
      <c r="H537" s="8" t="s">
        <v>36</v>
      </c>
      <c r="I537" s="11">
        <v>14.82</v>
      </c>
      <c r="J537" s="6">
        <v>13.58994</v>
      </c>
      <c r="K537" s="6">
        <v>0.91700000000000004</v>
      </c>
      <c r="L537" s="6">
        <v>13.83</v>
      </c>
      <c r="M537" s="11">
        <v>12.68211</v>
      </c>
      <c r="N537" s="11">
        <f t="shared" si="32"/>
        <v>12.683</v>
      </c>
      <c r="O537" s="6">
        <v>0.91699999999999993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0.99</v>
      </c>
      <c r="Z537" s="6">
        <v>0.90783000000000003</v>
      </c>
      <c r="AA537" s="6">
        <v>0.91700000000000004</v>
      </c>
      <c r="AB537" s="6">
        <v>-0.99000000000000021</v>
      </c>
      <c r="AC537" s="6">
        <v>0.99000000000000021</v>
      </c>
      <c r="AD537" s="22" t="s">
        <v>3140</v>
      </c>
      <c r="AE537" s="23">
        <f t="shared" si="33"/>
        <v>12.683</v>
      </c>
      <c r="AF537" s="24">
        <f t="shared" si="34"/>
        <v>0</v>
      </c>
      <c r="AG537" s="23">
        <f t="shared" si="35"/>
        <v>1</v>
      </c>
    </row>
    <row r="538" spans="1:33" ht="12.5" customHeight="1" x14ac:dyDescent="0.25">
      <c r="A538" s="12" t="s">
        <v>31</v>
      </c>
      <c r="B538" s="9">
        <v>46179</v>
      </c>
      <c r="C538" s="8" t="s">
        <v>892</v>
      </c>
      <c r="D538" s="10" t="s">
        <v>275</v>
      </c>
      <c r="E538" s="10" t="s">
        <v>51</v>
      </c>
      <c r="F538" s="10" t="s">
        <v>35</v>
      </c>
      <c r="G538" s="10" t="s">
        <v>3146</v>
      </c>
      <c r="H538" s="8" t="s">
        <v>36</v>
      </c>
      <c r="I538" s="11">
        <v>4.3099999999999996</v>
      </c>
      <c r="J538" s="6">
        <v>3.9522699999999999</v>
      </c>
      <c r="K538" s="6">
        <v>0.91700000000000004</v>
      </c>
      <c r="L538" s="6">
        <v>4.0599999999999996</v>
      </c>
      <c r="M538" s="11">
        <v>3.72302</v>
      </c>
      <c r="N538" s="11">
        <f t="shared" si="32"/>
        <v>3.7239999999999998</v>
      </c>
      <c r="O538" s="6">
        <v>0.91700000000000004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0.25</v>
      </c>
      <c r="Z538" s="6">
        <v>0.22925000000000001</v>
      </c>
      <c r="AA538" s="6">
        <v>0.91700000000000004</v>
      </c>
      <c r="AB538" s="6">
        <v>-0.25</v>
      </c>
      <c r="AC538" s="6">
        <v>0.25</v>
      </c>
      <c r="AD538" s="23" t="s">
        <v>3143</v>
      </c>
      <c r="AE538" s="23">
        <f t="shared" si="33"/>
        <v>3.4670000000000001</v>
      </c>
      <c r="AF538" s="24">
        <f t="shared" si="34"/>
        <v>0.25699999999999967</v>
      </c>
      <c r="AG538" s="23">
        <f t="shared" si="35"/>
        <v>2</v>
      </c>
    </row>
    <row r="539" spans="1:33" ht="12.5" customHeight="1" x14ac:dyDescent="0.25">
      <c r="A539" s="12" t="s">
        <v>31</v>
      </c>
      <c r="B539" s="9">
        <v>46179</v>
      </c>
      <c r="C539" s="12" t="s">
        <v>892</v>
      </c>
      <c r="D539" s="10" t="s">
        <v>348</v>
      </c>
      <c r="E539" s="10" t="s">
        <v>51</v>
      </c>
      <c r="F539" s="10" t="s">
        <v>35</v>
      </c>
      <c r="G539" s="10" t="s">
        <v>3146</v>
      </c>
      <c r="H539" s="8" t="s">
        <v>36</v>
      </c>
      <c r="I539" s="11">
        <v>12.7</v>
      </c>
      <c r="J539" s="6">
        <v>11.645899999999999</v>
      </c>
      <c r="K539" s="6">
        <v>0.91700000000000004</v>
      </c>
      <c r="L539" s="6">
        <v>8.61</v>
      </c>
      <c r="M539" s="11">
        <v>7.8953699999999998</v>
      </c>
      <c r="N539" s="11">
        <f t="shared" si="32"/>
        <v>7.8959999999999999</v>
      </c>
      <c r="O539" s="6">
        <v>0.91700000000000004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4.09</v>
      </c>
      <c r="Z539" s="6">
        <v>3.7505299999999999</v>
      </c>
      <c r="AA539" s="6">
        <v>0.91700000000000004</v>
      </c>
      <c r="AB539" s="6">
        <v>-4.09</v>
      </c>
      <c r="AC539" s="6">
        <v>4.09</v>
      </c>
      <c r="AD539" s="22" t="s">
        <v>3143</v>
      </c>
      <c r="AE539" s="23">
        <f t="shared" si="33"/>
        <v>7.8959999999999999</v>
      </c>
      <c r="AF539" s="24">
        <f t="shared" si="34"/>
        <v>0</v>
      </c>
      <c r="AG539" s="23">
        <f t="shared" si="35"/>
        <v>4</v>
      </c>
    </row>
    <row r="540" spans="1:33" ht="12.5" customHeight="1" x14ac:dyDescent="0.25">
      <c r="A540" s="12" t="s">
        <v>31</v>
      </c>
      <c r="B540" s="9">
        <v>46179</v>
      </c>
      <c r="C540" s="13" t="s">
        <v>892</v>
      </c>
      <c r="D540" s="10" t="s">
        <v>893</v>
      </c>
      <c r="E540" s="10" t="s">
        <v>51</v>
      </c>
      <c r="F540" s="10" t="s">
        <v>35</v>
      </c>
      <c r="G540" s="10" t="s">
        <v>3146</v>
      </c>
      <c r="H540" s="8" t="s">
        <v>36</v>
      </c>
      <c r="I540" s="11">
        <v>48.38</v>
      </c>
      <c r="J540" s="6">
        <v>44.364460000000001</v>
      </c>
      <c r="K540" s="6">
        <v>0.91699999999999993</v>
      </c>
      <c r="L540" s="6">
        <v>47.87</v>
      </c>
      <c r="M540" s="11">
        <v>43.896790000000003</v>
      </c>
      <c r="N540" s="11">
        <f t="shared" si="32"/>
        <v>43.896999999999998</v>
      </c>
      <c r="O540" s="6">
        <v>0.91700000000000015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0.51</v>
      </c>
      <c r="Z540" s="6">
        <v>0.46766999999999997</v>
      </c>
      <c r="AA540" s="6">
        <v>0.91699999999999993</v>
      </c>
      <c r="AB540" s="6">
        <v>-0.51000000000000512</v>
      </c>
      <c r="AC540" s="6">
        <v>0.51000000000000512</v>
      </c>
      <c r="AD540" s="22" t="s">
        <v>3140</v>
      </c>
      <c r="AE540" s="23">
        <f t="shared" si="33"/>
        <v>43.896999999999998</v>
      </c>
      <c r="AF540" s="24">
        <f t="shared" si="34"/>
        <v>0</v>
      </c>
      <c r="AG540" s="23">
        <f t="shared" si="35"/>
        <v>1</v>
      </c>
    </row>
    <row r="541" spans="1:33" ht="12.5" hidden="1" customHeight="1" x14ac:dyDescent="0.25">
      <c r="A541" s="12" t="s">
        <v>31</v>
      </c>
      <c r="B541" s="9">
        <v>46179</v>
      </c>
      <c r="C541" s="8" t="s">
        <v>894</v>
      </c>
      <c r="D541" s="10" t="s">
        <v>895</v>
      </c>
      <c r="E541" s="10" t="s">
        <v>51</v>
      </c>
      <c r="F541" s="10" t="s">
        <v>35</v>
      </c>
      <c r="G541" s="10" t="s">
        <v>3145</v>
      </c>
      <c r="H541" s="8" t="s">
        <v>48</v>
      </c>
      <c r="I541" s="11">
        <v>20.09</v>
      </c>
      <c r="J541" s="6">
        <v>15.067500000000001</v>
      </c>
      <c r="K541" s="6">
        <v>0.75</v>
      </c>
      <c r="L541" s="6">
        <v>18.27</v>
      </c>
      <c r="M541" s="11">
        <v>13.702500000000001</v>
      </c>
      <c r="N541" s="11">
        <f t="shared" si="32"/>
        <v>13.702999999999999</v>
      </c>
      <c r="O541" s="6">
        <v>0.75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1.82</v>
      </c>
      <c r="Z541" s="6">
        <v>1.365</v>
      </c>
      <c r="AA541" s="6">
        <v>0.75</v>
      </c>
      <c r="AB541" s="6">
        <v>-1.8200000000000003</v>
      </c>
      <c r="AC541" s="6">
        <v>1.8200000000000003</v>
      </c>
      <c r="AD541" s="22" t="s">
        <v>3140</v>
      </c>
      <c r="AE541" s="23">
        <f t="shared" si="33"/>
        <v>13.702999999999999</v>
      </c>
      <c r="AF541" s="24">
        <f t="shared" si="34"/>
        <v>0</v>
      </c>
      <c r="AG541" s="23">
        <f t="shared" si="35"/>
        <v>1</v>
      </c>
    </row>
    <row r="542" spans="1:33" ht="12.5" hidden="1" customHeight="1" x14ac:dyDescent="0.25">
      <c r="A542" s="12" t="s">
        <v>31</v>
      </c>
      <c r="B542" s="9">
        <v>46179</v>
      </c>
      <c r="C542" s="13" t="s">
        <v>894</v>
      </c>
      <c r="D542" s="10" t="s">
        <v>896</v>
      </c>
      <c r="E542" s="10" t="s">
        <v>51</v>
      </c>
      <c r="F542" s="10" t="s">
        <v>35</v>
      </c>
      <c r="G542" s="10" t="s">
        <v>3145</v>
      </c>
      <c r="H542" s="8" t="s">
        <v>48</v>
      </c>
      <c r="I542" s="11">
        <v>19.7</v>
      </c>
      <c r="J542" s="6">
        <v>14.775</v>
      </c>
      <c r="K542" s="6">
        <v>0.75</v>
      </c>
      <c r="L542" s="6">
        <v>18.489999999999998</v>
      </c>
      <c r="M542" s="11">
        <v>13.8675</v>
      </c>
      <c r="N542" s="11">
        <f t="shared" si="32"/>
        <v>13.868</v>
      </c>
      <c r="O542" s="6">
        <v>0.75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1.21</v>
      </c>
      <c r="Z542" s="6">
        <v>0.90749999999999997</v>
      </c>
      <c r="AA542" s="6">
        <v>0.75</v>
      </c>
      <c r="AB542" s="6">
        <v>-1.2100000000000009</v>
      </c>
      <c r="AC542" s="6">
        <v>1.2100000000000009</v>
      </c>
      <c r="AD542" s="22" t="s">
        <v>3140</v>
      </c>
      <c r="AE542" s="23">
        <f t="shared" si="33"/>
        <v>13.868</v>
      </c>
      <c r="AF542" s="24">
        <f t="shared" si="34"/>
        <v>0</v>
      </c>
      <c r="AG542" s="23">
        <f t="shared" si="35"/>
        <v>1</v>
      </c>
    </row>
    <row r="543" spans="1:33" x14ac:dyDescent="0.25">
      <c r="A543" s="12" t="s">
        <v>31</v>
      </c>
      <c r="B543" s="9">
        <v>46179</v>
      </c>
      <c r="C543" s="10" t="s">
        <v>897</v>
      </c>
      <c r="D543" s="10" t="s">
        <v>898</v>
      </c>
      <c r="E543" s="10" t="s">
        <v>51</v>
      </c>
      <c r="F543" s="10" t="s">
        <v>35</v>
      </c>
      <c r="G543" s="10" t="s">
        <v>3146</v>
      </c>
      <c r="H543" s="8" t="s">
        <v>36</v>
      </c>
      <c r="I543" s="11">
        <v>14.05</v>
      </c>
      <c r="J543" s="6">
        <v>12.883850000000001</v>
      </c>
      <c r="K543" s="6">
        <v>0.91700000000000004</v>
      </c>
      <c r="L543" s="6">
        <v>12.91</v>
      </c>
      <c r="M543" s="11">
        <v>11.838469999999999</v>
      </c>
      <c r="N543" s="11">
        <f t="shared" si="32"/>
        <v>11.838999999999999</v>
      </c>
      <c r="O543" s="6">
        <v>0.91699999999999993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1.1399999999999999</v>
      </c>
      <c r="Z543" s="6">
        <v>1.04538</v>
      </c>
      <c r="AA543" s="6">
        <v>0.91700000000000004</v>
      </c>
      <c r="AB543" s="6">
        <v>-1.1400000000000006</v>
      </c>
      <c r="AC543" s="6">
        <v>1.1400000000000006</v>
      </c>
      <c r="AD543" s="22" t="s">
        <v>3140</v>
      </c>
      <c r="AE543" s="23">
        <f t="shared" si="33"/>
        <v>11.838999999999999</v>
      </c>
      <c r="AF543" s="24">
        <f t="shared" si="34"/>
        <v>0</v>
      </c>
      <c r="AG543" s="23">
        <f t="shared" si="35"/>
        <v>1</v>
      </c>
    </row>
    <row r="544" spans="1:33" hidden="1" x14ac:dyDescent="0.25">
      <c r="A544" s="12" t="s">
        <v>31</v>
      </c>
      <c r="B544" s="9">
        <v>46179</v>
      </c>
      <c r="C544" s="10" t="s">
        <v>899</v>
      </c>
      <c r="D544" s="10" t="s">
        <v>769</v>
      </c>
      <c r="E544" s="10" t="s">
        <v>51</v>
      </c>
      <c r="F544" s="10" t="s">
        <v>35</v>
      </c>
      <c r="G544" s="10" t="s">
        <v>3145</v>
      </c>
      <c r="H544" s="8" t="s">
        <v>41</v>
      </c>
      <c r="I544" s="11">
        <v>4.7699999999999996</v>
      </c>
      <c r="J544" s="6">
        <v>3.5775000000000001</v>
      </c>
      <c r="K544" s="6">
        <v>0.75000000000000011</v>
      </c>
      <c r="L544" s="6">
        <v>4.54</v>
      </c>
      <c r="M544" s="11">
        <v>3.4049999999999998</v>
      </c>
      <c r="N544" s="11">
        <f t="shared" si="32"/>
        <v>3.4049999999999998</v>
      </c>
      <c r="O544" s="6">
        <v>0.75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0.23</v>
      </c>
      <c r="Z544" s="6">
        <v>0.17249999999999999</v>
      </c>
      <c r="AA544" s="6">
        <v>0.74999999999999989</v>
      </c>
      <c r="AB544" s="6">
        <v>-0.22999999999999954</v>
      </c>
      <c r="AC544" s="6">
        <v>0.22999999999999954</v>
      </c>
      <c r="AD544" s="22" t="s">
        <v>3140</v>
      </c>
      <c r="AE544" s="23">
        <f t="shared" si="33"/>
        <v>3.4049999999999998</v>
      </c>
      <c r="AF544" s="24">
        <f t="shared" si="34"/>
        <v>0</v>
      </c>
      <c r="AG544" s="23">
        <f t="shared" si="35"/>
        <v>2</v>
      </c>
    </row>
    <row r="545" spans="1:33" x14ac:dyDescent="0.25">
      <c r="A545" s="12" t="s">
        <v>31</v>
      </c>
      <c r="B545" s="9">
        <v>46179</v>
      </c>
      <c r="C545" s="10" t="s">
        <v>900</v>
      </c>
      <c r="D545" s="10" t="s">
        <v>293</v>
      </c>
      <c r="E545" s="10" t="s">
        <v>51</v>
      </c>
      <c r="F545" s="10" t="s">
        <v>35</v>
      </c>
      <c r="G545" s="10" t="s">
        <v>3146</v>
      </c>
      <c r="H545" s="8" t="s">
        <v>36</v>
      </c>
      <c r="I545" s="11">
        <v>12.42</v>
      </c>
      <c r="J545" s="6">
        <v>11.389139999999999</v>
      </c>
      <c r="K545" s="6">
        <v>0.91699999999999993</v>
      </c>
      <c r="L545" s="6">
        <v>12.28</v>
      </c>
      <c r="M545" s="11">
        <v>11.260759999999999</v>
      </c>
      <c r="N545" s="11">
        <f t="shared" si="32"/>
        <v>11.260999999999999</v>
      </c>
      <c r="O545" s="6">
        <v>0.91700000000000004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0.14000000000000001</v>
      </c>
      <c r="Z545" s="6">
        <v>0.12837999999999999</v>
      </c>
      <c r="AA545" s="6">
        <v>0.91699999999999982</v>
      </c>
      <c r="AB545" s="6">
        <v>-0.14000000000000057</v>
      </c>
      <c r="AC545" s="6">
        <v>0.14000000000000057</v>
      </c>
      <c r="AD545" s="23" t="s">
        <v>3143</v>
      </c>
      <c r="AE545" s="23">
        <f t="shared" si="33"/>
        <v>10.427</v>
      </c>
      <c r="AF545" s="24">
        <f t="shared" si="34"/>
        <v>0.83399999999999963</v>
      </c>
      <c r="AG545" s="23">
        <f t="shared" si="35"/>
        <v>3</v>
      </c>
    </row>
    <row r="546" spans="1:33" ht="12.5" hidden="1" customHeight="1" x14ac:dyDescent="0.25">
      <c r="A546" s="12" t="s">
        <v>31</v>
      </c>
      <c r="B546" s="9">
        <v>46179</v>
      </c>
      <c r="C546" s="8" t="s">
        <v>901</v>
      </c>
      <c r="D546" s="10" t="s">
        <v>902</v>
      </c>
      <c r="E546" s="10" t="s">
        <v>51</v>
      </c>
      <c r="F546" s="10" t="s">
        <v>35</v>
      </c>
      <c r="G546" s="10" t="s">
        <v>3145</v>
      </c>
      <c r="H546" s="8" t="s">
        <v>41</v>
      </c>
      <c r="I546" s="11">
        <v>22.61</v>
      </c>
      <c r="J546" s="6">
        <v>16.9575</v>
      </c>
      <c r="K546" s="6">
        <v>0.75</v>
      </c>
      <c r="L546" s="6">
        <v>21.27</v>
      </c>
      <c r="M546" s="11">
        <v>15.952500000000001</v>
      </c>
      <c r="N546" s="11">
        <f t="shared" si="32"/>
        <v>15.952999999999999</v>
      </c>
      <c r="O546" s="6">
        <v>0.75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1.34</v>
      </c>
      <c r="Z546" s="6">
        <v>1.0049999999999999</v>
      </c>
      <c r="AA546" s="6">
        <v>0.74999999999999989</v>
      </c>
      <c r="AB546" s="6">
        <v>-1.34</v>
      </c>
      <c r="AC546" s="6">
        <v>1.34</v>
      </c>
      <c r="AD546" s="22" t="s">
        <v>3140</v>
      </c>
      <c r="AE546" s="23">
        <f t="shared" si="33"/>
        <v>15.952999999999999</v>
      </c>
      <c r="AF546" s="24">
        <f t="shared" si="34"/>
        <v>0</v>
      </c>
      <c r="AG546" s="23">
        <f t="shared" si="35"/>
        <v>1</v>
      </c>
    </row>
    <row r="547" spans="1:33" ht="12.5" hidden="1" customHeight="1" x14ac:dyDescent="0.25">
      <c r="A547" s="12" t="s">
        <v>31</v>
      </c>
      <c r="B547" s="9">
        <v>46179</v>
      </c>
      <c r="C547" s="12" t="s">
        <v>901</v>
      </c>
      <c r="D547" s="10" t="s">
        <v>903</v>
      </c>
      <c r="E547" s="10" t="s">
        <v>51</v>
      </c>
      <c r="F547" s="10" t="s">
        <v>35</v>
      </c>
      <c r="G547" s="10" t="s">
        <v>3145</v>
      </c>
      <c r="H547" s="8" t="s">
        <v>41</v>
      </c>
      <c r="I547" s="11">
        <v>21.29</v>
      </c>
      <c r="J547" s="6">
        <v>15.967499999999999</v>
      </c>
      <c r="K547" s="6">
        <v>0.75</v>
      </c>
      <c r="L547" s="6">
        <v>20.27</v>
      </c>
      <c r="M547" s="11">
        <v>15.202500000000001</v>
      </c>
      <c r="N547" s="11">
        <f t="shared" si="32"/>
        <v>15.202999999999999</v>
      </c>
      <c r="O547" s="6">
        <v>0.75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1.02</v>
      </c>
      <c r="Z547" s="6">
        <v>0.76500000000000001</v>
      </c>
      <c r="AA547" s="6">
        <v>0.75</v>
      </c>
      <c r="AB547" s="6">
        <v>-1.0199999999999996</v>
      </c>
      <c r="AC547" s="6">
        <v>1.0199999999999996</v>
      </c>
      <c r="AD547" s="22" t="s">
        <v>3140</v>
      </c>
      <c r="AE547" s="23">
        <f t="shared" si="33"/>
        <v>15.202999999999999</v>
      </c>
      <c r="AF547" s="24">
        <f t="shared" si="34"/>
        <v>0</v>
      </c>
      <c r="AG547" s="23">
        <f t="shared" si="35"/>
        <v>1</v>
      </c>
    </row>
    <row r="548" spans="1:33" ht="12.5" hidden="1" customHeight="1" x14ac:dyDescent="0.25">
      <c r="A548" s="12" t="s">
        <v>31</v>
      </c>
      <c r="B548" s="9">
        <v>46179</v>
      </c>
      <c r="C548" s="12" t="s">
        <v>901</v>
      </c>
      <c r="D548" s="10" t="s">
        <v>717</v>
      </c>
      <c r="E548" s="10" t="s">
        <v>51</v>
      </c>
      <c r="F548" s="10" t="s">
        <v>35</v>
      </c>
      <c r="G548" s="10" t="s">
        <v>3145</v>
      </c>
      <c r="H548" s="8" t="s">
        <v>48</v>
      </c>
      <c r="I548" s="11">
        <v>51.87</v>
      </c>
      <c r="J548" s="6">
        <v>38.902500000000003</v>
      </c>
      <c r="K548" s="6">
        <v>0.75000000000000011</v>
      </c>
      <c r="L548" s="6">
        <v>51.56</v>
      </c>
      <c r="M548" s="11">
        <v>38.67</v>
      </c>
      <c r="N548" s="11">
        <f t="shared" si="32"/>
        <v>38.67</v>
      </c>
      <c r="O548" s="6">
        <v>0.75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0.31</v>
      </c>
      <c r="Z548" s="6">
        <v>0.23250000000000001</v>
      </c>
      <c r="AA548" s="6">
        <v>0.75</v>
      </c>
      <c r="AB548" s="6">
        <v>-0.30999999999999517</v>
      </c>
      <c r="AC548" s="6">
        <v>0.30999999999999517</v>
      </c>
      <c r="AD548" s="22" t="s">
        <v>3140</v>
      </c>
      <c r="AE548" s="23">
        <f t="shared" si="33"/>
        <v>38.67</v>
      </c>
      <c r="AF548" s="24">
        <f t="shared" si="34"/>
        <v>0</v>
      </c>
      <c r="AG548" s="23">
        <f t="shared" si="35"/>
        <v>2</v>
      </c>
    </row>
    <row r="549" spans="1:33" ht="12.5" hidden="1" customHeight="1" x14ac:dyDescent="0.25">
      <c r="A549" s="12" t="s">
        <v>31</v>
      </c>
      <c r="B549" s="9">
        <v>46179</v>
      </c>
      <c r="C549" s="13" t="s">
        <v>901</v>
      </c>
      <c r="D549" s="10" t="s">
        <v>904</v>
      </c>
      <c r="E549" s="10" t="s">
        <v>51</v>
      </c>
      <c r="F549" s="10" t="s">
        <v>35</v>
      </c>
      <c r="G549" s="10" t="s">
        <v>3145</v>
      </c>
      <c r="H549" s="8" t="s">
        <v>48</v>
      </c>
      <c r="I549" s="11">
        <v>20.78</v>
      </c>
      <c r="J549" s="6">
        <v>15.585000000000001</v>
      </c>
      <c r="K549" s="6">
        <v>0.75</v>
      </c>
      <c r="L549" s="6">
        <v>19.309999999999999</v>
      </c>
      <c r="M549" s="11">
        <v>14.4825</v>
      </c>
      <c r="N549" s="11">
        <f t="shared" si="32"/>
        <v>14.482999999999999</v>
      </c>
      <c r="O549" s="6">
        <v>0.75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1.47</v>
      </c>
      <c r="Z549" s="6">
        <v>1.1025</v>
      </c>
      <c r="AA549" s="6">
        <v>0.75</v>
      </c>
      <c r="AB549" s="6">
        <v>-1.4700000000000024</v>
      </c>
      <c r="AC549" s="6">
        <v>1.4700000000000024</v>
      </c>
      <c r="AD549" s="22" t="s">
        <v>3140</v>
      </c>
      <c r="AE549" s="23">
        <f t="shared" si="33"/>
        <v>14.482999999999999</v>
      </c>
      <c r="AF549" s="24">
        <f t="shared" si="34"/>
        <v>0</v>
      </c>
      <c r="AG549" s="23">
        <f t="shared" si="35"/>
        <v>1</v>
      </c>
    </row>
    <row r="550" spans="1:33" ht="12.5" customHeight="1" x14ac:dyDescent="0.25">
      <c r="A550" s="12" t="s">
        <v>31</v>
      </c>
      <c r="B550" s="9">
        <v>46179</v>
      </c>
      <c r="C550" s="8" t="s">
        <v>905</v>
      </c>
      <c r="D550" s="10" t="s">
        <v>290</v>
      </c>
      <c r="E550" s="10" t="s">
        <v>51</v>
      </c>
      <c r="F550" s="10" t="s">
        <v>35</v>
      </c>
      <c r="G550" s="10" t="s">
        <v>3146</v>
      </c>
      <c r="H550" s="8" t="s">
        <v>36</v>
      </c>
      <c r="I550" s="11">
        <v>14.32</v>
      </c>
      <c r="J550" s="6">
        <v>13.13144</v>
      </c>
      <c r="K550" s="6">
        <v>0.91699999999999993</v>
      </c>
      <c r="L550" s="6">
        <v>13.96</v>
      </c>
      <c r="M550" s="11">
        <v>12.80132</v>
      </c>
      <c r="N550" s="11">
        <f t="shared" si="32"/>
        <v>12.802</v>
      </c>
      <c r="O550" s="6">
        <v>0.91699999999999993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0.36</v>
      </c>
      <c r="Z550" s="6">
        <v>0.33012000000000002</v>
      </c>
      <c r="AA550" s="6">
        <v>0.91700000000000015</v>
      </c>
      <c r="AB550" s="6">
        <v>-0.35999999999999943</v>
      </c>
      <c r="AC550" s="6">
        <v>0.35999999999999943</v>
      </c>
      <c r="AD550" s="23" t="s">
        <v>3143</v>
      </c>
      <c r="AE550" s="23">
        <f t="shared" si="33"/>
        <v>11.802</v>
      </c>
      <c r="AF550" s="24">
        <f t="shared" si="34"/>
        <v>1</v>
      </c>
      <c r="AG550" s="23">
        <f t="shared" si="35"/>
        <v>2</v>
      </c>
    </row>
    <row r="551" spans="1:33" ht="12.5" customHeight="1" x14ac:dyDescent="0.25">
      <c r="A551" s="12" t="s">
        <v>31</v>
      </c>
      <c r="B551" s="9">
        <v>46179</v>
      </c>
      <c r="C551" s="12" t="s">
        <v>905</v>
      </c>
      <c r="D551" s="10" t="s">
        <v>906</v>
      </c>
      <c r="E551" s="10" t="s">
        <v>51</v>
      </c>
      <c r="F551" s="10" t="s">
        <v>35</v>
      </c>
      <c r="G551" s="10" t="s">
        <v>3146</v>
      </c>
      <c r="H551" s="8" t="s">
        <v>36</v>
      </c>
      <c r="I551" s="11">
        <v>14.24</v>
      </c>
      <c r="J551" s="6">
        <v>13.05808</v>
      </c>
      <c r="K551" s="6">
        <v>0.91700000000000004</v>
      </c>
      <c r="L551" s="6">
        <v>13.84</v>
      </c>
      <c r="M551" s="11">
        <v>12.691280000000001</v>
      </c>
      <c r="N551" s="11">
        <f t="shared" si="32"/>
        <v>12.692</v>
      </c>
      <c r="O551" s="6">
        <v>0.91700000000000004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0.4</v>
      </c>
      <c r="Z551" s="6">
        <v>0.36680000000000001</v>
      </c>
      <c r="AA551" s="6">
        <v>0.91700000000000004</v>
      </c>
      <c r="AB551" s="6">
        <v>-0.40000000000000036</v>
      </c>
      <c r="AC551" s="6">
        <v>0.40000000000000036</v>
      </c>
      <c r="AD551" s="22" t="s">
        <v>3140</v>
      </c>
      <c r="AE551" s="23">
        <f t="shared" si="33"/>
        <v>12.692</v>
      </c>
      <c r="AF551" s="24">
        <f t="shared" si="34"/>
        <v>0</v>
      </c>
      <c r="AG551" s="23">
        <f t="shared" si="35"/>
        <v>1</v>
      </c>
    </row>
    <row r="552" spans="1:33" ht="12.5" customHeight="1" x14ac:dyDescent="0.25">
      <c r="A552" s="12" t="s">
        <v>31</v>
      </c>
      <c r="B552" s="9">
        <v>46179</v>
      </c>
      <c r="C552" s="12" t="s">
        <v>905</v>
      </c>
      <c r="D552" s="10" t="s">
        <v>907</v>
      </c>
      <c r="E552" s="10" t="s">
        <v>51</v>
      </c>
      <c r="F552" s="10" t="s">
        <v>35</v>
      </c>
      <c r="G552" s="10" t="s">
        <v>3146</v>
      </c>
      <c r="H552" s="8" t="s">
        <v>36</v>
      </c>
      <c r="I552" s="11">
        <v>11.56</v>
      </c>
      <c r="J552" s="6">
        <v>10.600519999999999</v>
      </c>
      <c r="K552" s="6">
        <v>0.91699999999999993</v>
      </c>
      <c r="L552" s="6">
        <v>11.36</v>
      </c>
      <c r="M552" s="11">
        <v>10.417120000000001</v>
      </c>
      <c r="N552" s="11">
        <f t="shared" si="32"/>
        <v>10.417999999999999</v>
      </c>
      <c r="O552" s="6">
        <v>0.91700000000000015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0.2</v>
      </c>
      <c r="Z552" s="6">
        <v>0.18340000000000001</v>
      </c>
      <c r="AA552" s="6">
        <v>0.91700000000000004</v>
      </c>
      <c r="AB552" s="6">
        <v>-0.20000000000000107</v>
      </c>
      <c r="AC552" s="6">
        <v>0.20000000000000107</v>
      </c>
      <c r="AD552" s="22" t="s">
        <v>3140</v>
      </c>
      <c r="AE552" s="23">
        <f t="shared" si="33"/>
        <v>10.417999999999999</v>
      </c>
      <c r="AF552" s="24">
        <f t="shared" si="34"/>
        <v>0</v>
      </c>
      <c r="AG552" s="23">
        <f t="shared" si="35"/>
        <v>1</v>
      </c>
    </row>
    <row r="553" spans="1:33" ht="12.5" customHeight="1" x14ac:dyDescent="0.25">
      <c r="A553" s="12" t="s">
        <v>31</v>
      </c>
      <c r="B553" s="9">
        <v>46179</v>
      </c>
      <c r="C553" s="12" t="s">
        <v>905</v>
      </c>
      <c r="D553" s="10" t="s">
        <v>276</v>
      </c>
      <c r="E553" s="10" t="s">
        <v>51</v>
      </c>
      <c r="F553" s="10" t="s">
        <v>35</v>
      </c>
      <c r="G553" s="10" t="s">
        <v>3146</v>
      </c>
      <c r="H553" s="8" t="s">
        <v>36</v>
      </c>
      <c r="I553" s="11">
        <v>4.5599999999999996</v>
      </c>
      <c r="J553" s="6">
        <v>4.1815199999999999</v>
      </c>
      <c r="K553" s="6">
        <v>0.91700000000000004</v>
      </c>
      <c r="L553" s="6">
        <v>4.5</v>
      </c>
      <c r="M553" s="11">
        <v>4.1265000000000001</v>
      </c>
      <c r="N553" s="11">
        <f t="shared" si="32"/>
        <v>4.1270000000000007</v>
      </c>
      <c r="O553" s="6">
        <v>0.91700000000000004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0.06</v>
      </c>
      <c r="Z553" s="6">
        <v>5.5019999999999999E-2</v>
      </c>
      <c r="AA553" s="6">
        <v>0.91700000000000004</v>
      </c>
      <c r="AB553" s="6">
        <v>-5.9999999999999609E-2</v>
      </c>
      <c r="AC553" s="6">
        <v>5.9999999999999609E-2</v>
      </c>
      <c r="AD553" s="23" t="s">
        <v>3143</v>
      </c>
      <c r="AE553" s="23">
        <f t="shared" si="33"/>
        <v>3.6959999999999997</v>
      </c>
      <c r="AF553" s="24">
        <f t="shared" si="34"/>
        <v>0.43100000000000094</v>
      </c>
      <c r="AG553" s="23">
        <f t="shared" si="35"/>
        <v>2</v>
      </c>
    </row>
    <row r="554" spans="1:33" ht="12.5" customHeight="1" x14ac:dyDescent="0.25">
      <c r="A554" s="12" t="s">
        <v>31</v>
      </c>
      <c r="B554" s="9">
        <v>46179</v>
      </c>
      <c r="C554" s="12" t="s">
        <v>905</v>
      </c>
      <c r="D554" s="10" t="s">
        <v>352</v>
      </c>
      <c r="E554" s="10" t="s">
        <v>51</v>
      </c>
      <c r="F554" s="10" t="s">
        <v>35</v>
      </c>
      <c r="G554" s="10" t="s">
        <v>3146</v>
      </c>
      <c r="H554" s="8" t="s">
        <v>36</v>
      </c>
      <c r="I554" s="11">
        <v>2.66</v>
      </c>
      <c r="J554" s="6">
        <v>2.4392200000000002</v>
      </c>
      <c r="K554" s="6">
        <v>0.91700000000000004</v>
      </c>
      <c r="L554" s="6">
        <v>2.61</v>
      </c>
      <c r="M554" s="11">
        <v>2.39337</v>
      </c>
      <c r="N554" s="11">
        <f t="shared" si="32"/>
        <v>2.3939999999999997</v>
      </c>
      <c r="O554" s="6">
        <v>0.91700000000000004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0.05</v>
      </c>
      <c r="Z554" s="6">
        <v>4.5850000000000002E-2</v>
      </c>
      <c r="AA554" s="6">
        <v>0.91700000000000004</v>
      </c>
      <c r="AB554" s="6">
        <v>-5.0000000000000266E-2</v>
      </c>
      <c r="AC554" s="6">
        <v>5.0000000000000266E-2</v>
      </c>
      <c r="AD554" s="23" t="s">
        <v>3143</v>
      </c>
      <c r="AE554" s="23">
        <f t="shared" si="33"/>
        <v>1.99</v>
      </c>
      <c r="AF554" s="24">
        <f t="shared" si="34"/>
        <v>0.40399999999999969</v>
      </c>
      <c r="AG554" s="23">
        <f t="shared" si="35"/>
        <v>2</v>
      </c>
    </row>
    <row r="555" spans="1:33" ht="12.5" customHeight="1" x14ac:dyDescent="0.25">
      <c r="A555" s="12" t="s">
        <v>31</v>
      </c>
      <c r="B555" s="9">
        <v>46179</v>
      </c>
      <c r="C555" s="12" t="s">
        <v>905</v>
      </c>
      <c r="D555" s="10" t="s">
        <v>284</v>
      </c>
      <c r="E555" s="10" t="s">
        <v>51</v>
      </c>
      <c r="F555" s="10" t="s">
        <v>35</v>
      </c>
      <c r="G555" s="10" t="s">
        <v>3146</v>
      </c>
      <c r="H555" s="8" t="s">
        <v>36</v>
      </c>
      <c r="I555" s="11">
        <v>7.97</v>
      </c>
      <c r="J555" s="6">
        <v>7.3084899999999999</v>
      </c>
      <c r="K555" s="6">
        <v>0.91700000000000004</v>
      </c>
      <c r="L555" s="6">
        <v>7.83</v>
      </c>
      <c r="M555" s="11">
        <v>7.18011</v>
      </c>
      <c r="N555" s="11">
        <f t="shared" si="32"/>
        <v>7.181</v>
      </c>
      <c r="O555" s="6">
        <v>0.91700000000000004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0.14000000000000001</v>
      </c>
      <c r="Z555" s="6">
        <v>0.12837999999999999</v>
      </c>
      <c r="AA555" s="6">
        <v>0.91699999999999982</v>
      </c>
      <c r="AB555" s="6">
        <v>-0.13999999999999968</v>
      </c>
      <c r="AC555" s="6">
        <v>0.13999999999999968</v>
      </c>
      <c r="AD555" s="23" t="s">
        <v>3143</v>
      </c>
      <c r="AE555" s="23">
        <f t="shared" si="33"/>
        <v>6.4290000000000003</v>
      </c>
      <c r="AF555" s="24">
        <f t="shared" si="34"/>
        <v>0.75199999999999978</v>
      </c>
      <c r="AG555" s="23">
        <f t="shared" si="35"/>
        <v>2</v>
      </c>
    </row>
    <row r="556" spans="1:33" ht="12.5" customHeight="1" x14ac:dyDescent="0.25">
      <c r="A556" s="12" t="s">
        <v>31</v>
      </c>
      <c r="B556" s="9">
        <v>46179</v>
      </c>
      <c r="C556" s="13" t="s">
        <v>905</v>
      </c>
      <c r="D556" s="10" t="s">
        <v>908</v>
      </c>
      <c r="E556" s="10" t="s">
        <v>51</v>
      </c>
      <c r="F556" s="10" t="s">
        <v>35</v>
      </c>
      <c r="G556" s="10" t="s">
        <v>3146</v>
      </c>
      <c r="H556" s="8" t="s">
        <v>36</v>
      </c>
      <c r="I556" s="11">
        <v>19.170000000000002</v>
      </c>
      <c r="J556" s="6">
        <v>17.578890000000001</v>
      </c>
      <c r="K556" s="6">
        <v>0.91700000000000004</v>
      </c>
      <c r="L556" s="6">
        <v>18.79</v>
      </c>
      <c r="M556" s="11">
        <v>17.230429999999998</v>
      </c>
      <c r="N556" s="11">
        <f t="shared" si="32"/>
        <v>17.231000000000002</v>
      </c>
      <c r="O556" s="6">
        <v>0.91699999999999993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0.38</v>
      </c>
      <c r="Z556" s="6">
        <v>0.34845999999999999</v>
      </c>
      <c r="AA556" s="6">
        <v>0.91699999999999993</v>
      </c>
      <c r="AB556" s="6">
        <v>-0.38000000000000256</v>
      </c>
      <c r="AC556" s="6">
        <v>0.38000000000000256</v>
      </c>
      <c r="AD556" s="22" t="s">
        <v>3140</v>
      </c>
      <c r="AE556" s="23">
        <f t="shared" si="33"/>
        <v>17.231000000000002</v>
      </c>
      <c r="AF556" s="24">
        <f t="shared" si="34"/>
        <v>0</v>
      </c>
      <c r="AG556" s="23">
        <f t="shared" si="35"/>
        <v>1</v>
      </c>
    </row>
    <row r="557" spans="1:33" ht="12.5" customHeight="1" x14ac:dyDescent="0.25">
      <c r="A557" s="12" t="s">
        <v>31</v>
      </c>
      <c r="B557" s="9">
        <v>46179</v>
      </c>
      <c r="C557" s="8" t="s">
        <v>909</v>
      </c>
      <c r="D557" s="10" t="s">
        <v>910</v>
      </c>
      <c r="E557" s="10" t="s">
        <v>51</v>
      </c>
      <c r="F557" s="10" t="s">
        <v>35</v>
      </c>
      <c r="G557" s="10" t="s">
        <v>3146</v>
      </c>
      <c r="H557" s="8" t="s">
        <v>36</v>
      </c>
      <c r="I557" s="11">
        <v>50.86</v>
      </c>
      <c r="J557" s="6">
        <v>46.638620000000003</v>
      </c>
      <c r="K557" s="6">
        <v>0.91700000000000004</v>
      </c>
      <c r="L557" s="6">
        <v>47.12</v>
      </c>
      <c r="M557" s="11">
        <v>43.209040000000002</v>
      </c>
      <c r="N557" s="11">
        <f t="shared" si="32"/>
        <v>43.21</v>
      </c>
      <c r="O557" s="6">
        <v>0.91700000000000004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3.74</v>
      </c>
      <c r="Z557" s="6">
        <v>3.4295800000000001</v>
      </c>
      <c r="AA557" s="6">
        <v>0.91699999999999993</v>
      </c>
      <c r="AB557" s="6">
        <v>-3.740000000000002</v>
      </c>
      <c r="AC557" s="6">
        <v>3.740000000000002</v>
      </c>
      <c r="AD557" s="22" t="s">
        <v>3140</v>
      </c>
      <c r="AE557" s="23">
        <f t="shared" si="33"/>
        <v>43.21</v>
      </c>
      <c r="AF557" s="24">
        <f t="shared" si="34"/>
        <v>0</v>
      </c>
      <c r="AG557" s="23">
        <f t="shared" si="35"/>
        <v>1</v>
      </c>
    </row>
    <row r="558" spans="1:33" ht="12.5" hidden="1" customHeight="1" x14ac:dyDescent="0.25">
      <c r="A558" s="12" t="s">
        <v>31</v>
      </c>
      <c r="B558" s="9">
        <v>46179</v>
      </c>
      <c r="C558" s="13" t="s">
        <v>909</v>
      </c>
      <c r="D558" s="10" t="s">
        <v>888</v>
      </c>
      <c r="E558" s="10" t="s">
        <v>51</v>
      </c>
      <c r="F558" s="10" t="s">
        <v>35</v>
      </c>
      <c r="G558" s="10" t="s">
        <v>3145</v>
      </c>
      <c r="H558" s="8" t="s">
        <v>48</v>
      </c>
      <c r="I558" s="11">
        <v>35.463999999999999</v>
      </c>
      <c r="J558" s="6">
        <v>26.597999999999999</v>
      </c>
      <c r="K558" s="6">
        <v>0.75</v>
      </c>
      <c r="L558" s="6">
        <v>35.463999999999999</v>
      </c>
      <c r="M558" s="11">
        <v>26.597999999999999</v>
      </c>
      <c r="N558" s="11">
        <f t="shared" si="32"/>
        <v>26.597999999999999</v>
      </c>
      <c r="O558" s="6">
        <v>0.75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22" t="s">
        <v>3140</v>
      </c>
      <c r="AE558" s="23">
        <f t="shared" si="33"/>
        <v>26.597999999999999</v>
      </c>
      <c r="AF558" s="24">
        <f t="shared" si="34"/>
        <v>0</v>
      </c>
      <c r="AG558" s="23">
        <f t="shared" si="35"/>
        <v>2</v>
      </c>
    </row>
    <row r="559" spans="1:33" ht="12.5" hidden="1" customHeight="1" x14ac:dyDescent="0.25">
      <c r="A559" s="12" t="s">
        <v>31</v>
      </c>
      <c r="B559" s="9">
        <v>46179</v>
      </c>
      <c r="C559" s="8" t="s">
        <v>911</v>
      </c>
      <c r="D559" s="10" t="s">
        <v>912</v>
      </c>
      <c r="E559" s="10" t="s">
        <v>51</v>
      </c>
      <c r="F559" s="10" t="s">
        <v>35</v>
      </c>
      <c r="G559" s="10" t="s">
        <v>3145</v>
      </c>
      <c r="H559" s="8" t="s">
        <v>48</v>
      </c>
      <c r="I559" s="11">
        <v>14.25</v>
      </c>
      <c r="J559" s="6">
        <v>10.6875</v>
      </c>
      <c r="K559" s="6">
        <v>0.75</v>
      </c>
      <c r="L559" s="6">
        <v>12.85</v>
      </c>
      <c r="M559" s="11">
        <v>9.6374999999999993</v>
      </c>
      <c r="N559" s="11">
        <f t="shared" si="32"/>
        <v>9.6379999999999999</v>
      </c>
      <c r="O559" s="6">
        <v>0.75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1.4</v>
      </c>
      <c r="Z559" s="6">
        <v>1.05</v>
      </c>
      <c r="AA559" s="6">
        <v>0.75000000000000011</v>
      </c>
      <c r="AB559" s="6">
        <v>-1.4000000000000004</v>
      </c>
      <c r="AC559" s="6">
        <v>1.4000000000000004</v>
      </c>
      <c r="AD559" s="22" t="s">
        <v>3140</v>
      </c>
      <c r="AE559" s="23">
        <f t="shared" si="33"/>
        <v>9.6379999999999999</v>
      </c>
      <c r="AF559" s="24">
        <f t="shared" si="34"/>
        <v>0</v>
      </c>
      <c r="AG559" s="23">
        <f t="shared" si="35"/>
        <v>1</v>
      </c>
    </row>
    <row r="560" spans="1:33" ht="12.5" customHeight="1" x14ac:dyDescent="0.25">
      <c r="A560" s="12" t="s">
        <v>31</v>
      </c>
      <c r="B560" s="9">
        <v>46179</v>
      </c>
      <c r="C560" s="12" t="s">
        <v>911</v>
      </c>
      <c r="D560" s="10" t="s">
        <v>765</v>
      </c>
      <c r="E560" s="10" t="s">
        <v>51</v>
      </c>
      <c r="F560" s="10" t="s">
        <v>35</v>
      </c>
      <c r="G560" s="10" t="s">
        <v>3146</v>
      </c>
      <c r="H560" s="8" t="s">
        <v>36</v>
      </c>
      <c r="I560" s="11">
        <v>63.47</v>
      </c>
      <c r="J560" s="6">
        <v>58.201990000000002</v>
      </c>
      <c r="K560" s="6">
        <v>0.91700000000000004</v>
      </c>
      <c r="L560" s="6">
        <v>59.12</v>
      </c>
      <c r="M560" s="11">
        <v>54.213039999999999</v>
      </c>
      <c r="N560" s="11">
        <f t="shared" si="32"/>
        <v>54.213999999999999</v>
      </c>
      <c r="O560" s="6">
        <v>0.91700000000000004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4.3499999999999996</v>
      </c>
      <c r="Z560" s="6">
        <v>3.98895</v>
      </c>
      <c r="AA560" s="6">
        <v>0.91700000000000004</v>
      </c>
      <c r="AB560" s="6">
        <v>-4.3500000000000014</v>
      </c>
      <c r="AC560" s="6">
        <v>4.3500000000000014</v>
      </c>
      <c r="AD560" s="23" t="s">
        <v>3143</v>
      </c>
      <c r="AE560" s="23">
        <f t="shared" si="33"/>
        <v>51.196999999999996</v>
      </c>
      <c r="AF560" s="24">
        <f t="shared" si="34"/>
        <v>3.017000000000003</v>
      </c>
      <c r="AG560" s="23">
        <f t="shared" si="35"/>
        <v>2</v>
      </c>
    </row>
    <row r="561" spans="1:33" ht="12.5" hidden="1" customHeight="1" x14ac:dyDescent="0.25">
      <c r="A561" s="12" t="s">
        <v>31</v>
      </c>
      <c r="B561" s="9">
        <v>46179</v>
      </c>
      <c r="C561" s="12" t="s">
        <v>911</v>
      </c>
      <c r="D561" s="10" t="s">
        <v>913</v>
      </c>
      <c r="E561" s="10" t="s">
        <v>51</v>
      </c>
      <c r="F561" s="10" t="s">
        <v>35</v>
      </c>
      <c r="G561" s="10" t="s">
        <v>3145</v>
      </c>
      <c r="H561" s="8" t="s">
        <v>48</v>
      </c>
      <c r="I561" s="11">
        <v>42.28</v>
      </c>
      <c r="J561" s="6">
        <v>31.71</v>
      </c>
      <c r="K561" s="6">
        <v>0.75</v>
      </c>
      <c r="L561" s="6">
        <v>41.43</v>
      </c>
      <c r="M561" s="11">
        <v>31.072500000000002</v>
      </c>
      <c r="N561" s="11">
        <f t="shared" si="32"/>
        <v>31.073</v>
      </c>
      <c r="O561" s="6">
        <v>0.75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0.85</v>
      </c>
      <c r="Z561" s="6">
        <v>0.63749999999999996</v>
      </c>
      <c r="AA561" s="6">
        <v>0.75</v>
      </c>
      <c r="AB561" s="6">
        <v>-0.85000000000000142</v>
      </c>
      <c r="AC561" s="6">
        <v>0.85000000000000142</v>
      </c>
      <c r="AD561" s="22" t="s">
        <v>3140</v>
      </c>
      <c r="AE561" s="23">
        <f t="shared" si="33"/>
        <v>31.073</v>
      </c>
      <c r="AF561" s="24">
        <f t="shared" si="34"/>
        <v>0</v>
      </c>
      <c r="AG561" s="23">
        <f t="shared" si="35"/>
        <v>1</v>
      </c>
    </row>
    <row r="562" spans="1:33" ht="12.5" customHeight="1" x14ac:dyDescent="0.25">
      <c r="A562" s="12" t="s">
        <v>31</v>
      </c>
      <c r="B562" s="9">
        <v>46179</v>
      </c>
      <c r="C562" s="13" t="s">
        <v>911</v>
      </c>
      <c r="D562" s="10" t="s">
        <v>914</v>
      </c>
      <c r="E562" s="10" t="s">
        <v>51</v>
      </c>
      <c r="F562" s="10" t="s">
        <v>35</v>
      </c>
      <c r="G562" s="10" t="s">
        <v>3146</v>
      </c>
      <c r="H562" s="8" t="s">
        <v>36</v>
      </c>
      <c r="I562" s="11">
        <v>29.52</v>
      </c>
      <c r="J562" s="6">
        <v>27.069839999999999</v>
      </c>
      <c r="K562" s="6">
        <v>0.91700000000000004</v>
      </c>
      <c r="L562" s="6">
        <v>29.5</v>
      </c>
      <c r="M562" s="11">
        <v>27.051500000000001</v>
      </c>
      <c r="N562" s="11">
        <f t="shared" si="32"/>
        <v>27.052</v>
      </c>
      <c r="O562" s="6">
        <v>0.91700000000000004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0.02</v>
      </c>
      <c r="Z562" s="6">
        <v>1.8339999999999999E-2</v>
      </c>
      <c r="AA562" s="6">
        <v>0.91699999999999993</v>
      </c>
      <c r="AB562" s="6">
        <v>-1.9999999999999574E-2</v>
      </c>
      <c r="AC562" s="6">
        <v>1.9999999999999574E-2</v>
      </c>
      <c r="AD562" s="23" t="s">
        <v>3143</v>
      </c>
      <c r="AE562" s="23">
        <f t="shared" si="33"/>
        <v>26.052</v>
      </c>
      <c r="AF562" s="24">
        <f t="shared" si="34"/>
        <v>1</v>
      </c>
      <c r="AG562" s="23">
        <f t="shared" si="35"/>
        <v>2</v>
      </c>
    </row>
    <row r="563" spans="1:33" ht="20" hidden="1" customHeight="1" x14ac:dyDescent="0.25">
      <c r="A563" s="12" t="s">
        <v>31</v>
      </c>
      <c r="B563" s="9">
        <v>46179</v>
      </c>
      <c r="C563" s="10" t="s">
        <v>915</v>
      </c>
      <c r="D563" s="10" t="s">
        <v>916</v>
      </c>
      <c r="E563" s="10" t="s">
        <v>51</v>
      </c>
      <c r="F563" s="10" t="s">
        <v>35</v>
      </c>
      <c r="G563" s="10" t="s">
        <v>3145</v>
      </c>
      <c r="H563" s="8" t="s">
        <v>48</v>
      </c>
      <c r="I563" s="11">
        <v>17.829999999999998</v>
      </c>
      <c r="J563" s="6">
        <v>13.3725</v>
      </c>
      <c r="K563" s="6">
        <v>0.75000000000000011</v>
      </c>
      <c r="L563" s="6">
        <v>14.43</v>
      </c>
      <c r="M563" s="11">
        <v>10.8225</v>
      </c>
      <c r="N563" s="11">
        <f t="shared" si="32"/>
        <v>10.822999999999999</v>
      </c>
      <c r="O563" s="6">
        <v>0.75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3.4</v>
      </c>
      <c r="Z563" s="6">
        <v>2.5499999999999998</v>
      </c>
      <c r="AA563" s="6">
        <v>0.75</v>
      </c>
      <c r="AB563" s="6">
        <v>-3.3999999999999986</v>
      </c>
      <c r="AC563" s="6">
        <v>3.3999999999999986</v>
      </c>
      <c r="AD563" s="23" t="s">
        <v>3143</v>
      </c>
      <c r="AE563" s="23">
        <f t="shared" si="33"/>
        <v>10.035</v>
      </c>
      <c r="AF563" s="24">
        <f t="shared" si="34"/>
        <v>0.78799999999999848</v>
      </c>
      <c r="AG563" s="23">
        <f t="shared" si="35"/>
        <v>2</v>
      </c>
    </row>
    <row r="564" spans="1:33" x14ac:dyDescent="0.25">
      <c r="A564" s="12" t="s">
        <v>31</v>
      </c>
      <c r="B564" s="9">
        <v>46179</v>
      </c>
      <c r="C564" s="10" t="s">
        <v>917</v>
      </c>
      <c r="D564" s="10" t="s">
        <v>918</v>
      </c>
      <c r="E564" s="10" t="s">
        <v>51</v>
      </c>
      <c r="F564" s="10" t="s">
        <v>35</v>
      </c>
      <c r="G564" s="10" t="s">
        <v>3146</v>
      </c>
      <c r="H564" s="8" t="s">
        <v>36</v>
      </c>
      <c r="I564" s="11">
        <v>87.35</v>
      </c>
      <c r="J564" s="6">
        <v>80.099950000000007</v>
      </c>
      <c r="K564" s="6">
        <v>0.91700000000000015</v>
      </c>
      <c r="L564" s="6">
        <v>82.9</v>
      </c>
      <c r="M564" s="11">
        <v>76.019300000000001</v>
      </c>
      <c r="N564" s="11">
        <f t="shared" si="32"/>
        <v>76.02000000000001</v>
      </c>
      <c r="O564" s="6">
        <v>0.91699999999999993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4.45</v>
      </c>
      <c r="Z564" s="6">
        <v>4.0806500000000003</v>
      </c>
      <c r="AA564" s="6">
        <v>0.91700000000000004</v>
      </c>
      <c r="AB564" s="6">
        <v>-4.4499999999999886</v>
      </c>
      <c r="AC564" s="6">
        <v>4.4499999999999886</v>
      </c>
      <c r="AD564" s="22" t="s">
        <v>3140</v>
      </c>
      <c r="AE564" s="23">
        <f t="shared" si="33"/>
        <v>76.02000000000001</v>
      </c>
      <c r="AF564" s="24">
        <f t="shared" si="34"/>
        <v>0</v>
      </c>
      <c r="AG564" s="23">
        <f t="shared" si="35"/>
        <v>1</v>
      </c>
    </row>
    <row r="565" spans="1:33" ht="12.5" customHeight="1" x14ac:dyDescent="0.25">
      <c r="A565" s="12" t="s">
        <v>31</v>
      </c>
      <c r="B565" s="9">
        <v>46179</v>
      </c>
      <c r="C565" s="8" t="s">
        <v>919</v>
      </c>
      <c r="D565" s="10" t="s">
        <v>920</v>
      </c>
      <c r="E565" s="10" t="s">
        <v>51</v>
      </c>
      <c r="F565" s="10" t="s">
        <v>35</v>
      </c>
      <c r="G565" s="10" t="s">
        <v>3146</v>
      </c>
      <c r="H565" s="8" t="s">
        <v>36</v>
      </c>
      <c r="I565" s="11">
        <v>44.09</v>
      </c>
      <c r="J565" s="6">
        <v>40.430529999999997</v>
      </c>
      <c r="K565" s="6">
        <v>0.91699999999999982</v>
      </c>
      <c r="L565" s="6">
        <v>40.99</v>
      </c>
      <c r="M565" s="11">
        <v>37.587829999999997</v>
      </c>
      <c r="N565" s="11">
        <f t="shared" si="32"/>
        <v>37.588000000000001</v>
      </c>
      <c r="O565" s="6">
        <v>0.91699999999999993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3.1</v>
      </c>
      <c r="Z565" s="6">
        <v>2.8426999999999998</v>
      </c>
      <c r="AA565" s="6">
        <v>0.91699999999999993</v>
      </c>
      <c r="AB565" s="6">
        <v>-3.1000000000000014</v>
      </c>
      <c r="AC565" s="6">
        <v>3.1000000000000014</v>
      </c>
      <c r="AD565" s="22" t="s">
        <v>3140</v>
      </c>
      <c r="AE565" s="23">
        <f t="shared" si="33"/>
        <v>37.588000000000001</v>
      </c>
      <c r="AF565" s="24">
        <f t="shared" si="34"/>
        <v>0</v>
      </c>
      <c r="AG565" s="23">
        <f t="shared" si="35"/>
        <v>1</v>
      </c>
    </row>
    <row r="566" spans="1:33" ht="12.5" customHeight="1" x14ac:dyDescent="0.25">
      <c r="A566" s="12" t="s">
        <v>31</v>
      </c>
      <c r="B566" s="9">
        <v>46179</v>
      </c>
      <c r="C566" s="13" t="s">
        <v>919</v>
      </c>
      <c r="D566" s="10" t="s">
        <v>921</v>
      </c>
      <c r="E566" s="10" t="s">
        <v>51</v>
      </c>
      <c r="F566" s="10" t="s">
        <v>35</v>
      </c>
      <c r="G566" s="10" t="s">
        <v>3146</v>
      </c>
      <c r="H566" s="8" t="s">
        <v>36</v>
      </c>
      <c r="I566" s="11">
        <v>31.02</v>
      </c>
      <c r="J566" s="6">
        <v>28.445340000000002</v>
      </c>
      <c r="K566" s="6">
        <v>0.91700000000000004</v>
      </c>
      <c r="L566" s="6">
        <v>29.04</v>
      </c>
      <c r="M566" s="11">
        <v>26.62968</v>
      </c>
      <c r="N566" s="11">
        <f t="shared" si="32"/>
        <v>26.630000000000003</v>
      </c>
      <c r="O566" s="6">
        <v>0.91700000000000004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1.98</v>
      </c>
      <c r="Z566" s="6">
        <v>1.8156600000000001</v>
      </c>
      <c r="AA566" s="6">
        <v>0.91700000000000004</v>
      </c>
      <c r="AB566" s="6">
        <v>-1.9800000000000004</v>
      </c>
      <c r="AC566" s="6">
        <v>1.9800000000000004</v>
      </c>
      <c r="AD566" s="23" t="s">
        <v>3143</v>
      </c>
      <c r="AE566" s="23">
        <f t="shared" si="33"/>
        <v>26.016000000000002</v>
      </c>
      <c r="AF566" s="24">
        <f t="shared" si="34"/>
        <v>0.61400000000000077</v>
      </c>
      <c r="AG566" s="23">
        <f t="shared" si="35"/>
        <v>2</v>
      </c>
    </row>
    <row r="567" spans="1:33" ht="20" hidden="1" customHeight="1" x14ac:dyDescent="0.25">
      <c r="A567" s="12" t="s">
        <v>31</v>
      </c>
      <c r="B567" s="9">
        <v>46179</v>
      </c>
      <c r="C567" s="10" t="s">
        <v>922</v>
      </c>
      <c r="D567" s="10" t="s">
        <v>923</v>
      </c>
      <c r="E567" s="10" t="s">
        <v>51</v>
      </c>
      <c r="F567" s="10" t="s">
        <v>35</v>
      </c>
      <c r="G567" s="10" t="s">
        <v>3145</v>
      </c>
      <c r="H567" s="8" t="s">
        <v>48</v>
      </c>
      <c r="I567" s="11">
        <v>17.55</v>
      </c>
      <c r="J567" s="6">
        <v>13.1625</v>
      </c>
      <c r="K567" s="6">
        <v>0.75</v>
      </c>
      <c r="L567" s="6">
        <v>16.079999999999998</v>
      </c>
      <c r="M567" s="11">
        <v>12.06</v>
      </c>
      <c r="N567" s="11">
        <f t="shared" si="32"/>
        <v>12.06</v>
      </c>
      <c r="O567" s="6">
        <v>0.75000000000000011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1.47</v>
      </c>
      <c r="Z567" s="6">
        <v>1.1025</v>
      </c>
      <c r="AA567" s="6">
        <v>0.75</v>
      </c>
      <c r="AB567" s="6">
        <v>-1.4700000000000024</v>
      </c>
      <c r="AC567" s="6">
        <v>1.4700000000000024</v>
      </c>
      <c r="AD567" s="22" t="s">
        <v>3140</v>
      </c>
      <c r="AE567" s="23">
        <f t="shared" si="33"/>
        <v>12.06</v>
      </c>
      <c r="AF567" s="24">
        <f t="shared" si="34"/>
        <v>0</v>
      </c>
      <c r="AG567" s="23">
        <f t="shared" si="35"/>
        <v>1</v>
      </c>
    </row>
    <row r="568" spans="1:33" x14ac:dyDescent="0.25">
      <c r="A568" s="12" t="s">
        <v>31</v>
      </c>
      <c r="B568" s="9">
        <v>46179</v>
      </c>
      <c r="C568" s="10" t="s">
        <v>924</v>
      </c>
      <c r="D568" s="10" t="s">
        <v>925</v>
      </c>
      <c r="E568" s="10" t="s">
        <v>51</v>
      </c>
      <c r="F568" s="10" t="s">
        <v>35</v>
      </c>
      <c r="G568" s="10" t="s">
        <v>3146</v>
      </c>
      <c r="H568" s="8" t="s">
        <v>36</v>
      </c>
      <c r="I568" s="11">
        <v>11.87</v>
      </c>
      <c r="J568" s="6">
        <v>10.884790000000001</v>
      </c>
      <c r="K568" s="6">
        <v>0.91700000000000015</v>
      </c>
      <c r="L568" s="6">
        <v>11.84</v>
      </c>
      <c r="M568" s="11">
        <v>10.857279999999999</v>
      </c>
      <c r="N568" s="11">
        <f t="shared" si="32"/>
        <v>10.857999999999999</v>
      </c>
      <c r="O568" s="6">
        <v>0.91699999999999993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0.03</v>
      </c>
      <c r="Z568" s="6">
        <v>2.751E-2</v>
      </c>
      <c r="AA568" s="6">
        <v>0.91700000000000004</v>
      </c>
      <c r="AB568" s="6">
        <v>-2.9999999999999361E-2</v>
      </c>
      <c r="AC568" s="6">
        <v>2.9999999999999361E-2</v>
      </c>
      <c r="AD568" s="22" t="s">
        <v>3140</v>
      </c>
      <c r="AE568" s="23">
        <f t="shared" si="33"/>
        <v>10.857999999999999</v>
      </c>
      <c r="AF568" s="24">
        <f t="shared" si="34"/>
        <v>0</v>
      </c>
      <c r="AG568" s="23">
        <f t="shared" si="35"/>
        <v>1</v>
      </c>
    </row>
    <row r="569" spans="1:33" x14ac:dyDescent="0.25">
      <c r="A569" s="12" t="s">
        <v>31</v>
      </c>
      <c r="B569" s="9">
        <v>46179</v>
      </c>
      <c r="C569" s="10" t="s">
        <v>926</v>
      </c>
      <c r="D569" s="10" t="s">
        <v>927</v>
      </c>
      <c r="E569" s="10" t="s">
        <v>51</v>
      </c>
      <c r="F569" s="10" t="s">
        <v>35</v>
      </c>
      <c r="G569" s="10" t="s">
        <v>3146</v>
      </c>
      <c r="H569" s="8" t="s">
        <v>36</v>
      </c>
      <c r="I569" s="11">
        <v>10.08</v>
      </c>
      <c r="J569" s="6">
        <v>9.2433599999999991</v>
      </c>
      <c r="K569" s="6">
        <v>0.91699999999999993</v>
      </c>
      <c r="L569" s="6">
        <v>9.94</v>
      </c>
      <c r="M569" s="11">
        <v>9.1149799999999992</v>
      </c>
      <c r="N569" s="11">
        <f t="shared" si="32"/>
        <v>9.1150000000000002</v>
      </c>
      <c r="O569" s="6">
        <v>0.91699999999999993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0.14000000000000001</v>
      </c>
      <c r="Z569" s="6">
        <v>0.12837999999999999</v>
      </c>
      <c r="AA569" s="6">
        <v>0.91699999999999982</v>
      </c>
      <c r="AB569" s="6">
        <v>-0.14000000000000057</v>
      </c>
      <c r="AC569" s="6">
        <v>0.14000000000000057</v>
      </c>
      <c r="AD569" s="22" t="s">
        <v>3140</v>
      </c>
      <c r="AE569" s="23">
        <f t="shared" si="33"/>
        <v>9.1150000000000002</v>
      </c>
      <c r="AF569" s="24">
        <f t="shared" si="34"/>
        <v>0</v>
      </c>
      <c r="AG569" s="23">
        <f t="shared" si="35"/>
        <v>1</v>
      </c>
    </row>
    <row r="570" spans="1:33" x14ac:dyDescent="0.25">
      <c r="A570" s="12" t="s">
        <v>31</v>
      </c>
      <c r="B570" s="9">
        <v>46179</v>
      </c>
      <c r="C570" s="10" t="s">
        <v>928</v>
      </c>
      <c r="D570" s="10" t="s">
        <v>929</v>
      </c>
      <c r="E570" s="10" t="s">
        <v>51</v>
      </c>
      <c r="F570" s="10" t="s">
        <v>35</v>
      </c>
      <c r="G570" s="10" t="s">
        <v>3146</v>
      </c>
      <c r="H570" s="8" t="s">
        <v>36</v>
      </c>
      <c r="I570" s="11">
        <v>21.26</v>
      </c>
      <c r="J570" s="6">
        <v>19.495419999999999</v>
      </c>
      <c r="K570" s="6">
        <v>0.91699999999999993</v>
      </c>
      <c r="L570" s="6">
        <v>19.760000000000002</v>
      </c>
      <c r="M570" s="11">
        <v>18.11992</v>
      </c>
      <c r="N570" s="11">
        <f t="shared" si="32"/>
        <v>18.12</v>
      </c>
      <c r="O570" s="6">
        <v>0.91699999999999993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1.5</v>
      </c>
      <c r="Z570" s="6">
        <v>1.3754999999999999</v>
      </c>
      <c r="AA570" s="6">
        <v>0.91699999999999993</v>
      </c>
      <c r="AB570" s="6">
        <v>-1.5</v>
      </c>
      <c r="AC570" s="6">
        <v>1.5</v>
      </c>
      <c r="AD570" s="22" t="s">
        <v>3140</v>
      </c>
      <c r="AE570" s="23">
        <f t="shared" si="33"/>
        <v>18.12</v>
      </c>
      <c r="AF570" s="24">
        <f t="shared" si="34"/>
        <v>0</v>
      </c>
      <c r="AG570" s="23">
        <f t="shared" si="35"/>
        <v>1</v>
      </c>
    </row>
    <row r="571" spans="1:33" ht="12.5" hidden="1" customHeight="1" x14ac:dyDescent="0.25">
      <c r="A571" s="12" t="s">
        <v>31</v>
      </c>
      <c r="B571" s="9">
        <v>46179</v>
      </c>
      <c r="C571" s="8" t="s">
        <v>930</v>
      </c>
      <c r="D571" s="8" t="s">
        <v>338</v>
      </c>
      <c r="E571" s="8" t="s">
        <v>51</v>
      </c>
      <c r="F571" s="8" t="s">
        <v>35</v>
      </c>
      <c r="G571" s="10" t="s">
        <v>3145</v>
      </c>
      <c r="H571" s="8" t="s">
        <v>48</v>
      </c>
      <c r="I571" s="11">
        <v>5.59</v>
      </c>
      <c r="J571" s="6">
        <v>4.1924999999999999</v>
      </c>
      <c r="K571" s="6">
        <v>0.75</v>
      </c>
      <c r="L571" s="6">
        <v>4.78</v>
      </c>
      <c r="M571" s="11">
        <v>3.585</v>
      </c>
      <c r="N571" s="11">
        <f t="shared" si="32"/>
        <v>3.585</v>
      </c>
      <c r="O571" s="6">
        <v>0.75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0.81</v>
      </c>
      <c r="Z571" s="6">
        <v>0.60750000000000004</v>
      </c>
      <c r="AA571" s="6">
        <v>0.75</v>
      </c>
      <c r="AB571" s="6">
        <v>-0.80999999999999961</v>
      </c>
      <c r="AC571" s="6">
        <v>0.80999999999999961</v>
      </c>
      <c r="AD571" s="23" t="s">
        <v>3143</v>
      </c>
      <c r="AE571" s="23">
        <f t="shared" si="33"/>
        <v>0</v>
      </c>
      <c r="AF571" s="24">
        <f t="shared" si="34"/>
        <v>3.585</v>
      </c>
      <c r="AG571" s="23">
        <f t="shared" si="35"/>
        <v>67</v>
      </c>
    </row>
    <row r="572" spans="1:33" ht="12.5" hidden="1" customHeight="1" x14ac:dyDescent="0.25">
      <c r="A572" s="12" t="s">
        <v>31</v>
      </c>
      <c r="B572" s="9">
        <v>46179</v>
      </c>
      <c r="C572" s="13" t="s">
        <v>930</v>
      </c>
      <c r="D572" s="13" t="s">
        <v>338</v>
      </c>
      <c r="E572" s="13" t="s">
        <v>51</v>
      </c>
      <c r="F572" s="13" t="s">
        <v>35</v>
      </c>
      <c r="G572" s="10" t="s">
        <v>3145</v>
      </c>
      <c r="H572" s="8" t="s">
        <v>41</v>
      </c>
      <c r="I572" s="11">
        <v>10.16</v>
      </c>
      <c r="J572" s="6">
        <v>7.62</v>
      </c>
      <c r="K572" s="6">
        <v>0.75</v>
      </c>
      <c r="L572" s="6">
        <v>10</v>
      </c>
      <c r="M572" s="11">
        <v>7.5</v>
      </c>
      <c r="N572" s="11">
        <f t="shared" si="32"/>
        <v>7.5</v>
      </c>
      <c r="O572" s="6">
        <v>0.75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0.16</v>
      </c>
      <c r="Z572" s="6">
        <v>0.12</v>
      </c>
      <c r="AA572" s="6">
        <v>0.75</v>
      </c>
      <c r="AB572" s="6">
        <v>-0.16000000000000014</v>
      </c>
      <c r="AC572" s="6">
        <v>0.16000000000000014</v>
      </c>
      <c r="AD572" s="23" t="s">
        <v>3143</v>
      </c>
      <c r="AE572" s="23">
        <f t="shared" si="33"/>
        <v>0</v>
      </c>
      <c r="AF572" s="24">
        <f t="shared" si="34"/>
        <v>7.5</v>
      </c>
      <c r="AG572" s="23">
        <f t="shared" si="35"/>
        <v>67</v>
      </c>
    </row>
    <row r="573" spans="1:33" ht="12.5" customHeight="1" x14ac:dyDescent="0.25">
      <c r="A573" s="12" t="s">
        <v>31</v>
      </c>
      <c r="B573" s="9">
        <v>46181</v>
      </c>
      <c r="C573" s="10" t="s">
        <v>931</v>
      </c>
      <c r="D573" s="10" t="s">
        <v>643</v>
      </c>
      <c r="E573" s="10" t="s">
        <v>34</v>
      </c>
      <c r="F573" s="10" t="s">
        <v>35</v>
      </c>
      <c r="G573" s="10" t="s">
        <v>3146</v>
      </c>
      <c r="H573" s="8" t="s">
        <v>36</v>
      </c>
      <c r="I573" s="11">
        <v>102.58</v>
      </c>
      <c r="J573" s="6">
        <v>94.065860000000001</v>
      </c>
      <c r="K573" s="6">
        <v>0.91700000000000004</v>
      </c>
      <c r="L573" s="6">
        <v>94.68</v>
      </c>
      <c r="M573" s="11">
        <v>86.821560000000005</v>
      </c>
      <c r="N573" s="11">
        <f t="shared" si="32"/>
        <v>86.822000000000003</v>
      </c>
      <c r="O573" s="6">
        <v>0.91700000000000004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7.9</v>
      </c>
      <c r="Z573" s="6">
        <v>7.2443</v>
      </c>
      <c r="AA573" s="6">
        <v>0.91699999999999993</v>
      </c>
      <c r="AB573" s="6">
        <v>-7.8999999999999915</v>
      </c>
      <c r="AC573" s="6">
        <v>7.8999999999999915</v>
      </c>
      <c r="AD573" s="22" t="s">
        <v>3140</v>
      </c>
      <c r="AE573" s="23">
        <f t="shared" si="33"/>
        <v>86.822000000000003</v>
      </c>
      <c r="AF573" s="24">
        <f t="shared" si="34"/>
        <v>0</v>
      </c>
      <c r="AG573" s="23">
        <f t="shared" si="35"/>
        <v>2</v>
      </c>
    </row>
    <row r="574" spans="1:33" ht="12.5" customHeight="1" x14ac:dyDescent="0.25">
      <c r="A574" s="12" t="s">
        <v>31</v>
      </c>
      <c r="B574" s="9">
        <v>46181</v>
      </c>
      <c r="C574" s="10" t="s">
        <v>932</v>
      </c>
      <c r="D574" s="10" t="s">
        <v>933</v>
      </c>
      <c r="E574" s="10" t="s">
        <v>34</v>
      </c>
      <c r="F574" s="10" t="s">
        <v>35</v>
      </c>
      <c r="G574" s="10" t="s">
        <v>3146</v>
      </c>
      <c r="H574" s="8" t="s">
        <v>36</v>
      </c>
      <c r="I574" s="11">
        <v>72.314999999999998</v>
      </c>
      <c r="J574" s="6">
        <v>66.312854999999999</v>
      </c>
      <c r="K574" s="6">
        <v>0.91700000000000004</v>
      </c>
      <c r="L574" s="6">
        <v>68.704999999999998</v>
      </c>
      <c r="M574" s="11">
        <v>63.002485</v>
      </c>
      <c r="N574" s="11">
        <f t="shared" si="32"/>
        <v>63.003</v>
      </c>
      <c r="O574" s="6">
        <v>0.91700000000000004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3.61</v>
      </c>
      <c r="Z574" s="6">
        <v>3.3103699999999998</v>
      </c>
      <c r="AA574" s="6">
        <v>0.91699999999999993</v>
      </c>
      <c r="AB574" s="6">
        <v>-3.6099999999999994</v>
      </c>
      <c r="AC574" s="6">
        <v>3.6099999999999994</v>
      </c>
      <c r="AD574" s="22" t="s">
        <v>3140</v>
      </c>
      <c r="AE574" s="23">
        <f t="shared" si="33"/>
        <v>63.003</v>
      </c>
      <c r="AF574" s="24">
        <f t="shared" si="34"/>
        <v>0</v>
      </c>
      <c r="AG574" s="23">
        <f t="shared" si="35"/>
        <v>1</v>
      </c>
    </row>
    <row r="575" spans="1:33" ht="12.5" hidden="1" customHeight="1" x14ac:dyDescent="0.25">
      <c r="A575" s="12" t="s">
        <v>31</v>
      </c>
      <c r="B575" s="9">
        <v>46181</v>
      </c>
      <c r="C575" s="10" t="s">
        <v>934</v>
      </c>
      <c r="D575" s="10" t="s">
        <v>935</v>
      </c>
      <c r="E575" s="10" t="s">
        <v>34</v>
      </c>
      <c r="F575" s="10" t="s">
        <v>35</v>
      </c>
      <c r="G575" s="10" t="s">
        <v>3145</v>
      </c>
      <c r="H575" s="8" t="s">
        <v>48</v>
      </c>
      <c r="I575" s="11">
        <v>158.13999999999999</v>
      </c>
      <c r="J575" s="6">
        <v>118.605</v>
      </c>
      <c r="K575" s="6">
        <v>0.75000000000000011</v>
      </c>
      <c r="L575" s="6">
        <v>143.44</v>
      </c>
      <c r="M575" s="11">
        <v>107.58</v>
      </c>
      <c r="N575" s="11">
        <f t="shared" si="32"/>
        <v>107.58</v>
      </c>
      <c r="O575" s="6">
        <v>0.75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14.7</v>
      </c>
      <c r="Z575" s="6">
        <v>11.025</v>
      </c>
      <c r="AA575" s="6">
        <v>0.75000000000000011</v>
      </c>
      <c r="AB575" s="6">
        <v>-14.699999999999989</v>
      </c>
      <c r="AC575" s="6">
        <v>14.699999999999989</v>
      </c>
      <c r="AD575" s="22" t="s">
        <v>3140</v>
      </c>
      <c r="AE575" s="23">
        <f t="shared" si="33"/>
        <v>107.58</v>
      </c>
      <c r="AF575" s="24">
        <f t="shared" si="34"/>
        <v>0</v>
      </c>
      <c r="AG575" s="23">
        <f t="shared" si="35"/>
        <v>1</v>
      </c>
    </row>
    <row r="576" spans="1:33" ht="12.5" customHeight="1" x14ac:dyDescent="0.25">
      <c r="A576" s="12" t="s">
        <v>31</v>
      </c>
      <c r="B576" s="9">
        <v>46181</v>
      </c>
      <c r="C576" s="10" t="s">
        <v>936</v>
      </c>
      <c r="D576" s="10" t="s">
        <v>33</v>
      </c>
      <c r="E576" s="10" t="s">
        <v>34</v>
      </c>
      <c r="F576" s="10" t="s">
        <v>35</v>
      </c>
      <c r="G576" s="10" t="s">
        <v>3146</v>
      </c>
      <c r="H576" s="8" t="s">
        <v>36</v>
      </c>
      <c r="I576" s="11">
        <v>271.52999999999997</v>
      </c>
      <c r="J576" s="6">
        <v>248.99301</v>
      </c>
      <c r="K576" s="6">
        <v>0.91700000000000004</v>
      </c>
      <c r="L576" s="6">
        <v>266.51</v>
      </c>
      <c r="M576" s="11">
        <v>244.38967</v>
      </c>
      <c r="N576" s="11">
        <f t="shared" si="32"/>
        <v>244.39000000000001</v>
      </c>
      <c r="O576" s="6">
        <v>0.91700000000000004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5.0199999999999996</v>
      </c>
      <c r="Z576" s="6">
        <v>4.6033400000000002</v>
      </c>
      <c r="AA576" s="6">
        <v>0.91700000000000015</v>
      </c>
      <c r="AB576" s="6">
        <v>-5.0199999999999818</v>
      </c>
      <c r="AC576" s="6">
        <v>5.0199999999999818</v>
      </c>
      <c r="AD576" s="23" t="s">
        <v>3143</v>
      </c>
      <c r="AE576" s="23">
        <f t="shared" si="33"/>
        <v>77.826000000000008</v>
      </c>
      <c r="AF576" s="24">
        <f t="shared" si="34"/>
        <v>166.56400000000002</v>
      </c>
      <c r="AG576" s="23">
        <f t="shared" si="35"/>
        <v>3</v>
      </c>
    </row>
    <row r="577" spans="1:33" ht="12.5" hidden="1" customHeight="1" x14ac:dyDescent="0.25">
      <c r="A577" s="12" t="s">
        <v>31</v>
      </c>
      <c r="B577" s="9">
        <v>46181</v>
      </c>
      <c r="C577" s="10" t="s">
        <v>937</v>
      </c>
      <c r="D577" s="10" t="s">
        <v>938</v>
      </c>
      <c r="E577" s="10" t="s">
        <v>34</v>
      </c>
      <c r="F577" s="10" t="s">
        <v>35</v>
      </c>
      <c r="G577" s="10" t="s">
        <v>3145</v>
      </c>
      <c r="H577" s="8" t="s">
        <v>48</v>
      </c>
      <c r="I577" s="11">
        <v>108.04</v>
      </c>
      <c r="J577" s="6">
        <v>81.03</v>
      </c>
      <c r="K577" s="6">
        <v>0.75</v>
      </c>
      <c r="L577" s="6">
        <v>99.84</v>
      </c>
      <c r="M577" s="11">
        <v>74.88</v>
      </c>
      <c r="N577" s="11">
        <f t="shared" si="32"/>
        <v>74.88</v>
      </c>
      <c r="O577" s="6">
        <v>0.74999999999999989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8.1999999999999993</v>
      </c>
      <c r="Z577" s="6">
        <v>6.15</v>
      </c>
      <c r="AA577" s="6">
        <v>0.75000000000000011</v>
      </c>
      <c r="AB577" s="6">
        <v>-8.2000000000000028</v>
      </c>
      <c r="AC577" s="6">
        <v>8.2000000000000028</v>
      </c>
      <c r="AD577" s="22" t="s">
        <v>3140</v>
      </c>
      <c r="AE577" s="23">
        <f t="shared" si="33"/>
        <v>74.88</v>
      </c>
      <c r="AF577" s="24">
        <f t="shared" si="34"/>
        <v>0</v>
      </c>
      <c r="AG577" s="23">
        <f t="shared" si="35"/>
        <v>1</v>
      </c>
    </row>
    <row r="578" spans="1:33" ht="12.5" hidden="1" customHeight="1" x14ac:dyDescent="0.25">
      <c r="A578" s="12" t="s">
        <v>31</v>
      </c>
      <c r="B578" s="9">
        <v>46181</v>
      </c>
      <c r="C578" s="10" t="s">
        <v>939</v>
      </c>
      <c r="D578" s="10" t="s">
        <v>940</v>
      </c>
      <c r="E578" s="10" t="s">
        <v>34</v>
      </c>
      <c r="F578" s="10" t="s">
        <v>35</v>
      </c>
      <c r="G578" s="10" t="s">
        <v>3145</v>
      </c>
      <c r="H578" s="8" t="s">
        <v>48</v>
      </c>
      <c r="I578" s="11">
        <v>60.24</v>
      </c>
      <c r="J578" s="6">
        <v>45.18</v>
      </c>
      <c r="K578" s="6">
        <v>0.75</v>
      </c>
      <c r="L578" s="6">
        <v>54.23</v>
      </c>
      <c r="M578" s="11">
        <v>40.672499999999999</v>
      </c>
      <c r="N578" s="11">
        <f t="shared" si="32"/>
        <v>40.672999999999995</v>
      </c>
      <c r="O578" s="6">
        <v>0.75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6.01</v>
      </c>
      <c r="Z578" s="6">
        <v>4.5075000000000003</v>
      </c>
      <c r="AA578" s="6">
        <v>0.75000000000000011</v>
      </c>
      <c r="AB578" s="6">
        <v>-6.0100000000000051</v>
      </c>
      <c r="AC578" s="6">
        <v>6.0100000000000051</v>
      </c>
      <c r="AD578" s="22" t="s">
        <v>3140</v>
      </c>
      <c r="AE578" s="23">
        <f t="shared" si="33"/>
        <v>40.672999999999995</v>
      </c>
      <c r="AF578" s="24">
        <f t="shared" si="34"/>
        <v>0</v>
      </c>
      <c r="AG578" s="23">
        <f t="shared" si="35"/>
        <v>1</v>
      </c>
    </row>
    <row r="579" spans="1:33" ht="12.5" customHeight="1" x14ac:dyDescent="0.25">
      <c r="A579" s="12" t="s">
        <v>31</v>
      </c>
      <c r="B579" s="9">
        <v>46181</v>
      </c>
      <c r="C579" s="10" t="s">
        <v>941</v>
      </c>
      <c r="D579" s="10" t="s">
        <v>942</v>
      </c>
      <c r="E579" s="10" t="s">
        <v>34</v>
      </c>
      <c r="F579" s="10" t="s">
        <v>35</v>
      </c>
      <c r="G579" s="10" t="s">
        <v>3146</v>
      </c>
      <c r="H579" s="8" t="s">
        <v>36</v>
      </c>
      <c r="I579" s="11">
        <v>64.477999999999994</v>
      </c>
      <c r="J579" s="6">
        <v>59.126325999999999</v>
      </c>
      <c r="K579" s="6">
        <v>0.91700000000000004</v>
      </c>
      <c r="L579" s="6">
        <v>61.497999999999998</v>
      </c>
      <c r="M579" s="11">
        <v>56.393666000000003</v>
      </c>
      <c r="N579" s="11">
        <f t="shared" ref="N579:N642" si="36">ROUNDUP(M579,3)</f>
        <v>56.393999999999998</v>
      </c>
      <c r="O579" s="6">
        <v>0.91700000000000004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2.98</v>
      </c>
      <c r="Z579" s="6">
        <v>2.7326600000000001</v>
      </c>
      <c r="AA579" s="6">
        <v>0.91700000000000004</v>
      </c>
      <c r="AB579" s="6">
        <v>-2.9799999999999969</v>
      </c>
      <c r="AC579" s="6">
        <v>2.9799999999999969</v>
      </c>
      <c r="AD579" s="22" t="s">
        <v>3140</v>
      </c>
      <c r="AE579" s="23">
        <f t="shared" ref="AE579:AE642" si="37">_xlfn.MINIFS(N:N,D:D,D579)</f>
        <v>56.393999999999998</v>
      </c>
      <c r="AF579" s="24">
        <f t="shared" ref="AF579:AF642" si="38">N579-AE579</f>
        <v>0</v>
      </c>
      <c r="AG579" s="23">
        <f t="shared" ref="AG579:AG642" si="39">COUNTIF(D:D,D579)</f>
        <v>1</v>
      </c>
    </row>
    <row r="580" spans="1:33" ht="12.5" hidden="1" customHeight="1" x14ac:dyDescent="0.25">
      <c r="A580" s="12" t="s">
        <v>31</v>
      </c>
      <c r="B580" s="9">
        <v>46181</v>
      </c>
      <c r="C580" s="10" t="s">
        <v>943</v>
      </c>
      <c r="D580" s="10" t="s">
        <v>944</v>
      </c>
      <c r="E580" s="10" t="s">
        <v>34</v>
      </c>
      <c r="F580" s="10" t="s">
        <v>35</v>
      </c>
      <c r="G580" s="10" t="s">
        <v>3145</v>
      </c>
      <c r="H580" s="8" t="s">
        <v>41</v>
      </c>
      <c r="I580" s="11">
        <v>50.03</v>
      </c>
      <c r="J580" s="6">
        <v>37.522500000000001</v>
      </c>
      <c r="K580" s="6">
        <v>0.75</v>
      </c>
      <c r="L580" s="6">
        <v>46.17</v>
      </c>
      <c r="M580" s="11">
        <v>34.627499999999998</v>
      </c>
      <c r="N580" s="11">
        <f t="shared" si="36"/>
        <v>34.628</v>
      </c>
      <c r="O580" s="6">
        <v>0.74999999999999989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3.86</v>
      </c>
      <c r="Z580" s="6">
        <v>2.895</v>
      </c>
      <c r="AA580" s="6">
        <v>0.75</v>
      </c>
      <c r="AB580" s="6">
        <v>-3.8599999999999994</v>
      </c>
      <c r="AC580" s="6">
        <v>3.8599999999999994</v>
      </c>
      <c r="AD580" s="22" t="s">
        <v>3140</v>
      </c>
      <c r="AE580" s="23">
        <f t="shared" si="37"/>
        <v>34.628</v>
      </c>
      <c r="AF580" s="24">
        <f t="shared" si="38"/>
        <v>0</v>
      </c>
      <c r="AG580" s="23">
        <f t="shared" si="39"/>
        <v>1</v>
      </c>
    </row>
    <row r="581" spans="1:33" ht="12.5" customHeight="1" x14ac:dyDescent="0.25">
      <c r="A581" s="12" t="s">
        <v>31</v>
      </c>
      <c r="B581" s="9">
        <v>46181</v>
      </c>
      <c r="C581" s="10" t="s">
        <v>945</v>
      </c>
      <c r="D581" s="10" t="s">
        <v>946</v>
      </c>
      <c r="E581" s="10" t="s">
        <v>34</v>
      </c>
      <c r="F581" s="10" t="s">
        <v>35</v>
      </c>
      <c r="G581" s="10" t="s">
        <v>3146</v>
      </c>
      <c r="H581" s="8" t="s">
        <v>36</v>
      </c>
      <c r="I581" s="11">
        <v>94.438999999999993</v>
      </c>
      <c r="J581" s="6">
        <v>86.600562999999994</v>
      </c>
      <c r="K581" s="6">
        <v>0.91700000000000004</v>
      </c>
      <c r="L581" s="6">
        <v>91.299000000000007</v>
      </c>
      <c r="M581" s="11">
        <v>83.721182999999996</v>
      </c>
      <c r="N581" s="11">
        <f t="shared" si="36"/>
        <v>83.722000000000008</v>
      </c>
      <c r="O581" s="6">
        <v>0.91699999999999993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3.14</v>
      </c>
      <c r="Z581" s="6">
        <v>2.8793799999999998</v>
      </c>
      <c r="AA581" s="6">
        <v>0.91699999999999993</v>
      </c>
      <c r="AB581" s="6">
        <v>-3.1399999999999864</v>
      </c>
      <c r="AC581" s="6">
        <v>3.1399999999999864</v>
      </c>
      <c r="AD581" s="22" t="s">
        <v>3140</v>
      </c>
      <c r="AE581" s="23">
        <f t="shared" si="37"/>
        <v>83.722000000000008</v>
      </c>
      <c r="AF581" s="24">
        <f t="shared" si="38"/>
        <v>0</v>
      </c>
      <c r="AG581" s="23">
        <f t="shared" si="39"/>
        <v>1</v>
      </c>
    </row>
    <row r="582" spans="1:33" ht="12.5" customHeight="1" x14ac:dyDescent="0.25">
      <c r="A582" s="12" t="s">
        <v>31</v>
      </c>
      <c r="B582" s="9">
        <v>46181</v>
      </c>
      <c r="C582" s="10" t="s">
        <v>947</v>
      </c>
      <c r="D582" s="10" t="s">
        <v>948</v>
      </c>
      <c r="E582" s="10" t="s">
        <v>34</v>
      </c>
      <c r="F582" s="10" t="s">
        <v>35</v>
      </c>
      <c r="G582" s="10" t="s">
        <v>3146</v>
      </c>
      <c r="H582" s="8" t="s">
        <v>36</v>
      </c>
      <c r="I582" s="11">
        <v>82.391999999999996</v>
      </c>
      <c r="J582" s="6">
        <v>75.553464000000005</v>
      </c>
      <c r="K582" s="6">
        <v>0.91700000000000015</v>
      </c>
      <c r="L582" s="6">
        <v>78.361999999999995</v>
      </c>
      <c r="M582" s="11">
        <v>71.857954000000007</v>
      </c>
      <c r="N582" s="11">
        <f t="shared" si="36"/>
        <v>71.858000000000004</v>
      </c>
      <c r="O582" s="6">
        <v>0.91700000000000015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4.03</v>
      </c>
      <c r="Z582" s="6">
        <v>3.6955100000000001</v>
      </c>
      <c r="AA582" s="6">
        <v>0.91699999999999993</v>
      </c>
      <c r="AB582" s="6">
        <v>-4.0300000000000011</v>
      </c>
      <c r="AC582" s="6">
        <v>4.0300000000000011</v>
      </c>
      <c r="AD582" s="22" t="s">
        <v>3140</v>
      </c>
      <c r="AE582" s="23">
        <f t="shared" si="37"/>
        <v>71.858000000000004</v>
      </c>
      <c r="AF582" s="24">
        <f t="shared" si="38"/>
        <v>0</v>
      </c>
      <c r="AG582" s="23">
        <f t="shared" si="39"/>
        <v>1</v>
      </c>
    </row>
    <row r="583" spans="1:33" ht="12.5" hidden="1" customHeight="1" x14ac:dyDescent="0.25">
      <c r="A583" s="12" t="s">
        <v>31</v>
      </c>
      <c r="B583" s="9">
        <v>46181</v>
      </c>
      <c r="C583" s="10" t="s">
        <v>949</v>
      </c>
      <c r="D583" s="10" t="s">
        <v>950</v>
      </c>
      <c r="E583" s="10" t="s">
        <v>34</v>
      </c>
      <c r="F583" s="10" t="s">
        <v>35</v>
      </c>
      <c r="G583" s="10" t="s">
        <v>3145</v>
      </c>
      <c r="H583" s="8" t="s">
        <v>48</v>
      </c>
      <c r="I583" s="11">
        <v>117.33</v>
      </c>
      <c r="J583" s="6">
        <v>87.997500000000002</v>
      </c>
      <c r="K583" s="6">
        <v>0.75</v>
      </c>
      <c r="L583" s="6">
        <v>104.09</v>
      </c>
      <c r="M583" s="11">
        <v>78.067499999999995</v>
      </c>
      <c r="N583" s="11">
        <f t="shared" si="36"/>
        <v>78.067999999999998</v>
      </c>
      <c r="O583" s="6">
        <v>0.74999999999999989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13.24</v>
      </c>
      <c r="Z583" s="6">
        <v>9.93</v>
      </c>
      <c r="AA583" s="6">
        <v>0.75</v>
      </c>
      <c r="AB583" s="6">
        <v>-13.239999999999995</v>
      </c>
      <c r="AC583" s="6">
        <v>13.239999999999995</v>
      </c>
      <c r="AD583" s="22" t="s">
        <v>3140</v>
      </c>
      <c r="AE583" s="23">
        <f t="shared" si="37"/>
        <v>78.067999999999998</v>
      </c>
      <c r="AF583" s="24">
        <f t="shared" si="38"/>
        <v>0</v>
      </c>
      <c r="AG583" s="23">
        <f t="shared" si="39"/>
        <v>1</v>
      </c>
    </row>
    <row r="584" spans="1:33" ht="12.5" hidden="1" customHeight="1" x14ac:dyDescent="0.25">
      <c r="A584" s="12" t="s">
        <v>31</v>
      </c>
      <c r="B584" s="9">
        <v>46181</v>
      </c>
      <c r="C584" s="10" t="s">
        <v>951</v>
      </c>
      <c r="D584" s="10" t="s">
        <v>952</v>
      </c>
      <c r="E584" s="10" t="s">
        <v>34</v>
      </c>
      <c r="F584" s="10" t="s">
        <v>35</v>
      </c>
      <c r="G584" s="10" t="s">
        <v>3145</v>
      </c>
      <c r="H584" s="8" t="s">
        <v>48</v>
      </c>
      <c r="I584" s="11">
        <v>9.18</v>
      </c>
      <c r="J584" s="6">
        <v>6.8849999999999998</v>
      </c>
      <c r="K584" s="6">
        <v>0.75</v>
      </c>
      <c r="L584" s="6">
        <v>8.24</v>
      </c>
      <c r="M584" s="11">
        <v>6.18</v>
      </c>
      <c r="N584" s="11">
        <f t="shared" si="36"/>
        <v>6.18</v>
      </c>
      <c r="O584" s="6">
        <v>0.75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0.94</v>
      </c>
      <c r="Z584" s="6">
        <v>0.70499999999999996</v>
      </c>
      <c r="AA584" s="6">
        <v>0.75</v>
      </c>
      <c r="AB584" s="6">
        <v>-0.9399999999999995</v>
      </c>
      <c r="AC584" s="6">
        <v>0.9399999999999995</v>
      </c>
      <c r="AD584" s="22" t="s">
        <v>3140</v>
      </c>
      <c r="AE584" s="23">
        <f t="shared" si="37"/>
        <v>6.18</v>
      </c>
      <c r="AF584" s="24">
        <f t="shared" si="38"/>
        <v>0</v>
      </c>
      <c r="AG584" s="23">
        <f t="shared" si="39"/>
        <v>1</v>
      </c>
    </row>
    <row r="585" spans="1:33" ht="12.5" customHeight="1" x14ac:dyDescent="0.25">
      <c r="A585" s="12" t="s">
        <v>31</v>
      </c>
      <c r="B585" s="9">
        <v>46181</v>
      </c>
      <c r="C585" s="10" t="s">
        <v>953</v>
      </c>
      <c r="D585" s="10" t="s">
        <v>954</v>
      </c>
      <c r="E585" s="10" t="s">
        <v>34</v>
      </c>
      <c r="F585" s="10" t="s">
        <v>35</v>
      </c>
      <c r="G585" s="10" t="s">
        <v>3146</v>
      </c>
      <c r="H585" s="8" t="s">
        <v>36</v>
      </c>
      <c r="I585" s="11">
        <v>49.783000000000001</v>
      </c>
      <c r="J585" s="6">
        <v>45.651010999999997</v>
      </c>
      <c r="K585" s="6">
        <v>0.91699999999999993</v>
      </c>
      <c r="L585" s="6">
        <v>46.762999999999998</v>
      </c>
      <c r="M585" s="11">
        <v>42.881670999999997</v>
      </c>
      <c r="N585" s="11">
        <f t="shared" si="36"/>
        <v>42.881999999999998</v>
      </c>
      <c r="O585" s="6">
        <v>0.91699999999999993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3.02</v>
      </c>
      <c r="Z585" s="6">
        <v>2.7693400000000001</v>
      </c>
      <c r="AA585" s="6">
        <v>0.91700000000000004</v>
      </c>
      <c r="AB585" s="6">
        <v>-3.0200000000000031</v>
      </c>
      <c r="AC585" s="6">
        <v>3.0200000000000031</v>
      </c>
      <c r="AD585" s="22" t="s">
        <v>3140</v>
      </c>
      <c r="AE585" s="23">
        <f t="shared" si="37"/>
        <v>42.881999999999998</v>
      </c>
      <c r="AF585" s="24">
        <f t="shared" si="38"/>
        <v>0</v>
      </c>
      <c r="AG585" s="23">
        <f t="shared" si="39"/>
        <v>1</v>
      </c>
    </row>
    <row r="586" spans="1:33" ht="12.5" hidden="1" customHeight="1" x14ac:dyDescent="0.25">
      <c r="A586" s="12" t="s">
        <v>31</v>
      </c>
      <c r="B586" s="9">
        <v>46181</v>
      </c>
      <c r="C586" s="10" t="s">
        <v>955</v>
      </c>
      <c r="D586" s="10" t="s">
        <v>956</v>
      </c>
      <c r="E586" s="10" t="s">
        <v>34</v>
      </c>
      <c r="F586" s="10" t="s">
        <v>35</v>
      </c>
      <c r="G586" s="10" t="s">
        <v>3145</v>
      </c>
      <c r="H586" s="8" t="s">
        <v>48</v>
      </c>
      <c r="I586" s="11">
        <v>143.13</v>
      </c>
      <c r="J586" s="6">
        <v>107.3475</v>
      </c>
      <c r="K586" s="6">
        <v>0.75</v>
      </c>
      <c r="L586" s="6">
        <v>130.49</v>
      </c>
      <c r="M586" s="11">
        <v>97.867500000000007</v>
      </c>
      <c r="N586" s="11">
        <f t="shared" si="36"/>
        <v>97.868000000000009</v>
      </c>
      <c r="O586" s="6">
        <v>0.75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12.64</v>
      </c>
      <c r="Z586" s="6">
        <v>9.48</v>
      </c>
      <c r="AA586" s="6">
        <v>0.75</v>
      </c>
      <c r="AB586" s="6">
        <v>-12.639999999999986</v>
      </c>
      <c r="AC586" s="6">
        <v>12.639999999999986</v>
      </c>
      <c r="AD586" s="23" t="s">
        <v>3143</v>
      </c>
      <c r="AE586" s="23">
        <f t="shared" si="37"/>
        <v>97.763000000000005</v>
      </c>
      <c r="AF586" s="24">
        <f t="shared" si="38"/>
        <v>0.10500000000000398</v>
      </c>
      <c r="AG586" s="23">
        <f t="shared" si="39"/>
        <v>2</v>
      </c>
    </row>
    <row r="587" spans="1:33" ht="12.5" customHeight="1" x14ac:dyDescent="0.25">
      <c r="A587" s="12" t="s">
        <v>31</v>
      </c>
      <c r="B587" s="9">
        <v>46181</v>
      </c>
      <c r="C587" s="10" t="s">
        <v>957</v>
      </c>
      <c r="D587" s="10" t="s">
        <v>958</v>
      </c>
      <c r="E587" s="10" t="s">
        <v>34</v>
      </c>
      <c r="F587" s="10" t="s">
        <v>35</v>
      </c>
      <c r="G587" s="10" t="s">
        <v>3146</v>
      </c>
      <c r="H587" s="8" t="s">
        <v>36</v>
      </c>
      <c r="I587" s="11">
        <v>195.76</v>
      </c>
      <c r="J587" s="6">
        <v>179.51192</v>
      </c>
      <c r="K587" s="6">
        <v>0.91700000000000004</v>
      </c>
      <c r="L587" s="6">
        <v>184.87</v>
      </c>
      <c r="M587" s="11">
        <v>169.52579</v>
      </c>
      <c r="N587" s="11">
        <f t="shared" si="36"/>
        <v>169.52600000000001</v>
      </c>
      <c r="O587" s="6">
        <v>0.91699999999999993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10.89</v>
      </c>
      <c r="Z587" s="6">
        <v>9.9861299999999993</v>
      </c>
      <c r="AA587" s="6">
        <v>0.91699999999999993</v>
      </c>
      <c r="AB587" s="6">
        <v>-10.889999999999986</v>
      </c>
      <c r="AC587" s="6">
        <v>10.889999999999986</v>
      </c>
      <c r="AD587" s="22" t="s">
        <v>3140</v>
      </c>
      <c r="AE587" s="23">
        <f t="shared" si="37"/>
        <v>169.52600000000001</v>
      </c>
      <c r="AF587" s="24">
        <f t="shared" si="38"/>
        <v>0</v>
      </c>
      <c r="AG587" s="23">
        <f t="shared" si="39"/>
        <v>1</v>
      </c>
    </row>
    <row r="588" spans="1:33" ht="12.5" customHeight="1" x14ac:dyDescent="0.25">
      <c r="A588" s="12" t="s">
        <v>31</v>
      </c>
      <c r="B588" s="9">
        <v>46181</v>
      </c>
      <c r="C588" s="10" t="s">
        <v>959</v>
      </c>
      <c r="D588" s="10" t="s">
        <v>960</v>
      </c>
      <c r="E588" s="10" t="s">
        <v>34</v>
      </c>
      <c r="F588" s="10" t="s">
        <v>35</v>
      </c>
      <c r="G588" s="10" t="s">
        <v>3146</v>
      </c>
      <c r="H588" s="8" t="s">
        <v>36</v>
      </c>
      <c r="I588" s="11">
        <v>79.668000000000006</v>
      </c>
      <c r="J588" s="6">
        <v>73.055555999999996</v>
      </c>
      <c r="K588" s="6">
        <v>0.91699999999999993</v>
      </c>
      <c r="L588" s="6">
        <v>76.218000000000004</v>
      </c>
      <c r="M588" s="11">
        <v>69.891906000000006</v>
      </c>
      <c r="N588" s="11">
        <f t="shared" si="36"/>
        <v>69.89200000000001</v>
      </c>
      <c r="O588" s="6">
        <v>0.91700000000000004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3.45</v>
      </c>
      <c r="Z588" s="6">
        <v>3.1636500000000001</v>
      </c>
      <c r="AA588" s="6">
        <v>0.91699999999999993</v>
      </c>
      <c r="AB588" s="6">
        <v>-3.4500000000000028</v>
      </c>
      <c r="AC588" s="6">
        <v>3.4500000000000028</v>
      </c>
      <c r="AD588" s="22" t="s">
        <v>3140</v>
      </c>
      <c r="AE588" s="23">
        <f t="shared" si="37"/>
        <v>69.89200000000001</v>
      </c>
      <c r="AF588" s="24">
        <f t="shared" si="38"/>
        <v>0</v>
      </c>
      <c r="AG588" s="23">
        <f t="shared" si="39"/>
        <v>1</v>
      </c>
    </row>
    <row r="589" spans="1:33" ht="12.5" hidden="1" customHeight="1" x14ac:dyDescent="0.25">
      <c r="A589" s="12" t="s">
        <v>31</v>
      </c>
      <c r="B589" s="9">
        <v>46181</v>
      </c>
      <c r="C589" s="10" t="s">
        <v>961</v>
      </c>
      <c r="D589" s="10" t="s">
        <v>962</v>
      </c>
      <c r="E589" s="10" t="s">
        <v>34</v>
      </c>
      <c r="F589" s="10" t="s">
        <v>35</v>
      </c>
      <c r="G589" s="10" t="s">
        <v>3145</v>
      </c>
      <c r="H589" s="8" t="s">
        <v>48</v>
      </c>
      <c r="I589" s="11">
        <v>56.51</v>
      </c>
      <c r="J589" s="6">
        <v>42.3825</v>
      </c>
      <c r="K589" s="6">
        <v>0.75</v>
      </c>
      <c r="L589" s="6">
        <v>53.19</v>
      </c>
      <c r="M589" s="11">
        <v>39.892499999999998</v>
      </c>
      <c r="N589" s="11">
        <f t="shared" si="36"/>
        <v>39.893000000000001</v>
      </c>
      <c r="O589" s="6">
        <v>0.75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3.32</v>
      </c>
      <c r="Z589" s="6">
        <v>2.4900000000000002</v>
      </c>
      <c r="AA589" s="6">
        <v>0.75000000000000011</v>
      </c>
      <c r="AB589" s="6">
        <v>-3.32</v>
      </c>
      <c r="AC589" s="6">
        <v>3.32</v>
      </c>
      <c r="AD589" s="22" t="s">
        <v>3140</v>
      </c>
      <c r="AE589" s="23">
        <f t="shared" si="37"/>
        <v>39.893000000000001</v>
      </c>
      <c r="AF589" s="24">
        <f t="shared" si="38"/>
        <v>0</v>
      </c>
      <c r="AG589" s="23">
        <f t="shared" si="39"/>
        <v>1</v>
      </c>
    </row>
    <row r="590" spans="1:33" ht="12.5" customHeight="1" x14ac:dyDescent="0.25">
      <c r="A590" s="12" t="s">
        <v>31</v>
      </c>
      <c r="B590" s="9">
        <v>46181</v>
      </c>
      <c r="C590" s="10" t="s">
        <v>963</v>
      </c>
      <c r="D590" s="10" t="s">
        <v>964</v>
      </c>
      <c r="E590" s="10" t="s">
        <v>34</v>
      </c>
      <c r="F590" s="10" t="s">
        <v>35</v>
      </c>
      <c r="G590" s="10" t="s">
        <v>3146</v>
      </c>
      <c r="H590" s="8" t="s">
        <v>36</v>
      </c>
      <c r="I590" s="11">
        <v>88.41</v>
      </c>
      <c r="J590" s="6">
        <v>81.071969999999993</v>
      </c>
      <c r="K590" s="6">
        <v>0.91699999999999993</v>
      </c>
      <c r="L590" s="6">
        <v>83.79</v>
      </c>
      <c r="M590" s="11">
        <v>76.835430000000002</v>
      </c>
      <c r="N590" s="11">
        <f t="shared" si="36"/>
        <v>76.835999999999999</v>
      </c>
      <c r="O590" s="6">
        <v>0.91699999999999993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4.62</v>
      </c>
      <c r="Z590" s="6">
        <v>4.2365399999999998</v>
      </c>
      <c r="AA590" s="6">
        <v>0.91699999999999993</v>
      </c>
      <c r="AB590" s="6">
        <v>-4.6199999999999903</v>
      </c>
      <c r="AC590" s="6">
        <v>4.6199999999999903</v>
      </c>
      <c r="AD590" s="22" t="s">
        <v>3140</v>
      </c>
      <c r="AE590" s="23">
        <f t="shared" si="37"/>
        <v>76.835999999999999</v>
      </c>
      <c r="AF590" s="24">
        <f t="shared" si="38"/>
        <v>0</v>
      </c>
      <c r="AG590" s="23">
        <f t="shared" si="39"/>
        <v>1</v>
      </c>
    </row>
    <row r="591" spans="1:33" ht="12.5" hidden="1" customHeight="1" x14ac:dyDescent="0.25">
      <c r="A591" s="12" t="s">
        <v>31</v>
      </c>
      <c r="B591" s="9">
        <v>46181</v>
      </c>
      <c r="C591" s="10" t="s">
        <v>965</v>
      </c>
      <c r="D591" s="10" t="s">
        <v>966</v>
      </c>
      <c r="E591" s="10" t="s">
        <v>34</v>
      </c>
      <c r="F591" s="10" t="s">
        <v>35</v>
      </c>
      <c r="G591" s="10" t="s">
        <v>3145</v>
      </c>
      <c r="H591" s="8" t="s">
        <v>48</v>
      </c>
      <c r="I591" s="11">
        <v>88.83</v>
      </c>
      <c r="J591" s="6">
        <v>66.622500000000002</v>
      </c>
      <c r="K591" s="6">
        <v>0.75</v>
      </c>
      <c r="L591" s="6">
        <v>81.97</v>
      </c>
      <c r="M591" s="11">
        <v>61.477499999999999</v>
      </c>
      <c r="N591" s="11">
        <f t="shared" si="36"/>
        <v>61.477999999999994</v>
      </c>
      <c r="O591" s="6">
        <v>0.75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6.86</v>
      </c>
      <c r="Z591" s="6">
        <v>5.1449999999999996</v>
      </c>
      <c r="AA591" s="6">
        <v>0.74999999999999989</v>
      </c>
      <c r="AB591" s="6">
        <v>-6.86</v>
      </c>
      <c r="AC591" s="6">
        <v>6.86</v>
      </c>
      <c r="AD591" s="22" t="s">
        <v>3140</v>
      </c>
      <c r="AE591" s="23">
        <f t="shared" si="37"/>
        <v>61.477999999999994</v>
      </c>
      <c r="AF591" s="24">
        <f t="shared" si="38"/>
        <v>0</v>
      </c>
      <c r="AG591" s="23">
        <f t="shared" si="39"/>
        <v>1</v>
      </c>
    </row>
    <row r="592" spans="1:33" ht="12.5" hidden="1" customHeight="1" x14ac:dyDescent="0.25">
      <c r="A592" s="12" t="s">
        <v>31</v>
      </c>
      <c r="B592" s="9">
        <v>46181</v>
      </c>
      <c r="C592" s="10" t="s">
        <v>967</v>
      </c>
      <c r="D592" s="10" t="s">
        <v>956</v>
      </c>
      <c r="E592" s="10" t="s">
        <v>34</v>
      </c>
      <c r="F592" s="10" t="s">
        <v>35</v>
      </c>
      <c r="G592" s="10" t="s">
        <v>3145</v>
      </c>
      <c r="H592" s="8" t="s">
        <v>48</v>
      </c>
      <c r="I592" s="11">
        <v>130.49</v>
      </c>
      <c r="J592" s="6">
        <v>97.867500000000007</v>
      </c>
      <c r="K592" s="6">
        <v>0.75</v>
      </c>
      <c r="L592" s="6">
        <v>130.35</v>
      </c>
      <c r="M592" s="11">
        <v>97.762500000000003</v>
      </c>
      <c r="N592" s="11">
        <f t="shared" si="36"/>
        <v>97.763000000000005</v>
      </c>
      <c r="O592" s="6">
        <v>0.75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0.14000000000000001</v>
      </c>
      <c r="Z592" s="6">
        <v>0.105</v>
      </c>
      <c r="AA592" s="6">
        <v>0.74999999999999989</v>
      </c>
      <c r="AB592" s="6">
        <v>-0.14000000000001478</v>
      </c>
      <c r="AC592" s="6">
        <v>0.14000000000001478</v>
      </c>
      <c r="AD592" s="22" t="s">
        <v>3140</v>
      </c>
      <c r="AE592" s="23">
        <f t="shared" si="37"/>
        <v>97.763000000000005</v>
      </c>
      <c r="AF592" s="24">
        <f t="shared" si="38"/>
        <v>0</v>
      </c>
      <c r="AG592" s="23">
        <f t="shared" si="39"/>
        <v>2</v>
      </c>
    </row>
    <row r="593" spans="1:33" ht="20" hidden="1" customHeight="1" x14ac:dyDescent="0.25">
      <c r="A593" s="12" t="s">
        <v>31</v>
      </c>
      <c r="B593" s="9">
        <v>46181</v>
      </c>
      <c r="C593" s="10" t="s">
        <v>968</v>
      </c>
      <c r="D593" s="10" t="s">
        <v>969</v>
      </c>
      <c r="E593" s="10" t="s">
        <v>51</v>
      </c>
      <c r="F593" s="10" t="s">
        <v>35</v>
      </c>
      <c r="G593" s="10" t="s">
        <v>3145</v>
      </c>
      <c r="H593" s="8" t="s">
        <v>48</v>
      </c>
      <c r="I593" s="11">
        <v>23.83</v>
      </c>
      <c r="J593" s="6">
        <v>17.872499999999999</v>
      </c>
      <c r="K593" s="6">
        <v>0.75</v>
      </c>
      <c r="L593" s="6">
        <v>22.24</v>
      </c>
      <c r="M593" s="11">
        <v>16.68</v>
      </c>
      <c r="N593" s="11">
        <f t="shared" si="36"/>
        <v>16.68</v>
      </c>
      <c r="O593" s="6">
        <v>0.75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1.59</v>
      </c>
      <c r="Z593" s="6">
        <v>1.1924999999999999</v>
      </c>
      <c r="AA593" s="6">
        <v>0.74999999999999989</v>
      </c>
      <c r="AB593" s="6">
        <v>-1.59</v>
      </c>
      <c r="AC593" s="6">
        <v>1.59</v>
      </c>
      <c r="AD593" s="22" t="s">
        <v>3140</v>
      </c>
      <c r="AE593" s="23">
        <f t="shared" si="37"/>
        <v>16.68</v>
      </c>
      <c r="AF593" s="24">
        <f t="shared" si="38"/>
        <v>0</v>
      </c>
      <c r="AG593" s="23">
        <f t="shared" si="39"/>
        <v>1</v>
      </c>
    </row>
    <row r="594" spans="1:33" x14ac:dyDescent="0.25">
      <c r="A594" s="12" t="s">
        <v>31</v>
      </c>
      <c r="B594" s="9">
        <v>46181</v>
      </c>
      <c r="C594" s="10" t="s">
        <v>970</v>
      </c>
      <c r="D594" s="10" t="s">
        <v>971</v>
      </c>
      <c r="E594" s="10" t="s">
        <v>51</v>
      </c>
      <c r="F594" s="10" t="s">
        <v>35</v>
      </c>
      <c r="G594" s="10" t="s">
        <v>3146</v>
      </c>
      <c r="H594" s="8" t="s">
        <v>36</v>
      </c>
      <c r="I594" s="11">
        <v>65.66</v>
      </c>
      <c r="J594" s="6">
        <v>60.21022</v>
      </c>
      <c r="K594" s="6">
        <v>0.91700000000000004</v>
      </c>
      <c r="L594" s="6">
        <v>61.78</v>
      </c>
      <c r="M594" s="11">
        <v>56.652259999999998</v>
      </c>
      <c r="N594" s="11">
        <f t="shared" si="36"/>
        <v>56.652999999999999</v>
      </c>
      <c r="O594" s="6">
        <v>0.91699999999999993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3.88</v>
      </c>
      <c r="Z594" s="6">
        <v>3.55796</v>
      </c>
      <c r="AA594" s="6">
        <v>0.91700000000000004</v>
      </c>
      <c r="AB594" s="6">
        <v>-3.8799999999999955</v>
      </c>
      <c r="AC594" s="6">
        <v>3.8799999999999955</v>
      </c>
      <c r="AD594" s="22" t="s">
        <v>3140</v>
      </c>
      <c r="AE594" s="23">
        <f t="shared" si="37"/>
        <v>56.652999999999999</v>
      </c>
      <c r="AF594" s="24">
        <f t="shared" si="38"/>
        <v>0</v>
      </c>
      <c r="AG594" s="23">
        <f t="shared" si="39"/>
        <v>1</v>
      </c>
    </row>
    <row r="595" spans="1:33" x14ac:dyDescent="0.25">
      <c r="A595" s="12" t="s">
        <v>31</v>
      </c>
      <c r="B595" s="9">
        <v>46181</v>
      </c>
      <c r="C595" s="10" t="s">
        <v>972</v>
      </c>
      <c r="D595" s="10" t="s">
        <v>973</v>
      </c>
      <c r="E595" s="10" t="s">
        <v>51</v>
      </c>
      <c r="F595" s="10" t="s">
        <v>35</v>
      </c>
      <c r="G595" s="10" t="s">
        <v>3146</v>
      </c>
      <c r="H595" s="8" t="s">
        <v>36</v>
      </c>
      <c r="I595" s="11">
        <v>54.24</v>
      </c>
      <c r="J595" s="6">
        <v>49.738079999999997</v>
      </c>
      <c r="K595" s="6">
        <v>0.91699999999999993</v>
      </c>
      <c r="L595" s="6">
        <v>49.99</v>
      </c>
      <c r="M595" s="11">
        <v>45.840829999999997</v>
      </c>
      <c r="N595" s="11">
        <f t="shared" si="36"/>
        <v>45.841000000000001</v>
      </c>
      <c r="O595" s="6">
        <v>0.91699999999999993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4.25</v>
      </c>
      <c r="Z595" s="6">
        <v>3.8972500000000001</v>
      </c>
      <c r="AA595" s="6">
        <v>0.91700000000000004</v>
      </c>
      <c r="AB595" s="6">
        <v>-4.25</v>
      </c>
      <c r="AC595" s="6">
        <v>4.25</v>
      </c>
      <c r="AD595" s="22" t="s">
        <v>3140</v>
      </c>
      <c r="AE595" s="23">
        <f t="shared" si="37"/>
        <v>45.841000000000001</v>
      </c>
      <c r="AF595" s="24">
        <f t="shared" si="38"/>
        <v>0</v>
      </c>
      <c r="AG595" s="23">
        <f t="shared" si="39"/>
        <v>1</v>
      </c>
    </row>
    <row r="596" spans="1:33" ht="20" hidden="1" customHeight="1" x14ac:dyDescent="0.25">
      <c r="A596" s="12" t="s">
        <v>31</v>
      </c>
      <c r="B596" s="9">
        <v>46181</v>
      </c>
      <c r="C596" s="10" t="s">
        <v>974</v>
      </c>
      <c r="D596" s="10" t="s">
        <v>975</v>
      </c>
      <c r="E596" s="10" t="s">
        <v>51</v>
      </c>
      <c r="F596" s="10" t="s">
        <v>35</v>
      </c>
      <c r="G596" s="10" t="s">
        <v>3145</v>
      </c>
      <c r="H596" s="8" t="s">
        <v>48</v>
      </c>
      <c r="I596" s="11">
        <v>10.16</v>
      </c>
      <c r="J596" s="6">
        <v>7.62</v>
      </c>
      <c r="K596" s="6">
        <v>0.75</v>
      </c>
      <c r="L596" s="6">
        <v>9.57</v>
      </c>
      <c r="M596" s="11">
        <v>7.1775000000000002</v>
      </c>
      <c r="N596" s="11">
        <f t="shared" si="36"/>
        <v>7.1779999999999999</v>
      </c>
      <c r="O596" s="6">
        <v>0.75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0.59</v>
      </c>
      <c r="Z596" s="6">
        <v>0.4425</v>
      </c>
      <c r="AA596" s="6">
        <v>0.75</v>
      </c>
      <c r="AB596" s="6">
        <v>-0.58999999999999986</v>
      </c>
      <c r="AC596" s="6">
        <v>0.58999999999999986</v>
      </c>
      <c r="AD596" s="22" t="s">
        <v>3140</v>
      </c>
      <c r="AE596" s="23">
        <f t="shared" si="37"/>
        <v>7.1779999999999999</v>
      </c>
      <c r="AF596" s="24">
        <f t="shared" si="38"/>
        <v>0</v>
      </c>
      <c r="AG596" s="23">
        <f t="shared" si="39"/>
        <v>1</v>
      </c>
    </row>
    <row r="597" spans="1:33" ht="20" hidden="1" customHeight="1" x14ac:dyDescent="0.25">
      <c r="A597" s="12" t="s">
        <v>31</v>
      </c>
      <c r="B597" s="9">
        <v>46181</v>
      </c>
      <c r="C597" s="10" t="s">
        <v>976</v>
      </c>
      <c r="D597" s="10" t="s">
        <v>977</v>
      </c>
      <c r="E597" s="10" t="s">
        <v>51</v>
      </c>
      <c r="F597" s="10" t="s">
        <v>35</v>
      </c>
      <c r="G597" s="10" t="s">
        <v>3145</v>
      </c>
      <c r="H597" s="8" t="s">
        <v>48</v>
      </c>
      <c r="I597" s="11">
        <v>8.6999999999999993</v>
      </c>
      <c r="J597" s="6">
        <v>6.5250000000000004</v>
      </c>
      <c r="K597" s="6">
        <v>0.75000000000000011</v>
      </c>
      <c r="L597" s="6">
        <v>7.55</v>
      </c>
      <c r="M597" s="11">
        <v>5.6624999999999996</v>
      </c>
      <c r="N597" s="11">
        <f t="shared" si="36"/>
        <v>5.6630000000000003</v>
      </c>
      <c r="O597" s="6">
        <v>0.75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1.1499999999999999</v>
      </c>
      <c r="Z597" s="6">
        <v>0.86250000000000004</v>
      </c>
      <c r="AA597" s="6">
        <v>0.75000000000000011</v>
      </c>
      <c r="AB597" s="6">
        <v>-1.1499999999999995</v>
      </c>
      <c r="AC597" s="6">
        <v>1.1499999999999995</v>
      </c>
      <c r="AD597" s="22" t="s">
        <v>3140</v>
      </c>
      <c r="AE597" s="23">
        <f t="shared" si="37"/>
        <v>5.6630000000000003</v>
      </c>
      <c r="AF597" s="24">
        <f t="shared" si="38"/>
        <v>0</v>
      </c>
      <c r="AG597" s="23">
        <f t="shared" si="39"/>
        <v>1</v>
      </c>
    </row>
    <row r="598" spans="1:33" ht="12.5" hidden="1" customHeight="1" x14ac:dyDescent="0.25">
      <c r="A598" s="12" t="s">
        <v>31</v>
      </c>
      <c r="B598" s="9">
        <v>46181</v>
      </c>
      <c r="C598" s="8" t="s">
        <v>978</v>
      </c>
      <c r="D598" s="10" t="s">
        <v>979</v>
      </c>
      <c r="E598" s="10" t="s">
        <v>51</v>
      </c>
      <c r="F598" s="10" t="s">
        <v>35</v>
      </c>
      <c r="G598" s="10" t="s">
        <v>3145</v>
      </c>
      <c r="H598" s="8" t="s">
        <v>48</v>
      </c>
      <c r="I598" s="11">
        <v>23.44</v>
      </c>
      <c r="J598" s="6">
        <v>17.579999999999998</v>
      </c>
      <c r="K598" s="6">
        <v>0.74999999999999989</v>
      </c>
      <c r="L598" s="6">
        <v>23.19</v>
      </c>
      <c r="M598" s="11">
        <v>17.392499999999998</v>
      </c>
      <c r="N598" s="11">
        <f t="shared" si="36"/>
        <v>17.393000000000001</v>
      </c>
      <c r="O598" s="6">
        <v>0.74999999999999989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0.25</v>
      </c>
      <c r="Z598" s="6">
        <v>0.1875</v>
      </c>
      <c r="AA598" s="6">
        <v>0.75</v>
      </c>
      <c r="AB598" s="6">
        <v>-0.25</v>
      </c>
      <c r="AC598" s="6">
        <v>0.25</v>
      </c>
      <c r="AD598" s="22" t="s">
        <v>3140</v>
      </c>
      <c r="AE598" s="23">
        <f t="shared" si="37"/>
        <v>17.393000000000001</v>
      </c>
      <c r="AF598" s="24">
        <f t="shared" si="38"/>
        <v>0</v>
      </c>
      <c r="AG598" s="23">
        <f t="shared" si="39"/>
        <v>1</v>
      </c>
    </row>
    <row r="599" spans="1:33" ht="12.5" hidden="1" customHeight="1" x14ac:dyDescent="0.25">
      <c r="A599" s="12" t="s">
        <v>31</v>
      </c>
      <c r="B599" s="9">
        <v>46181</v>
      </c>
      <c r="C599" s="13" t="s">
        <v>978</v>
      </c>
      <c r="D599" s="10" t="s">
        <v>581</v>
      </c>
      <c r="E599" s="10" t="s">
        <v>51</v>
      </c>
      <c r="F599" s="10" t="s">
        <v>35</v>
      </c>
      <c r="G599" s="10" t="s">
        <v>3145</v>
      </c>
      <c r="H599" s="8" t="s">
        <v>48</v>
      </c>
      <c r="I599" s="11">
        <v>41.5</v>
      </c>
      <c r="J599" s="6">
        <v>31.125</v>
      </c>
      <c r="K599" s="6">
        <v>0.75</v>
      </c>
      <c r="L599" s="6">
        <v>41.4</v>
      </c>
      <c r="M599" s="11">
        <v>31.05</v>
      </c>
      <c r="N599" s="11">
        <f t="shared" si="36"/>
        <v>31.05</v>
      </c>
      <c r="O599" s="6">
        <v>0.75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0.1</v>
      </c>
      <c r="Z599" s="6">
        <v>7.4999999999999997E-2</v>
      </c>
      <c r="AA599" s="6">
        <v>0.74999999999999989</v>
      </c>
      <c r="AB599" s="6">
        <v>-0.10000000000000142</v>
      </c>
      <c r="AC599" s="6">
        <v>0.10000000000000142</v>
      </c>
      <c r="AD599" s="22" t="s">
        <v>3140</v>
      </c>
      <c r="AE599" s="23">
        <f t="shared" si="37"/>
        <v>31.05</v>
      </c>
      <c r="AF599" s="24">
        <f t="shared" si="38"/>
        <v>0</v>
      </c>
      <c r="AG599" s="23">
        <f t="shared" si="39"/>
        <v>2</v>
      </c>
    </row>
    <row r="600" spans="1:33" x14ac:dyDescent="0.25">
      <c r="A600" s="12" t="s">
        <v>31</v>
      </c>
      <c r="B600" s="9">
        <v>46181</v>
      </c>
      <c r="C600" s="10" t="s">
        <v>980</v>
      </c>
      <c r="D600" s="10" t="s">
        <v>585</v>
      </c>
      <c r="E600" s="10" t="s">
        <v>51</v>
      </c>
      <c r="F600" s="10" t="s">
        <v>35</v>
      </c>
      <c r="G600" s="10" t="s">
        <v>3146</v>
      </c>
      <c r="H600" s="8" t="s">
        <v>36</v>
      </c>
      <c r="I600" s="11">
        <v>5.48</v>
      </c>
      <c r="J600" s="6">
        <v>5.0251599999999996</v>
      </c>
      <c r="K600" s="6">
        <v>0.91699999999999982</v>
      </c>
      <c r="L600" s="6">
        <v>5.22</v>
      </c>
      <c r="M600" s="11">
        <v>4.78674</v>
      </c>
      <c r="N600" s="11">
        <f t="shared" si="36"/>
        <v>4.7869999999999999</v>
      </c>
      <c r="O600" s="6">
        <v>0.91700000000000004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0.26</v>
      </c>
      <c r="Z600" s="6">
        <v>0.23841999999999999</v>
      </c>
      <c r="AA600" s="6">
        <v>0.91699999999999993</v>
      </c>
      <c r="AB600" s="6">
        <v>-0.26000000000000068</v>
      </c>
      <c r="AC600" s="6">
        <v>0.26000000000000068</v>
      </c>
      <c r="AD600" s="23" t="s">
        <v>3143</v>
      </c>
      <c r="AE600" s="23">
        <f t="shared" si="37"/>
        <v>4.21</v>
      </c>
      <c r="AF600" s="24">
        <f t="shared" si="38"/>
        <v>0.57699999999999996</v>
      </c>
      <c r="AG600" s="23">
        <f t="shared" si="39"/>
        <v>3</v>
      </c>
    </row>
    <row r="601" spans="1:33" x14ac:dyDescent="0.25">
      <c r="A601" s="12" t="s">
        <v>31</v>
      </c>
      <c r="B601" s="9">
        <v>46181</v>
      </c>
      <c r="C601" s="10" t="s">
        <v>981</v>
      </c>
      <c r="D601" s="10" t="s">
        <v>583</v>
      </c>
      <c r="E601" s="10" t="s">
        <v>51</v>
      </c>
      <c r="F601" s="10" t="s">
        <v>35</v>
      </c>
      <c r="G601" s="10" t="s">
        <v>3146</v>
      </c>
      <c r="H601" s="8" t="s">
        <v>36</v>
      </c>
      <c r="I601" s="11">
        <v>4.18</v>
      </c>
      <c r="J601" s="6">
        <v>3.8330600000000001</v>
      </c>
      <c r="K601" s="6">
        <v>0.91700000000000015</v>
      </c>
      <c r="L601" s="6">
        <v>3.63</v>
      </c>
      <c r="M601" s="11">
        <v>3.3287100000000001</v>
      </c>
      <c r="N601" s="11">
        <f t="shared" si="36"/>
        <v>3.3289999999999997</v>
      </c>
      <c r="O601" s="6">
        <v>0.91700000000000004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0.55000000000000004</v>
      </c>
      <c r="Z601" s="6">
        <v>0.50434999999999997</v>
      </c>
      <c r="AA601" s="6">
        <v>0.91699999999999982</v>
      </c>
      <c r="AB601" s="6">
        <v>-0.54999999999999982</v>
      </c>
      <c r="AC601" s="6">
        <v>0.54999999999999982</v>
      </c>
      <c r="AD601" s="22" t="s">
        <v>3140</v>
      </c>
      <c r="AE601" s="23">
        <f t="shared" si="37"/>
        <v>3.3289999999999997</v>
      </c>
      <c r="AF601" s="24">
        <f t="shared" si="38"/>
        <v>0</v>
      </c>
      <c r="AG601" s="23">
        <f t="shared" si="39"/>
        <v>3</v>
      </c>
    </row>
    <row r="602" spans="1:33" x14ac:dyDescent="0.25">
      <c r="A602" s="12" t="s">
        <v>31</v>
      </c>
      <c r="B602" s="9">
        <v>46181</v>
      </c>
      <c r="C602" s="10" t="s">
        <v>982</v>
      </c>
      <c r="D602" s="10" t="s">
        <v>58</v>
      </c>
      <c r="E602" s="10" t="s">
        <v>51</v>
      </c>
      <c r="F602" s="10" t="s">
        <v>35</v>
      </c>
      <c r="G602" s="10" t="s">
        <v>3146</v>
      </c>
      <c r="H602" s="8" t="s">
        <v>36</v>
      </c>
      <c r="I602" s="11">
        <v>9.5500000000000007</v>
      </c>
      <c r="J602" s="6">
        <v>8.7573500000000006</v>
      </c>
      <c r="K602" s="6">
        <v>0.91700000000000004</v>
      </c>
      <c r="L602" s="6">
        <v>9.08</v>
      </c>
      <c r="M602" s="11">
        <v>8.3263599999999993</v>
      </c>
      <c r="N602" s="11">
        <f t="shared" si="36"/>
        <v>8.327</v>
      </c>
      <c r="O602" s="6">
        <v>0.91699999999999993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0.47</v>
      </c>
      <c r="Z602" s="6">
        <v>0.43098999999999998</v>
      </c>
      <c r="AA602" s="6">
        <v>0.91700000000000004</v>
      </c>
      <c r="AB602" s="6">
        <v>-0.47000000000000064</v>
      </c>
      <c r="AC602" s="6">
        <v>0.47000000000000064</v>
      </c>
      <c r="AD602" s="23" t="s">
        <v>3143</v>
      </c>
      <c r="AE602" s="23">
        <f t="shared" si="37"/>
        <v>2.871</v>
      </c>
      <c r="AF602" s="24">
        <f t="shared" si="38"/>
        <v>5.4559999999999995</v>
      </c>
      <c r="AG602" s="23">
        <f t="shared" si="39"/>
        <v>4</v>
      </c>
    </row>
    <row r="603" spans="1:33" hidden="1" x14ac:dyDescent="0.25">
      <c r="A603" s="12" t="s">
        <v>31</v>
      </c>
      <c r="B603" s="9">
        <v>46181</v>
      </c>
      <c r="C603" s="10" t="s">
        <v>983</v>
      </c>
      <c r="D603" s="10" t="s">
        <v>984</v>
      </c>
      <c r="E603" s="10" t="s">
        <v>51</v>
      </c>
      <c r="F603" s="10" t="s">
        <v>35</v>
      </c>
      <c r="G603" s="10" t="s">
        <v>3145</v>
      </c>
      <c r="H603" s="8" t="s">
        <v>41</v>
      </c>
      <c r="I603" s="11">
        <v>21.41</v>
      </c>
      <c r="J603" s="6">
        <v>16.057500000000001</v>
      </c>
      <c r="K603" s="6">
        <v>0.75</v>
      </c>
      <c r="L603" s="6">
        <v>19.73</v>
      </c>
      <c r="M603" s="11">
        <v>14.797499999999999</v>
      </c>
      <c r="N603" s="11">
        <f t="shared" si="36"/>
        <v>14.798</v>
      </c>
      <c r="O603" s="6">
        <v>0.75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1.68</v>
      </c>
      <c r="Z603" s="6">
        <v>1.26</v>
      </c>
      <c r="AA603" s="6">
        <v>0.75</v>
      </c>
      <c r="AB603" s="6">
        <v>-1.6799999999999997</v>
      </c>
      <c r="AC603" s="6">
        <v>1.6799999999999997</v>
      </c>
      <c r="AD603" s="22" t="s">
        <v>3140</v>
      </c>
      <c r="AE603" s="23">
        <f t="shared" si="37"/>
        <v>14.798</v>
      </c>
      <c r="AF603" s="24">
        <f t="shared" si="38"/>
        <v>0</v>
      </c>
      <c r="AG603" s="23">
        <f t="shared" si="39"/>
        <v>1</v>
      </c>
    </row>
    <row r="604" spans="1:33" ht="20" hidden="1" customHeight="1" x14ac:dyDescent="0.25">
      <c r="A604" s="12" t="s">
        <v>31</v>
      </c>
      <c r="B604" s="9">
        <v>46181</v>
      </c>
      <c r="C604" s="10" t="s">
        <v>985</v>
      </c>
      <c r="D604" s="10" t="s">
        <v>986</v>
      </c>
      <c r="E604" s="10" t="s">
        <v>51</v>
      </c>
      <c r="F604" s="10" t="s">
        <v>35</v>
      </c>
      <c r="G604" s="10" t="s">
        <v>3145</v>
      </c>
      <c r="H604" s="8" t="s">
        <v>48</v>
      </c>
      <c r="I604" s="11">
        <v>21.79</v>
      </c>
      <c r="J604" s="6">
        <v>16.342500000000001</v>
      </c>
      <c r="K604" s="6">
        <v>0.75000000000000011</v>
      </c>
      <c r="L604" s="6">
        <v>20.12</v>
      </c>
      <c r="M604" s="11">
        <v>15.09</v>
      </c>
      <c r="N604" s="11">
        <f t="shared" si="36"/>
        <v>15.09</v>
      </c>
      <c r="O604" s="6">
        <v>0.75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1.67</v>
      </c>
      <c r="Z604" s="6">
        <v>1.2524999999999999</v>
      </c>
      <c r="AA604" s="6">
        <v>0.75</v>
      </c>
      <c r="AB604" s="6">
        <v>-1.6699999999999982</v>
      </c>
      <c r="AC604" s="6">
        <v>1.6699999999999982</v>
      </c>
      <c r="AD604" s="22" t="s">
        <v>3140</v>
      </c>
      <c r="AE604" s="23">
        <f t="shared" si="37"/>
        <v>15.09</v>
      </c>
      <c r="AF604" s="24">
        <f t="shared" si="38"/>
        <v>0</v>
      </c>
      <c r="AG604" s="23">
        <f t="shared" si="39"/>
        <v>1</v>
      </c>
    </row>
    <row r="605" spans="1:33" hidden="1" x14ac:dyDescent="0.25">
      <c r="A605" s="12" t="s">
        <v>31</v>
      </c>
      <c r="B605" s="9">
        <v>46181</v>
      </c>
      <c r="C605" s="10" t="s">
        <v>987</v>
      </c>
      <c r="D605" s="10" t="s">
        <v>770</v>
      </c>
      <c r="E605" s="10" t="s">
        <v>51</v>
      </c>
      <c r="F605" s="10" t="s">
        <v>35</v>
      </c>
      <c r="G605" s="10" t="s">
        <v>3145</v>
      </c>
      <c r="H605" s="8" t="s">
        <v>41</v>
      </c>
      <c r="I605" s="11">
        <v>4.0599999999999996</v>
      </c>
      <c r="J605" s="6">
        <v>3.0449999999999999</v>
      </c>
      <c r="K605" s="6">
        <v>0.75</v>
      </c>
      <c r="L605" s="6">
        <v>3.88</v>
      </c>
      <c r="M605" s="11">
        <v>2.91</v>
      </c>
      <c r="N605" s="11">
        <f t="shared" si="36"/>
        <v>2.91</v>
      </c>
      <c r="O605" s="6">
        <v>0.75000000000000011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0.18</v>
      </c>
      <c r="Z605" s="6">
        <v>0.13500000000000001</v>
      </c>
      <c r="AA605" s="6">
        <v>0.75000000000000011</v>
      </c>
      <c r="AB605" s="6">
        <v>-0.17999999999999972</v>
      </c>
      <c r="AC605" s="6">
        <v>0.17999999999999972</v>
      </c>
      <c r="AD605" s="23" t="s">
        <v>3143</v>
      </c>
      <c r="AE605" s="23">
        <f t="shared" si="37"/>
        <v>1.17</v>
      </c>
      <c r="AF605" s="24">
        <f t="shared" si="38"/>
        <v>1.7400000000000002</v>
      </c>
      <c r="AG605" s="23">
        <f t="shared" si="39"/>
        <v>2</v>
      </c>
    </row>
    <row r="606" spans="1:33" ht="20" hidden="1" customHeight="1" x14ac:dyDescent="0.25">
      <c r="A606" s="12" t="s">
        <v>31</v>
      </c>
      <c r="B606" s="9">
        <v>46181</v>
      </c>
      <c r="C606" s="10" t="s">
        <v>988</v>
      </c>
      <c r="D606" s="10" t="s">
        <v>989</v>
      </c>
      <c r="E606" s="10" t="s">
        <v>51</v>
      </c>
      <c r="F606" s="10" t="s">
        <v>35</v>
      </c>
      <c r="G606" s="10" t="s">
        <v>3145</v>
      </c>
      <c r="H606" s="8" t="s">
        <v>48</v>
      </c>
      <c r="I606" s="11">
        <v>9.56</v>
      </c>
      <c r="J606" s="6">
        <v>7.17</v>
      </c>
      <c r="K606" s="6">
        <v>0.75</v>
      </c>
      <c r="L606" s="6">
        <v>8.9</v>
      </c>
      <c r="M606" s="11">
        <v>6.6749999999999998</v>
      </c>
      <c r="N606" s="11">
        <f t="shared" si="36"/>
        <v>6.6749999999999998</v>
      </c>
      <c r="O606" s="6">
        <v>0.75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0.66</v>
      </c>
      <c r="Z606" s="6">
        <v>0.495</v>
      </c>
      <c r="AA606" s="6">
        <v>0.75</v>
      </c>
      <c r="AB606" s="6">
        <v>-0.66000000000000014</v>
      </c>
      <c r="AC606" s="6">
        <v>0.66000000000000014</v>
      </c>
      <c r="AD606" s="22" t="s">
        <v>3140</v>
      </c>
      <c r="AE606" s="23">
        <f t="shared" si="37"/>
        <v>6.6749999999999998</v>
      </c>
      <c r="AF606" s="24">
        <f t="shared" si="38"/>
        <v>0</v>
      </c>
      <c r="AG606" s="23">
        <f t="shared" si="39"/>
        <v>1</v>
      </c>
    </row>
    <row r="607" spans="1:33" ht="20" hidden="1" customHeight="1" x14ac:dyDescent="0.25">
      <c r="A607" s="12" t="s">
        <v>31</v>
      </c>
      <c r="B607" s="9">
        <v>46181</v>
      </c>
      <c r="C607" s="10" t="s">
        <v>990</v>
      </c>
      <c r="D607" s="10" t="s">
        <v>991</v>
      </c>
      <c r="E607" s="10" t="s">
        <v>51</v>
      </c>
      <c r="F607" s="10" t="s">
        <v>35</v>
      </c>
      <c r="G607" s="10" t="s">
        <v>3145</v>
      </c>
      <c r="H607" s="8" t="s">
        <v>48</v>
      </c>
      <c r="I607" s="11">
        <v>18.07</v>
      </c>
      <c r="J607" s="6">
        <v>13.5525</v>
      </c>
      <c r="K607" s="6">
        <v>0.75</v>
      </c>
      <c r="L607" s="6">
        <v>16.82</v>
      </c>
      <c r="M607" s="11">
        <v>12.615</v>
      </c>
      <c r="N607" s="11">
        <f t="shared" si="36"/>
        <v>12.615</v>
      </c>
      <c r="O607" s="6">
        <v>0.75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1.25</v>
      </c>
      <c r="Z607" s="6">
        <v>0.9375</v>
      </c>
      <c r="AA607" s="6">
        <v>0.75</v>
      </c>
      <c r="AB607" s="6">
        <v>-1.25</v>
      </c>
      <c r="AC607" s="6">
        <v>1.25</v>
      </c>
      <c r="AD607" s="23" t="s">
        <v>3143</v>
      </c>
      <c r="AE607" s="23">
        <f t="shared" si="37"/>
        <v>12.6</v>
      </c>
      <c r="AF607" s="24">
        <f t="shared" si="38"/>
        <v>1.5000000000000568E-2</v>
      </c>
      <c r="AG607" s="23">
        <f t="shared" si="39"/>
        <v>2</v>
      </c>
    </row>
    <row r="608" spans="1:33" ht="12.5" customHeight="1" x14ac:dyDescent="0.25">
      <c r="A608" s="12" t="s">
        <v>31</v>
      </c>
      <c r="B608" s="9">
        <v>46181</v>
      </c>
      <c r="C608" s="8" t="s">
        <v>992</v>
      </c>
      <c r="D608" s="10" t="s">
        <v>993</v>
      </c>
      <c r="E608" s="10" t="s">
        <v>51</v>
      </c>
      <c r="F608" s="10" t="s">
        <v>35</v>
      </c>
      <c r="G608" s="10" t="s">
        <v>3146</v>
      </c>
      <c r="H608" s="8" t="s">
        <v>36</v>
      </c>
      <c r="I608" s="11">
        <v>22.93</v>
      </c>
      <c r="J608" s="6">
        <v>21.026810000000001</v>
      </c>
      <c r="K608" s="6">
        <v>0.91700000000000004</v>
      </c>
      <c r="L608" s="6">
        <v>21.82</v>
      </c>
      <c r="M608" s="11">
        <v>20.008939999999999</v>
      </c>
      <c r="N608" s="11">
        <f t="shared" si="36"/>
        <v>20.009</v>
      </c>
      <c r="O608" s="6">
        <v>0.91699999999999993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1.1100000000000001</v>
      </c>
      <c r="Z608" s="6">
        <v>1.0178700000000001</v>
      </c>
      <c r="AA608" s="6">
        <v>0.91699999999999993</v>
      </c>
      <c r="AB608" s="6">
        <v>-1.1099999999999994</v>
      </c>
      <c r="AC608" s="6">
        <v>1.1099999999999994</v>
      </c>
      <c r="AD608" s="22" t="s">
        <v>3140</v>
      </c>
      <c r="AE608" s="23">
        <f t="shared" si="37"/>
        <v>20.009</v>
      </c>
      <c r="AF608" s="24">
        <f t="shared" si="38"/>
        <v>0</v>
      </c>
      <c r="AG608" s="23">
        <f t="shared" si="39"/>
        <v>1</v>
      </c>
    </row>
    <row r="609" spans="1:33" ht="12.5" customHeight="1" x14ac:dyDescent="0.25">
      <c r="A609" s="12" t="s">
        <v>31</v>
      </c>
      <c r="B609" s="9">
        <v>46181</v>
      </c>
      <c r="C609" s="13" t="s">
        <v>992</v>
      </c>
      <c r="D609" s="10" t="s">
        <v>994</v>
      </c>
      <c r="E609" s="10" t="s">
        <v>51</v>
      </c>
      <c r="F609" s="10" t="s">
        <v>35</v>
      </c>
      <c r="G609" s="10" t="s">
        <v>3146</v>
      </c>
      <c r="H609" s="8" t="s">
        <v>36</v>
      </c>
      <c r="I609" s="11">
        <v>27.05</v>
      </c>
      <c r="J609" s="6">
        <v>24.804849999999998</v>
      </c>
      <c r="K609" s="6">
        <v>0.91699999999999993</v>
      </c>
      <c r="L609" s="6">
        <v>25.09</v>
      </c>
      <c r="M609" s="11">
        <v>23.007529999999999</v>
      </c>
      <c r="N609" s="11">
        <f t="shared" si="36"/>
        <v>23.008000000000003</v>
      </c>
      <c r="O609" s="6">
        <v>0.91699999999999993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1.96</v>
      </c>
      <c r="Z609" s="6">
        <v>1.79732</v>
      </c>
      <c r="AA609" s="6">
        <v>0.91700000000000004</v>
      </c>
      <c r="AB609" s="6">
        <v>-1.9600000000000009</v>
      </c>
      <c r="AC609" s="6">
        <v>1.9600000000000009</v>
      </c>
      <c r="AD609" s="22" t="s">
        <v>3140</v>
      </c>
      <c r="AE609" s="23">
        <f t="shared" si="37"/>
        <v>23.008000000000003</v>
      </c>
      <c r="AF609" s="24">
        <f t="shared" si="38"/>
        <v>0</v>
      </c>
      <c r="AG609" s="23">
        <f t="shared" si="39"/>
        <v>1</v>
      </c>
    </row>
    <row r="610" spans="1:33" ht="12.5" hidden="1" customHeight="1" x14ac:dyDescent="0.25">
      <c r="A610" s="12" t="s">
        <v>31</v>
      </c>
      <c r="B610" s="9">
        <v>46181</v>
      </c>
      <c r="C610" s="8" t="s">
        <v>995</v>
      </c>
      <c r="D610" s="10" t="s">
        <v>508</v>
      </c>
      <c r="E610" s="10" t="s">
        <v>51</v>
      </c>
      <c r="F610" s="10" t="s">
        <v>35</v>
      </c>
      <c r="G610" s="10" t="s">
        <v>3145</v>
      </c>
      <c r="H610" s="8" t="s">
        <v>48</v>
      </c>
      <c r="I610" s="11">
        <v>16.68</v>
      </c>
      <c r="J610" s="6">
        <v>12.51</v>
      </c>
      <c r="K610" s="6">
        <v>0.75</v>
      </c>
      <c r="L610" s="6">
        <v>16.64</v>
      </c>
      <c r="M610" s="11">
        <v>12.48</v>
      </c>
      <c r="N610" s="11">
        <f t="shared" si="36"/>
        <v>12.48</v>
      </c>
      <c r="O610" s="6">
        <v>0.75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0.04</v>
      </c>
      <c r="Z610" s="6">
        <v>0.03</v>
      </c>
      <c r="AA610" s="6">
        <v>0.75</v>
      </c>
      <c r="AB610" s="6">
        <v>-3.9999999999999147E-2</v>
      </c>
      <c r="AC610" s="6">
        <v>3.9999999999999147E-2</v>
      </c>
      <c r="AD610" s="23" t="s">
        <v>3143</v>
      </c>
      <c r="AE610" s="23">
        <f t="shared" si="37"/>
        <v>11.234999999999999</v>
      </c>
      <c r="AF610" s="24">
        <f t="shared" si="38"/>
        <v>1.245000000000001</v>
      </c>
      <c r="AG610" s="23">
        <f t="shared" si="39"/>
        <v>2</v>
      </c>
    </row>
    <row r="611" spans="1:33" ht="12.5" customHeight="1" x14ac:dyDescent="0.25">
      <c r="A611" s="12" t="s">
        <v>31</v>
      </c>
      <c r="B611" s="9">
        <v>46181</v>
      </c>
      <c r="C611" s="12" t="s">
        <v>995</v>
      </c>
      <c r="D611" s="10" t="s">
        <v>671</v>
      </c>
      <c r="E611" s="10" t="s">
        <v>51</v>
      </c>
      <c r="F611" s="10" t="s">
        <v>35</v>
      </c>
      <c r="G611" s="10" t="s">
        <v>3146</v>
      </c>
      <c r="H611" s="8" t="s">
        <v>36</v>
      </c>
      <c r="I611" s="11">
        <v>137.91999999999999</v>
      </c>
      <c r="J611" s="6">
        <v>126.47264</v>
      </c>
      <c r="K611" s="6">
        <v>0.91700000000000004</v>
      </c>
      <c r="L611" s="6">
        <v>130.18</v>
      </c>
      <c r="M611" s="11">
        <v>119.37506</v>
      </c>
      <c r="N611" s="11">
        <f t="shared" si="36"/>
        <v>119.376</v>
      </c>
      <c r="O611" s="6">
        <v>0.91700000000000004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7.74</v>
      </c>
      <c r="Z611" s="6">
        <v>7.0975799999999998</v>
      </c>
      <c r="AA611" s="6">
        <v>0.91699999999999993</v>
      </c>
      <c r="AB611" s="6">
        <v>-7.7399999999999807</v>
      </c>
      <c r="AC611" s="6">
        <v>7.7399999999999807</v>
      </c>
      <c r="AD611" s="22" t="s">
        <v>3140</v>
      </c>
      <c r="AE611" s="23">
        <f t="shared" si="37"/>
        <v>119.376</v>
      </c>
      <c r="AF611" s="24">
        <f t="shared" si="38"/>
        <v>0</v>
      </c>
      <c r="AG611" s="23">
        <f t="shared" si="39"/>
        <v>2</v>
      </c>
    </row>
    <row r="612" spans="1:33" ht="12.5" customHeight="1" x14ac:dyDescent="0.25">
      <c r="A612" s="12" t="s">
        <v>31</v>
      </c>
      <c r="B612" s="9">
        <v>46181</v>
      </c>
      <c r="C612" s="12" t="s">
        <v>995</v>
      </c>
      <c r="D612" s="10" t="s">
        <v>996</v>
      </c>
      <c r="E612" s="10" t="s">
        <v>51</v>
      </c>
      <c r="F612" s="10" t="s">
        <v>35</v>
      </c>
      <c r="G612" s="10" t="s">
        <v>3146</v>
      </c>
      <c r="H612" s="8" t="s">
        <v>36</v>
      </c>
      <c r="I612" s="11">
        <v>14.45</v>
      </c>
      <c r="J612" s="6">
        <v>13.25065</v>
      </c>
      <c r="K612" s="6">
        <v>0.91700000000000004</v>
      </c>
      <c r="L612" s="6">
        <v>12.93</v>
      </c>
      <c r="M612" s="11">
        <v>11.856809999999999</v>
      </c>
      <c r="N612" s="11">
        <f t="shared" si="36"/>
        <v>11.856999999999999</v>
      </c>
      <c r="O612" s="6">
        <v>0.91699999999999993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1.52</v>
      </c>
      <c r="Z612" s="6">
        <v>1.39384</v>
      </c>
      <c r="AA612" s="6">
        <v>0.91699999999999993</v>
      </c>
      <c r="AB612" s="6">
        <v>-1.5199999999999996</v>
      </c>
      <c r="AC612" s="6">
        <v>1.5199999999999996</v>
      </c>
      <c r="AD612" s="22" t="s">
        <v>3140</v>
      </c>
      <c r="AE612" s="23">
        <f t="shared" si="37"/>
        <v>11.856999999999999</v>
      </c>
      <c r="AF612" s="24">
        <f t="shared" si="38"/>
        <v>0</v>
      </c>
      <c r="AG612" s="23">
        <f t="shared" si="39"/>
        <v>1</v>
      </c>
    </row>
    <row r="613" spans="1:33" ht="12.5" customHeight="1" x14ac:dyDescent="0.25">
      <c r="A613" s="12" t="s">
        <v>31</v>
      </c>
      <c r="B613" s="9">
        <v>46181</v>
      </c>
      <c r="C613" s="13" t="s">
        <v>995</v>
      </c>
      <c r="D613" s="10" t="s">
        <v>997</v>
      </c>
      <c r="E613" s="10" t="s">
        <v>51</v>
      </c>
      <c r="F613" s="10" t="s">
        <v>35</v>
      </c>
      <c r="G613" s="10" t="s">
        <v>3146</v>
      </c>
      <c r="H613" s="8" t="s">
        <v>36</v>
      </c>
      <c r="I613" s="11">
        <v>12.89</v>
      </c>
      <c r="J613" s="6">
        <v>11.820130000000001</v>
      </c>
      <c r="K613" s="6">
        <v>0.91700000000000004</v>
      </c>
      <c r="L613" s="6">
        <v>12.2</v>
      </c>
      <c r="M613" s="11">
        <v>11.1874</v>
      </c>
      <c r="N613" s="11">
        <f t="shared" si="36"/>
        <v>11.187999999999999</v>
      </c>
      <c r="O613" s="6">
        <v>0.91700000000000004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0.69</v>
      </c>
      <c r="Z613" s="6">
        <v>0.63273000000000001</v>
      </c>
      <c r="AA613" s="6">
        <v>0.91700000000000004</v>
      </c>
      <c r="AB613" s="6">
        <v>-0.69000000000000128</v>
      </c>
      <c r="AC613" s="6">
        <v>0.69000000000000128</v>
      </c>
      <c r="AD613" s="22" t="s">
        <v>3140</v>
      </c>
      <c r="AE613" s="23">
        <f t="shared" si="37"/>
        <v>11.187999999999999</v>
      </c>
      <c r="AF613" s="24">
        <f t="shared" si="38"/>
        <v>0</v>
      </c>
      <c r="AG613" s="23">
        <f t="shared" si="39"/>
        <v>1</v>
      </c>
    </row>
    <row r="614" spans="1:33" hidden="1" x14ac:dyDescent="0.25">
      <c r="A614" s="12" t="s">
        <v>31</v>
      </c>
      <c r="B614" s="9">
        <v>46181</v>
      </c>
      <c r="C614" s="10" t="s">
        <v>998</v>
      </c>
      <c r="D614" s="10" t="s">
        <v>999</v>
      </c>
      <c r="E614" s="10" t="s">
        <v>51</v>
      </c>
      <c r="F614" s="10" t="s">
        <v>35</v>
      </c>
      <c r="G614" s="10" t="s">
        <v>3145</v>
      </c>
      <c r="H614" s="8" t="s">
        <v>41</v>
      </c>
      <c r="I614" s="11">
        <v>9.77</v>
      </c>
      <c r="J614" s="6">
        <v>7.3274999999999997</v>
      </c>
      <c r="K614" s="6">
        <v>0.75</v>
      </c>
      <c r="L614" s="6">
        <v>9.1199999999999992</v>
      </c>
      <c r="M614" s="11">
        <v>6.84</v>
      </c>
      <c r="N614" s="11">
        <f t="shared" si="36"/>
        <v>6.84</v>
      </c>
      <c r="O614" s="6">
        <v>0.75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0.65</v>
      </c>
      <c r="Z614" s="6">
        <v>0.48749999999999999</v>
      </c>
      <c r="AA614" s="6">
        <v>0.75</v>
      </c>
      <c r="AB614" s="6">
        <v>-0.65000000000000036</v>
      </c>
      <c r="AC614" s="6">
        <v>0.65000000000000036</v>
      </c>
      <c r="AD614" s="22" t="s">
        <v>3140</v>
      </c>
      <c r="AE614" s="23">
        <f t="shared" si="37"/>
        <v>6.84</v>
      </c>
      <c r="AF614" s="24">
        <f t="shared" si="38"/>
        <v>0</v>
      </c>
      <c r="AG614" s="23">
        <f t="shared" si="39"/>
        <v>1</v>
      </c>
    </row>
    <row r="615" spans="1:33" x14ac:dyDescent="0.25">
      <c r="A615" s="12" t="s">
        <v>31</v>
      </c>
      <c r="B615" s="9">
        <v>46181</v>
      </c>
      <c r="C615" s="10" t="s">
        <v>1000</v>
      </c>
      <c r="D615" s="10" t="s">
        <v>348</v>
      </c>
      <c r="E615" s="10" t="s">
        <v>51</v>
      </c>
      <c r="F615" s="10" t="s">
        <v>35</v>
      </c>
      <c r="G615" s="10" t="s">
        <v>3146</v>
      </c>
      <c r="H615" s="8" t="s">
        <v>36</v>
      </c>
      <c r="I615" s="11">
        <v>8.61</v>
      </c>
      <c r="J615" s="6">
        <v>7.8953699999999998</v>
      </c>
      <c r="K615" s="6">
        <v>0.91700000000000004</v>
      </c>
      <c r="L615" s="6">
        <v>8.61</v>
      </c>
      <c r="M615" s="11">
        <v>7.8953699999999998</v>
      </c>
      <c r="N615" s="11">
        <f t="shared" si="36"/>
        <v>7.8959999999999999</v>
      </c>
      <c r="O615" s="6">
        <v>0.91700000000000004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22" t="s">
        <v>3140</v>
      </c>
      <c r="AE615" s="23">
        <f t="shared" si="37"/>
        <v>7.8959999999999999</v>
      </c>
      <c r="AF615" s="24">
        <f t="shared" si="38"/>
        <v>0</v>
      </c>
      <c r="AG615" s="23">
        <f t="shared" si="39"/>
        <v>4</v>
      </c>
    </row>
    <row r="616" spans="1:33" hidden="1" x14ac:dyDescent="0.25">
      <c r="A616" s="12" t="s">
        <v>31</v>
      </c>
      <c r="B616" s="9">
        <v>46181</v>
      </c>
      <c r="C616" s="10" t="s">
        <v>1001</v>
      </c>
      <c r="D616" s="10" t="s">
        <v>477</v>
      </c>
      <c r="E616" s="10" t="s">
        <v>51</v>
      </c>
      <c r="F616" s="10" t="s">
        <v>35</v>
      </c>
      <c r="G616" s="10" t="s">
        <v>3145</v>
      </c>
      <c r="H616" s="8" t="s">
        <v>41</v>
      </c>
      <c r="I616" s="11">
        <v>158.76</v>
      </c>
      <c r="J616" s="6">
        <v>119.07</v>
      </c>
      <c r="K616" s="6">
        <v>0.75</v>
      </c>
      <c r="L616" s="6">
        <v>158.76</v>
      </c>
      <c r="M616" s="11">
        <v>119.07</v>
      </c>
      <c r="N616" s="11">
        <f t="shared" si="36"/>
        <v>119.07</v>
      </c>
      <c r="O616" s="6">
        <v>0.75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22" t="s">
        <v>3140</v>
      </c>
      <c r="AE616" s="23">
        <f t="shared" si="37"/>
        <v>119.07</v>
      </c>
      <c r="AF616" s="24">
        <f t="shared" si="38"/>
        <v>0</v>
      </c>
      <c r="AG616" s="23">
        <f t="shared" si="39"/>
        <v>3</v>
      </c>
    </row>
    <row r="617" spans="1:33" hidden="1" x14ac:dyDescent="0.25">
      <c r="A617" s="12" t="s">
        <v>31</v>
      </c>
      <c r="B617" s="9">
        <v>46181</v>
      </c>
      <c r="C617" s="10" t="s">
        <v>1002</v>
      </c>
      <c r="D617" s="10" t="s">
        <v>477</v>
      </c>
      <c r="E617" s="10" t="s">
        <v>51</v>
      </c>
      <c r="F617" s="10" t="s">
        <v>35</v>
      </c>
      <c r="G617" s="10" t="s">
        <v>3145</v>
      </c>
      <c r="H617" s="8" t="s">
        <v>41</v>
      </c>
      <c r="I617" s="11">
        <v>158.87</v>
      </c>
      <c r="J617" s="6">
        <v>119.1525</v>
      </c>
      <c r="K617" s="6">
        <v>0.75</v>
      </c>
      <c r="L617" s="6">
        <v>158.87</v>
      </c>
      <c r="M617" s="11">
        <v>119.1525</v>
      </c>
      <c r="N617" s="11">
        <f t="shared" si="36"/>
        <v>119.15300000000001</v>
      </c>
      <c r="O617" s="6">
        <v>0.75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23" t="s">
        <v>3143</v>
      </c>
      <c r="AE617" s="23">
        <f t="shared" si="37"/>
        <v>119.07</v>
      </c>
      <c r="AF617" s="24">
        <f t="shared" si="38"/>
        <v>8.3000000000012619E-2</v>
      </c>
      <c r="AG617" s="23">
        <f t="shared" si="39"/>
        <v>3</v>
      </c>
    </row>
    <row r="618" spans="1:33" x14ac:dyDescent="0.25">
      <c r="A618" s="12" t="s">
        <v>31</v>
      </c>
      <c r="B618" s="9">
        <v>46181</v>
      </c>
      <c r="C618" s="10" t="s">
        <v>1003</v>
      </c>
      <c r="D618" s="10" t="s">
        <v>348</v>
      </c>
      <c r="E618" s="10" t="s">
        <v>51</v>
      </c>
      <c r="F618" s="10" t="s">
        <v>133</v>
      </c>
      <c r="G618" s="10" t="s">
        <v>3146</v>
      </c>
      <c r="H618" s="8" t="s">
        <v>36</v>
      </c>
      <c r="I618" s="11">
        <v>12.72</v>
      </c>
      <c r="J618" s="6">
        <v>11.664239999999999</v>
      </c>
      <c r="K618" s="6">
        <v>0.91699999999999993</v>
      </c>
      <c r="L618" s="6">
        <v>12.72</v>
      </c>
      <c r="M618" s="11">
        <v>11.664239999999999</v>
      </c>
      <c r="N618" s="11">
        <f t="shared" si="36"/>
        <v>11.664999999999999</v>
      </c>
      <c r="O618" s="6">
        <v>0.91699999999999993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23" t="s">
        <v>3142</v>
      </c>
      <c r="AE618" s="23">
        <f t="shared" si="37"/>
        <v>7.8959999999999999</v>
      </c>
      <c r="AF618" s="24">
        <f t="shared" si="38"/>
        <v>3.7689999999999992</v>
      </c>
      <c r="AG618" s="23">
        <f t="shared" si="39"/>
        <v>4</v>
      </c>
    </row>
    <row r="619" spans="1:33" x14ac:dyDescent="0.25">
      <c r="A619" s="12" t="s">
        <v>31</v>
      </c>
      <c r="B619" s="9">
        <v>46181</v>
      </c>
      <c r="C619" s="10" t="s">
        <v>1004</v>
      </c>
      <c r="D619" s="10" t="s">
        <v>1005</v>
      </c>
      <c r="E619" s="10" t="s">
        <v>51</v>
      </c>
      <c r="F619" s="10" t="s">
        <v>35</v>
      </c>
      <c r="G619" s="10" t="s">
        <v>3146</v>
      </c>
      <c r="H619" s="8" t="s">
        <v>36</v>
      </c>
      <c r="I619" s="11">
        <v>24.88</v>
      </c>
      <c r="J619" s="6">
        <v>22.814959999999999</v>
      </c>
      <c r="K619" s="6">
        <v>0.91700000000000004</v>
      </c>
      <c r="L619" s="6">
        <v>23.41</v>
      </c>
      <c r="M619" s="11">
        <v>21.46697</v>
      </c>
      <c r="N619" s="11">
        <f t="shared" si="36"/>
        <v>21.467000000000002</v>
      </c>
      <c r="O619" s="6">
        <v>0.91700000000000004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1.47</v>
      </c>
      <c r="Z619" s="6">
        <v>1.34799</v>
      </c>
      <c r="AA619" s="6">
        <v>0.91700000000000004</v>
      </c>
      <c r="AB619" s="6">
        <v>-1.4699999999999989</v>
      </c>
      <c r="AC619" s="6">
        <v>1.4699999999999989</v>
      </c>
      <c r="AD619" s="22" t="s">
        <v>3140</v>
      </c>
      <c r="AE619" s="23">
        <f t="shared" si="37"/>
        <v>21.467000000000002</v>
      </c>
      <c r="AF619" s="24">
        <f t="shared" si="38"/>
        <v>0</v>
      </c>
      <c r="AG619" s="23">
        <f t="shared" si="39"/>
        <v>1</v>
      </c>
    </row>
    <row r="620" spans="1:33" x14ac:dyDescent="0.25">
      <c r="A620" s="12" t="s">
        <v>31</v>
      </c>
      <c r="B620" s="9">
        <v>46181</v>
      </c>
      <c r="C620" s="10" t="s">
        <v>1006</v>
      </c>
      <c r="D620" s="10" t="s">
        <v>1007</v>
      </c>
      <c r="E620" s="10" t="s">
        <v>51</v>
      </c>
      <c r="F620" s="10" t="s">
        <v>35</v>
      </c>
      <c r="G620" s="10" t="s">
        <v>3146</v>
      </c>
      <c r="H620" s="8" t="s">
        <v>36</v>
      </c>
      <c r="I620" s="11">
        <v>23.49</v>
      </c>
      <c r="J620" s="6">
        <v>21.540330000000001</v>
      </c>
      <c r="K620" s="6">
        <v>0.91700000000000015</v>
      </c>
      <c r="L620" s="6">
        <v>21.48</v>
      </c>
      <c r="M620" s="11">
        <v>19.69716</v>
      </c>
      <c r="N620" s="11">
        <f t="shared" si="36"/>
        <v>19.698</v>
      </c>
      <c r="O620" s="6">
        <v>0.91700000000000004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2.0099999999999998</v>
      </c>
      <c r="Z620" s="6">
        <v>1.84317</v>
      </c>
      <c r="AA620" s="6">
        <v>0.91700000000000004</v>
      </c>
      <c r="AB620" s="6">
        <v>-2.009999999999998</v>
      </c>
      <c r="AC620" s="6">
        <v>2.009999999999998</v>
      </c>
      <c r="AD620" s="22" t="s">
        <v>3140</v>
      </c>
      <c r="AE620" s="23">
        <f t="shared" si="37"/>
        <v>19.698</v>
      </c>
      <c r="AF620" s="24">
        <f t="shared" si="38"/>
        <v>0</v>
      </c>
      <c r="AG620" s="23">
        <f t="shared" si="39"/>
        <v>1</v>
      </c>
    </row>
    <row r="621" spans="1:33" ht="20" hidden="1" customHeight="1" x14ac:dyDescent="0.25">
      <c r="A621" s="12" t="s">
        <v>31</v>
      </c>
      <c r="B621" s="9">
        <v>46181</v>
      </c>
      <c r="C621" s="10" t="s">
        <v>1008</v>
      </c>
      <c r="D621" s="10" t="s">
        <v>1009</v>
      </c>
      <c r="E621" s="10" t="s">
        <v>51</v>
      </c>
      <c r="F621" s="10" t="s">
        <v>35</v>
      </c>
      <c r="G621" s="10" t="s">
        <v>3145</v>
      </c>
      <c r="H621" s="8" t="s">
        <v>48</v>
      </c>
      <c r="I621" s="11">
        <v>22.54</v>
      </c>
      <c r="J621" s="6">
        <v>16.905000000000001</v>
      </c>
      <c r="K621" s="6">
        <v>0.75000000000000011</v>
      </c>
      <c r="L621" s="6">
        <v>20.86</v>
      </c>
      <c r="M621" s="11">
        <v>15.645</v>
      </c>
      <c r="N621" s="11">
        <f t="shared" si="36"/>
        <v>15.645</v>
      </c>
      <c r="O621" s="6">
        <v>0.75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1.68</v>
      </c>
      <c r="Z621" s="6">
        <v>1.26</v>
      </c>
      <c r="AA621" s="6">
        <v>0.75</v>
      </c>
      <c r="AB621" s="6">
        <v>-1.6799999999999997</v>
      </c>
      <c r="AC621" s="6">
        <v>1.6799999999999997</v>
      </c>
      <c r="AD621" s="23" t="s">
        <v>3143</v>
      </c>
      <c r="AE621" s="23">
        <f t="shared" si="37"/>
        <v>15.24</v>
      </c>
      <c r="AF621" s="24">
        <f t="shared" si="38"/>
        <v>0.40499999999999936</v>
      </c>
      <c r="AG621" s="23">
        <f t="shared" si="39"/>
        <v>2</v>
      </c>
    </row>
    <row r="622" spans="1:33" ht="20" hidden="1" customHeight="1" x14ac:dyDescent="0.25">
      <c r="A622" s="12" t="s">
        <v>31</v>
      </c>
      <c r="B622" s="9">
        <v>46181</v>
      </c>
      <c r="C622" s="10" t="s">
        <v>1010</v>
      </c>
      <c r="D622" s="10" t="s">
        <v>1011</v>
      </c>
      <c r="E622" s="10" t="s">
        <v>51</v>
      </c>
      <c r="F622" s="10" t="s">
        <v>35</v>
      </c>
      <c r="G622" s="10" t="s">
        <v>3145</v>
      </c>
      <c r="H622" s="8" t="s">
        <v>48</v>
      </c>
      <c r="I622" s="11">
        <v>20.079999999999998</v>
      </c>
      <c r="J622" s="6">
        <v>15.06</v>
      </c>
      <c r="K622" s="6">
        <v>0.75000000000000011</v>
      </c>
      <c r="L622" s="6">
        <v>18.79</v>
      </c>
      <c r="M622" s="11">
        <v>14.092499999999999</v>
      </c>
      <c r="N622" s="11">
        <f t="shared" si="36"/>
        <v>14.093</v>
      </c>
      <c r="O622" s="6">
        <v>0.75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1.29</v>
      </c>
      <c r="Z622" s="6">
        <v>0.96750000000000003</v>
      </c>
      <c r="AA622" s="6">
        <v>0.75</v>
      </c>
      <c r="AB622" s="6">
        <v>-1.2899999999999991</v>
      </c>
      <c r="AC622" s="6">
        <v>1.2899999999999991</v>
      </c>
      <c r="AD622" s="22" t="s">
        <v>3140</v>
      </c>
      <c r="AE622" s="23">
        <f t="shared" si="37"/>
        <v>14.093</v>
      </c>
      <c r="AF622" s="24">
        <f t="shared" si="38"/>
        <v>0</v>
      </c>
      <c r="AG622" s="23">
        <f t="shared" si="39"/>
        <v>1</v>
      </c>
    </row>
    <row r="623" spans="1:33" ht="20" hidden="1" customHeight="1" x14ac:dyDescent="0.25">
      <c r="A623" s="12" t="s">
        <v>31</v>
      </c>
      <c r="B623" s="9">
        <v>46181</v>
      </c>
      <c r="C623" s="10" t="s">
        <v>1012</v>
      </c>
      <c r="D623" s="10" t="s">
        <v>1013</v>
      </c>
      <c r="E623" s="10" t="s">
        <v>51</v>
      </c>
      <c r="F623" s="10" t="s">
        <v>35</v>
      </c>
      <c r="G623" s="10" t="s">
        <v>3145</v>
      </c>
      <c r="H623" s="8" t="s">
        <v>48</v>
      </c>
      <c r="I623" s="11">
        <v>17.82</v>
      </c>
      <c r="J623" s="6">
        <v>13.365</v>
      </c>
      <c r="K623" s="6">
        <v>0.75</v>
      </c>
      <c r="L623" s="6">
        <v>16.079999999999998</v>
      </c>
      <c r="M623" s="11">
        <v>12.06</v>
      </c>
      <c r="N623" s="11">
        <f t="shared" si="36"/>
        <v>12.06</v>
      </c>
      <c r="O623" s="6">
        <v>0.75000000000000011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1.74</v>
      </c>
      <c r="Z623" s="6">
        <v>1.3049999999999999</v>
      </c>
      <c r="AA623" s="6">
        <v>0.75</v>
      </c>
      <c r="AB623" s="6">
        <v>-1.740000000000002</v>
      </c>
      <c r="AC623" s="6">
        <v>1.740000000000002</v>
      </c>
      <c r="AD623" s="22" t="s">
        <v>3140</v>
      </c>
      <c r="AE623" s="23">
        <f t="shared" si="37"/>
        <v>12.06</v>
      </c>
      <c r="AF623" s="24">
        <f t="shared" si="38"/>
        <v>0</v>
      </c>
      <c r="AG623" s="23">
        <f t="shared" si="39"/>
        <v>1</v>
      </c>
    </row>
    <row r="624" spans="1:33" ht="20" hidden="1" customHeight="1" x14ac:dyDescent="0.25">
      <c r="A624" s="12" t="s">
        <v>31</v>
      </c>
      <c r="B624" s="9">
        <v>46181</v>
      </c>
      <c r="C624" s="10" t="s">
        <v>1014</v>
      </c>
      <c r="D624" s="10" t="s">
        <v>1015</v>
      </c>
      <c r="E624" s="10" t="s">
        <v>51</v>
      </c>
      <c r="F624" s="10" t="s">
        <v>35</v>
      </c>
      <c r="G624" s="10" t="s">
        <v>3145</v>
      </c>
      <c r="H624" s="8" t="s">
        <v>48</v>
      </c>
      <c r="I624" s="11">
        <v>17.05</v>
      </c>
      <c r="J624" s="6">
        <v>12.7875</v>
      </c>
      <c r="K624" s="6">
        <v>0.75</v>
      </c>
      <c r="L624" s="6">
        <v>15.96</v>
      </c>
      <c r="M624" s="11">
        <v>11.97</v>
      </c>
      <c r="N624" s="11">
        <f t="shared" si="36"/>
        <v>11.97</v>
      </c>
      <c r="O624" s="6">
        <v>0.75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1.0900000000000001</v>
      </c>
      <c r="Z624" s="6">
        <v>0.8175</v>
      </c>
      <c r="AA624" s="6">
        <v>0.75</v>
      </c>
      <c r="AB624" s="6">
        <v>-1.0899999999999999</v>
      </c>
      <c r="AC624" s="6">
        <v>1.0899999999999999</v>
      </c>
      <c r="AD624" s="22" t="s">
        <v>3140</v>
      </c>
      <c r="AE624" s="23">
        <f t="shared" si="37"/>
        <v>11.97</v>
      </c>
      <c r="AF624" s="24">
        <f t="shared" si="38"/>
        <v>0</v>
      </c>
      <c r="AG624" s="23">
        <f t="shared" si="39"/>
        <v>1</v>
      </c>
    </row>
    <row r="625" spans="1:33" x14ac:dyDescent="0.25">
      <c r="A625" s="12" t="s">
        <v>31</v>
      </c>
      <c r="B625" s="9">
        <v>46181</v>
      </c>
      <c r="C625" s="10" t="s">
        <v>1016</v>
      </c>
      <c r="D625" s="10" t="s">
        <v>914</v>
      </c>
      <c r="E625" s="10" t="s">
        <v>51</v>
      </c>
      <c r="F625" s="10" t="s">
        <v>35</v>
      </c>
      <c r="G625" s="10" t="s">
        <v>3146</v>
      </c>
      <c r="H625" s="8" t="s">
        <v>36</v>
      </c>
      <c r="I625" s="11">
        <v>29.5</v>
      </c>
      <c r="J625" s="6">
        <v>27.051500000000001</v>
      </c>
      <c r="K625" s="6">
        <v>0.91700000000000004</v>
      </c>
      <c r="L625" s="6">
        <v>28.41</v>
      </c>
      <c r="M625" s="11">
        <v>26.051970000000001</v>
      </c>
      <c r="N625" s="11">
        <f t="shared" si="36"/>
        <v>26.052</v>
      </c>
      <c r="O625" s="6">
        <v>0.91700000000000004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1.0900000000000001</v>
      </c>
      <c r="Z625" s="6">
        <v>0.99953000000000003</v>
      </c>
      <c r="AA625" s="6">
        <v>0.91699999999999993</v>
      </c>
      <c r="AB625" s="6">
        <v>-1.0899999999999999</v>
      </c>
      <c r="AC625" s="6">
        <v>1.0899999999999999</v>
      </c>
      <c r="AD625" s="22" t="s">
        <v>3140</v>
      </c>
      <c r="AE625" s="23">
        <f t="shared" si="37"/>
        <v>26.052</v>
      </c>
      <c r="AF625" s="24">
        <f t="shared" si="38"/>
        <v>0</v>
      </c>
      <c r="AG625" s="23">
        <f t="shared" si="39"/>
        <v>2</v>
      </c>
    </row>
    <row r="626" spans="1:33" ht="20" hidden="1" customHeight="1" x14ac:dyDescent="0.25">
      <c r="A626" s="12" t="s">
        <v>31</v>
      </c>
      <c r="B626" s="9">
        <v>46181</v>
      </c>
      <c r="C626" s="10" t="s">
        <v>1017</v>
      </c>
      <c r="D626" s="10" t="s">
        <v>1018</v>
      </c>
      <c r="E626" s="10" t="s">
        <v>51</v>
      </c>
      <c r="F626" s="10" t="s">
        <v>35</v>
      </c>
      <c r="G626" s="10" t="s">
        <v>3145</v>
      </c>
      <c r="H626" s="8" t="s">
        <v>48</v>
      </c>
      <c r="I626" s="11">
        <v>20.49</v>
      </c>
      <c r="J626" s="6">
        <v>15.3675</v>
      </c>
      <c r="K626" s="6">
        <v>0.75</v>
      </c>
      <c r="L626" s="6">
        <v>18.600000000000001</v>
      </c>
      <c r="M626" s="11">
        <v>13.95</v>
      </c>
      <c r="N626" s="11">
        <f t="shared" si="36"/>
        <v>13.95</v>
      </c>
      <c r="O626" s="6">
        <v>0.74999999999999989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1.89</v>
      </c>
      <c r="Z626" s="6">
        <v>1.4175</v>
      </c>
      <c r="AA626" s="6">
        <v>0.75</v>
      </c>
      <c r="AB626" s="6">
        <v>-1.889999999999997</v>
      </c>
      <c r="AC626" s="6">
        <v>1.889999999999997</v>
      </c>
      <c r="AD626" s="22" t="s">
        <v>3140</v>
      </c>
      <c r="AE626" s="23">
        <f t="shared" si="37"/>
        <v>13.95</v>
      </c>
      <c r="AF626" s="24">
        <f t="shared" si="38"/>
        <v>0</v>
      </c>
      <c r="AG626" s="23">
        <f t="shared" si="39"/>
        <v>1</v>
      </c>
    </row>
    <row r="627" spans="1:33" x14ac:dyDescent="0.25">
      <c r="A627" s="12" t="s">
        <v>31</v>
      </c>
      <c r="B627" s="9">
        <v>46181</v>
      </c>
      <c r="C627" s="10" t="s">
        <v>1019</v>
      </c>
      <c r="D627" s="10" t="s">
        <v>1020</v>
      </c>
      <c r="E627" s="10" t="s">
        <v>51</v>
      </c>
      <c r="F627" s="10" t="s">
        <v>35</v>
      </c>
      <c r="G627" s="10" t="s">
        <v>3146</v>
      </c>
      <c r="H627" s="8" t="s">
        <v>36</v>
      </c>
      <c r="I627" s="11">
        <v>21.95</v>
      </c>
      <c r="J627" s="6">
        <v>20.128150000000002</v>
      </c>
      <c r="K627" s="6">
        <v>0.91700000000000015</v>
      </c>
      <c r="L627" s="6">
        <v>21.13</v>
      </c>
      <c r="M627" s="11">
        <v>19.37621</v>
      </c>
      <c r="N627" s="11">
        <f t="shared" si="36"/>
        <v>19.377000000000002</v>
      </c>
      <c r="O627" s="6">
        <v>0.91700000000000004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0.82</v>
      </c>
      <c r="Z627" s="6">
        <v>0.75194000000000005</v>
      </c>
      <c r="AA627" s="6">
        <v>0.91700000000000015</v>
      </c>
      <c r="AB627" s="6">
        <v>-0.82000000000000028</v>
      </c>
      <c r="AC627" s="6">
        <v>0.82000000000000028</v>
      </c>
      <c r="AD627" s="23" t="s">
        <v>3143</v>
      </c>
      <c r="AE627" s="23">
        <f t="shared" si="37"/>
        <v>19.23</v>
      </c>
      <c r="AF627" s="24">
        <f t="shared" si="38"/>
        <v>0.14700000000000202</v>
      </c>
      <c r="AG627" s="23">
        <f t="shared" si="39"/>
        <v>2</v>
      </c>
    </row>
    <row r="628" spans="1:33" ht="20" hidden="1" customHeight="1" x14ac:dyDescent="0.25">
      <c r="A628" s="12" t="s">
        <v>31</v>
      </c>
      <c r="B628" s="9">
        <v>46181</v>
      </c>
      <c r="C628" s="10" t="s">
        <v>1021</v>
      </c>
      <c r="D628" s="10" t="s">
        <v>1022</v>
      </c>
      <c r="E628" s="10" t="s">
        <v>51</v>
      </c>
      <c r="F628" s="10" t="s">
        <v>35</v>
      </c>
      <c r="G628" s="10" t="s">
        <v>3145</v>
      </c>
      <c r="H628" s="8" t="s">
        <v>48</v>
      </c>
      <c r="I628" s="11">
        <v>15.8</v>
      </c>
      <c r="J628" s="6">
        <v>11.85</v>
      </c>
      <c r="K628" s="6">
        <v>0.74999999999999989</v>
      </c>
      <c r="L628" s="6">
        <v>14.73</v>
      </c>
      <c r="M628" s="11">
        <v>11.047499999999999</v>
      </c>
      <c r="N628" s="11">
        <f t="shared" si="36"/>
        <v>11.048</v>
      </c>
      <c r="O628" s="6">
        <v>0.74999999999999989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1.07</v>
      </c>
      <c r="Z628" s="6">
        <v>0.80249999999999999</v>
      </c>
      <c r="AA628" s="6">
        <v>0.75</v>
      </c>
      <c r="AB628" s="6">
        <v>-1.0700000000000003</v>
      </c>
      <c r="AC628" s="6">
        <v>1.0700000000000003</v>
      </c>
      <c r="AD628" s="22" t="s">
        <v>3140</v>
      </c>
      <c r="AE628" s="23">
        <f t="shared" si="37"/>
        <v>11.048</v>
      </c>
      <c r="AF628" s="24">
        <f t="shared" si="38"/>
        <v>0</v>
      </c>
      <c r="AG628" s="23">
        <f t="shared" si="39"/>
        <v>1</v>
      </c>
    </row>
    <row r="629" spans="1:33" ht="20" hidden="1" customHeight="1" x14ac:dyDescent="0.25">
      <c r="A629" s="12" t="s">
        <v>31</v>
      </c>
      <c r="B629" s="9">
        <v>46181</v>
      </c>
      <c r="C629" s="10" t="s">
        <v>1023</v>
      </c>
      <c r="D629" s="10" t="s">
        <v>1024</v>
      </c>
      <c r="E629" s="10" t="s">
        <v>51</v>
      </c>
      <c r="F629" s="10" t="s">
        <v>35</v>
      </c>
      <c r="G629" s="10" t="s">
        <v>3145</v>
      </c>
      <c r="H629" s="8" t="s">
        <v>48</v>
      </c>
      <c r="I629" s="11">
        <v>4.87</v>
      </c>
      <c r="J629" s="6">
        <v>3.6524999999999999</v>
      </c>
      <c r="K629" s="6">
        <v>0.75</v>
      </c>
      <c r="L629" s="6">
        <v>4.38</v>
      </c>
      <c r="M629" s="11">
        <v>3.2850000000000001</v>
      </c>
      <c r="N629" s="11">
        <f t="shared" si="36"/>
        <v>3.2850000000000001</v>
      </c>
      <c r="O629" s="6">
        <v>0.75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0.49</v>
      </c>
      <c r="Z629" s="6">
        <v>0.36749999999999999</v>
      </c>
      <c r="AA629" s="6">
        <v>0.75</v>
      </c>
      <c r="AB629" s="6">
        <v>-0.49000000000000021</v>
      </c>
      <c r="AC629" s="6">
        <v>0.49000000000000021</v>
      </c>
      <c r="AD629" s="22" t="s">
        <v>3140</v>
      </c>
      <c r="AE629" s="23">
        <f t="shared" si="37"/>
        <v>3.2850000000000001</v>
      </c>
      <c r="AF629" s="24">
        <f t="shared" si="38"/>
        <v>0</v>
      </c>
      <c r="AG629" s="23">
        <f t="shared" si="39"/>
        <v>1</v>
      </c>
    </row>
    <row r="630" spans="1:33" ht="20" hidden="1" customHeight="1" x14ac:dyDescent="0.25">
      <c r="A630" s="12" t="s">
        <v>31</v>
      </c>
      <c r="B630" s="9">
        <v>46181</v>
      </c>
      <c r="C630" s="10" t="s">
        <v>1025</v>
      </c>
      <c r="D630" s="10" t="s">
        <v>1026</v>
      </c>
      <c r="E630" s="10" t="s">
        <v>51</v>
      </c>
      <c r="F630" s="10" t="s">
        <v>35</v>
      </c>
      <c r="G630" s="10" t="s">
        <v>3145</v>
      </c>
      <c r="H630" s="8" t="s">
        <v>48</v>
      </c>
      <c r="I630" s="11">
        <v>4.1900000000000004</v>
      </c>
      <c r="J630" s="6">
        <v>3.1425000000000001</v>
      </c>
      <c r="K630" s="6">
        <v>0.75</v>
      </c>
      <c r="L630" s="6">
        <v>3.8</v>
      </c>
      <c r="M630" s="11">
        <v>2.85</v>
      </c>
      <c r="N630" s="11">
        <f t="shared" si="36"/>
        <v>2.85</v>
      </c>
      <c r="O630" s="6">
        <v>0.75000000000000011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0.39</v>
      </c>
      <c r="Z630" s="6">
        <v>0.29249999999999998</v>
      </c>
      <c r="AA630" s="6">
        <v>0.74999999999999989</v>
      </c>
      <c r="AB630" s="6">
        <v>-0.39000000000000057</v>
      </c>
      <c r="AC630" s="6">
        <v>0.39000000000000057</v>
      </c>
      <c r="AD630" s="22" t="s">
        <v>3140</v>
      </c>
      <c r="AE630" s="23">
        <f t="shared" si="37"/>
        <v>2.85</v>
      </c>
      <c r="AF630" s="24">
        <f t="shared" si="38"/>
        <v>0</v>
      </c>
      <c r="AG630" s="23">
        <f t="shared" si="39"/>
        <v>1</v>
      </c>
    </row>
    <row r="631" spans="1:33" ht="20" hidden="1" customHeight="1" x14ac:dyDescent="0.25">
      <c r="A631" s="12" t="s">
        <v>31</v>
      </c>
      <c r="B631" s="9">
        <v>46181</v>
      </c>
      <c r="C631" s="10" t="s">
        <v>1027</v>
      </c>
      <c r="D631" s="10" t="s">
        <v>1028</v>
      </c>
      <c r="E631" s="10" t="s">
        <v>51</v>
      </c>
      <c r="F631" s="10" t="s">
        <v>35</v>
      </c>
      <c r="G631" s="10" t="s">
        <v>3145</v>
      </c>
      <c r="H631" s="8" t="s">
        <v>48</v>
      </c>
      <c r="I631" s="11">
        <v>3.92</v>
      </c>
      <c r="J631" s="6">
        <v>2.94</v>
      </c>
      <c r="K631" s="6">
        <v>0.75</v>
      </c>
      <c r="L631" s="6">
        <v>3.42</v>
      </c>
      <c r="M631" s="11">
        <v>2.5649999999999999</v>
      </c>
      <c r="N631" s="11">
        <f t="shared" si="36"/>
        <v>2.5649999999999999</v>
      </c>
      <c r="O631" s="6">
        <v>0.75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0.5</v>
      </c>
      <c r="Z631" s="6">
        <v>0.375</v>
      </c>
      <c r="AA631" s="6">
        <v>0.75</v>
      </c>
      <c r="AB631" s="6">
        <v>-0.5</v>
      </c>
      <c r="AC631" s="6">
        <v>0.5</v>
      </c>
      <c r="AD631" s="22" t="s">
        <v>3140</v>
      </c>
      <c r="AE631" s="23">
        <f t="shared" si="37"/>
        <v>2.5649999999999999</v>
      </c>
      <c r="AF631" s="24">
        <f t="shared" si="38"/>
        <v>0</v>
      </c>
      <c r="AG631" s="23">
        <f t="shared" si="39"/>
        <v>1</v>
      </c>
    </row>
    <row r="632" spans="1:33" ht="20" hidden="1" customHeight="1" x14ac:dyDescent="0.25">
      <c r="A632" s="12" t="s">
        <v>31</v>
      </c>
      <c r="B632" s="9">
        <v>46181</v>
      </c>
      <c r="C632" s="10" t="s">
        <v>1029</v>
      </c>
      <c r="D632" s="10" t="s">
        <v>1030</v>
      </c>
      <c r="E632" s="10" t="s">
        <v>51</v>
      </c>
      <c r="F632" s="10" t="s">
        <v>35</v>
      </c>
      <c r="G632" s="10" t="s">
        <v>3145</v>
      </c>
      <c r="H632" s="8" t="s">
        <v>48</v>
      </c>
      <c r="I632" s="11">
        <v>4.76</v>
      </c>
      <c r="J632" s="6">
        <v>3.57</v>
      </c>
      <c r="K632" s="6">
        <v>0.75</v>
      </c>
      <c r="L632" s="6">
        <v>4.41</v>
      </c>
      <c r="M632" s="11">
        <v>3.3075000000000001</v>
      </c>
      <c r="N632" s="11">
        <f t="shared" si="36"/>
        <v>3.3079999999999998</v>
      </c>
      <c r="O632" s="6">
        <v>0.75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0.35</v>
      </c>
      <c r="Z632" s="6">
        <v>0.26250000000000001</v>
      </c>
      <c r="AA632" s="6">
        <v>0.75000000000000011</v>
      </c>
      <c r="AB632" s="6">
        <v>-0.34999999999999964</v>
      </c>
      <c r="AC632" s="6">
        <v>0.34999999999999964</v>
      </c>
      <c r="AD632" s="22" t="s">
        <v>3140</v>
      </c>
      <c r="AE632" s="23">
        <f t="shared" si="37"/>
        <v>3.3079999999999998</v>
      </c>
      <c r="AF632" s="24">
        <f t="shared" si="38"/>
        <v>0</v>
      </c>
      <c r="AG632" s="23">
        <f t="shared" si="39"/>
        <v>1</v>
      </c>
    </row>
    <row r="633" spans="1:33" hidden="1" x14ac:dyDescent="0.25">
      <c r="A633" s="12" t="s">
        <v>31</v>
      </c>
      <c r="B633" s="9">
        <v>46181</v>
      </c>
      <c r="C633" s="10" t="s">
        <v>1031</v>
      </c>
      <c r="D633" s="10" t="s">
        <v>1032</v>
      </c>
      <c r="E633" s="10" t="s">
        <v>51</v>
      </c>
      <c r="F633" s="10" t="s">
        <v>35</v>
      </c>
      <c r="G633" s="10" t="s">
        <v>3145</v>
      </c>
      <c r="H633" s="8" t="s">
        <v>41</v>
      </c>
      <c r="I633" s="11">
        <v>21.32</v>
      </c>
      <c r="J633" s="6">
        <v>15.99</v>
      </c>
      <c r="K633" s="6">
        <v>0.75</v>
      </c>
      <c r="L633" s="6">
        <v>19.91</v>
      </c>
      <c r="M633" s="11">
        <v>14.932499999999999</v>
      </c>
      <c r="N633" s="11">
        <f t="shared" si="36"/>
        <v>14.933</v>
      </c>
      <c r="O633" s="6">
        <v>0.75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1.41</v>
      </c>
      <c r="Z633" s="6">
        <v>1.0575000000000001</v>
      </c>
      <c r="AA633" s="6">
        <v>0.75000000000000011</v>
      </c>
      <c r="AB633" s="6">
        <v>-1.41</v>
      </c>
      <c r="AC633" s="6">
        <v>1.41</v>
      </c>
      <c r="AD633" s="22" t="s">
        <v>3140</v>
      </c>
      <c r="AE633" s="23">
        <f t="shared" si="37"/>
        <v>14.933</v>
      </c>
      <c r="AF633" s="24">
        <f t="shared" si="38"/>
        <v>0</v>
      </c>
      <c r="AG633" s="23">
        <f t="shared" si="39"/>
        <v>1</v>
      </c>
    </row>
    <row r="634" spans="1:33" ht="20" hidden="1" customHeight="1" x14ac:dyDescent="0.25">
      <c r="A634" s="12" t="s">
        <v>31</v>
      </c>
      <c r="B634" s="9">
        <v>46181</v>
      </c>
      <c r="C634" s="10" t="s">
        <v>1033</v>
      </c>
      <c r="D634" s="10" t="s">
        <v>1034</v>
      </c>
      <c r="E634" s="10" t="s">
        <v>51</v>
      </c>
      <c r="F634" s="10" t="s">
        <v>35</v>
      </c>
      <c r="G634" s="10" t="s">
        <v>3145</v>
      </c>
      <c r="H634" s="8" t="s">
        <v>48</v>
      </c>
      <c r="I634" s="11">
        <v>4.28</v>
      </c>
      <c r="J634" s="6">
        <v>3.21</v>
      </c>
      <c r="K634" s="6">
        <v>0.75</v>
      </c>
      <c r="L634" s="6">
        <v>3.74</v>
      </c>
      <c r="M634" s="11">
        <v>2.8050000000000002</v>
      </c>
      <c r="N634" s="11">
        <f t="shared" si="36"/>
        <v>2.8050000000000002</v>
      </c>
      <c r="O634" s="6">
        <v>0.75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0.54</v>
      </c>
      <c r="Z634" s="6">
        <v>0.40500000000000003</v>
      </c>
      <c r="AA634" s="6">
        <v>0.75</v>
      </c>
      <c r="AB634" s="6">
        <v>-0.54</v>
      </c>
      <c r="AC634" s="6">
        <v>0.54</v>
      </c>
      <c r="AD634" s="22" t="s">
        <v>3140</v>
      </c>
      <c r="AE634" s="23">
        <f t="shared" si="37"/>
        <v>2.8050000000000002</v>
      </c>
      <c r="AF634" s="24">
        <f t="shared" si="38"/>
        <v>0</v>
      </c>
      <c r="AG634" s="23">
        <f t="shared" si="39"/>
        <v>1</v>
      </c>
    </row>
    <row r="635" spans="1:33" ht="20" hidden="1" customHeight="1" x14ac:dyDescent="0.25">
      <c r="A635" s="12" t="s">
        <v>31</v>
      </c>
      <c r="B635" s="9">
        <v>46181</v>
      </c>
      <c r="C635" s="10" t="s">
        <v>1035</v>
      </c>
      <c r="D635" s="10" t="s">
        <v>1036</v>
      </c>
      <c r="E635" s="10" t="s">
        <v>51</v>
      </c>
      <c r="F635" s="10" t="s">
        <v>35</v>
      </c>
      <c r="G635" s="10" t="s">
        <v>3145</v>
      </c>
      <c r="H635" s="8" t="s">
        <v>48</v>
      </c>
      <c r="I635" s="11">
        <v>8.0399999999999991</v>
      </c>
      <c r="J635" s="6">
        <v>6.03</v>
      </c>
      <c r="K635" s="6">
        <v>0.75000000000000011</v>
      </c>
      <c r="L635" s="6">
        <v>7.36</v>
      </c>
      <c r="M635" s="11">
        <v>5.52</v>
      </c>
      <c r="N635" s="11">
        <f t="shared" si="36"/>
        <v>5.52</v>
      </c>
      <c r="O635" s="6">
        <v>0.74999999999999989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0.68</v>
      </c>
      <c r="Z635" s="6">
        <v>0.51</v>
      </c>
      <c r="AA635" s="6">
        <v>0.75</v>
      </c>
      <c r="AB635" s="6">
        <v>-0.67999999999999883</v>
      </c>
      <c r="AC635" s="6">
        <v>0.67999999999999883</v>
      </c>
      <c r="AD635" s="23" t="s">
        <v>3143</v>
      </c>
      <c r="AE635" s="23">
        <f t="shared" si="37"/>
        <v>5.4450000000000003</v>
      </c>
      <c r="AF635" s="24">
        <f t="shared" si="38"/>
        <v>7.4999999999999289E-2</v>
      </c>
      <c r="AG635" s="23">
        <f t="shared" si="39"/>
        <v>2</v>
      </c>
    </row>
    <row r="636" spans="1:33" ht="20" hidden="1" customHeight="1" x14ac:dyDescent="0.25">
      <c r="A636" s="12" t="s">
        <v>31</v>
      </c>
      <c r="B636" s="9">
        <v>46181</v>
      </c>
      <c r="C636" s="10" t="s">
        <v>1037</v>
      </c>
      <c r="D636" s="10" t="s">
        <v>1038</v>
      </c>
      <c r="E636" s="10" t="s">
        <v>51</v>
      </c>
      <c r="F636" s="10" t="s">
        <v>35</v>
      </c>
      <c r="G636" s="10" t="s">
        <v>3145</v>
      </c>
      <c r="H636" s="8" t="s">
        <v>48</v>
      </c>
      <c r="I636" s="11">
        <v>17.41</v>
      </c>
      <c r="J636" s="6">
        <v>13.057499999999999</v>
      </c>
      <c r="K636" s="6">
        <v>0.75</v>
      </c>
      <c r="L636" s="6">
        <v>16.3</v>
      </c>
      <c r="M636" s="11">
        <v>12.225</v>
      </c>
      <c r="N636" s="11">
        <f t="shared" si="36"/>
        <v>12.225</v>
      </c>
      <c r="O636" s="6">
        <v>0.75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1.1100000000000001</v>
      </c>
      <c r="Z636" s="6">
        <v>0.83250000000000002</v>
      </c>
      <c r="AA636" s="6">
        <v>0.75</v>
      </c>
      <c r="AB636" s="6">
        <v>-1.1099999999999994</v>
      </c>
      <c r="AC636" s="6">
        <v>1.1099999999999994</v>
      </c>
      <c r="AD636" s="22" t="s">
        <v>3140</v>
      </c>
      <c r="AE636" s="23">
        <f t="shared" si="37"/>
        <v>12.225</v>
      </c>
      <c r="AF636" s="24">
        <f t="shared" si="38"/>
        <v>0</v>
      </c>
      <c r="AG636" s="23">
        <f t="shared" si="39"/>
        <v>1</v>
      </c>
    </row>
    <row r="637" spans="1:33" ht="20" hidden="1" customHeight="1" x14ac:dyDescent="0.25">
      <c r="A637" s="12" t="s">
        <v>31</v>
      </c>
      <c r="B637" s="9">
        <v>46181</v>
      </c>
      <c r="C637" s="10" t="s">
        <v>1039</v>
      </c>
      <c r="D637" s="10" t="s">
        <v>1040</v>
      </c>
      <c r="E637" s="10" t="s">
        <v>51</v>
      </c>
      <c r="F637" s="10" t="s">
        <v>35</v>
      </c>
      <c r="G637" s="10" t="s">
        <v>3145</v>
      </c>
      <c r="H637" s="8" t="s">
        <v>48</v>
      </c>
      <c r="I637" s="11">
        <v>3.46</v>
      </c>
      <c r="J637" s="6">
        <v>2.5950000000000002</v>
      </c>
      <c r="K637" s="6">
        <v>0.75000000000000011</v>
      </c>
      <c r="L637" s="6">
        <v>3.09</v>
      </c>
      <c r="M637" s="11">
        <v>2.3174999999999999</v>
      </c>
      <c r="N637" s="11">
        <f t="shared" si="36"/>
        <v>2.3180000000000001</v>
      </c>
      <c r="O637" s="6">
        <v>0.75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0.37</v>
      </c>
      <c r="Z637" s="6">
        <v>0.27750000000000002</v>
      </c>
      <c r="AA637" s="6">
        <v>0.75000000000000011</v>
      </c>
      <c r="AB637" s="6">
        <v>-0.37000000000000011</v>
      </c>
      <c r="AC637" s="6">
        <v>0.37000000000000011</v>
      </c>
      <c r="AD637" s="22" t="s">
        <v>3140</v>
      </c>
      <c r="AE637" s="23">
        <f t="shared" si="37"/>
        <v>2.3180000000000001</v>
      </c>
      <c r="AF637" s="24">
        <f t="shared" si="38"/>
        <v>0</v>
      </c>
      <c r="AG637" s="23">
        <f t="shared" si="39"/>
        <v>1</v>
      </c>
    </row>
    <row r="638" spans="1:33" x14ac:dyDescent="0.25">
      <c r="A638" s="12" t="s">
        <v>31</v>
      </c>
      <c r="B638" s="9">
        <v>46181</v>
      </c>
      <c r="C638" s="10" t="s">
        <v>1041</v>
      </c>
      <c r="D638" s="10" t="s">
        <v>682</v>
      </c>
      <c r="E638" s="10" t="s">
        <v>51</v>
      </c>
      <c r="F638" s="10" t="s">
        <v>35</v>
      </c>
      <c r="G638" s="10" t="s">
        <v>3146</v>
      </c>
      <c r="H638" s="8" t="s">
        <v>36</v>
      </c>
      <c r="I638" s="11">
        <v>9.16</v>
      </c>
      <c r="J638" s="6">
        <v>8.3997200000000003</v>
      </c>
      <c r="K638" s="6">
        <v>0.91700000000000004</v>
      </c>
      <c r="L638" s="6">
        <v>8.67</v>
      </c>
      <c r="M638" s="11">
        <v>7.9503899999999996</v>
      </c>
      <c r="N638" s="11">
        <f t="shared" si="36"/>
        <v>7.9510000000000005</v>
      </c>
      <c r="O638" s="6">
        <v>0.91699999999999993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0.49</v>
      </c>
      <c r="Z638" s="6">
        <v>0.44933000000000001</v>
      </c>
      <c r="AA638" s="6">
        <v>0.91700000000000004</v>
      </c>
      <c r="AB638" s="6">
        <v>-0.49000000000000021</v>
      </c>
      <c r="AC638" s="6">
        <v>0.49000000000000021</v>
      </c>
      <c r="AD638" s="22" t="s">
        <v>3140</v>
      </c>
      <c r="AE638" s="23">
        <f t="shared" si="37"/>
        <v>7.9510000000000005</v>
      </c>
      <c r="AF638" s="24">
        <f t="shared" si="38"/>
        <v>0</v>
      </c>
      <c r="AG638" s="23">
        <f t="shared" si="39"/>
        <v>2</v>
      </c>
    </row>
    <row r="639" spans="1:33" ht="12.5" hidden="1" customHeight="1" x14ac:dyDescent="0.25">
      <c r="A639" s="12" t="s">
        <v>31</v>
      </c>
      <c r="B639" s="9">
        <v>46181</v>
      </c>
      <c r="C639" s="8" t="s">
        <v>1042</v>
      </c>
      <c r="D639" s="10" t="s">
        <v>1043</v>
      </c>
      <c r="E639" s="10" t="s">
        <v>51</v>
      </c>
      <c r="F639" s="10" t="s">
        <v>35</v>
      </c>
      <c r="G639" s="10" t="s">
        <v>3145</v>
      </c>
      <c r="H639" s="8" t="s">
        <v>41</v>
      </c>
      <c r="I639" s="11">
        <v>20.64</v>
      </c>
      <c r="J639" s="6">
        <v>15.48</v>
      </c>
      <c r="K639" s="6">
        <v>0.75</v>
      </c>
      <c r="L639" s="6">
        <v>18.760000000000002</v>
      </c>
      <c r="M639" s="11">
        <v>14.07</v>
      </c>
      <c r="N639" s="11">
        <f t="shared" si="36"/>
        <v>14.07</v>
      </c>
      <c r="O639" s="6">
        <v>0.75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1.88</v>
      </c>
      <c r="Z639" s="6">
        <v>1.41</v>
      </c>
      <c r="AA639" s="6">
        <v>0.75</v>
      </c>
      <c r="AB639" s="6">
        <v>-1.879999999999999</v>
      </c>
      <c r="AC639" s="6">
        <v>1.879999999999999</v>
      </c>
      <c r="AD639" s="22" t="s">
        <v>3140</v>
      </c>
      <c r="AE639" s="23">
        <f t="shared" si="37"/>
        <v>14.07</v>
      </c>
      <c r="AF639" s="24">
        <f t="shared" si="38"/>
        <v>0</v>
      </c>
      <c r="AG639" s="23">
        <f t="shared" si="39"/>
        <v>1</v>
      </c>
    </row>
    <row r="640" spans="1:33" ht="12.5" hidden="1" customHeight="1" x14ac:dyDescent="0.25">
      <c r="A640" s="12" t="s">
        <v>31</v>
      </c>
      <c r="B640" s="9">
        <v>46181</v>
      </c>
      <c r="C640" s="12" t="s">
        <v>1042</v>
      </c>
      <c r="D640" s="10" t="s">
        <v>1044</v>
      </c>
      <c r="E640" s="10" t="s">
        <v>51</v>
      </c>
      <c r="F640" s="10" t="s">
        <v>35</v>
      </c>
      <c r="G640" s="10" t="s">
        <v>3145</v>
      </c>
      <c r="H640" s="8" t="s">
        <v>48</v>
      </c>
      <c r="I640" s="11">
        <v>19.72</v>
      </c>
      <c r="J640" s="6">
        <v>14.79</v>
      </c>
      <c r="K640" s="6">
        <v>0.75</v>
      </c>
      <c r="L640" s="6">
        <v>18.190000000000001</v>
      </c>
      <c r="M640" s="11">
        <v>13.6425</v>
      </c>
      <c r="N640" s="11">
        <f t="shared" si="36"/>
        <v>13.642999999999999</v>
      </c>
      <c r="O640" s="6">
        <v>0.75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1.53</v>
      </c>
      <c r="Z640" s="6">
        <v>1.1475</v>
      </c>
      <c r="AA640" s="6">
        <v>0.75</v>
      </c>
      <c r="AB640" s="6">
        <v>-1.5299999999999976</v>
      </c>
      <c r="AC640" s="6">
        <v>1.5299999999999976</v>
      </c>
      <c r="AD640" s="22" t="s">
        <v>3140</v>
      </c>
      <c r="AE640" s="23">
        <f t="shared" si="37"/>
        <v>13.642999999999999</v>
      </c>
      <c r="AF640" s="24">
        <f t="shared" si="38"/>
        <v>0</v>
      </c>
      <c r="AG640" s="23">
        <f t="shared" si="39"/>
        <v>1</v>
      </c>
    </row>
    <row r="641" spans="1:33" ht="12.5" hidden="1" customHeight="1" x14ac:dyDescent="0.25">
      <c r="A641" s="12" t="s">
        <v>31</v>
      </c>
      <c r="B641" s="9">
        <v>46181</v>
      </c>
      <c r="C641" s="12" t="s">
        <v>1042</v>
      </c>
      <c r="D641" s="10" t="s">
        <v>1045</v>
      </c>
      <c r="E641" s="10" t="s">
        <v>51</v>
      </c>
      <c r="F641" s="10" t="s">
        <v>35</v>
      </c>
      <c r="G641" s="10" t="s">
        <v>3145</v>
      </c>
      <c r="H641" s="8" t="s">
        <v>48</v>
      </c>
      <c r="I641" s="11">
        <v>3.99</v>
      </c>
      <c r="J641" s="6">
        <v>2.9925000000000002</v>
      </c>
      <c r="K641" s="6">
        <v>0.75</v>
      </c>
      <c r="L641" s="6">
        <v>3.54</v>
      </c>
      <c r="M641" s="11">
        <v>2.6549999999999998</v>
      </c>
      <c r="N641" s="11">
        <f t="shared" si="36"/>
        <v>2.6549999999999998</v>
      </c>
      <c r="O641" s="6">
        <v>0.74999999999999989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0.45</v>
      </c>
      <c r="Z641" s="6">
        <v>0.33750000000000002</v>
      </c>
      <c r="AA641" s="6">
        <v>0.75</v>
      </c>
      <c r="AB641" s="6">
        <v>-0.45000000000000018</v>
      </c>
      <c r="AC641" s="6">
        <v>0.45000000000000018</v>
      </c>
      <c r="AD641" s="22" t="s">
        <v>3140</v>
      </c>
      <c r="AE641" s="23">
        <f t="shared" si="37"/>
        <v>2.6549999999999998</v>
      </c>
      <c r="AF641" s="24">
        <f t="shared" si="38"/>
        <v>0</v>
      </c>
      <c r="AG641" s="23">
        <f t="shared" si="39"/>
        <v>1</v>
      </c>
    </row>
    <row r="642" spans="1:33" ht="12.5" hidden="1" customHeight="1" x14ac:dyDescent="0.25">
      <c r="A642" s="12" t="s">
        <v>31</v>
      </c>
      <c r="B642" s="9">
        <v>46181</v>
      </c>
      <c r="C642" s="12" t="s">
        <v>1042</v>
      </c>
      <c r="D642" s="10" t="s">
        <v>1046</v>
      </c>
      <c r="E642" s="10" t="s">
        <v>51</v>
      </c>
      <c r="F642" s="10" t="s">
        <v>35</v>
      </c>
      <c r="G642" s="10" t="s">
        <v>3145</v>
      </c>
      <c r="H642" s="8" t="s">
        <v>48</v>
      </c>
      <c r="I642" s="11">
        <v>5.19</v>
      </c>
      <c r="J642" s="6">
        <v>3.8925000000000001</v>
      </c>
      <c r="K642" s="6">
        <v>0.75</v>
      </c>
      <c r="L642" s="6">
        <v>4.96</v>
      </c>
      <c r="M642" s="11">
        <v>3.72</v>
      </c>
      <c r="N642" s="11">
        <f t="shared" si="36"/>
        <v>3.72</v>
      </c>
      <c r="O642" s="6">
        <v>0.75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0.23</v>
      </c>
      <c r="Z642" s="6">
        <v>0.17249999999999999</v>
      </c>
      <c r="AA642" s="6">
        <v>0.74999999999999989</v>
      </c>
      <c r="AB642" s="6">
        <v>-0.23000000000000043</v>
      </c>
      <c r="AC642" s="6">
        <v>0.23000000000000043</v>
      </c>
      <c r="AD642" s="22" t="s">
        <v>3140</v>
      </c>
      <c r="AE642" s="23">
        <f t="shared" si="37"/>
        <v>3.72</v>
      </c>
      <c r="AF642" s="24">
        <f t="shared" si="38"/>
        <v>0</v>
      </c>
      <c r="AG642" s="23">
        <f t="shared" si="39"/>
        <v>1</v>
      </c>
    </row>
    <row r="643" spans="1:33" ht="12.5" hidden="1" customHeight="1" x14ac:dyDescent="0.25">
      <c r="A643" s="12" t="s">
        <v>31</v>
      </c>
      <c r="B643" s="9">
        <v>46181</v>
      </c>
      <c r="C643" s="12" t="s">
        <v>1042</v>
      </c>
      <c r="D643" s="10" t="s">
        <v>1047</v>
      </c>
      <c r="E643" s="10" t="s">
        <v>51</v>
      </c>
      <c r="F643" s="10" t="s">
        <v>35</v>
      </c>
      <c r="G643" s="10" t="s">
        <v>3145</v>
      </c>
      <c r="H643" s="8" t="s">
        <v>41</v>
      </c>
      <c r="I643" s="11">
        <v>4.07</v>
      </c>
      <c r="J643" s="6">
        <v>3.0525000000000002</v>
      </c>
      <c r="K643" s="6">
        <v>0.75</v>
      </c>
      <c r="L643" s="6">
        <v>3.55</v>
      </c>
      <c r="M643" s="11">
        <v>2.6625000000000001</v>
      </c>
      <c r="N643" s="11">
        <f t="shared" ref="N643:N706" si="40">ROUNDUP(M643,3)</f>
        <v>2.6629999999999998</v>
      </c>
      <c r="O643" s="6">
        <v>0.75000000000000011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0.52</v>
      </c>
      <c r="Z643" s="6">
        <v>0.39</v>
      </c>
      <c r="AA643" s="6">
        <v>0.75</v>
      </c>
      <c r="AB643" s="6">
        <v>-0.52000000000000046</v>
      </c>
      <c r="AC643" s="6">
        <v>0.52000000000000046</v>
      </c>
      <c r="AD643" s="22" t="s">
        <v>3140</v>
      </c>
      <c r="AE643" s="23">
        <f t="shared" ref="AE643:AE706" si="41">_xlfn.MINIFS(N:N,D:D,D643)</f>
        <v>2.6629999999999998</v>
      </c>
      <c r="AF643" s="24">
        <f t="shared" ref="AF643:AF706" si="42">N643-AE643</f>
        <v>0</v>
      </c>
      <c r="AG643" s="23">
        <f t="shared" ref="AG643:AG706" si="43">COUNTIF(D:D,D643)</f>
        <v>1</v>
      </c>
    </row>
    <row r="644" spans="1:33" ht="12.5" hidden="1" customHeight="1" x14ac:dyDescent="0.25">
      <c r="A644" s="12" t="s">
        <v>31</v>
      </c>
      <c r="B644" s="9">
        <v>46181</v>
      </c>
      <c r="C644" s="12" t="s">
        <v>1042</v>
      </c>
      <c r="D644" s="10" t="s">
        <v>1048</v>
      </c>
      <c r="E644" s="10" t="s">
        <v>51</v>
      </c>
      <c r="F644" s="10" t="s">
        <v>35</v>
      </c>
      <c r="G644" s="10" t="s">
        <v>3145</v>
      </c>
      <c r="H644" s="8" t="s">
        <v>41</v>
      </c>
      <c r="I644" s="11">
        <v>4.79</v>
      </c>
      <c r="J644" s="6">
        <v>3.5924999999999998</v>
      </c>
      <c r="K644" s="6">
        <v>0.75</v>
      </c>
      <c r="L644" s="6">
        <v>4.33</v>
      </c>
      <c r="M644" s="11">
        <v>3.2475000000000001</v>
      </c>
      <c r="N644" s="11">
        <f t="shared" si="40"/>
        <v>3.2479999999999998</v>
      </c>
      <c r="O644" s="6">
        <v>0.75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0.46</v>
      </c>
      <c r="Z644" s="6">
        <v>0.34499999999999997</v>
      </c>
      <c r="AA644" s="6">
        <v>0.74999999999999989</v>
      </c>
      <c r="AB644" s="6">
        <v>-0.46</v>
      </c>
      <c r="AC644" s="6">
        <v>0.46</v>
      </c>
      <c r="AD644" s="22" t="s">
        <v>3140</v>
      </c>
      <c r="AE644" s="23">
        <f t="shared" si="41"/>
        <v>3.2479999999999998</v>
      </c>
      <c r="AF644" s="24">
        <f t="shared" si="42"/>
        <v>0</v>
      </c>
      <c r="AG644" s="23">
        <f t="shared" si="43"/>
        <v>1</v>
      </c>
    </row>
    <row r="645" spans="1:33" ht="12.5" hidden="1" customHeight="1" x14ac:dyDescent="0.25">
      <c r="A645" s="12" t="s">
        <v>31</v>
      </c>
      <c r="B645" s="9">
        <v>46181</v>
      </c>
      <c r="C645" s="13" t="s">
        <v>1042</v>
      </c>
      <c r="D645" s="10" t="s">
        <v>1049</v>
      </c>
      <c r="E645" s="10" t="s">
        <v>51</v>
      </c>
      <c r="F645" s="10" t="s">
        <v>35</v>
      </c>
      <c r="G645" s="10" t="s">
        <v>3145</v>
      </c>
      <c r="H645" s="8" t="s">
        <v>41</v>
      </c>
      <c r="I645" s="11">
        <v>3.73</v>
      </c>
      <c r="J645" s="6">
        <v>2.7974999999999999</v>
      </c>
      <c r="K645" s="6">
        <v>0.75</v>
      </c>
      <c r="L645" s="6">
        <v>3.24</v>
      </c>
      <c r="M645" s="11">
        <v>2.4300000000000002</v>
      </c>
      <c r="N645" s="11">
        <f t="shared" si="40"/>
        <v>2.4300000000000002</v>
      </c>
      <c r="O645" s="6">
        <v>0.75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0.49</v>
      </c>
      <c r="Z645" s="6">
        <v>0.36749999999999999</v>
      </c>
      <c r="AA645" s="6">
        <v>0.75</v>
      </c>
      <c r="AB645" s="6">
        <v>-0.48999999999999977</v>
      </c>
      <c r="AC645" s="6">
        <v>0.48999999999999977</v>
      </c>
      <c r="AD645" s="22" t="s">
        <v>3140</v>
      </c>
      <c r="AE645" s="23">
        <f t="shared" si="41"/>
        <v>2.4300000000000002</v>
      </c>
      <c r="AF645" s="24">
        <f t="shared" si="42"/>
        <v>0</v>
      </c>
      <c r="AG645" s="23">
        <f t="shared" si="43"/>
        <v>1</v>
      </c>
    </row>
    <row r="646" spans="1:33" x14ac:dyDescent="0.25">
      <c r="A646" s="12" t="s">
        <v>31</v>
      </c>
      <c r="B646" s="9">
        <v>46181</v>
      </c>
      <c r="C646" s="10" t="s">
        <v>1050</v>
      </c>
      <c r="D646" s="10" t="s">
        <v>1051</v>
      </c>
      <c r="E646" s="10" t="s">
        <v>51</v>
      </c>
      <c r="F646" s="10" t="s">
        <v>35</v>
      </c>
      <c r="G646" s="10" t="s">
        <v>3146</v>
      </c>
      <c r="H646" s="8" t="s">
        <v>36</v>
      </c>
      <c r="I646" s="11">
        <v>29.28</v>
      </c>
      <c r="J646" s="6">
        <v>26.84976</v>
      </c>
      <c r="K646" s="6">
        <v>0.91699999999999993</v>
      </c>
      <c r="L646" s="6">
        <v>28.48</v>
      </c>
      <c r="M646" s="11">
        <v>26.116160000000001</v>
      </c>
      <c r="N646" s="11">
        <f t="shared" si="40"/>
        <v>26.117000000000001</v>
      </c>
      <c r="O646" s="6">
        <v>0.91700000000000004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0.8</v>
      </c>
      <c r="Z646" s="6">
        <v>0.73360000000000003</v>
      </c>
      <c r="AA646" s="6">
        <v>0.91700000000000004</v>
      </c>
      <c r="AB646" s="6">
        <v>-0.80000000000000071</v>
      </c>
      <c r="AC646" s="6">
        <v>0.80000000000000071</v>
      </c>
      <c r="AD646" s="23" t="s">
        <v>3143</v>
      </c>
      <c r="AE646" s="23">
        <f t="shared" si="41"/>
        <v>25.126000000000001</v>
      </c>
      <c r="AF646" s="24">
        <f t="shared" si="42"/>
        <v>0.99099999999999966</v>
      </c>
      <c r="AG646" s="23">
        <f t="shared" si="43"/>
        <v>3</v>
      </c>
    </row>
    <row r="647" spans="1:33" ht="12.5" customHeight="1" x14ac:dyDescent="0.25">
      <c r="A647" s="12" t="s">
        <v>31</v>
      </c>
      <c r="B647" s="9">
        <v>46181</v>
      </c>
      <c r="C647" s="8" t="s">
        <v>1052</v>
      </c>
      <c r="D647" s="10" t="s">
        <v>293</v>
      </c>
      <c r="E647" s="10" t="s">
        <v>51</v>
      </c>
      <c r="F647" s="10" t="s">
        <v>35</v>
      </c>
      <c r="G647" s="10" t="s">
        <v>3146</v>
      </c>
      <c r="H647" s="8" t="s">
        <v>36</v>
      </c>
      <c r="I647" s="11">
        <v>12.64</v>
      </c>
      <c r="J647" s="6">
        <v>11.59088</v>
      </c>
      <c r="K647" s="6">
        <v>0.91700000000000004</v>
      </c>
      <c r="L647" s="6">
        <v>12.52</v>
      </c>
      <c r="M647" s="11">
        <v>11.480840000000001</v>
      </c>
      <c r="N647" s="11">
        <f t="shared" si="40"/>
        <v>11.481</v>
      </c>
      <c r="O647" s="6">
        <v>0.91700000000000004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0.12</v>
      </c>
      <c r="Z647" s="6">
        <v>0.11004</v>
      </c>
      <c r="AA647" s="6">
        <v>0.91700000000000004</v>
      </c>
      <c r="AB647" s="6">
        <v>-0.12000000000000099</v>
      </c>
      <c r="AC647" s="6">
        <v>0.12000000000000099</v>
      </c>
      <c r="AD647" s="23" t="s">
        <v>3143</v>
      </c>
      <c r="AE647" s="23">
        <f t="shared" si="41"/>
        <v>10.427</v>
      </c>
      <c r="AF647" s="24">
        <f t="shared" si="42"/>
        <v>1.0540000000000003</v>
      </c>
      <c r="AG647" s="23">
        <f t="shared" si="43"/>
        <v>3</v>
      </c>
    </row>
    <row r="648" spans="1:33" ht="12.5" hidden="1" customHeight="1" x14ac:dyDescent="0.25">
      <c r="A648" s="12" t="s">
        <v>31</v>
      </c>
      <c r="B648" s="9">
        <v>46181</v>
      </c>
      <c r="C648" s="12" t="s">
        <v>1052</v>
      </c>
      <c r="D648" s="10" t="s">
        <v>54</v>
      </c>
      <c r="E648" s="10" t="s">
        <v>51</v>
      </c>
      <c r="F648" s="10" t="s">
        <v>35</v>
      </c>
      <c r="G648" s="10" t="s">
        <v>3145</v>
      </c>
      <c r="H648" s="8" t="s">
        <v>48</v>
      </c>
      <c r="I648" s="11">
        <v>14.41</v>
      </c>
      <c r="J648" s="6">
        <v>10.807499999999999</v>
      </c>
      <c r="K648" s="6">
        <v>0.74999999999999989</v>
      </c>
      <c r="L648" s="6">
        <v>14.41</v>
      </c>
      <c r="M648" s="11">
        <v>10.807499999999999</v>
      </c>
      <c r="N648" s="11">
        <f t="shared" si="40"/>
        <v>10.808</v>
      </c>
      <c r="O648" s="6">
        <v>0.74999999999999989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22" t="s">
        <v>3140</v>
      </c>
      <c r="AE648" s="23">
        <f t="shared" si="41"/>
        <v>10.808</v>
      </c>
      <c r="AF648" s="24">
        <f t="shared" si="42"/>
        <v>0</v>
      </c>
      <c r="AG648" s="23">
        <f t="shared" si="43"/>
        <v>4</v>
      </c>
    </row>
    <row r="649" spans="1:33" ht="12.5" customHeight="1" x14ac:dyDescent="0.25">
      <c r="A649" s="12" t="s">
        <v>31</v>
      </c>
      <c r="B649" s="9">
        <v>46181</v>
      </c>
      <c r="C649" s="13" t="s">
        <v>1052</v>
      </c>
      <c r="D649" s="10" t="s">
        <v>921</v>
      </c>
      <c r="E649" s="10" t="s">
        <v>51</v>
      </c>
      <c r="F649" s="10" t="s">
        <v>35</v>
      </c>
      <c r="G649" s="10" t="s">
        <v>3146</v>
      </c>
      <c r="H649" s="8" t="s">
        <v>36</v>
      </c>
      <c r="I649" s="11">
        <v>29.01</v>
      </c>
      <c r="J649" s="6">
        <v>26.602170000000001</v>
      </c>
      <c r="K649" s="6">
        <v>0.91700000000000004</v>
      </c>
      <c r="L649" s="6">
        <v>28.37</v>
      </c>
      <c r="M649" s="11">
        <v>26.01529</v>
      </c>
      <c r="N649" s="11">
        <f t="shared" si="40"/>
        <v>26.016000000000002</v>
      </c>
      <c r="O649" s="6">
        <v>0.91699999999999993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0.64</v>
      </c>
      <c r="Z649" s="6">
        <v>0.58687999999999996</v>
      </c>
      <c r="AA649" s="6">
        <v>0.91699999999999993</v>
      </c>
      <c r="AB649" s="6">
        <v>-0.64000000000000057</v>
      </c>
      <c r="AC649" s="6">
        <v>0.64000000000000057</v>
      </c>
      <c r="AD649" s="22" t="s">
        <v>3140</v>
      </c>
      <c r="AE649" s="23">
        <f t="shared" si="41"/>
        <v>26.016000000000002</v>
      </c>
      <c r="AF649" s="24">
        <f t="shared" si="42"/>
        <v>0</v>
      </c>
      <c r="AG649" s="23">
        <f t="shared" si="43"/>
        <v>2</v>
      </c>
    </row>
    <row r="650" spans="1:33" ht="12.5" hidden="1" customHeight="1" x14ac:dyDescent="0.25">
      <c r="A650" s="12" t="s">
        <v>31</v>
      </c>
      <c r="B650" s="9">
        <v>46181</v>
      </c>
      <c r="C650" s="8" t="s">
        <v>1053</v>
      </c>
      <c r="D650" s="10" t="s">
        <v>991</v>
      </c>
      <c r="E650" s="10" t="s">
        <v>51</v>
      </c>
      <c r="F650" s="10" t="s">
        <v>35</v>
      </c>
      <c r="G650" s="10" t="s">
        <v>3145</v>
      </c>
      <c r="H650" s="8" t="s">
        <v>48</v>
      </c>
      <c r="I650" s="11">
        <v>16.82</v>
      </c>
      <c r="J650" s="6">
        <v>12.615</v>
      </c>
      <c r="K650" s="6">
        <v>0.75</v>
      </c>
      <c r="L650" s="6">
        <v>16.8</v>
      </c>
      <c r="M650" s="11">
        <v>12.6</v>
      </c>
      <c r="N650" s="11">
        <f t="shared" si="40"/>
        <v>12.6</v>
      </c>
      <c r="O650" s="6">
        <v>0.75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0.02</v>
      </c>
      <c r="Z650" s="6">
        <v>1.4999999999999999E-2</v>
      </c>
      <c r="AA650" s="6">
        <v>0.75</v>
      </c>
      <c r="AB650" s="6">
        <v>-1.9999999999999574E-2</v>
      </c>
      <c r="AC650" s="6">
        <v>1.9999999999999574E-2</v>
      </c>
      <c r="AD650" s="22" t="s">
        <v>3140</v>
      </c>
      <c r="AE650" s="23">
        <f t="shared" si="41"/>
        <v>12.6</v>
      </c>
      <c r="AF650" s="24">
        <f t="shared" si="42"/>
        <v>0</v>
      </c>
      <c r="AG650" s="23">
        <f t="shared" si="43"/>
        <v>2</v>
      </c>
    </row>
    <row r="651" spans="1:33" ht="12.5" hidden="1" customHeight="1" x14ac:dyDescent="0.25">
      <c r="A651" s="12" t="s">
        <v>31</v>
      </c>
      <c r="B651" s="9">
        <v>46181</v>
      </c>
      <c r="C651" s="12" t="s">
        <v>1053</v>
      </c>
      <c r="D651" s="10" t="s">
        <v>1054</v>
      </c>
      <c r="E651" s="10" t="s">
        <v>51</v>
      </c>
      <c r="F651" s="10" t="s">
        <v>35</v>
      </c>
      <c r="G651" s="10" t="s">
        <v>3145</v>
      </c>
      <c r="H651" s="8" t="s">
        <v>48</v>
      </c>
      <c r="I651" s="11">
        <v>4.63</v>
      </c>
      <c r="J651" s="6">
        <v>3.4725000000000001</v>
      </c>
      <c r="K651" s="6">
        <v>0.75</v>
      </c>
      <c r="L651" s="6">
        <v>4.4800000000000004</v>
      </c>
      <c r="M651" s="11">
        <v>3.36</v>
      </c>
      <c r="N651" s="11">
        <f t="shared" si="40"/>
        <v>3.36</v>
      </c>
      <c r="O651" s="6">
        <v>0.74999999999999989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0.15</v>
      </c>
      <c r="Z651" s="6">
        <v>0.1125</v>
      </c>
      <c r="AA651" s="6">
        <v>0.75</v>
      </c>
      <c r="AB651" s="6">
        <v>-0.14999999999999947</v>
      </c>
      <c r="AC651" s="6">
        <v>0.14999999999999947</v>
      </c>
      <c r="AD651" s="22" t="s">
        <v>3140</v>
      </c>
      <c r="AE651" s="23">
        <f t="shared" si="41"/>
        <v>3.36</v>
      </c>
      <c r="AF651" s="24">
        <f t="shared" si="42"/>
        <v>0</v>
      </c>
      <c r="AG651" s="23">
        <f t="shared" si="43"/>
        <v>1</v>
      </c>
    </row>
    <row r="652" spans="1:33" ht="12.5" hidden="1" customHeight="1" x14ac:dyDescent="0.25">
      <c r="A652" s="12" t="s">
        <v>31</v>
      </c>
      <c r="B652" s="9">
        <v>46181</v>
      </c>
      <c r="C652" s="12" t="s">
        <v>1053</v>
      </c>
      <c r="D652" s="10" t="s">
        <v>1055</v>
      </c>
      <c r="E652" s="10" t="s">
        <v>51</v>
      </c>
      <c r="F652" s="10" t="s">
        <v>35</v>
      </c>
      <c r="G652" s="10" t="s">
        <v>3145</v>
      </c>
      <c r="H652" s="8" t="s">
        <v>48</v>
      </c>
      <c r="I652" s="11">
        <v>6.25</v>
      </c>
      <c r="J652" s="6">
        <v>4.6875</v>
      </c>
      <c r="K652" s="6">
        <v>0.75</v>
      </c>
      <c r="L652" s="6">
        <v>5.59</v>
      </c>
      <c r="M652" s="11">
        <v>4.1924999999999999</v>
      </c>
      <c r="N652" s="11">
        <f t="shared" si="40"/>
        <v>4.1930000000000005</v>
      </c>
      <c r="O652" s="6">
        <v>0.75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0.66</v>
      </c>
      <c r="Z652" s="6">
        <v>0.495</v>
      </c>
      <c r="AA652" s="6">
        <v>0.75</v>
      </c>
      <c r="AB652" s="6">
        <v>-0.66000000000000014</v>
      </c>
      <c r="AC652" s="6">
        <v>0.66000000000000014</v>
      </c>
      <c r="AD652" s="22" t="s">
        <v>3140</v>
      </c>
      <c r="AE652" s="23">
        <f t="shared" si="41"/>
        <v>4.1930000000000005</v>
      </c>
      <c r="AF652" s="24">
        <f t="shared" si="42"/>
        <v>0</v>
      </c>
      <c r="AG652" s="23">
        <f t="shared" si="43"/>
        <v>1</v>
      </c>
    </row>
    <row r="653" spans="1:33" ht="12.5" hidden="1" customHeight="1" x14ac:dyDescent="0.25">
      <c r="A653" s="12" t="s">
        <v>31</v>
      </c>
      <c r="B653" s="9">
        <v>46181</v>
      </c>
      <c r="C653" s="12" t="s">
        <v>1053</v>
      </c>
      <c r="D653" s="10" t="s">
        <v>1056</v>
      </c>
      <c r="E653" s="10" t="s">
        <v>51</v>
      </c>
      <c r="F653" s="10" t="s">
        <v>35</v>
      </c>
      <c r="G653" s="10" t="s">
        <v>3145</v>
      </c>
      <c r="H653" s="8" t="s">
        <v>48</v>
      </c>
      <c r="I653" s="11">
        <v>7.06</v>
      </c>
      <c r="J653" s="6">
        <v>5.2949999999999999</v>
      </c>
      <c r="K653" s="6">
        <v>0.75</v>
      </c>
      <c r="L653" s="6">
        <v>6.77</v>
      </c>
      <c r="M653" s="11">
        <v>5.0774999999999997</v>
      </c>
      <c r="N653" s="11">
        <f t="shared" si="40"/>
        <v>5.0780000000000003</v>
      </c>
      <c r="O653" s="6">
        <v>0.75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0.28999999999999998</v>
      </c>
      <c r="Z653" s="6">
        <v>0.2175</v>
      </c>
      <c r="AA653" s="6">
        <v>0.75</v>
      </c>
      <c r="AB653" s="6">
        <v>-0.29000000000000004</v>
      </c>
      <c r="AC653" s="6">
        <v>0.29000000000000004</v>
      </c>
      <c r="AD653" s="22" t="s">
        <v>3140</v>
      </c>
      <c r="AE653" s="23">
        <f t="shared" si="41"/>
        <v>5.0780000000000003</v>
      </c>
      <c r="AF653" s="24">
        <f t="shared" si="42"/>
        <v>0</v>
      </c>
      <c r="AG653" s="23">
        <f t="shared" si="43"/>
        <v>1</v>
      </c>
    </row>
    <row r="654" spans="1:33" ht="12.5" hidden="1" customHeight="1" x14ac:dyDescent="0.25">
      <c r="A654" s="12" t="s">
        <v>31</v>
      </c>
      <c r="B654" s="9">
        <v>46181</v>
      </c>
      <c r="C654" s="12" t="s">
        <v>1053</v>
      </c>
      <c r="D654" s="10" t="s">
        <v>1057</v>
      </c>
      <c r="E654" s="10" t="s">
        <v>51</v>
      </c>
      <c r="F654" s="10" t="s">
        <v>35</v>
      </c>
      <c r="G654" s="10" t="s">
        <v>3145</v>
      </c>
      <c r="H654" s="8" t="s">
        <v>41</v>
      </c>
      <c r="I654" s="11">
        <v>3.89</v>
      </c>
      <c r="J654" s="6">
        <v>2.9175</v>
      </c>
      <c r="K654" s="6">
        <v>0.75</v>
      </c>
      <c r="L654" s="6">
        <v>3.39</v>
      </c>
      <c r="M654" s="11">
        <v>2.5425</v>
      </c>
      <c r="N654" s="11">
        <f t="shared" si="40"/>
        <v>2.5429999999999997</v>
      </c>
      <c r="O654" s="6">
        <v>0.75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0.5</v>
      </c>
      <c r="Z654" s="6">
        <v>0.375</v>
      </c>
      <c r="AA654" s="6">
        <v>0.75</v>
      </c>
      <c r="AB654" s="6">
        <v>-0.5</v>
      </c>
      <c r="AC654" s="6">
        <v>0.5</v>
      </c>
      <c r="AD654" s="22" t="s">
        <v>3140</v>
      </c>
      <c r="AE654" s="23">
        <f t="shared" si="41"/>
        <v>2.5429999999999997</v>
      </c>
      <c r="AF654" s="24">
        <f t="shared" si="42"/>
        <v>0</v>
      </c>
      <c r="AG654" s="23">
        <f t="shared" si="43"/>
        <v>1</v>
      </c>
    </row>
    <row r="655" spans="1:33" ht="12.5" hidden="1" customHeight="1" x14ac:dyDescent="0.25">
      <c r="A655" s="12" t="s">
        <v>31</v>
      </c>
      <c r="B655" s="9">
        <v>46181</v>
      </c>
      <c r="C655" s="13" t="s">
        <v>1053</v>
      </c>
      <c r="D655" s="10" t="s">
        <v>1058</v>
      </c>
      <c r="E655" s="10" t="s">
        <v>51</v>
      </c>
      <c r="F655" s="10" t="s">
        <v>35</v>
      </c>
      <c r="G655" s="10" t="s">
        <v>3145</v>
      </c>
      <c r="H655" s="8" t="s">
        <v>41</v>
      </c>
      <c r="I655" s="11">
        <v>3.67</v>
      </c>
      <c r="J655" s="6">
        <v>2.7524999999999999</v>
      </c>
      <c r="K655" s="6">
        <v>0.75</v>
      </c>
      <c r="L655" s="6">
        <v>3.15</v>
      </c>
      <c r="M655" s="11">
        <v>2.3624999999999998</v>
      </c>
      <c r="N655" s="11">
        <f t="shared" si="40"/>
        <v>2.363</v>
      </c>
      <c r="O655" s="6">
        <v>0.75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0.52</v>
      </c>
      <c r="Z655" s="6">
        <v>0.39</v>
      </c>
      <c r="AA655" s="6">
        <v>0.75</v>
      </c>
      <c r="AB655" s="6">
        <v>-0.52</v>
      </c>
      <c r="AC655" s="6">
        <v>0.52</v>
      </c>
      <c r="AD655" s="22" t="s">
        <v>3140</v>
      </c>
      <c r="AE655" s="23">
        <f t="shared" si="41"/>
        <v>2.363</v>
      </c>
      <c r="AF655" s="24">
        <f t="shared" si="42"/>
        <v>0</v>
      </c>
      <c r="AG655" s="23">
        <f t="shared" si="43"/>
        <v>1</v>
      </c>
    </row>
    <row r="656" spans="1:33" hidden="1" x14ac:dyDescent="0.25">
      <c r="A656" s="12" t="s">
        <v>31</v>
      </c>
      <c r="B656" s="9">
        <v>46181</v>
      </c>
      <c r="C656" s="10" t="s">
        <v>1059</v>
      </c>
      <c r="D656" s="10" t="s">
        <v>1060</v>
      </c>
      <c r="E656" s="10" t="s">
        <v>51</v>
      </c>
      <c r="F656" s="10" t="s">
        <v>35</v>
      </c>
      <c r="G656" s="10" t="s">
        <v>3145</v>
      </c>
      <c r="H656" s="8" t="s">
        <v>41</v>
      </c>
      <c r="I656" s="11">
        <v>9.9</v>
      </c>
      <c r="J656" s="6">
        <v>7.4249999999999998</v>
      </c>
      <c r="K656" s="6">
        <v>0.75</v>
      </c>
      <c r="L656" s="6">
        <v>9.2799999999999994</v>
      </c>
      <c r="M656" s="11">
        <v>6.96</v>
      </c>
      <c r="N656" s="11">
        <f t="shared" si="40"/>
        <v>6.96</v>
      </c>
      <c r="O656" s="6">
        <v>0.75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0.62</v>
      </c>
      <c r="Z656" s="6">
        <v>0.46500000000000002</v>
      </c>
      <c r="AA656" s="6">
        <v>0.75</v>
      </c>
      <c r="AB656" s="6">
        <v>-0.62000000000000099</v>
      </c>
      <c r="AC656" s="6">
        <v>0.62000000000000099</v>
      </c>
      <c r="AD656" s="22" t="s">
        <v>3140</v>
      </c>
      <c r="AE656" s="23">
        <f t="shared" si="41"/>
        <v>6.96</v>
      </c>
      <c r="AF656" s="24">
        <f t="shared" si="42"/>
        <v>0</v>
      </c>
      <c r="AG656" s="23">
        <f t="shared" si="43"/>
        <v>1</v>
      </c>
    </row>
    <row r="657" spans="1:33" x14ac:dyDescent="0.25">
      <c r="A657" s="12" t="s">
        <v>31</v>
      </c>
      <c r="B657" s="9">
        <v>46181</v>
      </c>
      <c r="C657" s="10" t="s">
        <v>1061</v>
      </c>
      <c r="D657" s="10" t="s">
        <v>1062</v>
      </c>
      <c r="E657" s="10" t="s">
        <v>51</v>
      </c>
      <c r="F657" s="10" t="s">
        <v>35</v>
      </c>
      <c r="G657" s="10" t="s">
        <v>3146</v>
      </c>
      <c r="H657" s="8" t="s">
        <v>36</v>
      </c>
      <c r="I657" s="11">
        <v>119.04</v>
      </c>
      <c r="J657" s="6">
        <v>109.15967999999999</v>
      </c>
      <c r="K657" s="6">
        <v>0.91699999999999993</v>
      </c>
      <c r="L657" s="6">
        <v>115.12</v>
      </c>
      <c r="M657" s="11">
        <v>105.56504</v>
      </c>
      <c r="N657" s="11">
        <f t="shared" si="40"/>
        <v>105.566</v>
      </c>
      <c r="O657" s="6">
        <v>0.91699999999999993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3.92</v>
      </c>
      <c r="Z657" s="6">
        <v>3.5946400000000001</v>
      </c>
      <c r="AA657" s="6">
        <v>0.91700000000000004</v>
      </c>
      <c r="AB657" s="6">
        <v>-3.9200000000000017</v>
      </c>
      <c r="AC657" s="6">
        <v>3.9200000000000017</v>
      </c>
      <c r="AD657" s="22" t="s">
        <v>3140</v>
      </c>
      <c r="AE657" s="23">
        <f t="shared" si="41"/>
        <v>105.566</v>
      </c>
      <c r="AF657" s="24">
        <f t="shared" si="42"/>
        <v>0</v>
      </c>
      <c r="AG657" s="23">
        <f t="shared" si="43"/>
        <v>1</v>
      </c>
    </row>
    <row r="658" spans="1:33" ht="20" hidden="1" customHeight="1" x14ac:dyDescent="0.25">
      <c r="A658" s="12" t="s">
        <v>31</v>
      </c>
      <c r="B658" s="9">
        <v>46181</v>
      </c>
      <c r="C658" s="10" t="s">
        <v>1063</v>
      </c>
      <c r="D658" s="10" t="s">
        <v>1064</v>
      </c>
      <c r="E658" s="10" t="s">
        <v>51</v>
      </c>
      <c r="F658" s="10" t="s">
        <v>35</v>
      </c>
      <c r="G658" s="10" t="s">
        <v>3145</v>
      </c>
      <c r="H658" s="8" t="s">
        <v>48</v>
      </c>
      <c r="I658" s="11">
        <v>20.18</v>
      </c>
      <c r="J658" s="6">
        <v>15.135</v>
      </c>
      <c r="K658" s="6">
        <v>0.75</v>
      </c>
      <c r="L658" s="6">
        <v>15.49</v>
      </c>
      <c r="M658" s="11">
        <v>11.6175</v>
      </c>
      <c r="N658" s="11">
        <f t="shared" si="40"/>
        <v>11.618</v>
      </c>
      <c r="O658" s="6">
        <v>0.75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4.6900000000000004</v>
      </c>
      <c r="Z658" s="6">
        <v>3.5175000000000001</v>
      </c>
      <c r="AA658" s="6">
        <v>0.75</v>
      </c>
      <c r="AB658" s="6">
        <v>-4.6899999999999995</v>
      </c>
      <c r="AC658" s="6">
        <v>4.6899999999999995</v>
      </c>
      <c r="AD658" s="22" t="s">
        <v>3140</v>
      </c>
      <c r="AE658" s="23">
        <f t="shared" si="41"/>
        <v>11.618</v>
      </c>
      <c r="AF658" s="24">
        <f t="shared" si="42"/>
        <v>0</v>
      </c>
      <c r="AG658" s="23">
        <f t="shared" si="43"/>
        <v>1</v>
      </c>
    </row>
    <row r="659" spans="1:33" ht="12.5" hidden="1" customHeight="1" x14ac:dyDescent="0.25">
      <c r="A659" s="12" t="s">
        <v>31</v>
      </c>
      <c r="B659" s="9">
        <v>46181</v>
      </c>
      <c r="C659" s="8" t="s">
        <v>1065</v>
      </c>
      <c r="D659" s="10" t="s">
        <v>1066</v>
      </c>
      <c r="E659" s="10" t="s">
        <v>51</v>
      </c>
      <c r="F659" s="10" t="s">
        <v>35</v>
      </c>
      <c r="G659" s="10" t="s">
        <v>3145</v>
      </c>
      <c r="H659" s="8" t="s">
        <v>41</v>
      </c>
      <c r="I659" s="11">
        <v>28.39</v>
      </c>
      <c r="J659" s="6">
        <v>21.2925</v>
      </c>
      <c r="K659" s="6">
        <v>0.75</v>
      </c>
      <c r="L659" s="6">
        <v>26.59</v>
      </c>
      <c r="M659" s="11">
        <v>19.942499999999999</v>
      </c>
      <c r="N659" s="11">
        <f t="shared" si="40"/>
        <v>19.943000000000001</v>
      </c>
      <c r="O659" s="6">
        <v>0.75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1.8</v>
      </c>
      <c r="Z659" s="6">
        <v>1.35</v>
      </c>
      <c r="AA659" s="6">
        <v>0.75</v>
      </c>
      <c r="AB659" s="6">
        <v>-1.8000000000000007</v>
      </c>
      <c r="AC659" s="6">
        <v>1.8000000000000007</v>
      </c>
      <c r="AD659" s="22" t="s">
        <v>3140</v>
      </c>
      <c r="AE659" s="23">
        <f t="shared" si="41"/>
        <v>19.943000000000001</v>
      </c>
      <c r="AF659" s="24">
        <f t="shared" si="42"/>
        <v>0</v>
      </c>
      <c r="AG659" s="23">
        <f t="shared" si="43"/>
        <v>1</v>
      </c>
    </row>
    <row r="660" spans="1:33" ht="12.5" hidden="1" customHeight="1" x14ac:dyDescent="0.25">
      <c r="A660" s="12" t="s">
        <v>31</v>
      </c>
      <c r="B660" s="9">
        <v>46181</v>
      </c>
      <c r="C660" s="13" t="s">
        <v>1065</v>
      </c>
      <c r="D660" s="10" t="s">
        <v>1067</v>
      </c>
      <c r="E660" s="10" t="s">
        <v>51</v>
      </c>
      <c r="F660" s="10" t="s">
        <v>35</v>
      </c>
      <c r="G660" s="10" t="s">
        <v>3145</v>
      </c>
      <c r="H660" s="8" t="s">
        <v>41</v>
      </c>
      <c r="I660" s="11">
        <v>24.11</v>
      </c>
      <c r="J660" s="6">
        <v>18.0825</v>
      </c>
      <c r="K660" s="6">
        <v>0.75</v>
      </c>
      <c r="L660" s="6">
        <v>21.75</v>
      </c>
      <c r="M660" s="11">
        <v>16.3125</v>
      </c>
      <c r="N660" s="11">
        <f t="shared" si="40"/>
        <v>16.313000000000002</v>
      </c>
      <c r="O660" s="6">
        <v>0.75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2.36</v>
      </c>
      <c r="Z660" s="6">
        <v>1.77</v>
      </c>
      <c r="AA660" s="6">
        <v>0.75</v>
      </c>
      <c r="AB660" s="6">
        <v>-2.3599999999999994</v>
      </c>
      <c r="AC660" s="6">
        <v>2.3599999999999994</v>
      </c>
      <c r="AD660" s="22" t="s">
        <v>3140</v>
      </c>
      <c r="AE660" s="23">
        <f t="shared" si="41"/>
        <v>16.313000000000002</v>
      </c>
      <c r="AF660" s="24">
        <f t="shared" si="42"/>
        <v>0</v>
      </c>
      <c r="AG660" s="23">
        <f t="shared" si="43"/>
        <v>1</v>
      </c>
    </row>
    <row r="661" spans="1:33" hidden="1" x14ac:dyDescent="0.25">
      <c r="A661" s="12" t="s">
        <v>31</v>
      </c>
      <c r="B661" s="9">
        <v>46181</v>
      </c>
      <c r="C661" s="10" t="s">
        <v>1068</v>
      </c>
      <c r="D661" s="10" t="s">
        <v>1069</v>
      </c>
      <c r="E661" s="10" t="s">
        <v>51</v>
      </c>
      <c r="F661" s="10" t="s">
        <v>35</v>
      </c>
      <c r="G661" s="10" t="s">
        <v>3145</v>
      </c>
      <c r="H661" s="8" t="s">
        <v>41</v>
      </c>
      <c r="I661" s="11">
        <v>21.67</v>
      </c>
      <c r="J661" s="6">
        <v>16.252500000000001</v>
      </c>
      <c r="K661" s="6">
        <v>0.75</v>
      </c>
      <c r="L661" s="6">
        <v>19.399999999999999</v>
      </c>
      <c r="M661" s="11">
        <v>14.55</v>
      </c>
      <c r="N661" s="11">
        <f t="shared" si="40"/>
        <v>14.55</v>
      </c>
      <c r="O661" s="6">
        <v>0.75000000000000011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2.27</v>
      </c>
      <c r="Z661" s="6">
        <v>1.7024999999999999</v>
      </c>
      <c r="AA661" s="6">
        <v>0.75</v>
      </c>
      <c r="AB661" s="6">
        <v>-2.2700000000000031</v>
      </c>
      <c r="AC661" s="6">
        <v>2.2700000000000031</v>
      </c>
      <c r="AD661" s="22" t="s">
        <v>3140</v>
      </c>
      <c r="AE661" s="23">
        <f t="shared" si="41"/>
        <v>14.55</v>
      </c>
      <c r="AF661" s="24">
        <f t="shared" si="42"/>
        <v>0</v>
      </c>
      <c r="AG661" s="23">
        <f t="shared" si="43"/>
        <v>1</v>
      </c>
    </row>
    <row r="662" spans="1:33" x14ac:dyDescent="0.25">
      <c r="A662" s="12" t="s">
        <v>31</v>
      </c>
      <c r="B662" s="9">
        <v>46181</v>
      </c>
      <c r="C662" s="10" t="s">
        <v>1070</v>
      </c>
      <c r="D662" s="10" t="s">
        <v>1071</v>
      </c>
      <c r="E662" s="10" t="s">
        <v>51</v>
      </c>
      <c r="F662" s="10" t="s">
        <v>35</v>
      </c>
      <c r="G662" s="10" t="s">
        <v>3146</v>
      </c>
      <c r="H662" s="8" t="s">
        <v>36</v>
      </c>
      <c r="I662" s="11">
        <v>99.08</v>
      </c>
      <c r="J662" s="6">
        <v>90.856359999999995</v>
      </c>
      <c r="K662" s="6">
        <v>0.91699999999999993</v>
      </c>
      <c r="L662" s="6">
        <v>90.69</v>
      </c>
      <c r="M662" s="11">
        <v>83.162729999999996</v>
      </c>
      <c r="N662" s="11">
        <f t="shared" si="40"/>
        <v>83.163000000000011</v>
      </c>
      <c r="O662" s="6">
        <v>0.91700000000000004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8.39</v>
      </c>
      <c r="Z662" s="6">
        <v>7.6936299999999997</v>
      </c>
      <c r="AA662" s="6">
        <v>0.91699999999999993</v>
      </c>
      <c r="AB662" s="6">
        <v>-8.39</v>
      </c>
      <c r="AC662" s="6">
        <v>8.39</v>
      </c>
      <c r="AD662" s="22" t="s">
        <v>3140</v>
      </c>
      <c r="AE662" s="23">
        <f t="shared" si="41"/>
        <v>83.163000000000011</v>
      </c>
      <c r="AF662" s="24">
        <f t="shared" si="42"/>
        <v>0</v>
      </c>
      <c r="AG662" s="23">
        <f t="shared" si="43"/>
        <v>1</v>
      </c>
    </row>
    <row r="663" spans="1:33" hidden="1" x14ac:dyDescent="0.25">
      <c r="A663" s="12" t="s">
        <v>31</v>
      </c>
      <c r="B663" s="9">
        <v>46181</v>
      </c>
      <c r="C663" s="10" t="s">
        <v>1072</v>
      </c>
      <c r="D663" s="10" t="s">
        <v>1073</v>
      </c>
      <c r="E663" s="10" t="s">
        <v>51</v>
      </c>
      <c r="F663" s="10" t="s">
        <v>35</v>
      </c>
      <c r="G663" s="10" t="s">
        <v>3145</v>
      </c>
      <c r="H663" s="8" t="s">
        <v>41</v>
      </c>
      <c r="I663" s="11">
        <v>2.73</v>
      </c>
      <c r="J663" s="6">
        <v>2.0474999999999999</v>
      </c>
      <c r="K663" s="6">
        <v>0.75</v>
      </c>
      <c r="L663" s="6">
        <v>2.48</v>
      </c>
      <c r="M663" s="11">
        <v>1.86</v>
      </c>
      <c r="N663" s="11">
        <f t="shared" si="40"/>
        <v>1.86</v>
      </c>
      <c r="O663" s="6">
        <v>0.75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0.25</v>
      </c>
      <c r="Z663" s="6">
        <v>0.1875</v>
      </c>
      <c r="AA663" s="6">
        <v>0.75</v>
      </c>
      <c r="AB663" s="6">
        <v>-0.25</v>
      </c>
      <c r="AC663" s="6">
        <v>0.25</v>
      </c>
      <c r="AD663" s="22" t="s">
        <v>3140</v>
      </c>
      <c r="AE663" s="23">
        <f t="shared" si="41"/>
        <v>1.86</v>
      </c>
      <c r="AF663" s="24">
        <f t="shared" si="42"/>
        <v>0</v>
      </c>
      <c r="AG663" s="23">
        <f t="shared" si="43"/>
        <v>1</v>
      </c>
    </row>
    <row r="664" spans="1:33" x14ac:dyDescent="0.25">
      <c r="A664" s="12" t="s">
        <v>31</v>
      </c>
      <c r="B664" s="9">
        <v>46181</v>
      </c>
      <c r="C664" s="10" t="s">
        <v>1074</v>
      </c>
      <c r="D664" s="10" t="s">
        <v>1075</v>
      </c>
      <c r="E664" s="10" t="s">
        <v>51</v>
      </c>
      <c r="F664" s="10" t="s">
        <v>35</v>
      </c>
      <c r="G664" s="10" t="s">
        <v>3146</v>
      </c>
      <c r="H664" s="8" t="s">
        <v>36</v>
      </c>
      <c r="I664" s="11">
        <v>41.95</v>
      </c>
      <c r="J664" s="6">
        <v>38.468150000000001</v>
      </c>
      <c r="K664" s="6">
        <v>0.91699999999999993</v>
      </c>
      <c r="L664" s="6">
        <v>37.82</v>
      </c>
      <c r="M664" s="11">
        <v>34.68094</v>
      </c>
      <c r="N664" s="11">
        <f t="shared" si="40"/>
        <v>34.680999999999997</v>
      </c>
      <c r="O664" s="6">
        <v>0.91700000000000004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4.13</v>
      </c>
      <c r="Z664" s="6">
        <v>3.78721</v>
      </c>
      <c r="AA664" s="6">
        <v>0.91700000000000004</v>
      </c>
      <c r="AB664" s="6">
        <v>-4.1300000000000026</v>
      </c>
      <c r="AC664" s="6">
        <v>4.1300000000000026</v>
      </c>
      <c r="AD664" s="22" t="s">
        <v>3140</v>
      </c>
      <c r="AE664" s="23">
        <f t="shared" si="41"/>
        <v>34.680999999999997</v>
      </c>
      <c r="AF664" s="24">
        <f t="shared" si="42"/>
        <v>0</v>
      </c>
      <c r="AG664" s="23">
        <f t="shared" si="43"/>
        <v>1</v>
      </c>
    </row>
    <row r="665" spans="1:33" hidden="1" x14ac:dyDescent="0.25">
      <c r="A665" s="12" t="s">
        <v>31</v>
      </c>
      <c r="B665" s="9">
        <v>46181</v>
      </c>
      <c r="C665" s="10" t="s">
        <v>1076</v>
      </c>
      <c r="D665" s="10" t="s">
        <v>1077</v>
      </c>
      <c r="E665" s="10" t="s">
        <v>51</v>
      </c>
      <c r="F665" s="10" t="s">
        <v>35</v>
      </c>
      <c r="G665" s="10" t="s">
        <v>3145</v>
      </c>
      <c r="H665" s="8" t="s">
        <v>41</v>
      </c>
      <c r="I665" s="11">
        <v>4.62</v>
      </c>
      <c r="J665" s="6">
        <v>3.4649999999999999</v>
      </c>
      <c r="K665" s="6">
        <v>0.75</v>
      </c>
      <c r="L665" s="6">
        <v>4.0199999999999996</v>
      </c>
      <c r="M665" s="11">
        <v>3.0150000000000001</v>
      </c>
      <c r="N665" s="11">
        <f t="shared" si="40"/>
        <v>3.0150000000000001</v>
      </c>
      <c r="O665" s="6">
        <v>0.75000000000000011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0.6</v>
      </c>
      <c r="Z665" s="6">
        <v>0.45</v>
      </c>
      <c r="AA665" s="6">
        <v>0.75</v>
      </c>
      <c r="AB665" s="6">
        <v>-0.60000000000000053</v>
      </c>
      <c r="AC665" s="6">
        <v>0.60000000000000053</v>
      </c>
      <c r="AD665" s="22" t="s">
        <v>3140</v>
      </c>
      <c r="AE665" s="23">
        <f t="shared" si="41"/>
        <v>3.0150000000000001</v>
      </c>
      <c r="AF665" s="24">
        <f t="shared" si="42"/>
        <v>0</v>
      </c>
      <c r="AG665" s="23">
        <f t="shared" si="43"/>
        <v>1</v>
      </c>
    </row>
    <row r="666" spans="1:33" x14ac:dyDescent="0.25">
      <c r="A666" s="12" t="s">
        <v>31</v>
      </c>
      <c r="B666" s="9">
        <v>46181</v>
      </c>
      <c r="C666" s="10" t="s">
        <v>1078</v>
      </c>
      <c r="D666" s="10" t="s">
        <v>198</v>
      </c>
      <c r="E666" s="10" t="s">
        <v>51</v>
      </c>
      <c r="F666" s="10" t="s">
        <v>35</v>
      </c>
      <c r="G666" s="10" t="s">
        <v>3146</v>
      </c>
      <c r="H666" s="8" t="s">
        <v>36</v>
      </c>
      <c r="I666" s="11">
        <v>1.9</v>
      </c>
      <c r="J666" s="6">
        <v>1.7423</v>
      </c>
      <c r="K666" s="6">
        <v>0.91700000000000004</v>
      </c>
      <c r="L666" s="6">
        <v>1.84</v>
      </c>
      <c r="M666" s="11">
        <v>1.6872799999999999</v>
      </c>
      <c r="N666" s="11">
        <f t="shared" si="40"/>
        <v>1.6879999999999999</v>
      </c>
      <c r="O666" s="6">
        <v>0.91699999999999993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0.06</v>
      </c>
      <c r="Z666" s="6">
        <v>5.5019999999999999E-2</v>
      </c>
      <c r="AA666" s="6">
        <v>0.91700000000000004</v>
      </c>
      <c r="AB666" s="6">
        <v>-5.9999999999999831E-2</v>
      </c>
      <c r="AC666" s="6">
        <v>5.9999999999999831E-2</v>
      </c>
      <c r="AD666" s="23" t="s">
        <v>3143</v>
      </c>
      <c r="AE666" s="23">
        <f t="shared" si="41"/>
        <v>1.1649999999999998</v>
      </c>
      <c r="AF666" s="24">
        <f t="shared" si="42"/>
        <v>0.52300000000000013</v>
      </c>
      <c r="AG666" s="23">
        <f t="shared" si="43"/>
        <v>2</v>
      </c>
    </row>
    <row r="667" spans="1:33" x14ac:dyDescent="0.25">
      <c r="A667" s="12" t="s">
        <v>31</v>
      </c>
      <c r="B667" s="9">
        <v>46181</v>
      </c>
      <c r="C667" s="10" t="s">
        <v>1079</v>
      </c>
      <c r="D667" s="10" t="s">
        <v>886</v>
      </c>
      <c r="E667" s="10" t="s">
        <v>51</v>
      </c>
      <c r="F667" s="10" t="s">
        <v>35</v>
      </c>
      <c r="G667" s="10" t="s">
        <v>3146</v>
      </c>
      <c r="H667" s="8" t="s">
        <v>36</v>
      </c>
      <c r="I667" s="11">
        <v>35.46</v>
      </c>
      <c r="J667" s="6">
        <v>32.516820000000003</v>
      </c>
      <c r="K667" s="6">
        <v>0.91700000000000004</v>
      </c>
      <c r="L667" s="6">
        <v>33.130000000000003</v>
      </c>
      <c r="M667" s="11">
        <v>30.380210000000002</v>
      </c>
      <c r="N667" s="11">
        <f t="shared" si="40"/>
        <v>30.381</v>
      </c>
      <c r="O667" s="6">
        <v>0.91699999999999993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2.33</v>
      </c>
      <c r="Z667" s="6">
        <v>2.1366100000000001</v>
      </c>
      <c r="AA667" s="6">
        <v>0.91700000000000004</v>
      </c>
      <c r="AB667" s="6">
        <v>-2.3299999999999983</v>
      </c>
      <c r="AC667" s="6">
        <v>2.3299999999999983</v>
      </c>
      <c r="AD667" s="22" t="s">
        <v>3140</v>
      </c>
      <c r="AE667" s="23">
        <f t="shared" si="41"/>
        <v>30.381</v>
      </c>
      <c r="AF667" s="24">
        <f t="shared" si="42"/>
        <v>0</v>
      </c>
      <c r="AG667" s="23">
        <f t="shared" si="43"/>
        <v>2</v>
      </c>
    </row>
    <row r="668" spans="1:33" ht="20" hidden="1" customHeight="1" x14ac:dyDescent="0.25">
      <c r="A668" s="12" t="s">
        <v>31</v>
      </c>
      <c r="B668" s="9">
        <v>46181</v>
      </c>
      <c r="C668" s="10" t="s">
        <v>1080</v>
      </c>
      <c r="D668" s="10" t="s">
        <v>1081</v>
      </c>
      <c r="E668" s="10" t="s">
        <v>51</v>
      </c>
      <c r="F668" s="10" t="s">
        <v>35</v>
      </c>
      <c r="G668" s="10" t="s">
        <v>3145</v>
      </c>
      <c r="H668" s="8" t="s">
        <v>48</v>
      </c>
      <c r="I668" s="11">
        <v>17.97</v>
      </c>
      <c r="J668" s="6">
        <v>13.477499999999999</v>
      </c>
      <c r="K668" s="6">
        <v>0.75</v>
      </c>
      <c r="L668" s="6">
        <v>14.66</v>
      </c>
      <c r="M668" s="11">
        <v>10.994999999999999</v>
      </c>
      <c r="N668" s="11">
        <f t="shared" si="40"/>
        <v>10.994999999999999</v>
      </c>
      <c r="O668" s="6">
        <v>0.74999999999999989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3.31</v>
      </c>
      <c r="Z668" s="6">
        <v>2.4824999999999999</v>
      </c>
      <c r="AA668" s="6">
        <v>0.75</v>
      </c>
      <c r="AB668" s="6">
        <v>-3.3099999999999987</v>
      </c>
      <c r="AC668" s="6">
        <v>3.3099999999999987</v>
      </c>
      <c r="AD668" s="22" t="s">
        <v>3140</v>
      </c>
      <c r="AE668" s="23">
        <f t="shared" si="41"/>
        <v>10.994999999999999</v>
      </c>
      <c r="AF668" s="24">
        <f t="shared" si="42"/>
        <v>0</v>
      </c>
      <c r="AG668" s="23">
        <f t="shared" si="43"/>
        <v>1</v>
      </c>
    </row>
    <row r="669" spans="1:33" ht="20" hidden="1" customHeight="1" x14ac:dyDescent="0.25">
      <c r="A669" s="12" t="s">
        <v>31</v>
      </c>
      <c r="B669" s="9">
        <v>46181</v>
      </c>
      <c r="C669" s="10" t="s">
        <v>1082</v>
      </c>
      <c r="D669" s="10" t="s">
        <v>1083</v>
      </c>
      <c r="E669" s="10" t="s">
        <v>51</v>
      </c>
      <c r="F669" s="10" t="s">
        <v>35</v>
      </c>
      <c r="G669" s="10" t="s">
        <v>3145</v>
      </c>
      <c r="H669" s="8" t="s">
        <v>48</v>
      </c>
      <c r="I669" s="11">
        <v>25.11</v>
      </c>
      <c r="J669" s="6">
        <v>18.8325</v>
      </c>
      <c r="K669" s="6">
        <v>0.75</v>
      </c>
      <c r="L669" s="6">
        <v>22.34</v>
      </c>
      <c r="M669" s="11">
        <v>16.754999999999999</v>
      </c>
      <c r="N669" s="11">
        <f t="shared" si="40"/>
        <v>16.754999999999999</v>
      </c>
      <c r="O669" s="6">
        <v>0.75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2.77</v>
      </c>
      <c r="Z669" s="6">
        <v>2.0775000000000001</v>
      </c>
      <c r="AA669" s="6">
        <v>0.75</v>
      </c>
      <c r="AB669" s="6">
        <v>-2.7699999999999996</v>
      </c>
      <c r="AC669" s="6">
        <v>2.7699999999999996</v>
      </c>
      <c r="AD669" s="22" t="s">
        <v>3140</v>
      </c>
      <c r="AE669" s="23">
        <f t="shared" si="41"/>
        <v>16.754999999999999</v>
      </c>
      <c r="AF669" s="24">
        <f t="shared" si="42"/>
        <v>0</v>
      </c>
      <c r="AG669" s="23">
        <f t="shared" si="43"/>
        <v>1</v>
      </c>
    </row>
    <row r="670" spans="1:33" ht="12.5" hidden="1" customHeight="1" x14ac:dyDescent="0.25">
      <c r="A670" s="12" t="s">
        <v>31</v>
      </c>
      <c r="B670" s="9">
        <v>46181</v>
      </c>
      <c r="C670" s="8" t="s">
        <v>1084</v>
      </c>
      <c r="D670" s="8" t="s">
        <v>338</v>
      </c>
      <c r="E670" s="8" t="s">
        <v>51</v>
      </c>
      <c r="F670" s="8" t="s">
        <v>35</v>
      </c>
      <c r="G670" s="10" t="s">
        <v>3145</v>
      </c>
      <c r="H670" s="8" t="s">
        <v>48</v>
      </c>
      <c r="I670" s="11">
        <v>4.78</v>
      </c>
      <c r="J670" s="6">
        <v>3.585</v>
      </c>
      <c r="K670" s="6">
        <v>0.75</v>
      </c>
      <c r="L670" s="6">
        <v>3.36</v>
      </c>
      <c r="M670" s="11">
        <v>2.52</v>
      </c>
      <c r="N670" s="11">
        <f t="shared" si="40"/>
        <v>2.52</v>
      </c>
      <c r="O670" s="6">
        <v>0.75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1.42</v>
      </c>
      <c r="Z670" s="6">
        <v>1.0649999999999999</v>
      </c>
      <c r="AA670" s="6">
        <v>0.75</v>
      </c>
      <c r="AB670" s="6">
        <v>-1.4200000000000004</v>
      </c>
      <c r="AC670" s="6">
        <v>1.4200000000000004</v>
      </c>
      <c r="AD670" s="23" t="s">
        <v>3143</v>
      </c>
      <c r="AE670" s="23">
        <f t="shared" si="41"/>
        <v>0</v>
      </c>
      <c r="AF670" s="24">
        <f t="shared" si="42"/>
        <v>2.52</v>
      </c>
      <c r="AG670" s="23">
        <f t="shared" si="43"/>
        <v>67</v>
      </c>
    </row>
    <row r="671" spans="1:33" ht="12.5" hidden="1" customHeight="1" x14ac:dyDescent="0.25">
      <c r="A671" s="12" t="s">
        <v>31</v>
      </c>
      <c r="B671" s="9">
        <v>46181</v>
      </c>
      <c r="C671" s="13" t="s">
        <v>1084</v>
      </c>
      <c r="D671" s="13" t="s">
        <v>338</v>
      </c>
      <c r="E671" s="13" t="s">
        <v>51</v>
      </c>
      <c r="F671" s="13" t="s">
        <v>35</v>
      </c>
      <c r="G671" s="10" t="s">
        <v>3145</v>
      </c>
      <c r="H671" s="8" t="s">
        <v>41</v>
      </c>
      <c r="I671" s="11">
        <v>10</v>
      </c>
      <c r="J671" s="6">
        <v>7.5</v>
      </c>
      <c r="K671" s="6">
        <v>0.75</v>
      </c>
      <c r="L671" s="6">
        <v>8.08</v>
      </c>
      <c r="M671" s="11">
        <v>6.06</v>
      </c>
      <c r="N671" s="11">
        <f t="shared" si="40"/>
        <v>6.06</v>
      </c>
      <c r="O671" s="6">
        <v>0.75</v>
      </c>
      <c r="P671" s="6">
        <v>0.11</v>
      </c>
      <c r="Q671" s="6">
        <v>8.2500000000000004E-2</v>
      </c>
      <c r="R671" s="6">
        <v>0.75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1.81</v>
      </c>
      <c r="Z671" s="6">
        <v>1.3574999999999999</v>
      </c>
      <c r="AA671" s="6">
        <v>0.74999999999999989</v>
      </c>
      <c r="AB671" s="6">
        <v>-2.0299999999999998</v>
      </c>
      <c r="AC671" s="6">
        <v>1.8099999999999998</v>
      </c>
      <c r="AD671" s="23" t="s">
        <v>3143</v>
      </c>
      <c r="AE671" s="23">
        <f t="shared" si="41"/>
        <v>0</v>
      </c>
      <c r="AF671" s="24">
        <f t="shared" si="42"/>
        <v>6.06</v>
      </c>
      <c r="AG671" s="23">
        <f t="shared" si="43"/>
        <v>67</v>
      </c>
    </row>
    <row r="672" spans="1:33" ht="12.5" customHeight="1" x14ac:dyDescent="0.25">
      <c r="A672" s="12" t="s">
        <v>31</v>
      </c>
      <c r="B672" s="9">
        <v>46182</v>
      </c>
      <c r="C672" s="10" t="s">
        <v>1085</v>
      </c>
      <c r="D672" s="10" t="s">
        <v>1086</v>
      </c>
      <c r="E672" s="10" t="s">
        <v>34</v>
      </c>
      <c r="F672" s="10" t="s">
        <v>35</v>
      </c>
      <c r="G672" s="10" t="s">
        <v>3146</v>
      </c>
      <c r="H672" s="8" t="s">
        <v>36</v>
      </c>
      <c r="I672" s="11">
        <v>59.07</v>
      </c>
      <c r="J672" s="6">
        <v>54.167189999999998</v>
      </c>
      <c r="K672" s="6">
        <v>0.91699999999999993</v>
      </c>
      <c r="L672" s="6">
        <v>55.2</v>
      </c>
      <c r="M672" s="11">
        <v>50.618400000000001</v>
      </c>
      <c r="N672" s="11">
        <f t="shared" si="40"/>
        <v>50.619</v>
      </c>
      <c r="O672" s="6">
        <v>0.91699999999999993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3.87</v>
      </c>
      <c r="Z672" s="6">
        <v>3.5487899999999999</v>
      </c>
      <c r="AA672" s="6">
        <v>0.91699999999999993</v>
      </c>
      <c r="AB672" s="6">
        <v>-3.8699999999999974</v>
      </c>
      <c r="AC672" s="6">
        <v>3.8699999999999974</v>
      </c>
      <c r="AD672" s="22" t="s">
        <v>3140</v>
      </c>
      <c r="AE672" s="23">
        <f t="shared" si="41"/>
        <v>50.619</v>
      </c>
      <c r="AF672" s="24">
        <f t="shared" si="42"/>
        <v>0</v>
      </c>
      <c r="AG672" s="23">
        <f t="shared" si="43"/>
        <v>1</v>
      </c>
    </row>
    <row r="673" spans="1:33" ht="12.5" customHeight="1" x14ac:dyDescent="0.25">
      <c r="A673" s="12" t="s">
        <v>31</v>
      </c>
      <c r="B673" s="9">
        <v>46182</v>
      </c>
      <c r="C673" s="10" t="s">
        <v>1087</v>
      </c>
      <c r="D673" s="10" t="s">
        <v>1088</v>
      </c>
      <c r="E673" s="10" t="s">
        <v>34</v>
      </c>
      <c r="F673" s="10" t="s">
        <v>35</v>
      </c>
      <c r="G673" s="10" t="s">
        <v>3146</v>
      </c>
      <c r="H673" s="8" t="s">
        <v>36</v>
      </c>
      <c r="I673" s="11">
        <v>52.6</v>
      </c>
      <c r="J673" s="6">
        <v>48.234200000000001</v>
      </c>
      <c r="K673" s="6">
        <v>0.91700000000000004</v>
      </c>
      <c r="L673" s="6">
        <v>49.13</v>
      </c>
      <c r="M673" s="11">
        <v>45.052210000000002</v>
      </c>
      <c r="N673" s="11">
        <f t="shared" si="40"/>
        <v>45.052999999999997</v>
      </c>
      <c r="O673" s="6">
        <v>0.91700000000000004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3.47</v>
      </c>
      <c r="Z673" s="6">
        <v>3.1819899999999999</v>
      </c>
      <c r="AA673" s="6">
        <v>0.91699999999999993</v>
      </c>
      <c r="AB673" s="6">
        <v>-3.4699999999999989</v>
      </c>
      <c r="AC673" s="6">
        <v>3.4699999999999989</v>
      </c>
      <c r="AD673" s="22" t="s">
        <v>3140</v>
      </c>
      <c r="AE673" s="23">
        <f t="shared" si="41"/>
        <v>45.052999999999997</v>
      </c>
      <c r="AF673" s="24">
        <f t="shared" si="42"/>
        <v>0</v>
      </c>
      <c r="AG673" s="23">
        <f t="shared" si="43"/>
        <v>1</v>
      </c>
    </row>
    <row r="674" spans="1:33" ht="12.5" customHeight="1" x14ac:dyDescent="0.25">
      <c r="A674" s="12" t="s">
        <v>31</v>
      </c>
      <c r="B674" s="9">
        <v>46182</v>
      </c>
      <c r="C674" s="10" t="s">
        <v>1089</v>
      </c>
      <c r="D674" s="10" t="s">
        <v>33</v>
      </c>
      <c r="E674" s="10" t="s">
        <v>34</v>
      </c>
      <c r="F674" s="10" t="s">
        <v>35</v>
      </c>
      <c r="G674" s="10" t="s">
        <v>3146</v>
      </c>
      <c r="H674" s="8" t="s">
        <v>36</v>
      </c>
      <c r="I674" s="11">
        <v>263.88</v>
      </c>
      <c r="J674" s="6">
        <v>241.97796</v>
      </c>
      <c r="K674" s="6">
        <v>0.91700000000000004</v>
      </c>
      <c r="L674" s="6">
        <v>263.86</v>
      </c>
      <c r="M674" s="11">
        <v>241.95962</v>
      </c>
      <c r="N674" s="11">
        <f t="shared" si="40"/>
        <v>241.96</v>
      </c>
      <c r="O674" s="6">
        <v>0.91699999999999993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0.02</v>
      </c>
      <c r="Z674" s="6">
        <v>1.8339999999999999E-2</v>
      </c>
      <c r="AA674" s="6">
        <v>0.91699999999999993</v>
      </c>
      <c r="AB674" s="6">
        <v>-1.999999999998181E-2</v>
      </c>
      <c r="AC674" s="6">
        <v>1.999999999998181E-2</v>
      </c>
      <c r="AD674" s="23" t="s">
        <v>3143</v>
      </c>
      <c r="AE674" s="23">
        <f t="shared" si="41"/>
        <v>77.826000000000008</v>
      </c>
      <c r="AF674" s="24">
        <f t="shared" si="42"/>
        <v>164.13400000000001</v>
      </c>
      <c r="AG674" s="23">
        <f t="shared" si="43"/>
        <v>3</v>
      </c>
    </row>
    <row r="675" spans="1:33" ht="12.5" customHeight="1" x14ac:dyDescent="0.25">
      <c r="A675" s="12" t="s">
        <v>31</v>
      </c>
      <c r="B675" s="9">
        <v>46182</v>
      </c>
      <c r="C675" s="10" t="s">
        <v>1090</v>
      </c>
      <c r="D675" s="10" t="s">
        <v>38</v>
      </c>
      <c r="E675" s="10" t="s">
        <v>34</v>
      </c>
      <c r="F675" s="10" t="s">
        <v>35</v>
      </c>
      <c r="G675" s="10" t="s">
        <v>3146</v>
      </c>
      <c r="H675" s="8" t="s">
        <v>36</v>
      </c>
      <c r="I675" s="11">
        <v>65.366</v>
      </c>
      <c r="J675" s="6">
        <v>59.940621999999998</v>
      </c>
      <c r="K675" s="6">
        <v>0.91699999999999993</v>
      </c>
      <c r="L675" s="6">
        <v>65.366</v>
      </c>
      <c r="M675" s="11">
        <v>59.940621999999998</v>
      </c>
      <c r="N675" s="11">
        <f t="shared" si="40"/>
        <v>59.940999999999995</v>
      </c>
      <c r="O675" s="6">
        <v>0.91699999999999993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23" t="s">
        <v>3143</v>
      </c>
      <c r="AE675" s="23">
        <f t="shared" si="41"/>
        <v>18.456</v>
      </c>
      <c r="AF675" s="24">
        <f t="shared" si="42"/>
        <v>41.484999999999999</v>
      </c>
      <c r="AG675" s="23">
        <f t="shared" si="43"/>
        <v>3</v>
      </c>
    </row>
    <row r="676" spans="1:33" ht="12.5" hidden="1" customHeight="1" x14ac:dyDescent="0.25">
      <c r="A676" s="12" t="s">
        <v>31</v>
      </c>
      <c r="B676" s="9">
        <v>46182</v>
      </c>
      <c r="C676" s="10" t="s">
        <v>1091</v>
      </c>
      <c r="D676" s="10" t="s">
        <v>1092</v>
      </c>
      <c r="E676" s="10" t="s">
        <v>34</v>
      </c>
      <c r="F676" s="10" t="s">
        <v>35</v>
      </c>
      <c r="G676" s="10" t="s">
        <v>3145</v>
      </c>
      <c r="H676" s="8" t="s">
        <v>48</v>
      </c>
      <c r="I676" s="11">
        <v>129.15</v>
      </c>
      <c r="J676" s="6">
        <v>96.862499999999997</v>
      </c>
      <c r="K676" s="6">
        <v>0.75</v>
      </c>
      <c r="L676" s="6">
        <v>116.54</v>
      </c>
      <c r="M676" s="11">
        <v>87.405000000000001</v>
      </c>
      <c r="N676" s="11">
        <f t="shared" si="40"/>
        <v>87.405000000000001</v>
      </c>
      <c r="O676" s="6">
        <v>0.75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12.61</v>
      </c>
      <c r="Z676" s="6">
        <v>9.4574999999999996</v>
      </c>
      <c r="AA676" s="6">
        <v>0.75</v>
      </c>
      <c r="AB676" s="6">
        <v>-12.61</v>
      </c>
      <c r="AC676" s="6">
        <v>12.61</v>
      </c>
      <c r="AD676" s="22" t="s">
        <v>3140</v>
      </c>
      <c r="AE676" s="23">
        <f t="shared" si="41"/>
        <v>87.405000000000001</v>
      </c>
      <c r="AF676" s="24">
        <f t="shared" si="42"/>
        <v>0</v>
      </c>
      <c r="AG676" s="23">
        <f t="shared" si="43"/>
        <v>1</v>
      </c>
    </row>
    <row r="677" spans="1:33" ht="12.5" hidden="1" customHeight="1" x14ac:dyDescent="0.25">
      <c r="A677" s="12" t="s">
        <v>31</v>
      </c>
      <c r="B677" s="9">
        <v>46182</v>
      </c>
      <c r="C677" s="10" t="s">
        <v>1093</v>
      </c>
      <c r="D677" s="10" t="s">
        <v>1094</v>
      </c>
      <c r="E677" s="10" t="s">
        <v>34</v>
      </c>
      <c r="F677" s="10" t="s">
        <v>35</v>
      </c>
      <c r="G677" s="10" t="s">
        <v>3145</v>
      </c>
      <c r="H677" s="8" t="s">
        <v>48</v>
      </c>
      <c r="I677" s="11">
        <v>212.67</v>
      </c>
      <c r="J677" s="6">
        <v>159.5025</v>
      </c>
      <c r="K677" s="6">
        <v>0.75</v>
      </c>
      <c r="L677" s="6">
        <v>189.26</v>
      </c>
      <c r="M677" s="11">
        <v>141.94499999999999</v>
      </c>
      <c r="N677" s="11">
        <f t="shared" si="40"/>
        <v>141.94499999999999</v>
      </c>
      <c r="O677" s="6">
        <v>0.75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23.41</v>
      </c>
      <c r="Z677" s="6">
        <v>17.557500000000001</v>
      </c>
      <c r="AA677" s="6">
        <v>0.75</v>
      </c>
      <c r="AB677" s="6">
        <v>-23.409999999999997</v>
      </c>
      <c r="AC677" s="6">
        <v>23.409999999999997</v>
      </c>
      <c r="AD677" s="22" t="s">
        <v>3140</v>
      </c>
      <c r="AE677" s="23">
        <f t="shared" si="41"/>
        <v>141.94499999999999</v>
      </c>
      <c r="AF677" s="24">
        <f t="shared" si="42"/>
        <v>0</v>
      </c>
      <c r="AG677" s="23">
        <f t="shared" si="43"/>
        <v>1</v>
      </c>
    </row>
    <row r="678" spans="1:33" ht="12.5" customHeight="1" x14ac:dyDescent="0.25">
      <c r="A678" s="12" t="s">
        <v>31</v>
      </c>
      <c r="B678" s="9">
        <v>46182</v>
      </c>
      <c r="C678" s="10" t="s">
        <v>1095</v>
      </c>
      <c r="D678" s="10" t="s">
        <v>1096</v>
      </c>
      <c r="E678" s="10" t="s">
        <v>34</v>
      </c>
      <c r="F678" s="10" t="s">
        <v>35</v>
      </c>
      <c r="G678" s="10" t="s">
        <v>3146</v>
      </c>
      <c r="H678" s="8" t="s">
        <v>36</v>
      </c>
      <c r="I678" s="11">
        <v>45.43</v>
      </c>
      <c r="J678" s="6">
        <v>41.659309999999998</v>
      </c>
      <c r="K678" s="6">
        <v>0.91699999999999993</v>
      </c>
      <c r="L678" s="6">
        <v>40.64</v>
      </c>
      <c r="M678" s="11">
        <v>37.26688</v>
      </c>
      <c r="N678" s="11">
        <f t="shared" si="40"/>
        <v>37.266999999999996</v>
      </c>
      <c r="O678" s="6">
        <v>0.91700000000000004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4.79</v>
      </c>
      <c r="Z678" s="6">
        <v>4.3924300000000001</v>
      </c>
      <c r="AA678" s="6">
        <v>0.91700000000000004</v>
      </c>
      <c r="AB678" s="6">
        <v>-4.7899999999999991</v>
      </c>
      <c r="AC678" s="6">
        <v>4.7899999999999991</v>
      </c>
      <c r="AD678" s="22" t="s">
        <v>3140</v>
      </c>
      <c r="AE678" s="23">
        <f t="shared" si="41"/>
        <v>37.266999999999996</v>
      </c>
      <c r="AF678" s="24">
        <f t="shared" si="42"/>
        <v>0</v>
      </c>
      <c r="AG678" s="23">
        <f t="shared" si="43"/>
        <v>1</v>
      </c>
    </row>
    <row r="679" spans="1:33" ht="12.5" hidden="1" customHeight="1" x14ac:dyDescent="0.25">
      <c r="A679" s="12" t="s">
        <v>31</v>
      </c>
      <c r="B679" s="9">
        <v>46182</v>
      </c>
      <c r="C679" s="10" t="s">
        <v>1097</v>
      </c>
      <c r="D679" s="10" t="s">
        <v>1098</v>
      </c>
      <c r="E679" s="10" t="s">
        <v>34</v>
      </c>
      <c r="F679" s="10" t="s">
        <v>35</v>
      </c>
      <c r="G679" s="10" t="s">
        <v>3145</v>
      </c>
      <c r="H679" s="8" t="s">
        <v>48</v>
      </c>
      <c r="I679" s="11">
        <v>228.19</v>
      </c>
      <c r="J679" s="6">
        <v>171.14250000000001</v>
      </c>
      <c r="K679" s="6">
        <v>0.75000000000000011</v>
      </c>
      <c r="L679" s="6">
        <v>208.07</v>
      </c>
      <c r="M679" s="11">
        <v>156.05250000000001</v>
      </c>
      <c r="N679" s="11">
        <f t="shared" si="40"/>
        <v>156.053</v>
      </c>
      <c r="O679" s="6">
        <v>0.75000000000000011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20.12</v>
      </c>
      <c r="Z679" s="6">
        <v>15.09</v>
      </c>
      <c r="AA679" s="6">
        <v>0.75</v>
      </c>
      <c r="AB679" s="6">
        <v>-20.120000000000005</v>
      </c>
      <c r="AC679" s="6">
        <v>20.120000000000005</v>
      </c>
      <c r="AD679" s="22" t="s">
        <v>3140</v>
      </c>
      <c r="AE679" s="23">
        <f t="shared" si="41"/>
        <v>156.053</v>
      </c>
      <c r="AF679" s="24">
        <f t="shared" si="42"/>
        <v>0</v>
      </c>
      <c r="AG679" s="23">
        <f t="shared" si="43"/>
        <v>1</v>
      </c>
    </row>
    <row r="680" spans="1:33" ht="12.5" customHeight="1" x14ac:dyDescent="0.25">
      <c r="A680" s="12" t="s">
        <v>31</v>
      </c>
      <c r="B680" s="9">
        <v>46182</v>
      </c>
      <c r="C680" s="10" t="s">
        <v>1099</v>
      </c>
      <c r="D680" s="10" t="s">
        <v>1100</v>
      </c>
      <c r="E680" s="10" t="s">
        <v>34</v>
      </c>
      <c r="F680" s="10" t="s">
        <v>35</v>
      </c>
      <c r="G680" s="10" t="s">
        <v>3146</v>
      </c>
      <c r="H680" s="8" t="s">
        <v>36</v>
      </c>
      <c r="I680" s="11">
        <v>72.459999999999994</v>
      </c>
      <c r="J680" s="6">
        <v>66.445819999999998</v>
      </c>
      <c r="K680" s="6">
        <v>0.91700000000000004</v>
      </c>
      <c r="L680" s="6">
        <v>63.83</v>
      </c>
      <c r="M680" s="11">
        <v>58.532110000000003</v>
      </c>
      <c r="N680" s="11">
        <f t="shared" si="40"/>
        <v>58.532999999999994</v>
      </c>
      <c r="O680" s="6">
        <v>0.91700000000000004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8.6300000000000008</v>
      </c>
      <c r="Z680" s="6">
        <v>7.91371</v>
      </c>
      <c r="AA680" s="6">
        <v>0.91699999999999993</v>
      </c>
      <c r="AB680" s="6">
        <v>-8.6299999999999955</v>
      </c>
      <c r="AC680" s="6">
        <v>8.6299999999999955</v>
      </c>
      <c r="AD680" s="22" t="s">
        <v>3140</v>
      </c>
      <c r="AE680" s="23">
        <f t="shared" si="41"/>
        <v>58.532999999999994</v>
      </c>
      <c r="AF680" s="24">
        <f t="shared" si="42"/>
        <v>0</v>
      </c>
      <c r="AG680" s="23">
        <f t="shared" si="43"/>
        <v>1</v>
      </c>
    </row>
    <row r="681" spans="1:33" ht="12.5" hidden="1" customHeight="1" x14ac:dyDescent="0.25">
      <c r="A681" s="12" t="s">
        <v>31</v>
      </c>
      <c r="B681" s="9">
        <v>46182</v>
      </c>
      <c r="C681" s="8" t="s">
        <v>1101</v>
      </c>
      <c r="D681" s="10" t="s">
        <v>1036</v>
      </c>
      <c r="E681" s="10" t="s">
        <v>51</v>
      </c>
      <c r="F681" s="10" t="s">
        <v>35</v>
      </c>
      <c r="G681" s="10" t="s">
        <v>3145</v>
      </c>
      <c r="H681" s="8" t="s">
        <v>48</v>
      </c>
      <c r="I681" s="11">
        <v>7.34</v>
      </c>
      <c r="J681" s="6">
        <v>5.5049999999999999</v>
      </c>
      <c r="K681" s="6">
        <v>0.75</v>
      </c>
      <c r="L681" s="6">
        <v>7.26</v>
      </c>
      <c r="M681" s="11">
        <v>5.4450000000000003</v>
      </c>
      <c r="N681" s="11">
        <f t="shared" si="40"/>
        <v>5.4450000000000003</v>
      </c>
      <c r="O681" s="6">
        <v>0.75000000000000011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0.08</v>
      </c>
      <c r="Z681" s="6">
        <v>0.06</v>
      </c>
      <c r="AA681" s="6">
        <v>0.75</v>
      </c>
      <c r="AB681" s="6">
        <v>-8.0000000000000071E-2</v>
      </c>
      <c r="AC681" s="6">
        <v>8.0000000000000071E-2</v>
      </c>
      <c r="AD681" s="22" t="s">
        <v>3140</v>
      </c>
      <c r="AE681" s="23">
        <f t="shared" si="41"/>
        <v>5.4450000000000003</v>
      </c>
      <c r="AF681" s="24">
        <f t="shared" si="42"/>
        <v>0</v>
      </c>
      <c r="AG681" s="23">
        <f t="shared" si="43"/>
        <v>2</v>
      </c>
    </row>
    <row r="682" spans="1:33" ht="12.5" hidden="1" customHeight="1" x14ac:dyDescent="0.25">
      <c r="A682" s="12" t="s">
        <v>31</v>
      </c>
      <c r="B682" s="9">
        <v>46182</v>
      </c>
      <c r="C682" s="12" t="s">
        <v>1101</v>
      </c>
      <c r="D682" s="10" t="s">
        <v>1102</v>
      </c>
      <c r="E682" s="10" t="s">
        <v>51</v>
      </c>
      <c r="F682" s="10" t="s">
        <v>35</v>
      </c>
      <c r="G682" s="10" t="s">
        <v>3145</v>
      </c>
      <c r="H682" s="8" t="s">
        <v>41</v>
      </c>
      <c r="I682" s="11">
        <v>33.75</v>
      </c>
      <c r="J682" s="6">
        <v>25.3125</v>
      </c>
      <c r="K682" s="6">
        <v>0.75</v>
      </c>
      <c r="L682" s="6">
        <v>32.630000000000003</v>
      </c>
      <c r="M682" s="11">
        <v>24.4725</v>
      </c>
      <c r="N682" s="11">
        <f t="shared" si="40"/>
        <v>24.473000000000003</v>
      </c>
      <c r="O682" s="6">
        <v>0.75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1.1200000000000001</v>
      </c>
      <c r="Z682" s="6">
        <v>0.84</v>
      </c>
      <c r="AA682" s="6">
        <v>0.74999999999999989</v>
      </c>
      <c r="AB682" s="6">
        <v>-1.1199999999999974</v>
      </c>
      <c r="AC682" s="6">
        <v>1.1199999999999974</v>
      </c>
      <c r="AD682" s="23" t="s">
        <v>3143</v>
      </c>
      <c r="AE682" s="23">
        <f t="shared" si="41"/>
        <v>21.27</v>
      </c>
      <c r="AF682" s="24">
        <f t="shared" si="42"/>
        <v>3.203000000000003</v>
      </c>
      <c r="AG682" s="23">
        <f t="shared" si="43"/>
        <v>2</v>
      </c>
    </row>
    <row r="683" spans="1:33" ht="12.5" hidden="1" customHeight="1" x14ac:dyDescent="0.25">
      <c r="A683" s="12" t="s">
        <v>31</v>
      </c>
      <c r="B683" s="9">
        <v>46182</v>
      </c>
      <c r="C683" s="13" t="s">
        <v>1101</v>
      </c>
      <c r="D683" s="10" t="s">
        <v>1103</v>
      </c>
      <c r="E683" s="10" t="s">
        <v>51</v>
      </c>
      <c r="F683" s="10" t="s">
        <v>35</v>
      </c>
      <c r="G683" s="10" t="s">
        <v>3145</v>
      </c>
      <c r="H683" s="8" t="s">
        <v>41</v>
      </c>
      <c r="I683" s="11">
        <v>20.184000000000001</v>
      </c>
      <c r="J683" s="6">
        <v>15.138</v>
      </c>
      <c r="K683" s="6">
        <v>0.75</v>
      </c>
      <c r="L683" s="6">
        <v>20.09</v>
      </c>
      <c r="M683" s="11">
        <v>15.067500000000001</v>
      </c>
      <c r="N683" s="11">
        <f t="shared" si="40"/>
        <v>15.068</v>
      </c>
      <c r="O683" s="6">
        <v>0.75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9.4E-2</v>
      </c>
      <c r="Z683" s="6">
        <v>7.0499999999999993E-2</v>
      </c>
      <c r="AA683" s="6">
        <v>0.74999999999999989</v>
      </c>
      <c r="AB683" s="6">
        <v>-9.4000000000001194E-2</v>
      </c>
      <c r="AC683" s="6">
        <v>9.4000000000001194E-2</v>
      </c>
      <c r="AD683" s="22" t="s">
        <v>3140</v>
      </c>
      <c r="AE683" s="23">
        <f t="shared" si="41"/>
        <v>15.068</v>
      </c>
      <c r="AF683" s="24">
        <f t="shared" si="42"/>
        <v>0</v>
      </c>
      <c r="AG683" s="23">
        <f t="shared" si="43"/>
        <v>1</v>
      </c>
    </row>
    <row r="684" spans="1:33" ht="20" hidden="1" customHeight="1" x14ac:dyDescent="0.25">
      <c r="A684" s="12" t="s">
        <v>31</v>
      </c>
      <c r="B684" s="9">
        <v>46182</v>
      </c>
      <c r="C684" s="10" t="s">
        <v>1104</v>
      </c>
      <c r="D684" s="10" t="s">
        <v>50</v>
      </c>
      <c r="E684" s="10" t="s">
        <v>51</v>
      </c>
      <c r="F684" s="10" t="s">
        <v>35</v>
      </c>
      <c r="G684" s="10" t="s">
        <v>3145</v>
      </c>
      <c r="H684" s="8" t="s">
        <v>48</v>
      </c>
      <c r="I684" s="11">
        <v>39.28</v>
      </c>
      <c r="J684" s="6">
        <v>29.46</v>
      </c>
      <c r="K684" s="6">
        <v>0.75</v>
      </c>
      <c r="L684" s="6">
        <v>36.11</v>
      </c>
      <c r="M684" s="11">
        <v>27.0825</v>
      </c>
      <c r="N684" s="11">
        <f t="shared" si="40"/>
        <v>27.083000000000002</v>
      </c>
      <c r="O684" s="6">
        <v>0.75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3.17</v>
      </c>
      <c r="Z684" s="6">
        <v>2.3774999999999999</v>
      </c>
      <c r="AA684" s="6">
        <v>0.75</v>
      </c>
      <c r="AB684" s="6">
        <v>-3.1700000000000017</v>
      </c>
      <c r="AC684" s="6">
        <v>3.1700000000000017</v>
      </c>
      <c r="AD684" s="23" t="s">
        <v>3143</v>
      </c>
      <c r="AE684" s="23">
        <f t="shared" si="41"/>
        <v>25.56</v>
      </c>
      <c r="AF684" s="24">
        <f t="shared" si="42"/>
        <v>1.5230000000000032</v>
      </c>
      <c r="AG684" s="23">
        <f t="shared" si="43"/>
        <v>3</v>
      </c>
    </row>
    <row r="685" spans="1:33" x14ac:dyDescent="0.25">
      <c r="A685" s="12" t="s">
        <v>31</v>
      </c>
      <c r="B685" s="9">
        <v>46182</v>
      </c>
      <c r="C685" s="10" t="s">
        <v>1105</v>
      </c>
      <c r="D685" s="10" t="s">
        <v>1106</v>
      </c>
      <c r="E685" s="10" t="s">
        <v>51</v>
      </c>
      <c r="F685" s="10" t="s">
        <v>35</v>
      </c>
      <c r="G685" s="10" t="s">
        <v>3146</v>
      </c>
      <c r="H685" s="8" t="s">
        <v>36</v>
      </c>
      <c r="I685" s="11">
        <v>27.66</v>
      </c>
      <c r="J685" s="6">
        <v>25.36422</v>
      </c>
      <c r="K685" s="6">
        <v>0.91699999999999993</v>
      </c>
      <c r="L685" s="6">
        <v>25.99</v>
      </c>
      <c r="M685" s="11">
        <v>23.832830000000001</v>
      </c>
      <c r="N685" s="11">
        <f t="shared" si="40"/>
        <v>23.833000000000002</v>
      </c>
      <c r="O685" s="6">
        <v>0.91700000000000015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1.67</v>
      </c>
      <c r="Z685" s="6">
        <v>1.53139</v>
      </c>
      <c r="AA685" s="6">
        <v>0.91700000000000004</v>
      </c>
      <c r="AB685" s="6">
        <v>-1.6700000000000017</v>
      </c>
      <c r="AC685" s="6">
        <v>1.6700000000000017</v>
      </c>
      <c r="AD685" s="22" t="s">
        <v>3140</v>
      </c>
      <c r="AE685" s="23">
        <f t="shared" si="41"/>
        <v>23.833000000000002</v>
      </c>
      <c r="AF685" s="24">
        <f t="shared" si="42"/>
        <v>0</v>
      </c>
      <c r="AG685" s="23">
        <f t="shared" si="43"/>
        <v>1</v>
      </c>
    </row>
    <row r="686" spans="1:33" x14ac:dyDescent="0.25">
      <c r="A686" s="12" t="s">
        <v>31</v>
      </c>
      <c r="B686" s="9">
        <v>46182</v>
      </c>
      <c r="C686" s="10" t="s">
        <v>1107</v>
      </c>
      <c r="D686" s="10" t="s">
        <v>1108</v>
      </c>
      <c r="E686" s="10" t="s">
        <v>51</v>
      </c>
      <c r="F686" s="10" t="s">
        <v>35</v>
      </c>
      <c r="G686" s="10" t="s">
        <v>3146</v>
      </c>
      <c r="H686" s="8" t="s">
        <v>36</v>
      </c>
      <c r="I686" s="11">
        <v>8.5</v>
      </c>
      <c r="J686" s="6">
        <v>7.7945000000000002</v>
      </c>
      <c r="K686" s="6">
        <v>0.91700000000000004</v>
      </c>
      <c r="L686" s="6">
        <v>7.92</v>
      </c>
      <c r="M686" s="11">
        <v>7.2626400000000002</v>
      </c>
      <c r="N686" s="11">
        <f t="shared" si="40"/>
        <v>7.2629999999999999</v>
      </c>
      <c r="O686" s="6">
        <v>0.91700000000000004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0.57999999999999996</v>
      </c>
      <c r="Z686" s="6">
        <v>0.53186</v>
      </c>
      <c r="AA686" s="6">
        <v>0.91700000000000004</v>
      </c>
      <c r="AB686" s="6">
        <v>-0.58000000000000007</v>
      </c>
      <c r="AC686" s="6">
        <v>0.58000000000000007</v>
      </c>
      <c r="AD686" s="22" t="s">
        <v>3140</v>
      </c>
      <c r="AE686" s="23">
        <f t="shared" si="41"/>
        <v>7.2629999999999999</v>
      </c>
      <c r="AF686" s="24">
        <f t="shared" si="42"/>
        <v>0</v>
      </c>
      <c r="AG686" s="23">
        <f t="shared" si="43"/>
        <v>1</v>
      </c>
    </row>
    <row r="687" spans="1:33" x14ac:dyDescent="0.25">
      <c r="A687" s="12" t="s">
        <v>31</v>
      </c>
      <c r="B687" s="9">
        <v>46182</v>
      </c>
      <c r="C687" s="10" t="s">
        <v>1109</v>
      </c>
      <c r="D687" s="10" t="s">
        <v>1110</v>
      </c>
      <c r="E687" s="10" t="s">
        <v>51</v>
      </c>
      <c r="F687" s="10" t="s">
        <v>35</v>
      </c>
      <c r="G687" s="10" t="s">
        <v>3146</v>
      </c>
      <c r="H687" s="8" t="s">
        <v>36</v>
      </c>
      <c r="I687" s="11">
        <v>8.5399999999999991</v>
      </c>
      <c r="J687" s="6">
        <v>7.8311799999999998</v>
      </c>
      <c r="K687" s="6">
        <v>0.91700000000000004</v>
      </c>
      <c r="L687" s="6">
        <v>7.97</v>
      </c>
      <c r="M687" s="11">
        <v>7.3084899999999999</v>
      </c>
      <c r="N687" s="11">
        <f t="shared" si="40"/>
        <v>7.3090000000000002</v>
      </c>
      <c r="O687" s="6">
        <v>0.91700000000000004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0.56999999999999995</v>
      </c>
      <c r="Z687" s="6">
        <v>0.52268999999999999</v>
      </c>
      <c r="AA687" s="6">
        <v>0.91700000000000004</v>
      </c>
      <c r="AB687" s="6">
        <v>-0.5699999999999994</v>
      </c>
      <c r="AC687" s="6">
        <v>0.5699999999999994</v>
      </c>
      <c r="AD687" s="22" t="s">
        <v>3140</v>
      </c>
      <c r="AE687" s="23">
        <f t="shared" si="41"/>
        <v>7.3090000000000002</v>
      </c>
      <c r="AF687" s="24">
        <f t="shared" si="42"/>
        <v>0</v>
      </c>
      <c r="AG687" s="23">
        <f t="shared" si="43"/>
        <v>1</v>
      </c>
    </row>
    <row r="688" spans="1:33" x14ac:dyDescent="0.25">
      <c r="A688" s="12" t="s">
        <v>31</v>
      </c>
      <c r="B688" s="9">
        <v>46182</v>
      </c>
      <c r="C688" s="10" t="s">
        <v>1111</v>
      </c>
      <c r="D688" s="10" t="s">
        <v>1112</v>
      </c>
      <c r="E688" s="10" t="s">
        <v>51</v>
      </c>
      <c r="F688" s="10" t="s">
        <v>35</v>
      </c>
      <c r="G688" s="10" t="s">
        <v>3146</v>
      </c>
      <c r="H688" s="8" t="s">
        <v>36</v>
      </c>
      <c r="I688" s="11">
        <v>8.5399999999999991</v>
      </c>
      <c r="J688" s="6">
        <v>7.8311799999999998</v>
      </c>
      <c r="K688" s="6">
        <v>0.91700000000000004</v>
      </c>
      <c r="L688" s="6">
        <v>7.95</v>
      </c>
      <c r="M688" s="11">
        <v>7.2901499999999997</v>
      </c>
      <c r="N688" s="11">
        <f t="shared" si="40"/>
        <v>7.2910000000000004</v>
      </c>
      <c r="O688" s="6">
        <v>0.91699999999999993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0.59</v>
      </c>
      <c r="Z688" s="6">
        <v>0.54103000000000001</v>
      </c>
      <c r="AA688" s="6">
        <v>0.91700000000000004</v>
      </c>
      <c r="AB688" s="6">
        <v>-0.58999999999999897</v>
      </c>
      <c r="AC688" s="6">
        <v>0.58999999999999897</v>
      </c>
      <c r="AD688" s="22" t="s">
        <v>3140</v>
      </c>
      <c r="AE688" s="23">
        <f t="shared" si="41"/>
        <v>7.2910000000000004</v>
      </c>
      <c r="AF688" s="24">
        <f t="shared" si="42"/>
        <v>0</v>
      </c>
      <c r="AG688" s="23">
        <f t="shared" si="43"/>
        <v>1</v>
      </c>
    </row>
    <row r="689" spans="1:33" x14ac:dyDescent="0.25">
      <c r="A689" s="12" t="s">
        <v>31</v>
      </c>
      <c r="B689" s="9">
        <v>46182</v>
      </c>
      <c r="C689" s="10" t="s">
        <v>1113</v>
      </c>
      <c r="D689" s="10" t="s">
        <v>1114</v>
      </c>
      <c r="E689" s="10" t="s">
        <v>51</v>
      </c>
      <c r="F689" s="10" t="s">
        <v>35</v>
      </c>
      <c r="G689" s="10" t="s">
        <v>3146</v>
      </c>
      <c r="H689" s="8" t="s">
        <v>36</v>
      </c>
      <c r="I689" s="11">
        <v>8.61</v>
      </c>
      <c r="J689" s="6">
        <v>7.8953699999999998</v>
      </c>
      <c r="K689" s="6">
        <v>0.91700000000000004</v>
      </c>
      <c r="L689" s="6">
        <v>7.95</v>
      </c>
      <c r="M689" s="11">
        <v>7.2901499999999997</v>
      </c>
      <c r="N689" s="11">
        <f t="shared" si="40"/>
        <v>7.2910000000000004</v>
      </c>
      <c r="O689" s="6">
        <v>0.91699999999999993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0.66</v>
      </c>
      <c r="Z689" s="6">
        <v>0.60521999999999998</v>
      </c>
      <c r="AA689" s="6">
        <v>0.91699999999999993</v>
      </c>
      <c r="AB689" s="6">
        <v>-0.65999999999999925</v>
      </c>
      <c r="AC689" s="6">
        <v>0.65999999999999925</v>
      </c>
      <c r="AD689" s="22" t="s">
        <v>3140</v>
      </c>
      <c r="AE689" s="23">
        <f t="shared" si="41"/>
        <v>7.2910000000000004</v>
      </c>
      <c r="AF689" s="24">
        <f t="shared" si="42"/>
        <v>0</v>
      </c>
      <c r="AG689" s="23">
        <f t="shared" si="43"/>
        <v>1</v>
      </c>
    </row>
    <row r="690" spans="1:33" x14ac:dyDescent="0.25">
      <c r="A690" s="12" t="s">
        <v>31</v>
      </c>
      <c r="B690" s="9">
        <v>46182</v>
      </c>
      <c r="C690" s="10" t="s">
        <v>1115</v>
      </c>
      <c r="D690" s="10" t="s">
        <v>1116</v>
      </c>
      <c r="E690" s="10" t="s">
        <v>51</v>
      </c>
      <c r="F690" s="10" t="s">
        <v>35</v>
      </c>
      <c r="G690" s="10" t="s">
        <v>3146</v>
      </c>
      <c r="H690" s="8" t="s">
        <v>36</v>
      </c>
      <c r="I690" s="11">
        <v>8.5399999999999991</v>
      </c>
      <c r="J690" s="6">
        <v>7.8311799999999998</v>
      </c>
      <c r="K690" s="6">
        <v>0.91700000000000004</v>
      </c>
      <c r="L690" s="6">
        <v>7.99</v>
      </c>
      <c r="M690" s="11">
        <v>7.3268300000000002</v>
      </c>
      <c r="N690" s="11">
        <f t="shared" si="40"/>
        <v>7.327</v>
      </c>
      <c r="O690" s="6">
        <v>0.91700000000000004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0.55000000000000004</v>
      </c>
      <c r="Z690" s="6">
        <v>0.50434999999999997</v>
      </c>
      <c r="AA690" s="6">
        <v>0.91699999999999982</v>
      </c>
      <c r="AB690" s="6">
        <v>-0.54999999999999893</v>
      </c>
      <c r="AC690" s="6">
        <v>0.54999999999999893</v>
      </c>
      <c r="AD690" s="22" t="s">
        <v>3140</v>
      </c>
      <c r="AE690" s="23">
        <f t="shared" si="41"/>
        <v>7.327</v>
      </c>
      <c r="AF690" s="24">
        <f t="shared" si="42"/>
        <v>0</v>
      </c>
      <c r="AG690" s="23">
        <f t="shared" si="43"/>
        <v>1</v>
      </c>
    </row>
    <row r="691" spans="1:33" x14ac:dyDescent="0.25">
      <c r="A691" s="12" t="s">
        <v>31</v>
      </c>
      <c r="B691" s="9">
        <v>46182</v>
      </c>
      <c r="C691" s="10" t="s">
        <v>1117</v>
      </c>
      <c r="D691" s="10" t="s">
        <v>1118</v>
      </c>
      <c r="E691" s="10" t="s">
        <v>51</v>
      </c>
      <c r="F691" s="10" t="s">
        <v>35</v>
      </c>
      <c r="G691" s="10" t="s">
        <v>3146</v>
      </c>
      <c r="H691" s="8" t="s">
        <v>36</v>
      </c>
      <c r="I691" s="11">
        <v>8.44</v>
      </c>
      <c r="J691" s="6">
        <v>7.7394800000000004</v>
      </c>
      <c r="K691" s="6">
        <v>0.91700000000000015</v>
      </c>
      <c r="L691" s="6">
        <v>7.89</v>
      </c>
      <c r="M691" s="11">
        <v>7.2351299999999998</v>
      </c>
      <c r="N691" s="11">
        <f t="shared" si="40"/>
        <v>7.2360000000000007</v>
      </c>
      <c r="O691" s="6">
        <v>0.91700000000000004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0.55000000000000004</v>
      </c>
      <c r="Z691" s="6">
        <v>0.50434999999999997</v>
      </c>
      <c r="AA691" s="6">
        <v>0.91699999999999982</v>
      </c>
      <c r="AB691" s="6">
        <v>-0.54999999999999982</v>
      </c>
      <c r="AC691" s="6">
        <v>0.54999999999999982</v>
      </c>
      <c r="AD691" s="22" t="s">
        <v>3140</v>
      </c>
      <c r="AE691" s="23">
        <f t="shared" si="41"/>
        <v>7.2360000000000007</v>
      </c>
      <c r="AF691" s="24">
        <f t="shared" si="42"/>
        <v>0</v>
      </c>
      <c r="AG691" s="23">
        <f t="shared" si="43"/>
        <v>1</v>
      </c>
    </row>
    <row r="692" spans="1:33" ht="12.5" customHeight="1" x14ac:dyDescent="0.25">
      <c r="A692" s="12" t="s">
        <v>31</v>
      </c>
      <c r="B692" s="9">
        <v>46182</v>
      </c>
      <c r="C692" s="8" t="s">
        <v>1119</v>
      </c>
      <c r="D692" s="10" t="s">
        <v>1120</v>
      </c>
      <c r="E692" s="10" t="s">
        <v>51</v>
      </c>
      <c r="F692" s="10" t="s">
        <v>35</v>
      </c>
      <c r="G692" s="10" t="s">
        <v>3146</v>
      </c>
      <c r="H692" s="8" t="s">
        <v>36</v>
      </c>
      <c r="I692" s="11">
        <v>20.68</v>
      </c>
      <c r="J692" s="6">
        <v>18.963560000000001</v>
      </c>
      <c r="K692" s="6">
        <v>0.91700000000000004</v>
      </c>
      <c r="L692" s="6">
        <v>19.75</v>
      </c>
      <c r="M692" s="11">
        <v>18.110749999999999</v>
      </c>
      <c r="N692" s="11">
        <f t="shared" si="40"/>
        <v>18.111000000000001</v>
      </c>
      <c r="O692" s="6">
        <v>0.91699999999999993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0.93</v>
      </c>
      <c r="Z692" s="6">
        <v>0.85280999999999996</v>
      </c>
      <c r="AA692" s="6">
        <v>0.91699999999999993</v>
      </c>
      <c r="AB692" s="6">
        <v>-0.92999999999999972</v>
      </c>
      <c r="AC692" s="6">
        <v>0.92999999999999972</v>
      </c>
      <c r="AD692" s="22" t="s">
        <v>3140</v>
      </c>
      <c r="AE692" s="23">
        <f t="shared" si="41"/>
        <v>18.111000000000001</v>
      </c>
      <c r="AF692" s="24">
        <f t="shared" si="42"/>
        <v>0</v>
      </c>
      <c r="AG692" s="23">
        <f t="shared" si="43"/>
        <v>1</v>
      </c>
    </row>
    <row r="693" spans="1:33" ht="12.5" hidden="1" customHeight="1" x14ac:dyDescent="0.25">
      <c r="A693" s="12" t="s">
        <v>31</v>
      </c>
      <c r="B693" s="9">
        <v>46182</v>
      </c>
      <c r="C693" s="13" t="s">
        <v>1119</v>
      </c>
      <c r="D693" s="10" t="s">
        <v>1121</v>
      </c>
      <c r="E693" s="10" t="s">
        <v>51</v>
      </c>
      <c r="F693" s="10" t="s">
        <v>35</v>
      </c>
      <c r="G693" s="10" t="s">
        <v>3145</v>
      </c>
      <c r="H693" s="8" t="s">
        <v>48</v>
      </c>
      <c r="I693" s="11">
        <v>30.866</v>
      </c>
      <c r="J693" s="6">
        <v>23.1495</v>
      </c>
      <c r="K693" s="6">
        <v>0.75</v>
      </c>
      <c r="L693" s="6">
        <v>29.315999999999999</v>
      </c>
      <c r="M693" s="11">
        <v>21.986999999999998</v>
      </c>
      <c r="N693" s="11">
        <f t="shared" si="40"/>
        <v>21.986999999999998</v>
      </c>
      <c r="O693" s="6">
        <v>0.75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1.55</v>
      </c>
      <c r="Z693" s="6">
        <v>1.1625000000000001</v>
      </c>
      <c r="AA693" s="6">
        <v>0.75</v>
      </c>
      <c r="AB693" s="6">
        <v>-1.5500000000000007</v>
      </c>
      <c r="AC693" s="6">
        <v>1.5500000000000007</v>
      </c>
      <c r="AD693" s="22" t="s">
        <v>3140</v>
      </c>
      <c r="AE693" s="23">
        <f t="shared" si="41"/>
        <v>21.986999999999998</v>
      </c>
      <c r="AF693" s="24">
        <f t="shared" si="42"/>
        <v>0</v>
      </c>
      <c r="AG693" s="23">
        <f t="shared" si="43"/>
        <v>1</v>
      </c>
    </row>
    <row r="694" spans="1:33" x14ac:dyDescent="0.25">
      <c r="A694" s="12" t="s">
        <v>31</v>
      </c>
      <c r="B694" s="9">
        <v>46182</v>
      </c>
      <c r="C694" s="10" t="s">
        <v>1122</v>
      </c>
      <c r="D694" s="10" t="s">
        <v>1123</v>
      </c>
      <c r="E694" s="10" t="s">
        <v>51</v>
      </c>
      <c r="F694" s="10" t="s">
        <v>35</v>
      </c>
      <c r="G694" s="10" t="s">
        <v>3146</v>
      </c>
      <c r="H694" s="8" t="s">
        <v>36</v>
      </c>
      <c r="I694" s="11">
        <v>25.58</v>
      </c>
      <c r="J694" s="6">
        <v>23.456859999999999</v>
      </c>
      <c r="K694" s="6">
        <v>0.91700000000000004</v>
      </c>
      <c r="L694" s="6">
        <v>24.5</v>
      </c>
      <c r="M694" s="11">
        <v>22.4665</v>
      </c>
      <c r="N694" s="11">
        <f t="shared" si="40"/>
        <v>22.467000000000002</v>
      </c>
      <c r="O694" s="6">
        <v>0.91700000000000004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1.08</v>
      </c>
      <c r="Z694" s="6">
        <v>0.99036000000000002</v>
      </c>
      <c r="AA694" s="6">
        <v>0.91699999999999993</v>
      </c>
      <c r="AB694" s="6">
        <v>-1.0799999999999983</v>
      </c>
      <c r="AC694" s="6">
        <v>1.0799999999999983</v>
      </c>
      <c r="AD694" s="22" t="s">
        <v>3140</v>
      </c>
      <c r="AE694" s="23">
        <f t="shared" si="41"/>
        <v>22.467000000000002</v>
      </c>
      <c r="AF694" s="24">
        <f t="shared" si="42"/>
        <v>0</v>
      </c>
      <c r="AG694" s="23">
        <f t="shared" si="43"/>
        <v>1</v>
      </c>
    </row>
    <row r="695" spans="1:33" ht="12.5" customHeight="1" x14ac:dyDescent="0.25">
      <c r="A695" s="12" t="s">
        <v>31</v>
      </c>
      <c r="B695" s="9">
        <v>46182</v>
      </c>
      <c r="C695" s="8" t="s">
        <v>1124</v>
      </c>
      <c r="D695" s="10" t="s">
        <v>1125</v>
      </c>
      <c r="E695" s="10" t="s">
        <v>51</v>
      </c>
      <c r="F695" s="10" t="s">
        <v>35</v>
      </c>
      <c r="G695" s="10" t="s">
        <v>3146</v>
      </c>
      <c r="H695" s="8" t="s">
        <v>36</v>
      </c>
      <c r="I695" s="11">
        <v>37.47</v>
      </c>
      <c r="J695" s="6">
        <v>34.359990000000003</v>
      </c>
      <c r="K695" s="6">
        <v>0.91700000000000015</v>
      </c>
      <c r="L695" s="6">
        <v>36.58</v>
      </c>
      <c r="M695" s="11">
        <v>33.543860000000002</v>
      </c>
      <c r="N695" s="11">
        <f t="shared" si="40"/>
        <v>33.543999999999997</v>
      </c>
      <c r="O695" s="6">
        <v>0.91700000000000015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0.89</v>
      </c>
      <c r="Z695" s="6">
        <v>0.81613000000000002</v>
      </c>
      <c r="AA695" s="6">
        <v>0.91700000000000004</v>
      </c>
      <c r="AB695" s="6">
        <v>-0.89000000000000057</v>
      </c>
      <c r="AC695" s="6">
        <v>0.89000000000000057</v>
      </c>
      <c r="AD695" s="22" t="s">
        <v>3140</v>
      </c>
      <c r="AE695" s="23">
        <f t="shared" si="41"/>
        <v>33.543999999999997</v>
      </c>
      <c r="AF695" s="24">
        <f t="shared" si="42"/>
        <v>0</v>
      </c>
      <c r="AG695" s="23">
        <f t="shared" si="43"/>
        <v>1</v>
      </c>
    </row>
    <row r="696" spans="1:33" ht="12.5" customHeight="1" x14ac:dyDescent="0.25">
      <c r="A696" s="12" t="s">
        <v>31</v>
      </c>
      <c r="B696" s="9">
        <v>46182</v>
      </c>
      <c r="C696" s="12" t="s">
        <v>1124</v>
      </c>
      <c r="D696" s="10" t="s">
        <v>1126</v>
      </c>
      <c r="E696" s="10" t="s">
        <v>51</v>
      </c>
      <c r="F696" s="10" t="s">
        <v>35</v>
      </c>
      <c r="G696" s="10" t="s">
        <v>3146</v>
      </c>
      <c r="H696" s="8" t="s">
        <v>36</v>
      </c>
      <c r="I696" s="11">
        <v>12.4</v>
      </c>
      <c r="J696" s="6">
        <v>11.370799999999999</v>
      </c>
      <c r="K696" s="6">
        <v>0.91699999999999993</v>
      </c>
      <c r="L696" s="6">
        <v>12.12</v>
      </c>
      <c r="M696" s="11">
        <v>11.114039999999999</v>
      </c>
      <c r="N696" s="11">
        <f t="shared" si="40"/>
        <v>11.115</v>
      </c>
      <c r="O696" s="6">
        <v>0.91700000000000004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0.28000000000000003</v>
      </c>
      <c r="Z696" s="6">
        <v>0.25675999999999999</v>
      </c>
      <c r="AA696" s="6">
        <v>0.91699999999999982</v>
      </c>
      <c r="AB696" s="6">
        <v>-0.28000000000000114</v>
      </c>
      <c r="AC696" s="6">
        <v>0.28000000000000114</v>
      </c>
      <c r="AD696" s="22" t="s">
        <v>3140</v>
      </c>
      <c r="AE696" s="23">
        <f t="shared" si="41"/>
        <v>11.115</v>
      </c>
      <c r="AF696" s="24">
        <f t="shared" si="42"/>
        <v>0</v>
      </c>
      <c r="AG696" s="23">
        <f t="shared" si="43"/>
        <v>1</v>
      </c>
    </row>
    <row r="697" spans="1:33" ht="12.5" hidden="1" customHeight="1" x14ac:dyDescent="0.25">
      <c r="A697" s="12" t="s">
        <v>31</v>
      </c>
      <c r="B697" s="9">
        <v>46182</v>
      </c>
      <c r="C697" s="13" t="s">
        <v>1124</v>
      </c>
      <c r="D697" s="10" t="s">
        <v>86</v>
      </c>
      <c r="E697" s="10" t="s">
        <v>51</v>
      </c>
      <c r="F697" s="10" t="s">
        <v>35</v>
      </c>
      <c r="G697" s="10" t="s">
        <v>3145</v>
      </c>
      <c r="H697" s="8" t="s">
        <v>48</v>
      </c>
      <c r="I697" s="11">
        <v>20.46</v>
      </c>
      <c r="J697" s="6">
        <v>15.345000000000001</v>
      </c>
      <c r="K697" s="6">
        <v>0.75</v>
      </c>
      <c r="L697" s="6">
        <v>20.25</v>
      </c>
      <c r="M697" s="11">
        <v>15.1875</v>
      </c>
      <c r="N697" s="11">
        <f t="shared" si="40"/>
        <v>15.187999999999999</v>
      </c>
      <c r="O697" s="6">
        <v>0.75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0.21</v>
      </c>
      <c r="Z697" s="6">
        <v>0.1575</v>
      </c>
      <c r="AA697" s="6">
        <v>0.75</v>
      </c>
      <c r="AB697" s="6">
        <v>-0.21000000000000085</v>
      </c>
      <c r="AC697" s="6">
        <v>0.21000000000000085</v>
      </c>
      <c r="AD697" s="23" t="s">
        <v>3143</v>
      </c>
      <c r="AE697" s="23">
        <f t="shared" si="41"/>
        <v>10.763</v>
      </c>
      <c r="AF697" s="24">
        <f t="shared" si="42"/>
        <v>4.4249999999999989</v>
      </c>
      <c r="AG697" s="23">
        <f t="shared" si="43"/>
        <v>2</v>
      </c>
    </row>
    <row r="698" spans="1:33" ht="12.5" hidden="1" customHeight="1" x14ac:dyDescent="0.25">
      <c r="A698" s="12" t="s">
        <v>31</v>
      </c>
      <c r="B698" s="9">
        <v>46182</v>
      </c>
      <c r="C698" s="8" t="s">
        <v>1127</v>
      </c>
      <c r="D698" s="10" t="s">
        <v>1128</v>
      </c>
      <c r="E698" s="10" t="s">
        <v>51</v>
      </c>
      <c r="F698" s="10" t="s">
        <v>35</v>
      </c>
      <c r="G698" s="10" t="s">
        <v>3145</v>
      </c>
      <c r="H698" s="8" t="s">
        <v>41</v>
      </c>
      <c r="I698" s="11">
        <v>35.57</v>
      </c>
      <c r="J698" s="6">
        <v>26.677499999999998</v>
      </c>
      <c r="K698" s="6">
        <v>0.75</v>
      </c>
      <c r="L698" s="6">
        <v>34.65</v>
      </c>
      <c r="M698" s="11">
        <v>25.987500000000001</v>
      </c>
      <c r="N698" s="11">
        <f t="shared" si="40"/>
        <v>25.988</v>
      </c>
      <c r="O698" s="6">
        <v>0.75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0.92</v>
      </c>
      <c r="Z698" s="6">
        <v>0.69</v>
      </c>
      <c r="AA698" s="6">
        <v>0.74999999999999989</v>
      </c>
      <c r="AB698" s="6">
        <v>-0.92000000000000171</v>
      </c>
      <c r="AC698" s="6">
        <v>0.92000000000000171</v>
      </c>
      <c r="AD698" s="22" t="s">
        <v>3140</v>
      </c>
      <c r="AE698" s="23">
        <f t="shared" si="41"/>
        <v>25.988</v>
      </c>
      <c r="AF698" s="24">
        <f t="shared" si="42"/>
        <v>0</v>
      </c>
      <c r="AG698" s="23">
        <f t="shared" si="43"/>
        <v>1</v>
      </c>
    </row>
    <row r="699" spans="1:33" ht="12.5" customHeight="1" x14ac:dyDescent="0.25">
      <c r="A699" s="12" t="s">
        <v>31</v>
      </c>
      <c r="B699" s="9">
        <v>46182</v>
      </c>
      <c r="C699" s="13" t="s">
        <v>1127</v>
      </c>
      <c r="D699" s="10" t="s">
        <v>1020</v>
      </c>
      <c r="E699" s="10" t="s">
        <v>51</v>
      </c>
      <c r="F699" s="10" t="s">
        <v>35</v>
      </c>
      <c r="G699" s="10" t="s">
        <v>3146</v>
      </c>
      <c r="H699" s="8" t="s">
        <v>36</v>
      </c>
      <c r="I699" s="11">
        <v>21.13</v>
      </c>
      <c r="J699" s="6">
        <v>19.37621</v>
      </c>
      <c r="K699" s="6">
        <v>0.91700000000000004</v>
      </c>
      <c r="L699" s="6">
        <v>20.97</v>
      </c>
      <c r="M699" s="11">
        <v>19.229489999999998</v>
      </c>
      <c r="N699" s="11">
        <f t="shared" si="40"/>
        <v>19.23</v>
      </c>
      <c r="O699" s="6">
        <v>0.91699999999999993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0.16</v>
      </c>
      <c r="Z699" s="6">
        <v>0.14671999999999999</v>
      </c>
      <c r="AA699" s="6">
        <v>0.91699999999999993</v>
      </c>
      <c r="AB699" s="6">
        <v>-0.16000000000000014</v>
      </c>
      <c r="AC699" s="6">
        <v>0.16000000000000014</v>
      </c>
      <c r="AD699" s="22" t="s">
        <v>3140</v>
      </c>
      <c r="AE699" s="23">
        <f t="shared" si="41"/>
        <v>19.23</v>
      </c>
      <c r="AF699" s="24">
        <f t="shared" si="42"/>
        <v>0</v>
      </c>
      <c r="AG699" s="23">
        <f t="shared" si="43"/>
        <v>2</v>
      </c>
    </row>
    <row r="700" spans="1:33" x14ac:dyDescent="0.25">
      <c r="A700" s="12" t="s">
        <v>31</v>
      </c>
      <c r="B700" s="9">
        <v>46182</v>
      </c>
      <c r="C700" s="10" t="s">
        <v>1129</v>
      </c>
      <c r="D700" s="10" t="s">
        <v>1130</v>
      </c>
      <c r="E700" s="10" t="s">
        <v>51</v>
      </c>
      <c r="F700" s="10" t="s">
        <v>35</v>
      </c>
      <c r="G700" s="10" t="s">
        <v>3146</v>
      </c>
      <c r="H700" s="8" t="s">
        <v>36</v>
      </c>
      <c r="I700" s="11">
        <v>8.5</v>
      </c>
      <c r="J700" s="6">
        <v>7.7945000000000002</v>
      </c>
      <c r="K700" s="6">
        <v>0.91700000000000004</v>
      </c>
      <c r="L700" s="6">
        <v>7.88</v>
      </c>
      <c r="M700" s="11">
        <v>7.2259599999999997</v>
      </c>
      <c r="N700" s="11">
        <f t="shared" si="40"/>
        <v>7.226</v>
      </c>
      <c r="O700" s="6">
        <v>0.91699999999999993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0.62</v>
      </c>
      <c r="Z700" s="6">
        <v>0.56854000000000005</v>
      </c>
      <c r="AA700" s="6">
        <v>0.91700000000000004</v>
      </c>
      <c r="AB700" s="6">
        <v>-0.62000000000000011</v>
      </c>
      <c r="AC700" s="6">
        <v>0.62000000000000011</v>
      </c>
      <c r="AD700" s="22" t="s">
        <v>3140</v>
      </c>
      <c r="AE700" s="23">
        <f t="shared" si="41"/>
        <v>7.226</v>
      </c>
      <c r="AF700" s="24">
        <f t="shared" si="42"/>
        <v>0</v>
      </c>
      <c r="AG700" s="23">
        <f t="shared" si="43"/>
        <v>1</v>
      </c>
    </row>
    <row r="701" spans="1:33" x14ac:dyDescent="0.25">
      <c r="A701" s="12" t="s">
        <v>31</v>
      </c>
      <c r="B701" s="9">
        <v>46182</v>
      </c>
      <c r="C701" s="10" t="s">
        <v>1131</v>
      </c>
      <c r="D701" s="10" t="s">
        <v>1132</v>
      </c>
      <c r="E701" s="10" t="s">
        <v>51</v>
      </c>
      <c r="F701" s="10" t="s">
        <v>35</v>
      </c>
      <c r="G701" s="10" t="s">
        <v>3146</v>
      </c>
      <c r="H701" s="8" t="s">
        <v>36</v>
      </c>
      <c r="I701" s="11">
        <v>25.83</v>
      </c>
      <c r="J701" s="6">
        <v>23.686109999999999</v>
      </c>
      <c r="K701" s="6">
        <v>0.91700000000000004</v>
      </c>
      <c r="L701" s="6">
        <v>24.29</v>
      </c>
      <c r="M701" s="11">
        <v>22.27393</v>
      </c>
      <c r="N701" s="11">
        <f t="shared" si="40"/>
        <v>22.274000000000001</v>
      </c>
      <c r="O701" s="6">
        <v>0.91700000000000004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1.54</v>
      </c>
      <c r="Z701" s="6">
        <v>1.41218</v>
      </c>
      <c r="AA701" s="6">
        <v>0.91699999999999993</v>
      </c>
      <c r="AB701" s="6">
        <v>-1.5399999999999991</v>
      </c>
      <c r="AC701" s="6">
        <v>1.5399999999999991</v>
      </c>
      <c r="AD701" s="22" t="s">
        <v>3140</v>
      </c>
      <c r="AE701" s="23">
        <f t="shared" si="41"/>
        <v>22.274000000000001</v>
      </c>
      <c r="AF701" s="24">
        <f t="shared" si="42"/>
        <v>0</v>
      </c>
      <c r="AG701" s="23">
        <f t="shared" si="43"/>
        <v>1</v>
      </c>
    </row>
    <row r="702" spans="1:33" ht="20" hidden="1" customHeight="1" x14ac:dyDescent="0.25">
      <c r="A702" s="12" t="s">
        <v>31</v>
      </c>
      <c r="B702" s="9">
        <v>46182</v>
      </c>
      <c r="C702" s="10" t="s">
        <v>1133</v>
      </c>
      <c r="D702" s="10" t="s">
        <v>1134</v>
      </c>
      <c r="E702" s="10" t="s">
        <v>51</v>
      </c>
      <c r="F702" s="10" t="s">
        <v>35</v>
      </c>
      <c r="G702" s="10" t="s">
        <v>3145</v>
      </c>
      <c r="H702" s="8" t="s">
        <v>48</v>
      </c>
      <c r="I702" s="11">
        <v>27.91</v>
      </c>
      <c r="J702" s="6">
        <v>20.932500000000001</v>
      </c>
      <c r="K702" s="6">
        <v>0.75</v>
      </c>
      <c r="L702" s="6">
        <v>25.29</v>
      </c>
      <c r="M702" s="11">
        <v>18.967500000000001</v>
      </c>
      <c r="N702" s="11">
        <f t="shared" si="40"/>
        <v>18.968</v>
      </c>
      <c r="O702" s="6">
        <v>0.75000000000000011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2.62</v>
      </c>
      <c r="Z702" s="6">
        <v>1.9650000000000001</v>
      </c>
      <c r="AA702" s="6">
        <v>0.75</v>
      </c>
      <c r="AB702" s="6">
        <v>-2.620000000000001</v>
      </c>
      <c r="AC702" s="6">
        <v>2.620000000000001</v>
      </c>
      <c r="AD702" s="22" t="s">
        <v>3140</v>
      </c>
      <c r="AE702" s="23">
        <f t="shared" si="41"/>
        <v>18.968</v>
      </c>
      <c r="AF702" s="24">
        <f t="shared" si="42"/>
        <v>0</v>
      </c>
      <c r="AG702" s="23">
        <f t="shared" si="43"/>
        <v>1</v>
      </c>
    </row>
    <row r="703" spans="1:33" ht="20" hidden="1" customHeight="1" x14ac:dyDescent="0.25">
      <c r="A703" s="12" t="s">
        <v>31</v>
      </c>
      <c r="B703" s="9">
        <v>46182</v>
      </c>
      <c r="C703" s="10" t="s">
        <v>1135</v>
      </c>
      <c r="D703" s="10" t="s">
        <v>1136</v>
      </c>
      <c r="E703" s="10" t="s">
        <v>51</v>
      </c>
      <c r="F703" s="10" t="s">
        <v>35</v>
      </c>
      <c r="G703" s="10" t="s">
        <v>3145</v>
      </c>
      <c r="H703" s="8" t="s">
        <v>48</v>
      </c>
      <c r="I703" s="11">
        <v>18.579999999999998</v>
      </c>
      <c r="J703" s="6">
        <v>13.935</v>
      </c>
      <c r="K703" s="6">
        <v>0.75000000000000011</v>
      </c>
      <c r="L703" s="6">
        <v>15.99</v>
      </c>
      <c r="M703" s="11">
        <v>11.9925</v>
      </c>
      <c r="N703" s="11">
        <f t="shared" si="40"/>
        <v>11.993</v>
      </c>
      <c r="O703" s="6">
        <v>0.75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2.59</v>
      </c>
      <c r="Z703" s="6">
        <v>1.9424999999999999</v>
      </c>
      <c r="AA703" s="6">
        <v>0.75</v>
      </c>
      <c r="AB703" s="6">
        <v>-2.5899999999999981</v>
      </c>
      <c r="AC703" s="6">
        <v>2.5899999999999981</v>
      </c>
      <c r="AD703" s="22" t="s">
        <v>3140</v>
      </c>
      <c r="AE703" s="23">
        <f t="shared" si="41"/>
        <v>11.993</v>
      </c>
      <c r="AF703" s="24">
        <f t="shared" si="42"/>
        <v>0</v>
      </c>
      <c r="AG703" s="23">
        <f t="shared" si="43"/>
        <v>1</v>
      </c>
    </row>
    <row r="704" spans="1:33" ht="12.5" customHeight="1" x14ac:dyDescent="0.25">
      <c r="A704" s="12" t="s">
        <v>31</v>
      </c>
      <c r="B704" s="9">
        <v>46182</v>
      </c>
      <c r="C704" s="8" t="s">
        <v>1137</v>
      </c>
      <c r="D704" s="10" t="s">
        <v>1138</v>
      </c>
      <c r="E704" s="10" t="s">
        <v>51</v>
      </c>
      <c r="F704" s="10" t="s">
        <v>35</v>
      </c>
      <c r="G704" s="10" t="s">
        <v>3146</v>
      </c>
      <c r="H704" s="8" t="s">
        <v>36</v>
      </c>
      <c r="I704" s="11">
        <v>26.24</v>
      </c>
      <c r="J704" s="6">
        <v>24.062080000000002</v>
      </c>
      <c r="K704" s="6">
        <v>0.91700000000000015</v>
      </c>
      <c r="L704" s="6">
        <v>25.05</v>
      </c>
      <c r="M704" s="11">
        <v>22.970849999999999</v>
      </c>
      <c r="N704" s="11">
        <f t="shared" si="40"/>
        <v>22.971</v>
      </c>
      <c r="O704" s="6">
        <v>0.91699999999999993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1.19</v>
      </c>
      <c r="Z704" s="6">
        <v>1.0912299999999999</v>
      </c>
      <c r="AA704" s="6">
        <v>0.91699999999999993</v>
      </c>
      <c r="AB704" s="6">
        <v>-1.1899999999999977</v>
      </c>
      <c r="AC704" s="6">
        <v>1.1899999999999977</v>
      </c>
      <c r="AD704" s="22" t="s">
        <v>3140</v>
      </c>
      <c r="AE704" s="23">
        <f t="shared" si="41"/>
        <v>22.971</v>
      </c>
      <c r="AF704" s="24">
        <f t="shared" si="42"/>
        <v>0</v>
      </c>
      <c r="AG704" s="23">
        <f t="shared" si="43"/>
        <v>1</v>
      </c>
    </row>
    <row r="705" spans="1:33" ht="12.5" customHeight="1" x14ac:dyDescent="0.25">
      <c r="A705" s="12" t="s">
        <v>31</v>
      </c>
      <c r="B705" s="9">
        <v>46182</v>
      </c>
      <c r="C705" s="13" t="s">
        <v>1137</v>
      </c>
      <c r="D705" s="10" t="s">
        <v>1139</v>
      </c>
      <c r="E705" s="10" t="s">
        <v>51</v>
      </c>
      <c r="F705" s="10" t="s">
        <v>35</v>
      </c>
      <c r="G705" s="10" t="s">
        <v>3146</v>
      </c>
      <c r="H705" s="8" t="s">
        <v>36</v>
      </c>
      <c r="I705" s="11">
        <v>30.44</v>
      </c>
      <c r="J705" s="6">
        <v>27.91348</v>
      </c>
      <c r="K705" s="6">
        <v>0.91699999999999993</v>
      </c>
      <c r="L705" s="6">
        <v>28.15</v>
      </c>
      <c r="M705" s="11">
        <v>25.813549999999999</v>
      </c>
      <c r="N705" s="11">
        <f t="shared" si="40"/>
        <v>25.814</v>
      </c>
      <c r="O705" s="6">
        <v>0.91700000000000004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2.29</v>
      </c>
      <c r="Z705" s="6">
        <v>2.0999300000000001</v>
      </c>
      <c r="AA705" s="6">
        <v>0.91700000000000004</v>
      </c>
      <c r="AB705" s="6">
        <v>-2.2900000000000027</v>
      </c>
      <c r="AC705" s="6">
        <v>2.2900000000000027</v>
      </c>
      <c r="AD705" s="22" t="s">
        <v>3140</v>
      </c>
      <c r="AE705" s="23">
        <f t="shared" si="41"/>
        <v>25.814</v>
      </c>
      <c r="AF705" s="24">
        <f t="shared" si="42"/>
        <v>0</v>
      </c>
      <c r="AG705" s="23">
        <f t="shared" si="43"/>
        <v>1</v>
      </c>
    </row>
    <row r="706" spans="1:33" ht="12.5" hidden="1" customHeight="1" x14ac:dyDescent="0.25">
      <c r="A706" s="12" t="s">
        <v>31</v>
      </c>
      <c r="B706" s="9">
        <v>46182</v>
      </c>
      <c r="C706" s="8" t="s">
        <v>1140</v>
      </c>
      <c r="D706" s="10" t="s">
        <v>1141</v>
      </c>
      <c r="E706" s="10" t="s">
        <v>51</v>
      </c>
      <c r="F706" s="10" t="s">
        <v>35</v>
      </c>
      <c r="G706" s="10" t="s">
        <v>3145</v>
      </c>
      <c r="H706" s="8" t="s">
        <v>41</v>
      </c>
      <c r="I706" s="11">
        <v>331.22</v>
      </c>
      <c r="J706" s="6">
        <v>248.41499999999999</v>
      </c>
      <c r="K706" s="6">
        <v>0.74999999999999989</v>
      </c>
      <c r="L706" s="6">
        <v>331.22</v>
      </c>
      <c r="M706" s="11">
        <v>248.41499999999999</v>
      </c>
      <c r="N706" s="11">
        <f t="shared" si="40"/>
        <v>248.41499999999999</v>
      </c>
      <c r="O706" s="6">
        <v>0.74999999999999989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23" t="s">
        <v>3143</v>
      </c>
      <c r="AE706" s="23">
        <f t="shared" si="41"/>
        <v>234.39</v>
      </c>
      <c r="AF706" s="24">
        <f t="shared" si="42"/>
        <v>14.025000000000006</v>
      </c>
      <c r="AG706" s="23">
        <f t="shared" si="43"/>
        <v>3</v>
      </c>
    </row>
    <row r="707" spans="1:33" ht="12.5" hidden="1" customHeight="1" x14ac:dyDescent="0.25">
      <c r="A707" s="12" t="s">
        <v>31</v>
      </c>
      <c r="B707" s="9">
        <v>46182</v>
      </c>
      <c r="C707" s="13" t="s">
        <v>1140</v>
      </c>
      <c r="D707" s="10" t="s">
        <v>1142</v>
      </c>
      <c r="E707" s="10" t="s">
        <v>51</v>
      </c>
      <c r="F707" s="10" t="s">
        <v>35</v>
      </c>
      <c r="G707" s="10" t="s">
        <v>3145</v>
      </c>
      <c r="H707" s="8" t="s">
        <v>41</v>
      </c>
      <c r="I707" s="11">
        <v>254.81</v>
      </c>
      <c r="J707" s="6">
        <v>191.10749999999999</v>
      </c>
      <c r="K707" s="6">
        <v>0.74999999999999989</v>
      </c>
      <c r="L707" s="6">
        <v>254.81</v>
      </c>
      <c r="M707" s="11">
        <v>191.10749999999999</v>
      </c>
      <c r="N707" s="11">
        <f t="shared" ref="N707:N770" si="44">ROUNDUP(M707,3)</f>
        <v>191.108</v>
      </c>
      <c r="O707" s="6">
        <v>0.74999999999999989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23" t="s">
        <v>3143</v>
      </c>
      <c r="AE707" s="23">
        <f t="shared" ref="AE707:AE770" si="45">_xlfn.MINIFS(N:N,D:D,D707)</f>
        <v>189.91499999999999</v>
      </c>
      <c r="AF707" s="24">
        <f t="shared" ref="AF707:AF770" si="46">N707-AE707</f>
        <v>1.1930000000000121</v>
      </c>
      <c r="AG707" s="23">
        <f t="shared" ref="AG707:AG770" si="47">COUNTIF(D:D,D707)</f>
        <v>4</v>
      </c>
    </row>
    <row r="708" spans="1:33" ht="20" hidden="1" customHeight="1" x14ac:dyDescent="0.25">
      <c r="A708" s="12" t="s">
        <v>31</v>
      </c>
      <c r="B708" s="9">
        <v>46182</v>
      </c>
      <c r="C708" s="10" t="s">
        <v>1143</v>
      </c>
      <c r="D708" s="10" t="s">
        <v>1144</v>
      </c>
      <c r="E708" s="10" t="s">
        <v>51</v>
      </c>
      <c r="F708" s="10" t="s">
        <v>35</v>
      </c>
      <c r="G708" s="10" t="s">
        <v>3145</v>
      </c>
      <c r="H708" s="8" t="s">
        <v>48</v>
      </c>
      <c r="I708" s="11">
        <v>24.34</v>
      </c>
      <c r="J708" s="6">
        <v>18.254999999999999</v>
      </c>
      <c r="K708" s="6">
        <v>0.75</v>
      </c>
      <c r="L708" s="6">
        <v>22.55</v>
      </c>
      <c r="M708" s="11">
        <v>16.912500000000001</v>
      </c>
      <c r="N708" s="11">
        <f t="shared" si="44"/>
        <v>16.913</v>
      </c>
      <c r="O708" s="6">
        <v>0.75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1.79</v>
      </c>
      <c r="Z708" s="6">
        <v>1.3425</v>
      </c>
      <c r="AA708" s="6">
        <v>0.75</v>
      </c>
      <c r="AB708" s="6">
        <v>-1.7899999999999991</v>
      </c>
      <c r="AC708" s="6">
        <v>1.7899999999999991</v>
      </c>
      <c r="AD708" s="22" t="s">
        <v>3140</v>
      </c>
      <c r="AE708" s="23">
        <f t="shared" si="45"/>
        <v>16.913</v>
      </c>
      <c r="AF708" s="24">
        <f t="shared" si="46"/>
        <v>0</v>
      </c>
      <c r="AG708" s="23">
        <f t="shared" si="47"/>
        <v>1</v>
      </c>
    </row>
    <row r="709" spans="1:33" ht="12.5" customHeight="1" x14ac:dyDescent="0.25">
      <c r="A709" s="12" t="s">
        <v>31</v>
      </c>
      <c r="B709" s="9">
        <v>46182</v>
      </c>
      <c r="C709" s="8" t="s">
        <v>1145</v>
      </c>
      <c r="D709" s="10" t="s">
        <v>291</v>
      </c>
      <c r="E709" s="10" t="s">
        <v>51</v>
      </c>
      <c r="F709" s="10" t="s">
        <v>35</v>
      </c>
      <c r="G709" s="10" t="s">
        <v>3146</v>
      </c>
      <c r="H709" s="8" t="s">
        <v>36</v>
      </c>
      <c r="I709" s="11">
        <v>9.3000000000000007</v>
      </c>
      <c r="J709" s="6">
        <v>8.5281000000000002</v>
      </c>
      <c r="K709" s="6">
        <v>0.91699999999999993</v>
      </c>
      <c r="L709" s="6">
        <v>8.8699999999999992</v>
      </c>
      <c r="M709" s="11">
        <v>8.1337899999999994</v>
      </c>
      <c r="N709" s="11">
        <f t="shared" si="44"/>
        <v>8.1339999999999986</v>
      </c>
      <c r="O709" s="6">
        <v>0.91700000000000004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0.43</v>
      </c>
      <c r="Z709" s="6">
        <v>0.39430999999999999</v>
      </c>
      <c r="AA709" s="6">
        <v>0.91700000000000004</v>
      </c>
      <c r="AB709" s="6">
        <v>-0.43000000000000149</v>
      </c>
      <c r="AC709" s="6">
        <v>0.43000000000000149</v>
      </c>
      <c r="AD709" s="23" t="s">
        <v>3143</v>
      </c>
      <c r="AE709" s="23">
        <f t="shared" si="45"/>
        <v>7.2540000000000004</v>
      </c>
      <c r="AF709" s="24">
        <f t="shared" si="46"/>
        <v>0.87999999999999812</v>
      </c>
      <c r="AG709" s="23">
        <f t="shared" si="47"/>
        <v>2</v>
      </c>
    </row>
    <row r="710" spans="1:33" ht="12.5" customHeight="1" x14ac:dyDescent="0.25">
      <c r="A710" s="12" t="s">
        <v>31</v>
      </c>
      <c r="B710" s="9">
        <v>46182</v>
      </c>
      <c r="C710" s="12" t="s">
        <v>1145</v>
      </c>
      <c r="D710" s="10" t="s">
        <v>346</v>
      </c>
      <c r="E710" s="10" t="s">
        <v>51</v>
      </c>
      <c r="F710" s="10" t="s">
        <v>35</v>
      </c>
      <c r="G710" s="10" t="s">
        <v>3146</v>
      </c>
      <c r="H710" s="8" t="s">
        <v>36</v>
      </c>
      <c r="I710" s="11">
        <v>7.0839999999999996</v>
      </c>
      <c r="J710" s="6">
        <v>6.4960279999999999</v>
      </c>
      <c r="K710" s="6">
        <v>0.91700000000000004</v>
      </c>
      <c r="L710" s="6">
        <v>6.9740000000000002</v>
      </c>
      <c r="M710" s="11">
        <v>6.3951580000000003</v>
      </c>
      <c r="N710" s="11">
        <f t="shared" si="44"/>
        <v>6.3959999999999999</v>
      </c>
      <c r="O710" s="6">
        <v>0.91700000000000004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0.11</v>
      </c>
      <c r="Z710" s="6">
        <v>0.10087</v>
      </c>
      <c r="AA710" s="6">
        <v>0.91700000000000004</v>
      </c>
      <c r="AB710" s="6">
        <v>-0.10999999999999943</v>
      </c>
      <c r="AC710" s="6">
        <v>0.10999999999999943</v>
      </c>
      <c r="AD710" s="23" t="s">
        <v>3143</v>
      </c>
      <c r="AE710" s="23">
        <f t="shared" si="45"/>
        <v>6.3460000000000001</v>
      </c>
      <c r="AF710" s="24">
        <f t="shared" si="46"/>
        <v>4.9999999999999822E-2</v>
      </c>
      <c r="AG710" s="23">
        <f t="shared" si="47"/>
        <v>2</v>
      </c>
    </row>
    <row r="711" spans="1:33" ht="12.5" customHeight="1" x14ac:dyDescent="0.25">
      <c r="A711" s="12" t="s">
        <v>31</v>
      </c>
      <c r="B711" s="9">
        <v>46182</v>
      </c>
      <c r="C711" s="13" t="s">
        <v>1145</v>
      </c>
      <c r="D711" s="10" t="s">
        <v>295</v>
      </c>
      <c r="E711" s="10" t="s">
        <v>51</v>
      </c>
      <c r="F711" s="10" t="s">
        <v>35</v>
      </c>
      <c r="G711" s="10" t="s">
        <v>3146</v>
      </c>
      <c r="H711" s="8" t="s">
        <v>36</v>
      </c>
      <c r="I711" s="11">
        <v>5.28</v>
      </c>
      <c r="J711" s="6">
        <v>4.8417599999999998</v>
      </c>
      <c r="K711" s="6">
        <v>0.91699999999999993</v>
      </c>
      <c r="L711" s="6">
        <v>5.19</v>
      </c>
      <c r="M711" s="11">
        <v>4.7592299999999996</v>
      </c>
      <c r="N711" s="11">
        <f t="shared" si="44"/>
        <v>4.7600000000000007</v>
      </c>
      <c r="O711" s="6">
        <v>0.91699999999999982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0.09</v>
      </c>
      <c r="Z711" s="6">
        <v>8.2530000000000006E-2</v>
      </c>
      <c r="AA711" s="6">
        <v>0.91700000000000015</v>
      </c>
      <c r="AB711" s="6">
        <v>-8.9999999999999858E-2</v>
      </c>
      <c r="AC711" s="6">
        <v>8.9999999999999858E-2</v>
      </c>
      <c r="AD711" s="23" t="s">
        <v>3143</v>
      </c>
      <c r="AE711" s="23">
        <f t="shared" si="45"/>
        <v>4.53</v>
      </c>
      <c r="AF711" s="24">
        <f t="shared" si="46"/>
        <v>0.23000000000000043</v>
      </c>
      <c r="AG711" s="23">
        <f t="shared" si="47"/>
        <v>2</v>
      </c>
    </row>
    <row r="712" spans="1:33" ht="12.5" customHeight="1" x14ac:dyDescent="0.25">
      <c r="A712" s="12" t="s">
        <v>31</v>
      </c>
      <c r="B712" s="9">
        <v>46182</v>
      </c>
      <c r="C712" s="8" t="s">
        <v>1146</v>
      </c>
      <c r="D712" s="10" t="s">
        <v>585</v>
      </c>
      <c r="E712" s="10" t="s">
        <v>51</v>
      </c>
      <c r="F712" s="10" t="s">
        <v>35</v>
      </c>
      <c r="G712" s="10" t="s">
        <v>3146</v>
      </c>
      <c r="H712" s="8" t="s">
        <v>36</v>
      </c>
      <c r="I712" s="11">
        <v>5.82</v>
      </c>
      <c r="J712" s="6">
        <v>5.3369400000000002</v>
      </c>
      <c r="K712" s="6">
        <v>0.91700000000000004</v>
      </c>
      <c r="L712" s="6">
        <v>5.66</v>
      </c>
      <c r="M712" s="11">
        <v>5.1902200000000001</v>
      </c>
      <c r="N712" s="11">
        <f t="shared" si="44"/>
        <v>5.1910000000000007</v>
      </c>
      <c r="O712" s="6">
        <v>0.91700000000000004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0.16</v>
      </c>
      <c r="Z712" s="6">
        <v>0.14671999999999999</v>
      </c>
      <c r="AA712" s="6">
        <v>0.91699999999999993</v>
      </c>
      <c r="AB712" s="6">
        <v>-0.16000000000000014</v>
      </c>
      <c r="AC712" s="6">
        <v>0.16000000000000014</v>
      </c>
      <c r="AD712" s="23" t="s">
        <v>3143</v>
      </c>
      <c r="AE712" s="23">
        <f t="shared" si="45"/>
        <v>4.21</v>
      </c>
      <c r="AF712" s="24">
        <f t="shared" si="46"/>
        <v>0.98100000000000076</v>
      </c>
      <c r="AG712" s="23">
        <f t="shared" si="47"/>
        <v>3</v>
      </c>
    </row>
    <row r="713" spans="1:33" ht="12.5" customHeight="1" x14ac:dyDescent="0.25">
      <c r="A713" s="12" t="s">
        <v>31</v>
      </c>
      <c r="B713" s="9">
        <v>46182</v>
      </c>
      <c r="C713" s="13" t="s">
        <v>1146</v>
      </c>
      <c r="D713" s="10" t="s">
        <v>1051</v>
      </c>
      <c r="E713" s="10" t="s">
        <v>51</v>
      </c>
      <c r="F713" s="10" t="s">
        <v>35</v>
      </c>
      <c r="G713" s="10" t="s">
        <v>3146</v>
      </c>
      <c r="H713" s="8" t="s">
        <v>36</v>
      </c>
      <c r="I713" s="11">
        <v>29.18</v>
      </c>
      <c r="J713" s="6">
        <v>26.75806</v>
      </c>
      <c r="K713" s="6">
        <v>0.91700000000000004</v>
      </c>
      <c r="L713" s="6">
        <v>28.6</v>
      </c>
      <c r="M713" s="11">
        <v>26.226199999999999</v>
      </c>
      <c r="N713" s="11">
        <f t="shared" si="44"/>
        <v>26.227</v>
      </c>
      <c r="O713" s="6">
        <v>0.91699999999999993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0.57999999999999996</v>
      </c>
      <c r="Z713" s="6">
        <v>0.53186</v>
      </c>
      <c r="AA713" s="6">
        <v>0.91700000000000004</v>
      </c>
      <c r="AB713" s="6">
        <v>-0.57999999999999829</v>
      </c>
      <c r="AC713" s="6">
        <v>0.57999999999999829</v>
      </c>
      <c r="AD713" s="23" t="s">
        <v>3143</v>
      </c>
      <c r="AE713" s="23">
        <f t="shared" si="45"/>
        <v>25.126000000000001</v>
      </c>
      <c r="AF713" s="24">
        <f t="shared" si="46"/>
        <v>1.1009999999999991</v>
      </c>
      <c r="AG713" s="23">
        <f t="shared" si="47"/>
        <v>3</v>
      </c>
    </row>
    <row r="714" spans="1:33" ht="12.5" customHeight="1" x14ac:dyDescent="0.25">
      <c r="A714" s="12" t="s">
        <v>31</v>
      </c>
      <c r="B714" s="9">
        <v>46182</v>
      </c>
      <c r="C714" s="8" t="s">
        <v>1147</v>
      </c>
      <c r="D714" s="10" t="s">
        <v>583</v>
      </c>
      <c r="E714" s="10" t="s">
        <v>51</v>
      </c>
      <c r="F714" s="10" t="s">
        <v>35</v>
      </c>
      <c r="G714" s="10" t="s">
        <v>3146</v>
      </c>
      <c r="H714" s="8" t="s">
        <v>36</v>
      </c>
      <c r="I714" s="11">
        <v>4.82</v>
      </c>
      <c r="J714" s="6">
        <v>4.4199400000000004</v>
      </c>
      <c r="K714" s="6">
        <v>0.91700000000000004</v>
      </c>
      <c r="L714" s="6">
        <v>4.74</v>
      </c>
      <c r="M714" s="11">
        <v>4.3465800000000003</v>
      </c>
      <c r="N714" s="11">
        <f t="shared" si="44"/>
        <v>4.3470000000000004</v>
      </c>
      <c r="O714" s="6">
        <v>0.91700000000000004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0.08</v>
      </c>
      <c r="Z714" s="6">
        <v>7.3359999999999995E-2</v>
      </c>
      <c r="AA714" s="6">
        <v>0.91699999999999993</v>
      </c>
      <c r="AB714" s="6">
        <v>-8.0000000000000071E-2</v>
      </c>
      <c r="AC714" s="6">
        <v>8.0000000000000071E-2</v>
      </c>
      <c r="AD714" s="23" t="s">
        <v>3143</v>
      </c>
      <c r="AE714" s="23">
        <f t="shared" si="45"/>
        <v>3.3289999999999997</v>
      </c>
      <c r="AF714" s="24">
        <f t="shared" si="46"/>
        <v>1.0180000000000007</v>
      </c>
      <c r="AG714" s="23">
        <f t="shared" si="47"/>
        <v>3</v>
      </c>
    </row>
    <row r="715" spans="1:33" ht="12.5" customHeight="1" x14ac:dyDescent="0.25">
      <c r="A715" s="12" t="s">
        <v>31</v>
      </c>
      <c r="B715" s="9">
        <v>46182</v>
      </c>
      <c r="C715" s="12" t="s">
        <v>1147</v>
      </c>
      <c r="D715" s="10" t="s">
        <v>292</v>
      </c>
      <c r="E715" s="10" t="s">
        <v>51</v>
      </c>
      <c r="F715" s="10" t="s">
        <v>35</v>
      </c>
      <c r="G715" s="10" t="s">
        <v>3146</v>
      </c>
      <c r="H715" s="8" t="s">
        <v>36</v>
      </c>
      <c r="I715" s="11">
        <v>16.21</v>
      </c>
      <c r="J715" s="6">
        <v>14.864570000000001</v>
      </c>
      <c r="K715" s="6">
        <v>0.91700000000000004</v>
      </c>
      <c r="L715" s="6">
        <v>15.52</v>
      </c>
      <c r="M715" s="11">
        <v>14.23184</v>
      </c>
      <c r="N715" s="11">
        <f t="shared" si="44"/>
        <v>14.231999999999999</v>
      </c>
      <c r="O715" s="6">
        <v>0.91700000000000004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0.69</v>
      </c>
      <c r="Z715" s="6">
        <v>0.63273000000000001</v>
      </c>
      <c r="AA715" s="6">
        <v>0.91700000000000004</v>
      </c>
      <c r="AB715" s="6">
        <v>-0.69000000000000128</v>
      </c>
      <c r="AC715" s="6">
        <v>0.69000000000000128</v>
      </c>
      <c r="AD715" s="23" t="s">
        <v>3143</v>
      </c>
      <c r="AE715" s="23">
        <f t="shared" si="45"/>
        <v>12.966999999999999</v>
      </c>
      <c r="AF715" s="24">
        <f t="shared" si="46"/>
        <v>1.2650000000000006</v>
      </c>
      <c r="AG715" s="23">
        <f t="shared" si="47"/>
        <v>2</v>
      </c>
    </row>
    <row r="716" spans="1:33" ht="12.5" customHeight="1" x14ac:dyDescent="0.25">
      <c r="A716" s="12" t="s">
        <v>31</v>
      </c>
      <c r="B716" s="9">
        <v>46182</v>
      </c>
      <c r="C716" s="12" t="s">
        <v>1147</v>
      </c>
      <c r="D716" s="10" t="s">
        <v>58</v>
      </c>
      <c r="E716" s="10" t="s">
        <v>51</v>
      </c>
      <c r="F716" s="10" t="s">
        <v>35</v>
      </c>
      <c r="G716" s="10" t="s">
        <v>3146</v>
      </c>
      <c r="H716" s="8" t="s">
        <v>36</v>
      </c>
      <c r="I716" s="11">
        <v>4.8099999999999996</v>
      </c>
      <c r="J716" s="6">
        <v>4.4107700000000003</v>
      </c>
      <c r="K716" s="6">
        <v>0.91700000000000015</v>
      </c>
      <c r="L716" s="6">
        <v>4.8099999999999996</v>
      </c>
      <c r="M716" s="11">
        <v>4.4107700000000003</v>
      </c>
      <c r="N716" s="11">
        <f t="shared" si="44"/>
        <v>4.4110000000000005</v>
      </c>
      <c r="O716" s="6">
        <v>0.91700000000000015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23" t="s">
        <v>3143</v>
      </c>
      <c r="AE716" s="23">
        <f t="shared" si="45"/>
        <v>2.871</v>
      </c>
      <c r="AF716" s="24">
        <f t="shared" si="46"/>
        <v>1.5400000000000005</v>
      </c>
      <c r="AG716" s="23">
        <f t="shared" si="47"/>
        <v>4</v>
      </c>
    </row>
    <row r="717" spans="1:33" ht="12.5" customHeight="1" x14ac:dyDescent="0.25">
      <c r="A717" s="12" t="s">
        <v>31</v>
      </c>
      <c r="B717" s="9">
        <v>46182</v>
      </c>
      <c r="C717" s="12" t="s">
        <v>1147</v>
      </c>
      <c r="D717" s="10" t="s">
        <v>660</v>
      </c>
      <c r="E717" s="10" t="s">
        <v>51</v>
      </c>
      <c r="F717" s="10" t="s">
        <v>35</v>
      </c>
      <c r="G717" s="10" t="s">
        <v>3146</v>
      </c>
      <c r="H717" s="8" t="s">
        <v>36</v>
      </c>
      <c r="I717" s="11">
        <v>98.73</v>
      </c>
      <c r="J717" s="6">
        <v>90.535409999999999</v>
      </c>
      <c r="K717" s="6">
        <v>0.91699999999999993</v>
      </c>
      <c r="L717" s="6">
        <v>98.66</v>
      </c>
      <c r="M717" s="11">
        <v>90.471220000000002</v>
      </c>
      <c r="N717" s="11">
        <f t="shared" si="44"/>
        <v>90.472000000000008</v>
      </c>
      <c r="O717" s="6">
        <v>0.91700000000000004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7.0000000000000007E-2</v>
      </c>
      <c r="Z717" s="6">
        <v>6.4189999999999997E-2</v>
      </c>
      <c r="AA717" s="6">
        <v>0.91699999999999982</v>
      </c>
      <c r="AB717" s="6">
        <v>-7.000000000000739E-2</v>
      </c>
      <c r="AC717" s="6">
        <v>7.000000000000739E-2</v>
      </c>
      <c r="AD717" s="22" t="s">
        <v>3140</v>
      </c>
      <c r="AE717" s="23">
        <f t="shared" si="45"/>
        <v>90.472000000000008</v>
      </c>
      <c r="AF717" s="24">
        <f t="shared" si="46"/>
        <v>0</v>
      </c>
      <c r="AG717" s="23">
        <f t="shared" si="47"/>
        <v>2</v>
      </c>
    </row>
    <row r="718" spans="1:33" ht="12.5" hidden="1" customHeight="1" x14ac:dyDescent="0.25">
      <c r="A718" s="12" t="s">
        <v>31</v>
      </c>
      <c r="B718" s="9">
        <v>46182</v>
      </c>
      <c r="C718" s="12" t="s">
        <v>1147</v>
      </c>
      <c r="D718" s="10" t="s">
        <v>1148</v>
      </c>
      <c r="E718" s="10" t="s">
        <v>51</v>
      </c>
      <c r="F718" s="10" t="s">
        <v>35</v>
      </c>
      <c r="G718" s="10" t="s">
        <v>3145</v>
      </c>
      <c r="H718" s="8" t="s">
        <v>48</v>
      </c>
      <c r="I718" s="11">
        <v>17.260000000000002</v>
      </c>
      <c r="J718" s="6">
        <v>12.945</v>
      </c>
      <c r="K718" s="6">
        <v>0.75</v>
      </c>
      <c r="L718" s="6">
        <v>17.12</v>
      </c>
      <c r="M718" s="11">
        <v>12.84</v>
      </c>
      <c r="N718" s="11">
        <f t="shared" si="44"/>
        <v>12.84</v>
      </c>
      <c r="O718" s="6">
        <v>0.75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0.14000000000000001</v>
      </c>
      <c r="Z718" s="6">
        <v>0.105</v>
      </c>
      <c r="AA718" s="6">
        <v>0.74999999999999989</v>
      </c>
      <c r="AB718" s="6">
        <v>-0.14000000000000057</v>
      </c>
      <c r="AC718" s="6">
        <v>0.14000000000000057</v>
      </c>
      <c r="AD718" s="22" t="s">
        <v>3140</v>
      </c>
      <c r="AE718" s="23">
        <f t="shared" si="45"/>
        <v>12.84</v>
      </c>
      <c r="AF718" s="24">
        <f t="shared" si="46"/>
        <v>0</v>
      </c>
      <c r="AG718" s="23">
        <f t="shared" si="47"/>
        <v>1</v>
      </c>
    </row>
    <row r="719" spans="1:33" ht="12.5" hidden="1" customHeight="1" x14ac:dyDescent="0.25">
      <c r="A719" s="12" t="s">
        <v>31</v>
      </c>
      <c r="B719" s="9">
        <v>46182</v>
      </c>
      <c r="C719" s="13" t="s">
        <v>1147</v>
      </c>
      <c r="D719" s="10" t="s">
        <v>1149</v>
      </c>
      <c r="E719" s="10" t="s">
        <v>51</v>
      </c>
      <c r="F719" s="10" t="s">
        <v>35</v>
      </c>
      <c r="G719" s="10" t="s">
        <v>3145</v>
      </c>
      <c r="H719" s="8" t="s">
        <v>41</v>
      </c>
      <c r="I719" s="11">
        <v>21.5</v>
      </c>
      <c r="J719" s="6">
        <v>16.125</v>
      </c>
      <c r="K719" s="6">
        <v>0.75</v>
      </c>
      <c r="L719" s="6">
        <v>20.28</v>
      </c>
      <c r="M719" s="11">
        <v>15.21</v>
      </c>
      <c r="N719" s="11">
        <f t="shared" si="44"/>
        <v>15.21</v>
      </c>
      <c r="O719" s="6">
        <v>0.75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1.22</v>
      </c>
      <c r="Z719" s="6">
        <v>0.91500000000000004</v>
      </c>
      <c r="AA719" s="6">
        <v>0.75</v>
      </c>
      <c r="AB719" s="6">
        <v>-1.2199999999999989</v>
      </c>
      <c r="AC719" s="6">
        <v>1.2199999999999989</v>
      </c>
      <c r="AD719" s="22" t="s">
        <v>3140</v>
      </c>
      <c r="AE719" s="23">
        <f t="shared" si="45"/>
        <v>15.21</v>
      </c>
      <c r="AF719" s="24">
        <f t="shared" si="46"/>
        <v>0</v>
      </c>
      <c r="AG719" s="23">
        <f t="shared" si="47"/>
        <v>1</v>
      </c>
    </row>
    <row r="720" spans="1:33" hidden="1" x14ac:dyDescent="0.25">
      <c r="A720" s="12" t="s">
        <v>31</v>
      </c>
      <c r="B720" s="9">
        <v>46182</v>
      </c>
      <c r="C720" s="10" t="s">
        <v>1150</v>
      </c>
      <c r="D720" s="10" t="s">
        <v>1151</v>
      </c>
      <c r="E720" s="10" t="s">
        <v>51</v>
      </c>
      <c r="F720" s="10" t="s">
        <v>35</v>
      </c>
      <c r="G720" s="10" t="s">
        <v>3145</v>
      </c>
      <c r="H720" s="8" t="s">
        <v>41</v>
      </c>
      <c r="I720" s="11">
        <v>8.8000000000000007</v>
      </c>
      <c r="J720" s="6">
        <v>6.6</v>
      </c>
      <c r="K720" s="6">
        <v>0.74999999999999989</v>
      </c>
      <c r="L720" s="6">
        <v>8.3800000000000008</v>
      </c>
      <c r="M720" s="11">
        <v>6.2850000000000001</v>
      </c>
      <c r="N720" s="11">
        <f t="shared" si="44"/>
        <v>6.2850000000000001</v>
      </c>
      <c r="O720" s="6">
        <v>0.75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0.42</v>
      </c>
      <c r="Z720" s="6">
        <v>0.315</v>
      </c>
      <c r="AA720" s="6">
        <v>0.75</v>
      </c>
      <c r="AB720" s="6">
        <v>-0.41999999999999993</v>
      </c>
      <c r="AC720" s="6">
        <v>0.41999999999999993</v>
      </c>
      <c r="AD720" s="22" t="s">
        <v>3140</v>
      </c>
      <c r="AE720" s="23">
        <f t="shared" si="45"/>
        <v>6.2850000000000001</v>
      </c>
      <c r="AF720" s="24">
        <f t="shared" si="46"/>
        <v>0</v>
      </c>
      <c r="AG720" s="23">
        <f t="shared" si="47"/>
        <v>1</v>
      </c>
    </row>
    <row r="721" spans="1:33" hidden="1" x14ac:dyDescent="0.25">
      <c r="A721" s="12" t="s">
        <v>31</v>
      </c>
      <c r="B721" s="9">
        <v>46182</v>
      </c>
      <c r="C721" s="10" t="s">
        <v>1152</v>
      </c>
      <c r="D721" s="10" t="s">
        <v>1153</v>
      </c>
      <c r="E721" s="10" t="s">
        <v>51</v>
      </c>
      <c r="F721" s="10" t="s">
        <v>35</v>
      </c>
      <c r="G721" s="10" t="s">
        <v>3145</v>
      </c>
      <c r="H721" s="8" t="s">
        <v>41</v>
      </c>
      <c r="I721" s="11">
        <v>4.8600000000000003</v>
      </c>
      <c r="J721" s="6">
        <v>3.645</v>
      </c>
      <c r="K721" s="6">
        <v>0.75</v>
      </c>
      <c r="L721" s="6">
        <v>4.6500000000000004</v>
      </c>
      <c r="M721" s="11">
        <v>3.4874999999999998</v>
      </c>
      <c r="N721" s="11">
        <f t="shared" si="44"/>
        <v>3.488</v>
      </c>
      <c r="O721" s="6">
        <v>0.74999999999999989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0.21</v>
      </c>
      <c r="Z721" s="6">
        <v>0.1575</v>
      </c>
      <c r="AA721" s="6">
        <v>0.75</v>
      </c>
      <c r="AB721" s="6">
        <v>-0.20999999999999996</v>
      </c>
      <c r="AC721" s="6">
        <v>0.20999999999999996</v>
      </c>
      <c r="AD721" s="22" t="s">
        <v>3140</v>
      </c>
      <c r="AE721" s="23">
        <f t="shared" si="45"/>
        <v>3.488</v>
      </c>
      <c r="AF721" s="24">
        <f t="shared" si="46"/>
        <v>0</v>
      </c>
      <c r="AG721" s="23">
        <f t="shared" si="47"/>
        <v>1</v>
      </c>
    </row>
    <row r="722" spans="1:33" hidden="1" x14ac:dyDescent="0.25">
      <c r="A722" s="12" t="s">
        <v>31</v>
      </c>
      <c r="B722" s="9">
        <v>46182</v>
      </c>
      <c r="C722" s="10" t="s">
        <v>1154</v>
      </c>
      <c r="D722" s="10" t="s">
        <v>1155</v>
      </c>
      <c r="E722" s="10" t="s">
        <v>51</v>
      </c>
      <c r="F722" s="10" t="s">
        <v>35</v>
      </c>
      <c r="G722" s="10" t="s">
        <v>3145</v>
      </c>
      <c r="H722" s="8" t="s">
        <v>41</v>
      </c>
      <c r="I722" s="11">
        <v>7.93</v>
      </c>
      <c r="J722" s="6">
        <v>5.9474999999999998</v>
      </c>
      <c r="K722" s="6">
        <v>0.75</v>
      </c>
      <c r="L722" s="6">
        <v>7.46</v>
      </c>
      <c r="M722" s="11">
        <v>5.5949999999999998</v>
      </c>
      <c r="N722" s="11">
        <f t="shared" si="44"/>
        <v>5.5949999999999998</v>
      </c>
      <c r="O722" s="6">
        <v>0.75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0.47</v>
      </c>
      <c r="Z722" s="6">
        <v>0.35249999999999998</v>
      </c>
      <c r="AA722" s="6">
        <v>0.75</v>
      </c>
      <c r="AB722" s="6">
        <v>-0.46999999999999975</v>
      </c>
      <c r="AC722" s="6">
        <v>0.46999999999999975</v>
      </c>
      <c r="AD722" s="22" t="s">
        <v>3140</v>
      </c>
      <c r="AE722" s="23">
        <f t="shared" si="45"/>
        <v>5.5949999999999998</v>
      </c>
      <c r="AF722" s="24">
        <f t="shared" si="46"/>
        <v>0</v>
      </c>
      <c r="AG722" s="23">
        <f t="shared" si="47"/>
        <v>1</v>
      </c>
    </row>
    <row r="723" spans="1:33" x14ac:dyDescent="0.25">
      <c r="A723" s="12" t="s">
        <v>31</v>
      </c>
      <c r="B723" s="9">
        <v>46182</v>
      </c>
      <c r="C723" s="10" t="s">
        <v>1156</v>
      </c>
      <c r="D723" s="10" t="s">
        <v>1157</v>
      </c>
      <c r="E723" s="10" t="s">
        <v>51</v>
      </c>
      <c r="F723" s="10" t="s">
        <v>35</v>
      </c>
      <c r="G723" s="10" t="s">
        <v>3146</v>
      </c>
      <c r="H723" s="8" t="s">
        <v>36</v>
      </c>
      <c r="I723" s="11">
        <v>32.299999999999997</v>
      </c>
      <c r="J723" s="6">
        <v>29.6191</v>
      </c>
      <c r="K723" s="6">
        <v>0.91700000000000004</v>
      </c>
      <c r="L723" s="6">
        <v>30.57</v>
      </c>
      <c r="M723" s="11">
        <v>28.032689999999999</v>
      </c>
      <c r="N723" s="11">
        <f t="shared" si="44"/>
        <v>28.033000000000001</v>
      </c>
      <c r="O723" s="6">
        <v>0.91699999999999993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1.73</v>
      </c>
      <c r="Z723" s="6">
        <v>1.5864100000000001</v>
      </c>
      <c r="AA723" s="6">
        <v>0.91700000000000004</v>
      </c>
      <c r="AB723" s="6">
        <v>-1.7299999999999969</v>
      </c>
      <c r="AC723" s="6">
        <v>1.7299999999999969</v>
      </c>
      <c r="AD723" s="22" t="s">
        <v>3140</v>
      </c>
      <c r="AE723" s="23">
        <f t="shared" si="45"/>
        <v>28.033000000000001</v>
      </c>
      <c r="AF723" s="24">
        <f t="shared" si="46"/>
        <v>0</v>
      </c>
      <c r="AG723" s="23">
        <f t="shared" si="47"/>
        <v>1</v>
      </c>
    </row>
    <row r="724" spans="1:33" hidden="1" x14ac:dyDescent="0.25">
      <c r="A724" s="12" t="s">
        <v>31</v>
      </c>
      <c r="B724" s="9">
        <v>46182</v>
      </c>
      <c r="C724" s="10" t="s">
        <v>1158</v>
      </c>
      <c r="D724" s="10" t="s">
        <v>1159</v>
      </c>
      <c r="E724" s="10" t="s">
        <v>51</v>
      </c>
      <c r="F724" s="10" t="s">
        <v>35</v>
      </c>
      <c r="G724" s="10" t="s">
        <v>3145</v>
      </c>
      <c r="H724" s="8" t="s">
        <v>41</v>
      </c>
      <c r="I724" s="11">
        <v>5.41</v>
      </c>
      <c r="J724" s="6">
        <v>4.0575000000000001</v>
      </c>
      <c r="K724" s="6">
        <v>0.75</v>
      </c>
      <c r="L724" s="6">
        <v>5.33</v>
      </c>
      <c r="M724" s="11">
        <v>3.9975000000000001</v>
      </c>
      <c r="N724" s="11">
        <f t="shared" si="44"/>
        <v>3.9979999999999998</v>
      </c>
      <c r="O724" s="6">
        <v>0.75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0.08</v>
      </c>
      <c r="Z724" s="6">
        <v>0.06</v>
      </c>
      <c r="AA724" s="6">
        <v>0.75</v>
      </c>
      <c r="AB724" s="6">
        <v>-8.0000000000000071E-2</v>
      </c>
      <c r="AC724" s="6">
        <v>8.0000000000000071E-2</v>
      </c>
      <c r="AD724" s="22" t="s">
        <v>3140</v>
      </c>
      <c r="AE724" s="23">
        <f t="shared" si="45"/>
        <v>3.9979999999999998</v>
      </c>
      <c r="AF724" s="24">
        <f t="shared" si="46"/>
        <v>0</v>
      </c>
      <c r="AG724" s="23">
        <f t="shared" si="47"/>
        <v>1</v>
      </c>
    </row>
    <row r="725" spans="1:33" ht="20" hidden="1" customHeight="1" x14ac:dyDescent="0.25">
      <c r="A725" s="12" t="s">
        <v>31</v>
      </c>
      <c r="B725" s="9">
        <v>46182</v>
      </c>
      <c r="C725" s="10" t="s">
        <v>1160</v>
      </c>
      <c r="D725" s="10" t="s">
        <v>1161</v>
      </c>
      <c r="E725" s="10" t="s">
        <v>51</v>
      </c>
      <c r="F725" s="10" t="s">
        <v>35</v>
      </c>
      <c r="G725" s="10" t="s">
        <v>3145</v>
      </c>
      <c r="H725" s="8" t="s">
        <v>48</v>
      </c>
      <c r="I725" s="11">
        <v>20.8</v>
      </c>
      <c r="J725" s="6">
        <v>15.6</v>
      </c>
      <c r="K725" s="6">
        <v>0.75</v>
      </c>
      <c r="L725" s="6">
        <v>19.2</v>
      </c>
      <c r="M725" s="11">
        <v>14.4</v>
      </c>
      <c r="N725" s="11">
        <f t="shared" si="44"/>
        <v>14.4</v>
      </c>
      <c r="O725" s="6">
        <v>0.75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1.6</v>
      </c>
      <c r="Z725" s="6">
        <v>1.2</v>
      </c>
      <c r="AA725" s="6">
        <v>0.74999999999999989</v>
      </c>
      <c r="AB725" s="6">
        <v>-1.6000000000000014</v>
      </c>
      <c r="AC725" s="6">
        <v>1.6000000000000014</v>
      </c>
      <c r="AD725" s="23" t="s">
        <v>3143</v>
      </c>
      <c r="AE725" s="23">
        <f t="shared" si="45"/>
        <v>13.103</v>
      </c>
      <c r="AF725" s="24">
        <f t="shared" si="46"/>
        <v>1.2970000000000006</v>
      </c>
      <c r="AG725" s="23">
        <f t="shared" si="47"/>
        <v>2</v>
      </c>
    </row>
    <row r="726" spans="1:33" ht="20" hidden="1" customHeight="1" x14ac:dyDescent="0.25">
      <c r="A726" s="12" t="s">
        <v>31</v>
      </c>
      <c r="B726" s="9">
        <v>46182</v>
      </c>
      <c r="C726" s="10" t="s">
        <v>1162</v>
      </c>
      <c r="D726" s="10" t="s">
        <v>1163</v>
      </c>
      <c r="E726" s="10" t="s">
        <v>51</v>
      </c>
      <c r="F726" s="10" t="s">
        <v>35</v>
      </c>
      <c r="G726" s="10" t="s">
        <v>3145</v>
      </c>
      <c r="H726" s="8" t="s">
        <v>48</v>
      </c>
      <c r="I726" s="11">
        <v>16.350000000000001</v>
      </c>
      <c r="J726" s="6">
        <v>12.262499999999999</v>
      </c>
      <c r="K726" s="6">
        <v>0.74999999999999989</v>
      </c>
      <c r="L726" s="6">
        <v>14.67</v>
      </c>
      <c r="M726" s="11">
        <v>11.0025</v>
      </c>
      <c r="N726" s="11">
        <f t="shared" si="44"/>
        <v>11.003</v>
      </c>
      <c r="O726" s="6">
        <v>0.75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1.68</v>
      </c>
      <c r="Z726" s="6">
        <v>1.26</v>
      </c>
      <c r="AA726" s="6">
        <v>0.75</v>
      </c>
      <c r="AB726" s="6">
        <v>-1.6800000000000015</v>
      </c>
      <c r="AC726" s="6">
        <v>1.6800000000000015</v>
      </c>
      <c r="AD726" s="22" t="s">
        <v>3140</v>
      </c>
      <c r="AE726" s="23">
        <f t="shared" si="45"/>
        <v>11.003</v>
      </c>
      <c r="AF726" s="24">
        <f t="shared" si="46"/>
        <v>0</v>
      </c>
      <c r="AG726" s="23">
        <f t="shared" si="47"/>
        <v>1</v>
      </c>
    </row>
    <row r="727" spans="1:33" ht="20" hidden="1" customHeight="1" x14ac:dyDescent="0.25">
      <c r="A727" s="12" t="s">
        <v>31</v>
      </c>
      <c r="B727" s="9">
        <v>46182</v>
      </c>
      <c r="C727" s="10" t="s">
        <v>1164</v>
      </c>
      <c r="D727" s="10" t="s">
        <v>1165</v>
      </c>
      <c r="E727" s="10" t="s">
        <v>51</v>
      </c>
      <c r="F727" s="10" t="s">
        <v>35</v>
      </c>
      <c r="G727" s="10" t="s">
        <v>3145</v>
      </c>
      <c r="H727" s="8" t="s">
        <v>48</v>
      </c>
      <c r="I727" s="11">
        <v>29.16</v>
      </c>
      <c r="J727" s="6">
        <v>21.87</v>
      </c>
      <c r="K727" s="6">
        <v>0.75</v>
      </c>
      <c r="L727" s="6">
        <v>26.43</v>
      </c>
      <c r="M727" s="11">
        <v>19.822500000000002</v>
      </c>
      <c r="N727" s="11">
        <f t="shared" si="44"/>
        <v>19.823</v>
      </c>
      <c r="O727" s="6">
        <v>0.75000000000000011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2.73</v>
      </c>
      <c r="Z727" s="6">
        <v>2.0474999999999999</v>
      </c>
      <c r="AA727" s="6">
        <v>0.75</v>
      </c>
      <c r="AB727" s="6">
        <v>-2.7300000000000004</v>
      </c>
      <c r="AC727" s="6">
        <v>2.7300000000000004</v>
      </c>
      <c r="AD727" s="22" t="s">
        <v>3140</v>
      </c>
      <c r="AE727" s="23">
        <f t="shared" si="45"/>
        <v>19.823</v>
      </c>
      <c r="AF727" s="24">
        <f t="shared" si="46"/>
        <v>0</v>
      </c>
      <c r="AG727" s="23">
        <f t="shared" si="47"/>
        <v>1</v>
      </c>
    </row>
    <row r="728" spans="1:33" x14ac:dyDescent="0.25">
      <c r="A728" s="12" t="s">
        <v>31</v>
      </c>
      <c r="B728" s="9">
        <v>46182</v>
      </c>
      <c r="C728" s="10" t="s">
        <v>1166</v>
      </c>
      <c r="D728" s="10" t="s">
        <v>513</v>
      </c>
      <c r="E728" s="10" t="s">
        <v>51</v>
      </c>
      <c r="F728" s="10" t="s">
        <v>35</v>
      </c>
      <c r="G728" s="10" t="s">
        <v>3146</v>
      </c>
      <c r="H728" s="8" t="s">
        <v>36</v>
      </c>
      <c r="I728" s="11">
        <v>6.6210000000000004</v>
      </c>
      <c r="J728" s="6">
        <v>6.0714569999999997</v>
      </c>
      <c r="K728" s="6">
        <v>0.91699999999999993</v>
      </c>
      <c r="L728" s="6">
        <v>6.5810000000000004</v>
      </c>
      <c r="M728" s="11">
        <v>6.0347770000000001</v>
      </c>
      <c r="N728" s="11">
        <f t="shared" si="44"/>
        <v>6.0350000000000001</v>
      </c>
      <c r="O728" s="6">
        <v>0.91699999999999993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0.04</v>
      </c>
      <c r="Z728" s="6">
        <v>3.6679999999999997E-2</v>
      </c>
      <c r="AA728" s="6">
        <v>0.91699999999999993</v>
      </c>
      <c r="AB728" s="6">
        <v>-4.0000000000000036E-2</v>
      </c>
      <c r="AC728" s="6">
        <v>4.0000000000000036E-2</v>
      </c>
      <c r="AD728" s="23" t="s">
        <v>3143</v>
      </c>
      <c r="AE728" s="23">
        <f t="shared" si="45"/>
        <v>5.3010000000000002</v>
      </c>
      <c r="AF728" s="24">
        <f t="shared" si="46"/>
        <v>0.73399999999999999</v>
      </c>
      <c r="AG728" s="23">
        <f t="shared" si="47"/>
        <v>2</v>
      </c>
    </row>
    <row r="729" spans="1:33" x14ac:dyDescent="0.25">
      <c r="A729" s="12" t="s">
        <v>31</v>
      </c>
      <c r="B729" s="9">
        <v>46182</v>
      </c>
      <c r="C729" s="10" t="s">
        <v>1167</v>
      </c>
      <c r="D729" s="10" t="s">
        <v>1168</v>
      </c>
      <c r="E729" s="10" t="s">
        <v>51</v>
      </c>
      <c r="F729" s="10" t="s">
        <v>35</v>
      </c>
      <c r="G729" s="10" t="s">
        <v>3146</v>
      </c>
      <c r="H729" s="8" t="s">
        <v>36</v>
      </c>
      <c r="I729" s="11">
        <v>18.940000000000001</v>
      </c>
      <c r="J729" s="6">
        <v>17.367979999999999</v>
      </c>
      <c r="K729" s="6">
        <v>0.91699999999999993</v>
      </c>
      <c r="L729" s="6">
        <v>17.62</v>
      </c>
      <c r="M729" s="11">
        <v>16.157540000000001</v>
      </c>
      <c r="N729" s="11">
        <f t="shared" si="44"/>
        <v>16.158000000000001</v>
      </c>
      <c r="O729" s="6">
        <v>0.91700000000000004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1.32</v>
      </c>
      <c r="Z729" s="6">
        <v>1.21044</v>
      </c>
      <c r="AA729" s="6">
        <v>0.91699999999999993</v>
      </c>
      <c r="AB729" s="6">
        <v>-1.3200000000000003</v>
      </c>
      <c r="AC729" s="6">
        <v>1.3200000000000003</v>
      </c>
      <c r="AD729" s="23" t="s">
        <v>3143</v>
      </c>
      <c r="AE729" s="23">
        <f t="shared" si="45"/>
        <v>14.324</v>
      </c>
      <c r="AF729" s="24">
        <f t="shared" si="46"/>
        <v>1.8340000000000014</v>
      </c>
      <c r="AG729" s="23">
        <f t="shared" si="47"/>
        <v>2</v>
      </c>
    </row>
    <row r="730" spans="1:33" x14ac:dyDescent="0.25">
      <c r="A730" s="12" t="s">
        <v>31</v>
      </c>
      <c r="B730" s="9">
        <v>46182</v>
      </c>
      <c r="C730" s="10" t="s">
        <v>1169</v>
      </c>
      <c r="D730" s="10" t="s">
        <v>1170</v>
      </c>
      <c r="E730" s="10" t="s">
        <v>51</v>
      </c>
      <c r="F730" s="10" t="s">
        <v>35</v>
      </c>
      <c r="G730" s="10" t="s">
        <v>3146</v>
      </c>
      <c r="H730" s="8" t="s">
        <v>36</v>
      </c>
      <c r="I730" s="11">
        <v>27.17</v>
      </c>
      <c r="J730" s="6">
        <v>24.91489</v>
      </c>
      <c r="K730" s="6">
        <v>0.91699999999999993</v>
      </c>
      <c r="L730" s="6">
        <v>24.29</v>
      </c>
      <c r="M730" s="11">
        <v>22.27393</v>
      </c>
      <c r="N730" s="11">
        <f t="shared" si="44"/>
        <v>22.274000000000001</v>
      </c>
      <c r="O730" s="6">
        <v>0.91700000000000004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2.88</v>
      </c>
      <c r="Z730" s="6">
        <v>2.6409600000000002</v>
      </c>
      <c r="AA730" s="6">
        <v>0.91700000000000015</v>
      </c>
      <c r="AB730" s="6">
        <v>-2.8800000000000026</v>
      </c>
      <c r="AC730" s="6">
        <v>2.8800000000000026</v>
      </c>
      <c r="AD730" s="22" t="s">
        <v>3140</v>
      </c>
      <c r="AE730" s="23">
        <f t="shared" si="45"/>
        <v>22.274000000000001</v>
      </c>
      <c r="AF730" s="24">
        <f t="shared" si="46"/>
        <v>0</v>
      </c>
      <c r="AG730" s="23">
        <f t="shared" si="47"/>
        <v>3</v>
      </c>
    </row>
    <row r="731" spans="1:33" ht="20" hidden="1" customHeight="1" x14ac:dyDescent="0.25">
      <c r="A731" s="12" t="s">
        <v>31</v>
      </c>
      <c r="B731" s="9">
        <v>46182</v>
      </c>
      <c r="C731" s="10" t="s">
        <v>1171</v>
      </c>
      <c r="D731" s="10" t="s">
        <v>1172</v>
      </c>
      <c r="E731" s="10" t="s">
        <v>51</v>
      </c>
      <c r="F731" s="10" t="s">
        <v>35</v>
      </c>
      <c r="G731" s="10" t="s">
        <v>3145</v>
      </c>
      <c r="H731" s="8" t="s">
        <v>48</v>
      </c>
      <c r="I731" s="11">
        <v>59.22</v>
      </c>
      <c r="J731" s="6">
        <v>44.414999999999999</v>
      </c>
      <c r="K731" s="6">
        <v>0.75</v>
      </c>
      <c r="L731" s="6">
        <v>50.96</v>
      </c>
      <c r="M731" s="11">
        <v>38.22</v>
      </c>
      <c r="N731" s="11">
        <f t="shared" si="44"/>
        <v>38.22</v>
      </c>
      <c r="O731" s="6">
        <v>0.75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8.26</v>
      </c>
      <c r="Z731" s="6">
        <v>6.1950000000000003</v>
      </c>
      <c r="AA731" s="6">
        <v>0.75</v>
      </c>
      <c r="AB731" s="6">
        <v>-8.259999999999998</v>
      </c>
      <c r="AC731" s="6">
        <v>8.259999999999998</v>
      </c>
      <c r="AD731" s="22" t="s">
        <v>3140</v>
      </c>
      <c r="AE731" s="23">
        <f t="shared" si="45"/>
        <v>38.22</v>
      </c>
      <c r="AF731" s="24">
        <f t="shared" si="46"/>
        <v>0</v>
      </c>
      <c r="AG731" s="23">
        <f t="shared" si="47"/>
        <v>1</v>
      </c>
    </row>
    <row r="732" spans="1:33" ht="20" hidden="1" customHeight="1" x14ac:dyDescent="0.25">
      <c r="A732" s="12" t="s">
        <v>31</v>
      </c>
      <c r="B732" s="9">
        <v>46182</v>
      </c>
      <c r="C732" s="10" t="s">
        <v>1173</v>
      </c>
      <c r="D732" s="10" t="s">
        <v>1174</v>
      </c>
      <c r="E732" s="10" t="s">
        <v>51</v>
      </c>
      <c r="F732" s="10" t="s">
        <v>35</v>
      </c>
      <c r="G732" s="10" t="s">
        <v>3145</v>
      </c>
      <c r="H732" s="8" t="s">
        <v>48</v>
      </c>
      <c r="I732" s="11">
        <v>26.53</v>
      </c>
      <c r="J732" s="6">
        <v>19.897500000000001</v>
      </c>
      <c r="K732" s="6">
        <v>0.75</v>
      </c>
      <c r="L732" s="6">
        <v>26.46</v>
      </c>
      <c r="M732" s="11">
        <v>19.844999999999999</v>
      </c>
      <c r="N732" s="11">
        <f t="shared" si="44"/>
        <v>19.844999999999999</v>
      </c>
      <c r="O732" s="6">
        <v>0.74999999999999989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7.0000000000000007E-2</v>
      </c>
      <c r="Z732" s="6">
        <v>5.2499999999999998E-2</v>
      </c>
      <c r="AA732" s="6">
        <v>0.74999999999999989</v>
      </c>
      <c r="AB732" s="6">
        <v>-7.0000000000000284E-2</v>
      </c>
      <c r="AC732" s="6">
        <v>7.0000000000000284E-2</v>
      </c>
      <c r="AD732" s="22" t="s">
        <v>3140</v>
      </c>
      <c r="AE732" s="23">
        <f t="shared" si="45"/>
        <v>19.844999999999999</v>
      </c>
      <c r="AF732" s="24">
        <f t="shared" si="46"/>
        <v>0</v>
      </c>
      <c r="AG732" s="23">
        <f t="shared" si="47"/>
        <v>1</v>
      </c>
    </row>
    <row r="733" spans="1:33" ht="20" hidden="1" customHeight="1" x14ac:dyDescent="0.25">
      <c r="A733" s="12" t="s">
        <v>31</v>
      </c>
      <c r="B733" s="9">
        <v>46182</v>
      </c>
      <c r="C733" s="10" t="s">
        <v>1175</v>
      </c>
      <c r="D733" s="10" t="s">
        <v>1176</v>
      </c>
      <c r="E733" s="10" t="s">
        <v>51</v>
      </c>
      <c r="F733" s="10" t="s">
        <v>35</v>
      </c>
      <c r="G733" s="10" t="s">
        <v>3145</v>
      </c>
      <c r="H733" s="8" t="s">
        <v>48</v>
      </c>
      <c r="I733" s="11">
        <v>61.71</v>
      </c>
      <c r="J733" s="6">
        <v>46.282499999999999</v>
      </c>
      <c r="K733" s="6">
        <v>0.75</v>
      </c>
      <c r="L733" s="6">
        <v>61.57</v>
      </c>
      <c r="M733" s="11">
        <v>46.177500000000002</v>
      </c>
      <c r="N733" s="11">
        <f t="shared" si="44"/>
        <v>46.177999999999997</v>
      </c>
      <c r="O733" s="6">
        <v>0.75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0.14000000000000001</v>
      </c>
      <c r="Z733" s="6">
        <v>0.105</v>
      </c>
      <c r="AA733" s="6">
        <v>0.74999999999999989</v>
      </c>
      <c r="AB733" s="6">
        <v>-0.14000000000000057</v>
      </c>
      <c r="AC733" s="6">
        <v>0.14000000000000057</v>
      </c>
      <c r="AD733" s="22" t="s">
        <v>3140</v>
      </c>
      <c r="AE733" s="23">
        <f t="shared" si="45"/>
        <v>46.177999999999997</v>
      </c>
      <c r="AF733" s="24">
        <f t="shared" si="46"/>
        <v>0</v>
      </c>
      <c r="AG733" s="23">
        <f t="shared" si="47"/>
        <v>1</v>
      </c>
    </row>
    <row r="734" spans="1:33" ht="20" hidden="1" customHeight="1" x14ac:dyDescent="0.25">
      <c r="A734" s="12" t="s">
        <v>31</v>
      </c>
      <c r="B734" s="9">
        <v>46182</v>
      </c>
      <c r="C734" s="10" t="s">
        <v>1177</v>
      </c>
      <c r="D734" s="10" t="s">
        <v>1178</v>
      </c>
      <c r="E734" s="10" t="s">
        <v>51</v>
      </c>
      <c r="F734" s="10" t="s">
        <v>35</v>
      </c>
      <c r="G734" s="10" t="s">
        <v>3145</v>
      </c>
      <c r="H734" s="8" t="s">
        <v>48</v>
      </c>
      <c r="I734" s="11">
        <v>57.37</v>
      </c>
      <c r="J734" s="6">
        <v>43.027500000000003</v>
      </c>
      <c r="K734" s="6">
        <v>0.75000000000000011</v>
      </c>
      <c r="L734" s="6">
        <v>57.22</v>
      </c>
      <c r="M734" s="11">
        <v>42.914999999999999</v>
      </c>
      <c r="N734" s="11">
        <f t="shared" si="44"/>
        <v>42.914999999999999</v>
      </c>
      <c r="O734" s="6">
        <v>0.75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0.15</v>
      </c>
      <c r="Z734" s="6">
        <v>0.1125</v>
      </c>
      <c r="AA734" s="6">
        <v>0.75</v>
      </c>
      <c r="AB734" s="6">
        <v>-0.14999999999999858</v>
      </c>
      <c r="AC734" s="6">
        <v>0.14999999999999858</v>
      </c>
      <c r="AD734" s="22" t="s">
        <v>3140</v>
      </c>
      <c r="AE734" s="23">
        <f t="shared" si="45"/>
        <v>42.914999999999999</v>
      </c>
      <c r="AF734" s="24">
        <f t="shared" si="46"/>
        <v>0</v>
      </c>
      <c r="AG734" s="23">
        <f t="shared" si="47"/>
        <v>1</v>
      </c>
    </row>
    <row r="735" spans="1:33" ht="20" hidden="1" customHeight="1" x14ac:dyDescent="0.25">
      <c r="A735" s="12" t="s">
        <v>31</v>
      </c>
      <c r="B735" s="9">
        <v>46182</v>
      </c>
      <c r="C735" s="10" t="s">
        <v>1179</v>
      </c>
      <c r="D735" s="10" t="s">
        <v>1180</v>
      </c>
      <c r="E735" s="10" t="s">
        <v>51</v>
      </c>
      <c r="F735" s="10" t="s">
        <v>35</v>
      </c>
      <c r="G735" s="10" t="s">
        <v>3145</v>
      </c>
      <c r="H735" s="8" t="s">
        <v>48</v>
      </c>
      <c r="I735" s="11">
        <v>60.75</v>
      </c>
      <c r="J735" s="6">
        <v>45.5625</v>
      </c>
      <c r="K735" s="6">
        <v>0.75</v>
      </c>
      <c r="L735" s="6">
        <v>60.59</v>
      </c>
      <c r="M735" s="11">
        <v>45.442500000000003</v>
      </c>
      <c r="N735" s="11">
        <f t="shared" si="44"/>
        <v>45.442999999999998</v>
      </c>
      <c r="O735" s="6">
        <v>0.75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0.16</v>
      </c>
      <c r="Z735" s="6">
        <v>0.12</v>
      </c>
      <c r="AA735" s="6">
        <v>0.75</v>
      </c>
      <c r="AB735" s="6">
        <v>-0.15999999999999659</v>
      </c>
      <c r="AC735" s="6">
        <v>0.15999999999999659</v>
      </c>
      <c r="AD735" s="22" t="s">
        <v>3140</v>
      </c>
      <c r="AE735" s="23">
        <f t="shared" si="45"/>
        <v>45.442999999999998</v>
      </c>
      <c r="AF735" s="24">
        <f t="shared" si="46"/>
        <v>0</v>
      </c>
      <c r="AG735" s="23">
        <f t="shared" si="47"/>
        <v>1</v>
      </c>
    </row>
    <row r="736" spans="1:33" hidden="1" x14ac:dyDescent="0.25">
      <c r="A736" s="12" t="s">
        <v>31</v>
      </c>
      <c r="B736" s="9">
        <v>46182</v>
      </c>
      <c r="C736" s="10" t="s">
        <v>1181</v>
      </c>
      <c r="D736" s="10" t="s">
        <v>1182</v>
      </c>
      <c r="E736" s="10" t="s">
        <v>51</v>
      </c>
      <c r="F736" s="10" t="s">
        <v>35</v>
      </c>
      <c r="G736" s="10" t="s">
        <v>3145</v>
      </c>
      <c r="H736" s="8" t="s">
        <v>41</v>
      </c>
      <c r="I736" s="11">
        <v>8.67</v>
      </c>
      <c r="J736" s="6">
        <v>6.5025000000000004</v>
      </c>
      <c r="K736" s="6">
        <v>0.75</v>
      </c>
      <c r="L736" s="6">
        <v>8.42</v>
      </c>
      <c r="M736" s="11">
        <v>6.3150000000000004</v>
      </c>
      <c r="N736" s="11">
        <f t="shared" si="44"/>
        <v>6.3150000000000004</v>
      </c>
      <c r="O736" s="6">
        <v>0.75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0.25</v>
      </c>
      <c r="Z736" s="6">
        <v>0.1875</v>
      </c>
      <c r="AA736" s="6">
        <v>0.75</v>
      </c>
      <c r="AB736" s="6">
        <v>-0.25</v>
      </c>
      <c r="AC736" s="6">
        <v>0.25</v>
      </c>
      <c r="AD736" s="22" t="s">
        <v>3140</v>
      </c>
      <c r="AE736" s="23">
        <f t="shared" si="45"/>
        <v>6.3150000000000004</v>
      </c>
      <c r="AF736" s="24">
        <f t="shared" si="46"/>
        <v>0</v>
      </c>
      <c r="AG736" s="23">
        <f t="shared" si="47"/>
        <v>1</v>
      </c>
    </row>
    <row r="737" spans="1:33" hidden="1" x14ac:dyDescent="0.25">
      <c r="A737" s="12" t="s">
        <v>31</v>
      </c>
      <c r="B737" s="9">
        <v>46182</v>
      </c>
      <c r="C737" s="10" t="s">
        <v>1183</v>
      </c>
      <c r="D737" s="10" t="s">
        <v>1184</v>
      </c>
      <c r="E737" s="10" t="s">
        <v>51</v>
      </c>
      <c r="F737" s="10" t="s">
        <v>35</v>
      </c>
      <c r="G737" s="10" t="s">
        <v>3145</v>
      </c>
      <c r="H737" s="8" t="s">
        <v>41</v>
      </c>
      <c r="I737" s="11">
        <v>22.68</v>
      </c>
      <c r="J737" s="6">
        <v>17.010000000000002</v>
      </c>
      <c r="K737" s="6">
        <v>0.75000000000000011</v>
      </c>
      <c r="L737" s="6">
        <v>21.77</v>
      </c>
      <c r="M737" s="11">
        <v>16.327500000000001</v>
      </c>
      <c r="N737" s="11">
        <f t="shared" si="44"/>
        <v>16.328000000000003</v>
      </c>
      <c r="O737" s="6">
        <v>0.75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0.91</v>
      </c>
      <c r="Z737" s="6">
        <v>0.6825</v>
      </c>
      <c r="AA737" s="6">
        <v>0.75</v>
      </c>
      <c r="AB737" s="6">
        <v>-0.91000000000000014</v>
      </c>
      <c r="AC737" s="6">
        <v>0.91000000000000014</v>
      </c>
      <c r="AD737" s="22" t="s">
        <v>3140</v>
      </c>
      <c r="AE737" s="23">
        <f t="shared" si="45"/>
        <v>16.328000000000003</v>
      </c>
      <c r="AF737" s="24">
        <f t="shared" si="46"/>
        <v>0</v>
      </c>
      <c r="AG737" s="23">
        <f t="shared" si="47"/>
        <v>1</v>
      </c>
    </row>
    <row r="738" spans="1:33" ht="20" hidden="1" customHeight="1" x14ac:dyDescent="0.25">
      <c r="A738" s="12" t="s">
        <v>31</v>
      </c>
      <c r="B738" s="9">
        <v>46182</v>
      </c>
      <c r="C738" s="10" t="s">
        <v>1185</v>
      </c>
      <c r="D738" s="10" t="s">
        <v>1186</v>
      </c>
      <c r="E738" s="10" t="s">
        <v>51</v>
      </c>
      <c r="F738" s="10" t="s">
        <v>35</v>
      </c>
      <c r="G738" s="10" t="s">
        <v>3145</v>
      </c>
      <c r="H738" s="8" t="s">
        <v>48</v>
      </c>
      <c r="I738" s="11">
        <v>18.22</v>
      </c>
      <c r="J738" s="6">
        <v>13.664999999999999</v>
      </c>
      <c r="K738" s="6">
        <v>0.75</v>
      </c>
      <c r="L738" s="6">
        <v>17.3</v>
      </c>
      <c r="M738" s="11">
        <v>12.975</v>
      </c>
      <c r="N738" s="11">
        <f t="shared" si="44"/>
        <v>12.975</v>
      </c>
      <c r="O738" s="6">
        <v>0.75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0.92</v>
      </c>
      <c r="Z738" s="6">
        <v>0.69</v>
      </c>
      <c r="AA738" s="6">
        <v>0.74999999999999989</v>
      </c>
      <c r="AB738" s="6">
        <v>-0.91999999999999815</v>
      </c>
      <c r="AC738" s="6">
        <v>0.91999999999999815</v>
      </c>
      <c r="AD738" s="22" t="s">
        <v>3140</v>
      </c>
      <c r="AE738" s="23">
        <f t="shared" si="45"/>
        <v>12.975</v>
      </c>
      <c r="AF738" s="24">
        <f t="shared" si="46"/>
        <v>0</v>
      </c>
      <c r="AG738" s="23">
        <f t="shared" si="47"/>
        <v>1</v>
      </c>
    </row>
    <row r="739" spans="1:33" x14ac:dyDescent="0.25">
      <c r="A739" s="12" t="s">
        <v>31</v>
      </c>
      <c r="B739" s="9">
        <v>46182</v>
      </c>
      <c r="C739" s="10" t="s">
        <v>1187</v>
      </c>
      <c r="D739" s="10" t="s">
        <v>1188</v>
      </c>
      <c r="E739" s="10" t="s">
        <v>51</v>
      </c>
      <c r="F739" s="10" t="s">
        <v>35</v>
      </c>
      <c r="G739" s="10" t="s">
        <v>3146</v>
      </c>
      <c r="H739" s="8" t="s">
        <v>36</v>
      </c>
      <c r="I739" s="11">
        <v>23.67</v>
      </c>
      <c r="J739" s="6">
        <v>21.705390000000001</v>
      </c>
      <c r="K739" s="6">
        <v>0.91700000000000004</v>
      </c>
      <c r="L739" s="6">
        <v>22.21</v>
      </c>
      <c r="M739" s="11">
        <v>20.366569999999999</v>
      </c>
      <c r="N739" s="11">
        <f t="shared" si="44"/>
        <v>20.367000000000001</v>
      </c>
      <c r="O739" s="6">
        <v>0.91699999999999993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1.46</v>
      </c>
      <c r="Z739" s="6">
        <v>1.3388199999999999</v>
      </c>
      <c r="AA739" s="6">
        <v>0.91699999999999993</v>
      </c>
      <c r="AB739" s="6">
        <v>-1.4600000000000009</v>
      </c>
      <c r="AC739" s="6">
        <v>1.4600000000000009</v>
      </c>
      <c r="AD739" s="22" t="s">
        <v>3140</v>
      </c>
      <c r="AE739" s="23">
        <f t="shared" si="45"/>
        <v>20.367000000000001</v>
      </c>
      <c r="AF739" s="24">
        <f t="shared" si="46"/>
        <v>0</v>
      </c>
      <c r="AG739" s="23">
        <f t="shared" si="47"/>
        <v>1</v>
      </c>
    </row>
    <row r="740" spans="1:33" ht="20" hidden="1" customHeight="1" x14ac:dyDescent="0.25">
      <c r="A740" s="12" t="s">
        <v>31</v>
      </c>
      <c r="B740" s="9">
        <v>46182</v>
      </c>
      <c r="C740" s="10" t="s">
        <v>1189</v>
      </c>
      <c r="D740" s="10" t="s">
        <v>1190</v>
      </c>
      <c r="E740" s="10" t="s">
        <v>51</v>
      </c>
      <c r="F740" s="10" t="s">
        <v>35</v>
      </c>
      <c r="G740" s="10" t="s">
        <v>3145</v>
      </c>
      <c r="H740" s="8" t="s">
        <v>48</v>
      </c>
      <c r="I740" s="11">
        <v>20.010000000000002</v>
      </c>
      <c r="J740" s="6">
        <v>15.0075</v>
      </c>
      <c r="K740" s="6">
        <v>0.75</v>
      </c>
      <c r="L740" s="6">
        <v>15.63</v>
      </c>
      <c r="M740" s="11">
        <v>11.7225</v>
      </c>
      <c r="N740" s="11">
        <f t="shared" si="44"/>
        <v>11.722999999999999</v>
      </c>
      <c r="O740" s="6">
        <v>0.75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4.38</v>
      </c>
      <c r="Z740" s="6">
        <v>3.2850000000000001</v>
      </c>
      <c r="AA740" s="6">
        <v>0.75</v>
      </c>
      <c r="AB740" s="6">
        <v>-4.3800000000000008</v>
      </c>
      <c r="AC740" s="6">
        <v>4.3800000000000008</v>
      </c>
      <c r="AD740" s="22" t="s">
        <v>3140</v>
      </c>
      <c r="AE740" s="23">
        <f t="shared" si="45"/>
        <v>11.722999999999999</v>
      </c>
      <c r="AF740" s="24">
        <f t="shared" si="46"/>
        <v>0</v>
      </c>
      <c r="AG740" s="23">
        <f t="shared" si="47"/>
        <v>1</v>
      </c>
    </row>
    <row r="741" spans="1:33" ht="20" hidden="1" customHeight="1" x14ac:dyDescent="0.25">
      <c r="A741" s="12" t="s">
        <v>31</v>
      </c>
      <c r="B741" s="9">
        <v>46182</v>
      </c>
      <c r="C741" s="10" t="s">
        <v>1191</v>
      </c>
      <c r="D741" s="10" t="s">
        <v>1192</v>
      </c>
      <c r="E741" s="10" t="s">
        <v>51</v>
      </c>
      <c r="F741" s="10" t="s">
        <v>35</v>
      </c>
      <c r="G741" s="10" t="s">
        <v>3145</v>
      </c>
      <c r="H741" s="8" t="s">
        <v>48</v>
      </c>
      <c r="I741" s="11">
        <v>40.25</v>
      </c>
      <c r="J741" s="6">
        <v>30.1875</v>
      </c>
      <c r="K741" s="6">
        <v>0.75</v>
      </c>
      <c r="L741" s="6">
        <v>35.51</v>
      </c>
      <c r="M741" s="11">
        <v>26.6325</v>
      </c>
      <c r="N741" s="11">
        <f t="shared" si="44"/>
        <v>26.633000000000003</v>
      </c>
      <c r="O741" s="6">
        <v>0.75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4.74</v>
      </c>
      <c r="Z741" s="6">
        <v>3.5550000000000002</v>
      </c>
      <c r="AA741" s="6">
        <v>0.75</v>
      </c>
      <c r="AB741" s="6">
        <v>-4.740000000000002</v>
      </c>
      <c r="AC741" s="6">
        <v>4.740000000000002</v>
      </c>
      <c r="AD741" s="23" t="s">
        <v>3143</v>
      </c>
      <c r="AE741" s="23">
        <f t="shared" si="45"/>
        <v>24.344999999999999</v>
      </c>
      <c r="AF741" s="24">
        <f t="shared" si="46"/>
        <v>2.2880000000000038</v>
      </c>
      <c r="AG741" s="23">
        <f t="shared" si="47"/>
        <v>2</v>
      </c>
    </row>
    <row r="742" spans="1:33" hidden="1" x14ac:dyDescent="0.25">
      <c r="A742" s="12" t="s">
        <v>31</v>
      </c>
      <c r="B742" s="9">
        <v>46182</v>
      </c>
      <c r="C742" s="10" t="s">
        <v>1193</v>
      </c>
      <c r="D742" s="10" t="s">
        <v>1194</v>
      </c>
      <c r="E742" s="10" t="s">
        <v>51</v>
      </c>
      <c r="F742" s="10" t="s">
        <v>35</v>
      </c>
      <c r="G742" s="10" t="s">
        <v>3145</v>
      </c>
      <c r="H742" s="8" t="s">
        <v>41</v>
      </c>
      <c r="I742" s="11">
        <v>6.96</v>
      </c>
      <c r="J742" s="6">
        <v>5.22</v>
      </c>
      <c r="K742" s="6">
        <v>0.75</v>
      </c>
      <c r="L742" s="6">
        <v>6.71</v>
      </c>
      <c r="M742" s="11">
        <v>5.0324999999999998</v>
      </c>
      <c r="N742" s="11">
        <f t="shared" si="44"/>
        <v>5.0330000000000004</v>
      </c>
      <c r="O742" s="6">
        <v>0.75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0.25</v>
      </c>
      <c r="Z742" s="6">
        <v>0.1875</v>
      </c>
      <c r="AA742" s="6">
        <v>0.75</v>
      </c>
      <c r="AB742" s="6">
        <v>-0.25</v>
      </c>
      <c r="AC742" s="6">
        <v>0.25</v>
      </c>
      <c r="AD742" s="22" t="s">
        <v>3140</v>
      </c>
      <c r="AE742" s="23">
        <f t="shared" si="45"/>
        <v>5.0330000000000004</v>
      </c>
      <c r="AF742" s="24">
        <f t="shared" si="46"/>
        <v>0</v>
      </c>
      <c r="AG742" s="23">
        <f t="shared" si="47"/>
        <v>1</v>
      </c>
    </row>
    <row r="743" spans="1:33" ht="20" hidden="1" customHeight="1" x14ac:dyDescent="0.25">
      <c r="A743" s="12" t="s">
        <v>31</v>
      </c>
      <c r="B743" s="9">
        <v>46182</v>
      </c>
      <c r="C743" s="10" t="s">
        <v>1195</v>
      </c>
      <c r="D743" s="10" t="s">
        <v>1196</v>
      </c>
      <c r="E743" s="10" t="s">
        <v>51</v>
      </c>
      <c r="F743" s="10" t="s">
        <v>35</v>
      </c>
      <c r="G743" s="10" t="s">
        <v>3145</v>
      </c>
      <c r="H743" s="8" t="s">
        <v>48</v>
      </c>
      <c r="I743" s="11">
        <v>67.61</v>
      </c>
      <c r="J743" s="6">
        <v>50.707500000000003</v>
      </c>
      <c r="K743" s="6">
        <v>0.75</v>
      </c>
      <c r="L743" s="6">
        <v>59.54</v>
      </c>
      <c r="M743" s="11">
        <v>44.655000000000001</v>
      </c>
      <c r="N743" s="11">
        <f t="shared" si="44"/>
        <v>44.655000000000001</v>
      </c>
      <c r="O743" s="6">
        <v>0.75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8.07</v>
      </c>
      <c r="Z743" s="6">
        <v>6.0525000000000002</v>
      </c>
      <c r="AA743" s="6">
        <v>0.75</v>
      </c>
      <c r="AB743" s="6">
        <v>-8.07</v>
      </c>
      <c r="AC743" s="6">
        <v>8.07</v>
      </c>
      <c r="AD743" s="22" t="s">
        <v>3140</v>
      </c>
      <c r="AE743" s="23">
        <f t="shared" si="45"/>
        <v>44.655000000000001</v>
      </c>
      <c r="AF743" s="24">
        <f t="shared" si="46"/>
        <v>0</v>
      </c>
      <c r="AG743" s="23">
        <f t="shared" si="47"/>
        <v>1</v>
      </c>
    </row>
    <row r="744" spans="1:33" ht="20" hidden="1" customHeight="1" x14ac:dyDescent="0.25">
      <c r="A744" s="12" t="s">
        <v>31</v>
      </c>
      <c r="B744" s="9">
        <v>46182</v>
      </c>
      <c r="C744" s="10" t="s">
        <v>1197</v>
      </c>
      <c r="D744" s="10" t="s">
        <v>916</v>
      </c>
      <c r="E744" s="10" t="s">
        <v>51</v>
      </c>
      <c r="F744" s="10" t="s">
        <v>35</v>
      </c>
      <c r="G744" s="10" t="s">
        <v>3145</v>
      </c>
      <c r="H744" s="8" t="s">
        <v>48</v>
      </c>
      <c r="I744" s="11">
        <v>13.43</v>
      </c>
      <c r="J744" s="6">
        <v>10.0725</v>
      </c>
      <c r="K744" s="6">
        <v>0.75</v>
      </c>
      <c r="L744" s="6">
        <v>13.38</v>
      </c>
      <c r="M744" s="11">
        <v>10.035</v>
      </c>
      <c r="N744" s="11">
        <f t="shared" si="44"/>
        <v>10.035</v>
      </c>
      <c r="O744" s="6">
        <v>0.75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0.05</v>
      </c>
      <c r="Z744" s="6">
        <v>3.7499999999999999E-2</v>
      </c>
      <c r="AA744" s="6">
        <v>0.74999999999999989</v>
      </c>
      <c r="AB744" s="6">
        <v>-4.9999999999998934E-2</v>
      </c>
      <c r="AC744" s="6">
        <v>4.9999999999998934E-2</v>
      </c>
      <c r="AD744" s="22" t="s">
        <v>3140</v>
      </c>
      <c r="AE744" s="23">
        <f t="shared" si="45"/>
        <v>10.035</v>
      </c>
      <c r="AF744" s="24">
        <f t="shared" si="46"/>
        <v>0</v>
      </c>
      <c r="AG744" s="23">
        <f t="shared" si="47"/>
        <v>2</v>
      </c>
    </row>
    <row r="745" spans="1:33" hidden="1" x14ac:dyDescent="0.25">
      <c r="A745" s="12" t="s">
        <v>31</v>
      </c>
      <c r="B745" s="9">
        <v>46182</v>
      </c>
      <c r="C745" s="10" t="s">
        <v>1198</v>
      </c>
      <c r="D745" s="10" t="s">
        <v>1199</v>
      </c>
      <c r="E745" s="10" t="s">
        <v>51</v>
      </c>
      <c r="F745" s="10" t="s">
        <v>35</v>
      </c>
      <c r="G745" s="10" t="s">
        <v>3145</v>
      </c>
      <c r="H745" s="8" t="s">
        <v>41</v>
      </c>
      <c r="I745" s="11">
        <v>12.96</v>
      </c>
      <c r="J745" s="6">
        <v>9.7200000000000006</v>
      </c>
      <c r="K745" s="6">
        <v>0.75</v>
      </c>
      <c r="L745" s="6">
        <v>12.71</v>
      </c>
      <c r="M745" s="11">
        <v>9.5325000000000006</v>
      </c>
      <c r="N745" s="11">
        <f t="shared" si="44"/>
        <v>9.5329999999999995</v>
      </c>
      <c r="O745" s="6">
        <v>0.75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0.25</v>
      </c>
      <c r="Z745" s="6">
        <v>0.1875</v>
      </c>
      <c r="AA745" s="6">
        <v>0.75</v>
      </c>
      <c r="AB745" s="6">
        <v>-0.25</v>
      </c>
      <c r="AC745" s="6">
        <v>0.25</v>
      </c>
      <c r="AD745" s="22" t="s">
        <v>3140</v>
      </c>
      <c r="AE745" s="23">
        <f t="shared" si="45"/>
        <v>9.5329999999999995</v>
      </c>
      <c r="AF745" s="24">
        <f t="shared" si="46"/>
        <v>0</v>
      </c>
      <c r="AG745" s="23">
        <f t="shared" si="47"/>
        <v>1</v>
      </c>
    </row>
    <row r="746" spans="1:33" x14ac:dyDescent="0.25">
      <c r="A746" s="12" t="s">
        <v>31</v>
      </c>
      <c r="B746" s="9">
        <v>46182</v>
      </c>
      <c r="C746" s="10" t="s">
        <v>1200</v>
      </c>
      <c r="D746" s="10" t="s">
        <v>1201</v>
      </c>
      <c r="E746" s="10" t="s">
        <v>51</v>
      </c>
      <c r="F746" s="10" t="s">
        <v>35</v>
      </c>
      <c r="G746" s="10" t="s">
        <v>3146</v>
      </c>
      <c r="H746" s="8" t="s">
        <v>36</v>
      </c>
      <c r="I746" s="11">
        <v>38.33</v>
      </c>
      <c r="J746" s="6">
        <v>35.148609999999998</v>
      </c>
      <c r="K746" s="6">
        <v>0.91700000000000004</v>
      </c>
      <c r="L746" s="6">
        <v>37.119999999999997</v>
      </c>
      <c r="M746" s="11">
        <v>34.03904</v>
      </c>
      <c r="N746" s="11">
        <f t="shared" si="44"/>
        <v>34.04</v>
      </c>
      <c r="O746" s="6">
        <v>0.91700000000000004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1.21</v>
      </c>
      <c r="Z746" s="6">
        <v>1.1095699999999999</v>
      </c>
      <c r="AA746" s="6">
        <v>0.91699999999999993</v>
      </c>
      <c r="AB746" s="6">
        <v>-1.2100000000000009</v>
      </c>
      <c r="AC746" s="6">
        <v>1.2100000000000009</v>
      </c>
      <c r="AD746" s="23" t="s">
        <v>3143</v>
      </c>
      <c r="AE746" s="23">
        <f t="shared" si="45"/>
        <v>30.711000000000002</v>
      </c>
      <c r="AF746" s="24">
        <f t="shared" si="46"/>
        <v>3.3289999999999971</v>
      </c>
      <c r="AG746" s="23">
        <f t="shared" si="47"/>
        <v>2</v>
      </c>
    </row>
    <row r="747" spans="1:33" x14ac:dyDescent="0.25">
      <c r="A747" s="12" t="s">
        <v>31</v>
      </c>
      <c r="B747" s="9">
        <v>46182</v>
      </c>
      <c r="C747" s="10" t="s">
        <v>1202</v>
      </c>
      <c r="D747" s="10" t="s">
        <v>1203</v>
      </c>
      <c r="E747" s="10" t="s">
        <v>51</v>
      </c>
      <c r="F747" s="10" t="s">
        <v>35</v>
      </c>
      <c r="G747" s="10" t="s">
        <v>3146</v>
      </c>
      <c r="H747" s="8" t="s">
        <v>36</v>
      </c>
      <c r="I747" s="11">
        <v>43.33</v>
      </c>
      <c r="J747" s="6">
        <v>39.733609999999999</v>
      </c>
      <c r="K747" s="6">
        <v>0.91700000000000004</v>
      </c>
      <c r="L747" s="6">
        <v>41.08</v>
      </c>
      <c r="M747" s="11">
        <v>37.670360000000002</v>
      </c>
      <c r="N747" s="11">
        <f t="shared" si="44"/>
        <v>37.670999999999999</v>
      </c>
      <c r="O747" s="6">
        <v>0.91700000000000015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2.25</v>
      </c>
      <c r="Z747" s="6">
        <v>2.06325</v>
      </c>
      <c r="AA747" s="6">
        <v>0.91700000000000004</v>
      </c>
      <c r="AB747" s="6">
        <v>-2.25</v>
      </c>
      <c r="AC747" s="6">
        <v>2.25</v>
      </c>
      <c r="AD747" s="22" t="s">
        <v>3140</v>
      </c>
      <c r="AE747" s="23">
        <f t="shared" si="45"/>
        <v>37.670999999999999</v>
      </c>
      <c r="AF747" s="24">
        <f t="shared" si="46"/>
        <v>0</v>
      </c>
      <c r="AG747" s="23">
        <f t="shared" si="47"/>
        <v>1</v>
      </c>
    </row>
    <row r="748" spans="1:33" x14ac:dyDescent="0.25">
      <c r="A748" s="12" t="s">
        <v>31</v>
      </c>
      <c r="B748" s="9">
        <v>46182</v>
      </c>
      <c r="C748" s="10" t="s">
        <v>1204</v>
      </c>
      <c r="D748" s="10" t="s">
        <v>1051</v>
      </c>
      <c r="E748" s="10" t="s">
        <v>51</v>
      </c>
      <c r="F748" s="10" t="s">
        <v>35</v>
      </c>
      <c r="G748" s="10" t="s">
        <v>3146</v>
      </c>
      <c r="H748" s="8" t="s">
        <v>36</v>
      </c>
      <c r="I748" s="11">
        <v>27.63</v>
      </c>
      <c r="J748" s="6">
        <v>25.33671</v>
      </c>
      <c r="K748" s="6">
        <v>0.91700000000000004</v>
      </c>
      <c r="L748" s="6">
        <v>27.4</v>
      </c>
      <c r="M748" s="11">
        <v>25.125800000000002</v>
      </c>
      <c r="N748" s="11">
        <f t="shared" si="44"/>
        <v>25.126000000000001</v>
      </c>
      <c r="O748" s="6">
        <v>0.91700000000000015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0.23</v>
      </c>
      <c r="Z748" s="6">
        <v>0.21090999999999999</v>
      </c>
      <c r="AA748" s="6">
        <v>0.91699999999999993</v>
      </c>
      <c r="AB748" s="6">
        <v>-0.23000000000000043</v>
      </c>
      <c r="AC748" s="6">
        <v>0.23000000000000043</v>
      </c>
      <c r="AD748" s="22" t="s">
        <v>3140</v>
      </c>
      <c r="AE748" s="23">
        <f t="shared" si="45"/>
        <v>25.126000000000001</v>
      </c>
      <c r="AF748" s="24">
        <f t="shared" si="46"/>
        <v>0</v>
      </c>
      <c r="AG748" s="23">
        <f t="shared" si="47"/>
        <v>3</v>
      </c>
    </row>
    <row r="749" spans="1:33" hidden="1" x14ac:dyDescent="0.25">
      <c r="A749" s="12" t="s">
        <v>31</v>
      </c>
      <c r="B749" s="9">
        <v>46182</v>
      </c>
      <c r="C749" s="10" t="s">
        <v>1205</v>
      </c>
      <c r="D749" s="10" t="s">
        <v>1206</v>
      </c>
      <c r="E749" s="10" t="s">
        <v>51</v>
      </c>
      <c r="F749" s="10" t="s">
        <v>35</v>
      </c>
      <c r="G749" s="10" t="s">
        <v>3145</v>
      </c>
      <c r="H749" s="8" t="s">
        <v>41</v>
      </c>
      <c r="I749" s="11">
        <v>6.7</v>
      </c>
      <c r="J749" s="6">
        <v>5.0250000000000004</v>
      </c>
      <c r="K749" s="6">
        <v>0.75</v>
      </c>
      <c r="L749" s="6">
        <v>6.27</v>
      </c>
      <c r="M749" s="11">
        <v>4.7024999999999997</v>
      </c>
      <c r="N749" s="11">
        <f t="shared" si="44"/>
        <v>4.7030000000000003</v>
      </c>
      <c r="O749" s="6">
        <v>0.75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0.43</v>
      </c>
      <c r="Z749" s="6">
        <v>0.32250000000000001</v>
      </c>
      <c r="AA749" s="6">
        <v>0.75</v>
      </c>
      <c r="AB749" s="6">
        <v>-0.4300000000000006</v>
      </c>
      <c r="AC749" s="6">
        <v>0.4300000000000006</v>
      </c>
      <c r="AD749" s="22" t="s">
        <v>3140</v>
      </c>
      <c r="AE749" s="23">
        <f t="shared" si="45"/>
        <v>4.7030000000000003</v>
      </c>
      <c r="AF749" s="24">
        <f t="shared" si="46"/>
        <v>0</v>
      </c>
      <c r="AG749" s="23">
        <f t="shared" si="47"/>
        <v>1</v>
      </c>
    </row>
    <row r="750" spans="1:33" ht="12.5" customHeight="1" x14ac:dyDescent="0.25">
      <c r="A750" s="12" t="s">
        <v>31</v>
      </c>
      <c r="B750" s="9">
        <v>46182</v>
      </c>
      <c r="C750" s="8" t="s">
        <v>1207</v>
      </c>
      <c r="D750" s="10" t="s">
        <v>1208</v>
      </c>
      <c r="E750" s="10" t="s">
        <v>51</v>
      </c>
      <c r="F750" s="10" t="s">
        <v>35</v>
      </c>
      <c r="G750" s="10" t="s">
        <v>3146</v>
      </c>
      <c r="H750" s="8" t="s">
        <v>36</v>
      </c>
      <c r="I750" s="11">
        <v>43.33</v>
      </c>
      <c r="J750" s="6">
        <v>39.733609999999999</v>
      </c>
      <c r="K750" s="6">
        <v>0.91700000000000004</v>
      </c>
      <c r="L750" s="6">
        <v>39.630000000000003</v>
      </c>
      <c r="M750" s="11">
        <v>36.340710000000001</v>
      </c>
      <c r="N750" s="11">
        <f t="shared" si="44"/>
        <v>36.341000000000001</v>
      </c>
      <c r="O750" s="6">
        <v>0.91699999999999993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3.7</v>
      </c>
      <c r="Z750" s="6">
        <v>3.3929</v>
      </c>
      <c r="AA750" s="6">
        <v>0.91699999999999993</v>
      </c>
      <c r="AB750" s="6">
        <v>-3.6999999999999957</v>
      </c>
      <c r="AC750" s="6">
        <v>3.6999999999999957</v>
      </c>
      <c r="AD750" s="22" t="s">
        <v>3140</v>
      </c>
      <c r="AE750" s="23">
        <f t="shared" si="45"/>
        <v>36.341000000000001</v>
      </c>
      <c r="AF750" s="24">
        <f t="shared" si="46"/>
        <v>0</v>
      </c>
      <c r="AG750" s="23">
        <f t="shared" si="47"/>
        <v>1</v>
      </c>
    </row>
    <row r="751" spans="1:33" ht="12.5" hidden="1" customHeight="1" x14ac:dyDescent="0.25">
      <c r="A751" s="12" t="s">
        <v>31</v>
      </c>
      <c r="B751" s="9">
        <v>46182</v>
      </c>
      <c r="C751" s="12" t="s">
        <v>1207</v>
      </c>
      <c r="D751" s="10" t="s">
        <v>1209</v>
      </c>
      <c r="E751" s="10" t="s">
        <v>51</v>
      </c>
      <c r="F751" s="10" t="s">
        <v>35</v>
      </c>
      <c r="G751" s="10" t="s">
        <v>3145</v>
      </c>
      <c r="H751" s="8" t="s">
        <v>41</v>
      </c>
      <c r="I751" s="11">
        <v>5.82</v>
      </c>
      <c r="J751" s="6">
        <v>4.3650000000000002</v>
      </c>
      <c r="K751" s="6">
        <v>0.75</v>
      </c>
      <c r="L751" s="6">
        <v>5.59</v>
      </c>
      <c r="M751" s="11">
        <v>4.1924999999999999</v>
      </c>
      <c r="N751" s="11">
        <f t="shared" si="44"/>
        <v>4.1930000000000005</v>
      </c>
      <c r="O751" s="6">
        <v>0.75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0.23</v>
      </c>
      <c r="Z751" s="6">
        <v>0.17249999999999999</v>
      </c>
      <c r="AA751" s="6">
        <v>0.74999999999999989</v>
      </c>
      <c r="AB751" s="6">
        <v>-0.23000000000000043</v>
      </c>
      <c r="AC751" s="6">
        <v>0.23000000000000043</v>
      </c>
      <c r="AD751" s="22" t="s">
        <v>3140</v>
      </c>
      <c r="AE751" s="23">
        <f t="shared" si="45"/>
        <v>4.1930000000000005</v>
      </c>
      <c r="AF751" s="24">
        <f t="shared" si="46"/>
        <v>0</v>
      </c>
      <c r="AG751" s="23">
        <f t="shared" si="47"/>
        <v>1</v>
      </c>
    </row>
    <row r="752" spans="1:33" ht="12.5" customHeight="1" x14ac:dyDescent="0.25">
      <c r="A752" s="12" t="s">
        <v>31</v>
      </c>
      <c r="B752" s="9">
        <v>46182</v>
      </c>
      <c r="C752" s="12" t="s">
        <v>1207</v>
      </c>
      <c r="D752" s="10" t="s">
        <v>1210</v>
      </c>
      <c r="E752" s="10" t="s">
        <v>51</v>
      </c>
      <c r="F752" s="10" t="s">
        <v>35</v>
      </c>
      <c r="G752" s="10" t="s">
        <v>3146</v>
      </c>
      <c r="H752" s="8" t="s">
        <v>36</v>
      </c>
      <c r="I752" s="11">
        <v>5.37</v>
      </c>
      <c r="J752" s="6">
        <v>4.9242900000000001</v>
      </c>
      <c r="K752" s="6">
        <v>0.91700000000000004</v>
      </c>
      <c r="L752" s="6">
        <v>5.2</v>
      </c>
      <c r="M752" s="11">
        <v>4.7683999999999997</v>
      </c>
      <c r="N752" s="11">
        <f t="shared" si="44"/>
        <v>4.7690000000000001</v>
      </c>
      <c r="O752" s="6">
        <v>0.91699999999999993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0.17</v>
      </c>
      <c r="Z752" s="6">
        <v>0.15589</v>
      </c>
      <c r="AA752" s="6">
        <v>0.91699999999999993</v>
      </c>
      <c r="AB752" s="6">
        <v>-0.16999999999999993</v>
      </c>
      <c r="AC752" s="6">
        <v>0.16999999999999993</v>
      </c>
      <c r="AD752" s="22" t="s">
        <v>3140</v>
      </c>
      <c r="AE752" s="23">
        <f t="shared" si="45"/>
        <v>4.7690000000000001</v>
      </c>
      <c r="AF752" s="24">
        <f t="shared" si="46"/>
        <v>0</v>
      </c>
      <c r="AG752" s="23">
        <f t="shared" si="47"/>
        <v>1</v>
      </c>
    </row>
    <row r="753" spans="1:33" ht="12.5" customHeight="1" x14ac:dyDescent="0.25">
      <c r="A753" s="12" t="s">
        <v>31</v>
      </c>
      <c r="B753" s="9">
        <v>46182</v>
      </c>
      <c r="C753" s="13" t="s">
        <v>1207</v>
      </c>
      <c r="D753" s="10" t="s">
        <v>1211</v>
      </c>
      <c r="E753" s="10" t="s">
        <v>51</v>
      </c>
      <c r="F753" s="10" t="s">
        <v>35</v>
      </c>
      <c r="G753" s="10" t="s">
        <v>3146</v>
      </c>
      <c r="H753" s="8" t="s">
        <v>36</v>
      </c>
      <c r="I753" s="11">
        <v>6.25</v>
      </c>
      <c r="J753" s="6">
        <v>5.7312500000000002</v>
      </c>
      <c r="K753" s="6">
        <v>0.91700000000000004</v>
      </c>
      <c r="L753" s="6">
        <v>5.93</v>
      </c>
      <c r="M753" s="11">
        <v>5.4378099999999998</v>
      </c>
      <c r="N753" s="11">
        <f t="shared" si="44"/>
        <v>5.4380000000000006</v>
      </c>
      <c r="O753" s="6">
        <v>0.91700000000000004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0.32</v>
      </c>
      <c r="Z753" s="6">
        <v>0.29343999999999998</v>
      </c>
      <c r="AA753" s="6">
        <v>0.91699999999999993</v>
      </c>
      <c r="AB753" s="6">
        <v>-0.32000000000000028</v>
      </c>
      <c r="AC753" s="6">
        <v>0.32000000000000028</v>
      </c>
      <c r="AD753" s="23" t="s">
        <v>3143</v>
      </c>
      <c r="AE753" s="23">
        <f t="shared" si="45"/>
        <v>5.3650000000000002</v>
      </c>
      <c r="AF753" s="24">
        <f t="shared" si="46"/>
        <v>7.3000000000000398E-2</v>
      </c>
      <c r="AG753" s="23">
        <f t="shared" si="47"/>
        <v>2</v>
      </c>
    </row>
    <row r="754" spans="1:33" x14ac:dyDescent="0.25">
      <c r="A754" s="12" t="s">
        <v>31</v>
      </c>
      <c r="B754" s="9">
        <v>46182</v>
      </c>
      <c r="C754" s="10" t="s">
        <v>1212</v>
      </c>
      <c r="D754" s="10" t="s">
        <v>1213</v>
      </c>
      <c r="E754" s="10" t="s">
        <v>51</v>
      </c>
      <c r="F754" s="10" t="s">
        <v>35</v>
      </c>
      <c r="G754" s="10" t="s">
        <v>3146</v>
      </c>
      <c r="H754" s="8" t="s">
        <v>36</v>
      </c>
      <c r="I754" s="11">
        <v>3.44</v>
      </c>
      <c r="J754" s="6">
        <v>3.15448</v>
      </c>
      <c r="K754" s="6">
        <v>0.91700000000000004</v>
      </c>
      <c r="L754" s="6">
        <v>3.28</v>
      </c>
      <c r="M754" s="11">
        <v>3.0077600000000002</v>
      </c>
      <c r="N754" s="11">
        <f t="shared" si="44"/>
        <v>3.008</v>
      </c>
      <c r="O754" s="6">
        <v>0.91700000000000015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0.16</v>
      </c>
      <c r="Z754" s="6">
        <v>0.14671999999999999</v>
      </c>
      <c r="AA754" s="6">
        <v>0.91699999999999993</v>
      </c>
      <c r="AB754" s="6">
        <v>-0.16000000000000014</v>
      </c>
      <c r="AC754" s="6">
        <v>0.16000000000000014</v>
      </c>
      <c r="AD754" s="22" t="s">
        <v>3140</v>
      </c>
      <c r="AE754" s="23">
        <f t="shared" si="45"/>
        <v>3.008</v>
      </c>
      <c r="AF754" s="24">
        <f t="shared" si="46"/>
        <v>0</v>
      </c>
      <c r="AG754" s="23">
        <f t="shared" si="47"/>
        <v>1</v>
      </c>
    </row>
    <row r="755" spans="1:33" ht="12.5" customHeight="1" x14ac:dyDescent="0.25">
      <c r="A755" s="12" t="s">
        <v>31</v>
      </c>
      <c r="B755" s="9">
        <v>46182</v>
      </c>
      <c r="C755" s="8" t="s">
        <v>1214</v>
      </c>
      <c r="D755" s="10" t="s">
        <v>1215</v>
      </c>
      <c r="E755" s="10" t="s">
        <v>51</v>
      </c>
      <c r="F755" s="10" t="s">
        <v>35</v>
      </c>
      <c r="G755" s="10" t="s">
        <v>3146</v>
      </c>
      <c r="H755" s="8" t="s">
        <v>36</v>
      </c>
      <c r="I755" s="11">
        <v>4.8</v>
      </c>
      <c r="J755" s="6">
        <v>4.4016000000000002</v>
      </c>
      <c r="K755" s="6">
        <v>0.91700000000000004</v>
      </c>
      <c r="L755" s="6">
        <v>4.6500000000000004</v>
      </c>
      <c r="M755" s="11">
        <v>4.2640500000000001</v>
      </c>
      <c r="N755" s="11">
        <f t="shared" si="44"/>
        <v>4.2650000000000006</v>
      </c>
      <c r="O755" s="6">
        <v>0.91699999999999993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0.15</v>
      </c>
      <c r="Z755" s="6">
        <v>0.13755000000000001</v>
      </c>
      <c r="AA755" s="6">
        <v>0.91700000000000004</v>
      </c>
      <c r="AB755" s="6">
        <v>-0.14999999999999947</v>
      </c>
      <c r="AC755" s="6">
        <v>0.14999999999999947</v>
      </c>
      <c r="AD755" s="22" t="s">
        <v>3140</v>
      </c>
      <c r="AE755" s="23">
        <f t="shared" si="45"/>
        <v>4.2650000000000006</v>
      </c>
      <c r="AF755" s="24">
        <f t="shared" si="46"/>
        <v>0</v>
      </c>
      <c r="AG755" s="23">
        <f t="shared" si="47"/>
        <v>1</v>
      </c>
    </row>
    <row r="756" spans="1:33" ht="12.5" customHeight="1" x14ac:dyDescent="0.25">
      <c r="A756" s="12" t="s">
        <v>31</v>
      </c>
      <c r="B756" s="9">
        <v>46182</v>
      </c>
      <c r="C756" s="13" t="s">
        <v>1214</v>
      </c>
      <c r="D756" s="10" t="s">
        <v>1216</v>
      </c>
      <c r="E756" s="10" t="s">
        <v>51</v>
      </c>
      <c r="F756" s="10" t="s">
        <v>35</v>
      </c>
      <c r="G756" s="10" t="s">
        <v>3146</v>
      </c>
      <c r="H756" s="8" t="s">
        <v>36</v>
      </c>
      <c r="I756" s="11">
        <v>4.17</v>
      </c>
      <c r="J756" s="6">
        <v>3.82389</v>
      </c>
      <c r="K756" s="6">
        <v>0.91700000000000004</v>
      </c>
      <c r="L756" s="6">
        <v>4.01</v>
      </c>
      <c r="M756" s="11">
        <v>3.6771699999999998</v>
      </c>
      <c r="N756" s="11">
        <f t="shared" si="44"/>
        <v>3.6779999999999999</v>
      </c>
      <c r="O756" s="6">
        <v>0.91700000000000004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0.16</v>
      </c>
      <c r="Z756" s="6">
        <v>0.14671999999999999</v>
      </c>
      <c r="AA756" s="6">
        <v>0.91699999999999993</v>
      </c>
      <c r="AB756" s="6">
        <v>-0.16000000000000014</v>
      </c>
      <c r="AC756" s="6">
        <v>0.16000000000000014</v>
      </c>
      <c r="AD756" s="22" t="s">
        <v>3140</v>
      </c>
      <c r="AE756" s="23">
        <f t="shared" si="45"/>
        <v>3.6779999999999999</v>
      </c>
      <c r="AF756" s="24">
        <f t="shared" si="46"/>
        <v>0</v>
      </c>
      <c r="AG756" s="23">
        <f t="shared" si="47"/>
        <v>1</v>
      </c>
    </row>
    <row r="757" spans="1:33" ht="12.5" customHeight="1" x14ac:dyDescent="0.25">
      <c r="A757" s="12" t="s">
        <v>31</v>
      </c>
      <c r="B757" s="9">
        <v>46183</v>
      </c>
      <c r="C757" s="10" t="s">
        <v>1217</v>
      </c>
      <c r="D757" s="10" t="s">
        <v>1218</v>
      </c>
      <c r="E757" s="10" t="s">
        <v>34</v>
      </c>
      <c r="F757" s="10" t="s">
        <v>35</v>
      </c>
      <c r="G757" s="10" t="s">
        <v>3146</v>
      </c>
      <c r="H757" s="8" t="s">
        <v>36</v>
      </c>
      <c r="I757" s="11">
        <v>158.11000000000001</v>
      </c>
      <c r="J757" s="6">
        <v>144.98687000000001</v>
      </c>
      <c r="K757" s="6">
        <v>0.91700000000000004</v>
      </c>
      <c r="L757" s="6">
        <v>147.09</v>
      </c>
      <c r="M757" s="11">
        <v>134.88153</v>
      </c>
      <c r="N757" s="11">
        <f t="shared" si="44"/>
        <v>134.88200000000001</v>
      </c>
      <c r="O757" s="6">
        <v>0.91699999999999993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11.02</v>
      </c>
      <c r="Z757" s="6">
        <v>10.10534</v>
      </c>
      <c r="AA757" s="6">
        <v>0.91700000000000004</v>
      </c>
      <c r="AB757" s="6">
        <v>-11.02000000000001</v>
      </c>
      <c r="AC757" s="6">
        <v>11.02000000000001</v>
      </c>
      <c r="AD757" s="22" t="s">
        <v>3140</v>
      </c>
      <c r="AE757" s="23">
        <f t="shared" si="45"/>
        <v>134.88200000000001</v>
      </c>
      <c r="AF757" s="24">
        <f t="shared" si="46"/>
        <v>0</v>
      </c>
      <c r="AG757" s="23">
        <f t="shared" si="47"/>
        <v>1</v>
      </c>
    </row>
    <row r="758" spans="1:33" ht="12.5" customHeight="1" x14ac:dyDescent="0.25">
      <c r="A758" s="12" t="s">
        <v>31</v>
      </c>
      <c r="B758" s="9">
        <v>46183</v>
      </c>
      <c r="C758" s="10" t="s">
        <v>1219</v>
      </c>
      <c r="D758" s="10" t="s">
        <v>1220</v>
      </c>
      <c r="E758" s="10" t="s">
        <v>34</v>
      </c>
      <c r="F758" s="10" t="s">
        <v>35</v>
      </c>
      <c r="G758" s="10" t="s">
        <v>3146</v>
      </c>
      <c r="H758" s="8" t="s">
        <v>36</v>
      </c>
      <c r="I758" s="11">
        <v>193.05</v>
      </c>
      <c r="J758" s="6">
        <v>177.02685</v>
      </c>
      <c r="K758" s="6">
        <v>0.91699999999999993</v>
      </c>
      <c r="L758" s="6">
        <v>178.92</v>
      </c>
      <c r="M758" s="11">
        <v>164.06963999999999</v>
      </c>
      <c r="N758" s="11">
        <f t="shared" si="44"/>
        <v>164.07</v>
      </c>
      <c r="O758" s="6">
        <v>0.91700000000000004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14.13</v>
      </c>
      <c r="Z758" s="6">
        <v>12.95721</v>
      </c>
      <c r="AA758" s="6">
        <v>0.91699999999999993</v>
      </c>
      <c r="AB758" s="6">
        <v>-14.130000000000024</v>
      </c>
      <c r="AC758" s="6">
        <v>14.130000000000024</v>
      </c>
      <c r="AD758" s="22" t="s">
        <v>3140</v>
      </c>
      <c r="AE758" s="23">
        <f t="shared" si="45"/>
        <v>164.07</v>
      </c>
      <c r="AF758" s="24">
        <f t="shared" si="46"/>
        <v>0</v>
      </c>
      <c r="AG758" s="23">
        <f t="shared" si="47"/>
        <v>1</v>
      </c>
    </row>
    <row r="759" spans="1:33" ht="12.5" customHeight="1" x14ac:dyDescent="0.25">
      <c r="A759" s="12" t="s">
        <v>31</v>
      </c>
      <c r="B759" s="9">
        <v>46183</v>
      </c>
      <c r="C759" s="10" t="s">
        <v>1221</v>
      </c>
      <c r="D759" s="10" t="s">
        <v>1222</v>
      </c>
      <c r="E759" s="10" t="s">
        <v>34</v>
      </c>
      <c r="F759" s="10" t="s">
        <v>35</v>
      </c>
      <c r="G759" s="10" t="s">
        <v>3146</v>
      </c>
      <c r="H759" s="8" t="s">
        <v>36</v>
      </c>
      <c r="I759" s="11">
        <v>234.64</v>
      </c>
      <c r="J759" s="6">
        <v>215.16488000000001</v>
      </c>
      <c r="K759" s="6">
        <v>0.91700000000000015</v>
      </c>
      <c r="L759" s="6">
        <v>215.21</v>
      </c>
      <c r="M759" s="11">
        <v>197.34756999999999</v>
      </c>
      <c r="N759" s="11">
        <f t="shared" si="44"/>
        <v>197.34800000000001</v>
      </c>
      <c r="O759" s="6">
        <v>0.91699999999999993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19.43</v>
      </c>
      <c r="Z759" s="6">
        <v>17.817309999999999</v>
      </c>
      <c r="AA759" s="6">
        <v>0.91699999999999993</v>
      </c>
      <c r="AB759" s="6">
        <v>-19.429999999999978</v>
      </c>
      <c r="AC759" s="6">
        <v>19.429999999999978</v>
      </c>
      <c r="AD759" s="22" t="s">
        <v>3140</v>
      </c>
      <c r="AE759" s="23">
        <f t="shared" si="45"/>
        <v>197.34800000000001</v>
      </c>
      <c r="AF759" s="24">
        <f t="shared" si="46"/>
        <v>0</v>
      </c>
      <c r="AG759" s="23">
        <f t="shared" si="47"/>
        <v>1</v>
      </c>
    </row>
    <row r="760" spans="1:33" ht="12.5" customHeight="1" x14ac:dyDescent="0.25">
      <c r="A760" s="12" t="s">
        <v>31</v>
      </c>
      <c r="B760" s="9">
        <v>46183</v>
      </c>
      <c r="C760" s="8" t="s">
        <v>1223</v>
      </c>
      <c r="D760" s="10" t="s">
        <v>1224</v>
      </c>
      <c r="E760" s="10" t="s">
        <v>51</v>
      </c>
      <c r="F760" s="10" t="s">
        <v>35</v>
      </c>
      <c r="G760" s="10" t="s">
        <v>3146</v>
      </c>
      <c r="H760" s="8" t="s">
        <v>36</v>
      </c>
      <c r="I760" s="11">
        <v>7.67</v>
      </c>
      <c r="J760" s="6">
        <v>7.0333899999999998</v>
      </c>
      <c r="K760" s="6">
        <v>0.91700000000000004</v>
      </c>
      <c r="L760" s="6">
        <v>6.6</v>
      </c>
      <c r="M760" s="11">
        <v>6.0522</v>
      </c>
      <c r="N760" s="11">
        <f t="shared" si="44"/>
        <v>6.0529999999999999</v>
      </c>
      <c r="O760" s="6">
        <v>0.91700000000000004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1.07</v>
      </c>
      <c r="Z760" s="6">
        <v>0.98119000000000001</v>
      </c>
      <c r="AA760" s="6">
        <v>0.91699999999999993</v>
      </c>
      <c r="AB760" s="6">
        <v>-1.0700000000000003</v>
      </c>
      <c r="AC760" s="6">
        <v>1.0700000000000003</v>
      </c>
      <c r="AD760" s="22" t="s">
        <v>3140</v>
      </c>
      <c r="AE760" s="23">
        <f t="shared" si="45"/>
        <v>6.0529999999999999</v>
      </c>
      <c r="AF760" s="24">
        <f t="shared" si="46"/>
        <v>0</v>
      </c>
      <c r="AG760" s="23">
        <f t="shared" si="47"/>
        <v>1</v>
      </c>
    </row>
    <row r="761" spans="1:33" ht="12.5" customHeight="1" x14ac:dyDescent="0.25">
      <c r="A761" s="12" t="s">
        <v>31</v>
      </c>
      <c r="B761" s="9">
        <v>46183</v>
      </c>
      <c r="C761" s="12" t="s">
        <v>1223</v>
      </c>
      <c r="D761" s="10" t="s">
        <v>1225</v>
      </c>
      <c r="E761" s="10" t="s">
        <v>51</v>
      </c>
      <c r="F761" s="10" t="s">
        <v>35</v>
      </c>
      <c r="G761" s="10" t="s">
        <v>3146</v>
      </c>
      <c r="H761" s="8" t="s">
        <v>36</v>
      </c>
      <c r="I761" s="11">
        <v>8.7899999999999991</v>
      </c>
      <c r="J761" s="6">
        <v>8.0604300000000002</v>
      </c>
      <c r="K761" s="6">
        <v>0.91700000000000015</v>
      </c>
      <c r="L761" s="6">
        <v>8.4</v>
      </c>
      <c r="M761" s="11">
        <v>7.7027999999999999</v>
      </c>
      <c r="N761" s="11">
        <f t="shared" si="44"/>
        <v>7.7030000000000003</v>
      </c>
      <c r="O761" s="6">
        <v>0.91699999999999993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0.39</v>
      </c>
      <c r="Z761" s="6">
        <v>0.35763</v>
      </c>
      <c r="AA761" s="6">
        <v>0.91699999999999993</v>
      </c>
      <c r="AB761" s="6">
        <v>-0.38999999999999879</v>
      </c>
      <c r="AC761" s="6">
        <v>0.38999999999999879</v>
      </c>
      <c r="AD761" s="22" t="s">
        <v>3140</v>
      </c>
      <c r="AE761" s="23">
        <f t="shared" si="45"/>
        <v>7.7030000000000003</v>
      </c>
      <c r="AF761" s="24">
        <f t="shared" si="46"/>
        <v>0</v>
      </c>
      <c r="AG761" s="23">
        <f t="shared" si="47"/>
        <v>1</v>
      </c>
    </row>
    <row r="762" spans="1:33" ht="12.5" customHeight="1" x14ac:dyDescent="0.25">
      <c r="A762" s="12" t="s">
        <v>31</v>
      </c>
      <c r="B762" s="9">
        <v>46183</v>
      </c>
      <c r="C762" s="12" t="s">
        <v>1223</v>
      </c>
      <c r="D762" s="10" t="s">
        <v>1226</v>
      </c>
      <c r="E762" s="10" t="s">
        <v>51</v>
      </c>
      <c r="F762" s="10" t="s">
        <v>35</v>
      </c>
      <c r="G762" s="10" t="s">
        <v>3146</v>
      </c>
      <c r="H762" s="8" t="s">
        <v>36</v>
      </c>
      <c r="I762" s="11">
        <v>7.08</v>
      </c>
      <c r="J762" s="6">
        <v>6.4923599999999997</v>
      </c>
      <c r="K762" s="6">
        <v>0.91699999999999993</v>
      </c>
      <c r="L762" s="6">
        <v>6.74</v>
      </c>
      <c r="M762" s="11">
        <v>6.18058</v>
      </c>
      <c r="N762" s="11">
        <f t="shared" si="44"/>
        <v>6.181</v>
      </c>
      <c r="O762" s="6">
        <v>0.91699999999999993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0.34</v>
      </c>
      <c r="Z762" s="6">
        <v>0.31178</v>
      </c>
      <c r="AA762" s="6">
        <v>0.91699999999999993</v>
      </c>
      <c r="AB762" s="6">
        <v>-0.33999999999999986</v>
      </c>
      <c r="AC762" s="6">
        <v>0.33999999999999986</v>
      </c>
      <c r="AD762" s="22" t="s">
        <v>3140</v>
      </c>
      <c r="AE762" s="23">
        <f t="shared" si="45"/>
        <v>6.181</v>
      </c>
      <c r="AF762" s="24">
        <f t="shared" si="46"/>
        <v>0</v>
      </c>
      <c r="AG762" s="23">
        <f t="shared" si="47"/>
        <v>1</v>
      </c>
    </row>
    <row r="763" spans="1:33" ht="12.5" customHeight="1" x14ac:dyDescent="0.25">
      <c r="A763" s="12" t="s">
        <v>31</v>
      </c>
      <c r="B763" s="9">
        <v>46183</v>
      </c>
      <c r="C763" s="12" t="s">
        <v>1223</v>
      </c>
      <c r="D763" s="10" t="s">
        <v>1227</v>
      </c>
      <c r="E763" s="10" t="s">
        <v>51</v>
      </c>
      <c r="F763" s="10" t="s">
        <v>35</v>
      </c>
      <c r="G763" s="10" t="s">
        <v>3146</v>
      </c>
      <c r="H763" s="8" t="s">
        <v>36</v>
      </c>
      <c r="I763" s="11">
        <v>4.0999999999999996</v>
      </c>
      <c r="J763" s="6">
        <v>3.7597</v>
      </c>
      <c r="K763" s="6">
        <v>0.91700000000000004</v>
      </c>
      <c r="L763" s="6">
        <v>3.88</v>
      </c>
      <c r="M763" s="11">
        <v>3.55796</v>
      </c>
      <c r="N763" s="11">
        <f t="shared" si="44"/>
        <v>3.5579999999999998</v>
      </c>
      <c r="O763" s="6">
        <v>0.91700000000000004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0.22</v>
      </c>
      <c r="Z763" s="6">
        <v>0.20174</v>
      </c>
      <c r="AA763" s="6">
        <v>0.91700000000000004</v>
      </c>
      <c r="AB763" s="6">
        <v>-0.21999999999999975</v>
      </c>
      <c r="AC763" s="6">
        <v>0.21999999999999975</v>
      </c>
      <c r="AD763" s="22" t="s">
        <v>3140</v>
      </c>
      <c r="AE763" s="23">
        <f t="shared" si="45"/>
        <v>3.5579999999999998</v>
      </c>
      <c r="AF763" s="24">
        <f t="shared" si="46"/>
        <v>0</v>
      </c>
      <c r="AG763" s="23">
        <f t="shared" si="47"/>
        <v>1</v>
      </c>
    </row>
    <row r="764" spans="1:33" ht="12.5" customHeight="1" x14ac:dyDescent="0.25">
      <c r="A764" s="12" t="s">
        <v>31</v>
      </c>
      <c r="B764" s="9">
        <v>46183</v>
      </c>
      <c r="C764" s="12" t="s">
        <v>1223</v>
      </c>
      <c r="D764" s="10" t="s">
        <v>1228</v>
      </c>
      <c r="E764" s="10" t="s">
        <v>51</v>
      </c>
      <c r="F764" s="10" t="s">
        <v>35</v>
      </c>
      <c r="G764" s="10" t="s">
        <v>3146</v>
      </c>
      <c r="H764" s="8" t="s">
        <v>36</v>
      </c>
      <c r="I764" s="11">
        <v>3.75</v>
      </c>
      <c r="J764" s="6">
        <v>3.4387500000000002</v>
      </c>
      <c r="K764" s="6">
        <v>0.91700000000000004</v>
      </c>
      <c r="L764" s="6">
        <v>3.48</v>
      </c>
      <c r="M764" s="11">
        <v>3.19116</v>
      </c>
      <c r="N764" s="11">
        <f t="shared" si="44"/>
        <v>3.1919999999999997</v>
      </c>
      <c r="O764" s="6">
        <v>0.91700000000000004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0.27</v>
      </c>
      <c r="Z764" s="6">
        <v>0.24759</v>
      </c>
      <c r="AA764" s="6">
        <v>0.91699999999999993</v>
      </c>
      <c r="AB764" s="6">
        <v>-0.27</v>
      </c>
      <c r="AC764" s="6">
        <v>0.27</v>
      </c>
      <c r="AD764" s="22" t="s">
        <v>3140</v>
      </c>
      <c r="AE764" s="23">
        <f t="shared" si="45"/>
        <v>3.1919999999999997</v>
      </c>
      <c r="AF764" s="24">
        <f t="shared" si="46"/>
        <v>0</v>
      </c>
      <c r="AG764" s="23">
        <f t="shared" si="47"/>
        <v>1</v>
      </c>
    </row>
    <row r="765" spans="1:33" ht="12.5" customHeight="1" x14ac:dyDescent="0.25">
      <c r="A765" s="12" t="s">
        <v>31</v>
      </c>
      <c r="B765" s="9">
        <v>46183</v>
      </c>
      <c r="C765" s="12" t="s">
        <v>1223</v>
      </c>
      <c r="D765" s="10" t="s">
        <v>1229</v>
      </c>
      <c r="E765" s="10" t="s">
        <v>51</v>
      </c>
      <c r="F765" s="10" t="s">
        <v>35</v>
      </c>
      <c r="G765" s="10" t="s">
        <v>3146</v>
      </c>
      <c r="H765" s="8" t="s">
        <v>36</v>
      </c>
      <c r="I765" s="11">
        <v>5.63</v>
      </c>
      <c r="J765" s="6">
        <v>5.1627099999999997</v>
      </c>
      <c r="K765" s="6">
        <v>0.91699999999999993</v>
      </c>
      <c r="L765" s="6">
        <v>5.3</v>
      </c>
      <c r="M765" s="11">
        <v>4.8601000000000001</v>
      </c>
      <c r="N765" s="11">
        <f t="shared" si="44"/>
        <v>4.8610000000000007</v>
      </c>
      <c r="O765" s="6">
        <v>0.91700000000000004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0.33</v>
      </c>
      <c r="Z765" s="6">
        <v>0.30260999999999999</v>
      </c>
      <c r="AA765" s="6">
        <v>0.91699999999999993</v>
      </c>
      <c r="AB765" s="6">
        <v>-0.33000000000000007</v>
      </c>
      <c r="AC765" s="6">
        <v>0.33000000000000007</v>
      </c>
      <c r="AD765" s="22" t="s">
        <v>3140</v>
      </c>
      <c r="AE765" s="23">
        <f t="shared" si="45"/>
        <v>4.8610000000000007</v>
      </c>
      <c r="AF765" s="24">
        <f t="shared" si="46"/>
        <v>0</v>
      </c>
      <c r="AG765" s="23">
        <f t="shared" si="47"/>
        <v>1</v>
      </c>
    </row>
    <row r="766" spans="1:33" ht="12.5" customHeight="1" x14ac:dyDescent="0.25">
      <c r="A766" s="12" t="s">
        <v>31</v>
      </c>
      <c r="B766" s="9">
        <v>46183</v>
      </c>
      <c r="C766" s="12" t="s">
        <v>1223</v>
      </c>
      <c r="D766" s="10" t="s">
        <v>1230</v>
      </c>
      <c r="E766" s="10" t="s">
        <v>51</v>
      </c>
      <c r="F766" s="10" t="s">
        <v>35</v>
      </c>
      <c r="G766" s="10" t="s">
        <v>3146</v>
      </c>
      <c r="H766" s="8" t="s">
        <v>36</v>
      </c>
      <c r="I766" s="11">
        <v>3.85</v>
      </c>
      <c r="J766" s="6">
        <v>3.5304500000000001</v>
      </c>
      <c r="K766" s="6">
        <v>0.91700000000000004</v>
      </c>
      <c r="L766" s="6">
        <v>3.7</v>
      </c>
      <c r="M766" s="11">
        <v>3.3929</v>
      </c>
      <c r="N766" s="11">
        <f t="shared" si="44"/>
        <v>3.3929999999999998</v>
      </c>
      <c r="O766" s="6">
        <v>0.91699999999999993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0.15</v>
      </c>
      <c r="Z766" s="6">
        <v>0.13755000000000001</v>
      </c>
      <c r="AA766" s="6">
        <v>0.91700000000000004</v>
      </c>
      <c r="AB766" s="6">
        <v>-0.14999999999999991</v>
      </c>
      <c r="AC766" s="6">
        <v>0.14999999999999991</v>
      </c>
      <c r="AD766" s="22" t="s">
        <v>3140</v>
      </c>
      <c r="AE766" s="23">
        <f t="shared" si="45"/>
        <v>3.3929999999999998</v>
      </c>
      <c r="AF766" s="24">
        <f t="shared" si="46"/>
        <v>0</v>
      </c>
      <c r="AG766" s="23">
        <f t="shared" si="47"/>
        <v>1</v>
      </c>
    </row>
    <row r="767" spans="1:33" ht="12.5" customHeight="1" x14ac:dyDescent="0.25">
      <c r="A767" s="12" t="s">
        <v>31</v>
      </c>
      <c r="B767" s="9">
        <v>46183</v>
      </c>
      <c r="C767" s="12" t="s">
        <v>1223</v>
      </c>
      <c r="D767" s="10" t="s">
        <v>1231</v>
      </c>
      <c r="E767" s="10" t="s">
        <v>51</v>
      </c>
      <c r="F767" s="10" t="s">
        <v>35</v>
      </c>
      <c r="G767" s="10" t="s">
        <v>3146</v>
      </c>
      <c r="H767" s="8" t="s">
        <v>36</v>
      </c>
      <c r="I767" s="11">
        <v>3.77</v>
      </c>
      <c r="J767" s="6">
        <v>3.45709</v>
      </c>
      <c r="K767" s="6">
        <v>0.91700000000000004</v>
      </c>
      <c r="L767" s="6">
        <v>3.65</v>
      </c>
      <c r="M767" s="11">
        <v>3.3470499999999999</v>
      </c>
      <c r="N767" s="11">
        <f t="shared" si="44"/>
        <v>3.3479999999999999</v>
      </c>
      <c r="O767" s="6">
        <v>0.91700000000000004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0.12</v>
      </c>
      <c r="Z767" s="6">
        <v>0.11004</v>
      </c>
      <c r="AA767" s="6">
        <v>0.91700000000000004</v>
      </c>
      <c r="AB767" s="6">
        <v>-0.12000000000000011</v>
      </c>
      <c r="AC767" s="6">
        <v>0.12000000000000011</v>
      </c>
      <c r="AD767" s="22" t="s">
        <v>3140</v>
      </c>
      <c r="AE767" s="23">
        <f t="shared" si="45"/>
        <v>3.3479999999999999</v>
      </c>
      <c r="AF767" s="24">
        <f t="shared" si="46"/>
        <v>0</v>
      </c>
      <c r="AG767" s="23">
        <f t="shared" si="47"/>
        <v>1</v>
      </c>
    </row>
    <row r="768" spans="1:33" ht="12.5" customHeight="1" x14ac:dyDescent="0.25">
      <c r="A768" s="12" t="s">
        <v>31</v>
      </c>
      <c r="B768" s="9">
        <v>46183</v>
      </c>
      <c r="C768" s="12" t="s">
        <v>1223</v>
      </c>
      <c r="D768" s="10" t="s">
        <v>1232</v>
      </c>
      <c r="E768" s="10" t="s">
        <v>51</v>
      </c>
      <c r="F768" s="10" t="s">
        <v>35</v>
      </c>
      <c r="G768" s="10" t="s">
        <v>3146</v>
      </c>
      <c r="H768" s="8" t="s">
        <v>36</v>
      </c>
      <c r="I768" s="11">
        <v>3.46</v>
      </c>
      <c r="J768" s="6">
        <v>3.1728200000000002</v>
      </c>
      <c r="K768" s="6">
        <v>0.91700000000000004</v>
      </c>
      <c r="L768" s="6">
        <v>3.21</v>
      </c>
      <c r="M768" s="11">
        <v>2.9435699999999998</v>
      </c>
      <c r="N768" s="11">
        <f t="shared" si="44"/>
        <v>2.944</v>
      </c>
      <c r="O768" s="6">
        <v>0.91699999999999993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0.25</v>
      </c>
      <c r="Z768" s="6">
        <v>0.22925000000000001</v>
      </c>
      <c r="AA768" s="6">
        <v>0.91700000000000004</v>
      </c>
      <c r="AB768" s="6">
        <v>-0.25</v>
      </c>
      <c r="AC768" s="6">
        <v>0.25</v>
      </c>
      <c r="AD768" s="22" t="s">
        <v>3140</v>
      </c>
      <c r="AE768" s="23">
        <f t="shared" si="45"/>
        <v>2.944</v>
      </c>
      <c r="AF768" s="24">
        <f t="shared" si="46"/>
        <v>0</v>
      </c>
      <c r="AG768" s="23">
        <f t="shared" si="47"/>
        <v>1</v>
      </c>
    </row>
    <row r="769" spans="1:33" ht="12.5" customHeight="1" x14ac:dyDescent="0.25">
      <c r="A769" s="12" t="s">
        <v>31</v>
      </c>
      <c r="B769" s="9">
        <v>46183</v>
      </c>
      <c r="C769" s="12" t="s">
        <v>1223</v>
      </c>
      <c r="D769" s="10" t="s">
        <v>1233</v>
      </c>
      <c r="E769" s="10" t="s">
        <v>51</v>
      </c>
      <c r="F769" s="10" t="s">
        <v>35</v>
      </c>
      <c r="G769" s="10" t="s">
        <v>3146</v>
      </c>
      <c r="H769" s="8" t="s">
        <v>36</v>
      </c>
      <c r="I769" s="11">
        <v>3.15</v>
      </c>
      <c r="J769" s="6">
        <v>2.88855</v>
      </c>
      <c r="K769" s="6">
        <v>0.91700000000000004</v>
      </c>
      <c r="L769" s="6">
        <v>2.87</v>
      </c>
      <c r="M769" s="11">
        <v>2.6317900000000001</v>
      </c>
      <c r="N769" s="11">
        <f t="shared" si="44"/>
        <v>2.6319999999999997</v>
      </c>
      <c r="O769" s="6">
        <v>0.91700000000000004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0.28000000000000003</v>
      </c>
      <c r="Z769" s="6">
        <v>0.25675999999999999</v>
      </c>
      <c r="AA769" s="6">
        <v>0.91699999999999982</v>
      </c>
      <c r="AB769" s="6">
        <v>-0.2799999999999998</v>
      </c>
      <c r="AC769" s="6">
        <v>0.2799999999999998</v>
      </c>
      <c r="AD769" s="22" t="s">
        <v>3140</v>
      </c>
      <c r="AE769" s="23">
        <f t="shared" si="45"/>
        <v>2.6319999999999997</v>
      </c>
      <c r="AF769" s="24">
        <f t="shared" si="46"/>
        <v>0</v>
      </c>
      <c r="AG769" s="23">
        <f t="shared" si="47"/>
        <v>1</v>
      </c>
    </row>
    <row r="770" spans="1:33" ht="12.5" customHeight="1" x14ac:dyDescent="0.25">
      <c r="A770" s="12" t="s">
        <v>31</v>
      </c>
      <c r="B770" s="9">
        <v>46183</v>
      </c>
      <c r="C770" s="12" t="s">
        <v>1223</v>
      </c>
      <c r="D770" s="10" t="s">
        <v>1234</v>
      </c>
      <c r="E770" s="10" t="s">
        <v>51</v>
      </c>
      <c r="F770" s="10" t="s">
        <v>35</v>
      </c>
      <c r="G770" s="10" t="s">
        <v>3146</v>
      </c>
      <c r="H770" s="8" t="s">
        <v>36</v>
      </c>
      <c r="I770" s="11">
        <v>5.05</v>
      </c>
      <c r="J770" s="6">
        <v>4.6308499999999997</v>
      </c>
      <c r="K770" s="6">
        <v>0.91699999999999993</v>
      </c>
      <c r="L770" s="6">
        <v>4.9000000000000004</v>
      </c>
      <c r="M770" s="11">
        <v>4.4932999999999996</v>
      </c>
      <c r="N770" s="11">
        <f t="shared" si="44"/>
        <v>4.4940000000000007</v>
      </c>
      <c r="O770" s="6">
        <v>0.91699999999999982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0.15</v>
      </c>
      <c r="Z770" s="6">
        <v>0.13755000000000001</v>
      </c>
      <c r="AA770" s="6">
        <v>0.91700000000000004</v>
      </c>
      <c r="AB770" s="6">
        <v>-0.14999999999999947</v>
      </c>
      <c r="AC770" s="6">
        <v>0.14999999999999947</v>
      </c>
      <c r="AD770" s="22" t="s">
        <v>3140</v>
      </c>
      <c r="AE770" s="23">
        <f t="shared" si="45"/>
        <v>4.4940000000000007</v>
      </c>
      <c r="AF770" s="24">
        <f t="shared" si="46"/>
        <v>0</v>
      </c>
      <c r="AG770" s="23">
        <f t="shared" si="47"/>
        <v>1</v>
      </c>
    </row>
    <row r="771" spans="1:33" ht="12.5" customHeight="1" x14ac:dyDescent="0.25">
      <c r="A771" s="12" t="s">
        <v>31</v>
      </c>
      <c r="B771" s="9">
        <v>46183</v>
      </c>
      <c r="C771" s="13" t="s">
        <v>1223</v>
      </c>
      <c r="D771" s="10" t="s">
        <v>1235</v>
      </c>
      <c r="E771" s="10" t="s">
        <v>51</v>
      </c>
      <c r="F771" s="10" t="s">
        <v>35</v>
      </c>
      <c r="G771" s="10" t="s">
        <v>3146</v>
      </c>
      <c r="H771" s="8" t="s">
        <v>36</v>
      </c>
      <c r="I771" s="11">
        <v>4.38</v>
      </c>
      <c r="J771" s="6">
        <v>4.0164600000000004</v>
      </c>
      <c r="K771" s="6">
        <v>0.91700000000000015</v>
      </c>
      <c r="L771" s="6">
        <v>4.2</v>
      </c>
      <c r="M771" s="11">
        <v>3.8513999999999999</v>
      </c>
      <c r="N771" s="11">
        <f t="shared" ref="N771:N834" si="48">ROUNDUP(M771,3)</f>
        <v>3.8519999999999999</v>
      </c>
      <c r="O771" s="6">
        <v>0.91699999999999993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0.18</v>
      </c>
      <c r="Z771" s="6">
        <v>0.16506000000000001</v>
      </c>
      <c r="AA771" s="6">
        <v>0.91700000000000015</v>
      </c>
      <c r="AB771" s="6">
        <v>-0.17999999999999972</v>
      </c>
      <c r="AC771" s="6">
        <v>0.17999999999999972</v>
      </c>
      <c r="AD771" s="22" t="s">
        <v>3140</v>
      </c>
      <c r="AE771" s="23">
        <f t="shared" ref="AE771:AE834" si="49">_xlfn.MINIFS(N:N,D:D,D771)</f>
        <v>3.8519999999999999</v>
      </c>
      <c r="AF771" s="24">
        <f t="shared" ref="AF771:AF834" si="50">N771-AE771</f>
        <v>0</v>
      </c>
      <c r="AG771" s="23">
        <f t="shared" ref="AG771:AG834" si="51">COUNTIF(D:D,D771)</f>
        <v>1</v>
      </c>
    </row>
    <row r="772" spans="1:33" ht="12.5" customHeight="1" x14ac:dyDescent="0.25">
      <c r="A772" s="12" t="s">
        <v>31</v>
      </c>
      <c r="B772" s="9">
        <v>46183</v>
      </c>
      <c r="C772" s="8" t="s">
        <v>1236</v>
      </c>
      <c r="D772" s="10" t="s">
        <v>1237</v>
      </c>
      <c r="E772" s="10" t="s">
        <v>51</v>
      </c>
      <c r="F772" s="10" t="s">
        <v>35</v>
      </c>
      <c r="G772" s="10" t="s">
        <v>3146</v>
      </c>
      <c r="H772" s="8" t="s">
        <v>36</v>
      </c>
      <c r="I772" s="11">
        <v>7.64</v>
      </c>
      <c r="J772" s="6">
        <v>7.0058800000000003</v>
      </c>
      <c r="K772" s="6">
        <v>0.91700000000000004</v>
      </c>
      <c r="L772" s="6">
        <v>7.03</v>
      </c>
      <c r="M772" s="11">
        <v>6.44651</v>
      </c>
      <c r="N772" s="11">
        <f t="shared" si="48"/>
        <v>6.4470000000000001</v>
      </c>
      <c r="O772" s="6">
        <v>0.91699999999999993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0.61</v>
      </c>
      <c r="Z772" s="6">
        <v>0.55937000000000003</v>
      </c>
      <c r="AA772" s="6">
        <v>0.91700000000000004</v>
      </c>
      <c r="AB772" s="6">
        <v>-0.60999999999999943</v>
      </c>
      <c r="AC772" s="6">
        <v>0.60999999999999943</v>
      </c>
      <c r="AD772" s="22" t="s">
        <v>3140</v>
      </c>
      <c r="AE772" s="23">
        <f t="shared" si="49"/>
        <v>6.4470000000000001</v>
      </c>
      <c r="AF772" s="24">
        <f t="shared" si="50"/>
        <v>0</v>
      </c>
      <c r="AG772" s="23">
        <f t="shared" si="51"/>
        <v>1</v>
      </c>
    </row>
    <row r="773" spans="1:33" ht="12.5" customHeight="1" x14ac:dyDescent="0.25">
      <c r="A773" s="12" t="s">
        <v>31</v>
      </c>
      <c r="B773" s="9">
        <v>46183</v>
      </c>
      <c r="C773" s="12" t="s">
        <v>1236</v>
      </c>
      <c r="D773" s="10" t="s">
        <v>1238</v>
      </c>
      <c r="E773" s="10" t="s">
        <v>51</v>
      </c>
      <c r="F773" s="10" t="s">
        <v>35</v>
      </c>
      <c r="G773" s="10" t="s">
        <v>3146</v>
      </c>
      <c r="H773" s="8" t="s">
        <v>36</v>
      </c>
      <c r="I773" s="11">
        <v>6.58</v>
      </c>
      <c r="J773" s="6">
        <v>6.0338599999999998</v>
      </c>
      <c r="K773" s="6">
        <v>0.91699999999999993</v>
      </c>
      <c r="L773" s="6">
        <v>6.29</v>
      </c>
      <c r="M773" s="11">
        <v>5.7679299999999998</v>
      </c>
      <c r="N773" s="11">
        <f t="shared" si="48"/>
        <v>5.7680000000000007</v>
      </c>
      <c r="O773" s="6">
        <v>0.91699999999999993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0.28999999999999998</v>
      </c>
      <c r="Z773" s="6">
        <v>0.26593</v>
      </c>
      <c r="AA773" s="6">
        <v>0.91700000000000004</v>
      </c>
      <c r="AB773" s="6">
        <v>-0.29000000000000004</v>
      </c>
      <c r="AC773" s="6">
        <v>0.29000000000000004</v>
      </c>
      <c r="AD773" s="22" t="s">
        <v>3140</v>
      </c>
      <c r="AE773" s="23">
        <f t="shared" si="49"/>
        <v>5.7680000000000007</v>
      </c>
      <c r="AF773" s="24">
        <f t="shared" si="50"/>
        <v>0</v>
      </c>
      <c r="AG773" s="23">
        <f t="shared" si="51"/>
        <v>1</v>
      </c>
    </row>
    <row r="774" spans="1:33" ht="12.5" customHeight="1" x14ac:dyDescent="0.25">
      <c r="A774" s="12" t="s">
        <v>31</v>
      </c>
      <c r="B774" s="9">
        <v>46183</v>
      </c>
      <c r="C774" s="13" t="s">
        <v>1236</v>
      </c>
      <c r="D774" s="10" t="s">
        <v>1239</v>
      </c>
      <c r="E774" s="10" t="s">
        <v>51</v>
      </c>
      <c r="F774" s="10" t="s">
        <v>35</v>
      </c>
      <c r="G774" s="10" t="s">
        <v>3146</v>
      </c>
      <c r="H774" s="8" t="s">
        <v>36</v>
      </c>
      <c r="I774" s="11">
        <v>4.01</v>
      </c>
      <c r="J774" s="6">
        <v>3.6771699999999998</v>
      </c>
      <c r="K774" s="6">
        <v>0.91700000000000004</v>
      </c>
      <c r="L774" s="6">
        <v>3.77</v>
      </c>
      <c r="M774" s="11">
        <v>3.45709</v>
      </c>
      <c r="N774" s="11">
        <f t="shared" si="48"/>
        <v>3.4579999999999997</v>
      </c>
      <c r="O774" s="6">
        <v>0.91700000000000004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0.24</v>
      </c>
      <c r="Z774" s="6">
        <v>0.22008</v>
      </c>
      <c r="AA774" s="6">
        <v>0.91700000000000004</v>
      </c>
      <c r="AB774" s="6">
        <v>-0.23999999999999977</v>
      </c>
      <c r="AC774" s="6">
        <v>0.23999999999999977</v>
      </c>
      <c r="AD774" s="22" t="s">
        <v>3140</v>
      </c>
      <c r="AE774" s="23">
        <f t="shared" si="49"/>
        <v>3.4579999999999997</v>
      </c>
      <c r="AF774" s="24">
        <f t="shared" si="50"/>
        <v>0</v>
      </c>
      <c r="AG774" s="23">
        <f t="shared" si="51"/>
        <v>1</v>
      </c>
    </row>
    <row r="775" spans="1:33" x14ac:dyDescent="0.25">
      <c r="A775" s="12" t="s">
        <v>31</v>
      </c>
      <c r="B775" s="9">
        <v>46183</v>
      </c>
      <c r="C775" s="10" t="s">
        <v>1240</v>
      </c>
      <c r="D775" s="10" t="s">
        <v>1170</v>
      </c>
      <c r="E775" s="10" t="s">
        <v>51</v>
      </c>
      <c r="F775" s="10" t="s">
        <v>35</v>
      </c>
      <c r="G775" s="10" t="s">
        <v>3146</v>
      </c>
      <c r="H775" s="8" t="s">
        <v>36</v>
      </c>
      <c r="I775" s="11">
        <v>24.83</v>
      </c>
      <c r="J775" s="6">
        <v>22.769110000000001</v>
      </c>
      <c r="K775" s="6">
        <v>0.91700000000000015</v>
      </c>
      <c r="L775" s="6">
        <v>24.72</v>
      </c>
      <c r="M775" s="11">
        <v>22.668240000000001</v>
      </c>
      <c r="N775" s="11">
        <f t="shared" si="48"/>
        <v>22.669</v>
      </c>
      <c r="O775" s="6">
        <v>0.91700000000000004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0.11</v>
      </c>
      <c r="Z775" s="6">
        <v>0.10087</v>
      </c>
      <c r="AA775" s="6">
        <v>0.91700000000000004</v>
      </c>
      <c r="AB775" s="6">
        <v>-0.10999999999999943</v>
      </c>
      <c r="AC775" s="6">
        <v>0.10999999999999943</v>
      </c>
      <c r="AD775" s="23" t="s">
        <v>3143</v>
      </c>
      <c r="AE775" s="23">
        <f t="shared" si="49"/>
        <v>22.274000000000001</v>
      </c>
      <c r="AF775" s="24">
        <f t="shared" si="50"/>
        <v>0.39499999999999957</v>
      </c>
      <c r="AG775" s="23">
        <f t="shared" si="51"/>
        <v>3</v>
      </c>
    </row>
    <row r="776" spans="1:33" x14ac:dyDescent="0.25">
      <c r="A776" s="12" t="s">
        <v>31</v>
      </c>
      <c r="B776" s="9">
        <v>46183</v>
      </c>
      <c r="C776" s="10" t="s">
        <v>1241</v>
      </c>
      <c r="D776" s="10" t="s">
        <v>1242</v>
      </c>
      <c r="E776" s="10" t="s">
        <v>51</v>
      </c>
      <c r="F776" s="10" t="s">
        <v>35</v>
      </c>
      <c r="G776" s="10" t="s">
        <v>3146</v>
      </c>
      <c r="H776" s="8" t="s">
        <v>36</v>
      </c>
      <c r="I776" s="11">
        <v>58.57</v>
      </c>
      <c r="J776" s="6">
        <v>53.708689999999997</v>
      </c>
      <c r="K776" s="6">
        <v>0.91699999999999993</v>
      </c>
      <c r="L776" s="6">
        <v>58.55</v>
      </c>
      <c r="M776" s="11">
        <v>53.690350000000002</v>
      </c>
      <c r="N776" s="11">
        <f t="shared" si="48"/>
        <v>53.690999999999995</v>
      </c>
      <c r="O776" s="6">
        <v>0.91700000000000004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0.02</v>
      </c>
      <c r="Z776" s="6">
        <v>1.8339999999999999E-2</v>
      </c>
      <c r="AA776" s="6">
        <v>0.91699999999999993</v>
      </c>
      <c r="AB776" s="6">
        <v>-2.0000000000003126E-2</v>
      </c>
      <c r="AC776" s="6">
        <v>2.0000000000003126E-2</v>
      </c>
      <c r="AD776" s="23" t="s">
        <v>3143</v>
      </c>
      <c r="AE776" s="23">
        <f t="shared" si="49"/>
        <v>50.555</v>
      </c>
      <c r="AF776" s="24">
        <f t="shared" si="50"/>
        <v>3.1359999999999957</v>
      </c>
      <c r="AG776" s="23">
        <f t="shared" si="51"/>
        <v>2</v>
      </c>
    </row>
    <row r="777" spans="1:33" x14ac:dyDescent="0.25">
      <c r="A777" s="12" t="s">
        <v>31</v>
      </c>
      <c r="B777" s="9">
        <v>46183</v>
      </c>
      <c r="C777" s="10" t="s">
        <v>1243</v>
      </c>
      <c r="D777" s="10" t="s">
        <v>1244</v>
      </c>
      <c r="E777" s="10" t="s">
        <v>51</v>
      </c>
      <c r="F777" s="10" t="s">
        <v>35</v>
      </c>
      <c r="G777" s="10" t="s">
        <v>3146</v>
      </c>
      <c r="H777" s="8" t="s">
        <v>36</v>
      </c>
      <c r="I777" s="11">
        <v>9.08</v>
      </c>
      <c r="J777" s="6">
        <v>8.3263599999999993</v>
      </c>
      <c r="K777" s="6">
        <v>0.91699999999999993</v>
      </c>
      <c r="L777" s="6">
        <v>8.32</v>
      </c>
      <c r="M777" s="11">
        <v>7.6294399999999998</v>
      </c>
      <c r="N777" s="11">
        <f t="shared" si="48"/>
        <v>7.63</v>
      </c>
      <c r="O777" s="6">
        <v>0.91699999999999993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0.76</v>
      </c>
      <c r="Z777" s="6">
        <v>0.69691999999999998</v>
      </c>
      <c r="AA777" s="6">
        <v>0.91699999999999993</v>
      </c>
      <c r="AB777" s="6">
        <v>-0.75999999999999979</v>
      </c>
      <c r="AC777" s="6">
        <v>0.75999999999999979</v>
      </c>
      <c r="AD777" s="22" t="s">
        <v>3140</v>
      </c>
      <c r="AE777" s="23">
        <f t="shared" si="49"/>
        <v>7.63</v>
      </c>
      <c r="AF777" s="24">
        <f t="shared" si="50"/>
        <v>0</v>
      </c>
      <c r="AG777" s="23">
        <f t="shared" si="51"/>
        <v>1</v>
      </c>
    </row>
    <row r="778" spans="1:33" x14ac:dyDescent="0.25">
      <c r="A778" s="12" t="s">
        <v>31</v>
      </c>
      <c r="B778" s="9">
        <v>46183</v>
      </c>
      <c r="C778" s="10" t="s">
        <v>1245</v>
      </c>
      <c r="D778" s="10" t="s">
        <v>1246</v>
      </c>
      <c r="E778" s="10" t="s">
        <v>51</v>
      </c>
      <c r="F778" s="10" t="s">
        <v>35</v>
      </c>
      <c r="G778" s="10" t="s">
        <v>3146</v>
      </c>
      <c r="H778" s="8" t="s">
        <v>36</v>
      </c>
      <c r="I778" s="11">
        <v>101.89</v>
      </c>
      <c r="J778" s="6">
        <v>93.433130000000006</v>
      </c>
      <c r="K778" s="6">
        <v>0.91700000000000004</v>
      </c>
      <c r="L778" s="6">
        <v>101.88</v>
      </c>
      <c r="M778" s="11">
        <v>93.423959999999994</v>
      </c>
      <c r="N778" s="11">
        <f t="shared" si="48"/>
        <v>93.424000000000007</v>
      </c>
      <c r="O778" s="6">
        <v>0.91699999999999993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0.01</v>
      </c>
      <c r="Z778" s="6">
        <v>9.1699999999999993E-3</v>
      </c>
      <c r="AA778" s="6">
        <v>0.91699999999999993</v>
      </c>
      <c r="AB778" s="6">
        <v>-1.0000000000005116E-2</v>
      </c>
      <c r="AC778" s="6">
        <v>1.0000000000005116E-2</v>
      </c>
      <c r="AD778" s="23" t="s">
        <v>3143</v>
      </c>
      <c r="AE778" s="23">
        <f t="shared" si="49"/>
        <v>87.968000000000004</v>
      </c>
      <c r="AF778" s="24">
        <f t="shared" si="50"/>
        <v>5.4560000000000031</v>
      </c>
      <c r="AG778" s="23">
        <f t="shared" si="51"/>
        <v>2</v>
      </c>
    </row>
    <row r="779" spans="1:33" x14ac:dyDescent="0.25">
      <c r="A779" s="12" t="s">
        <v>31</v>
      </c>
      <c r="B779" s="9">
        <v>46183</v>
      </c>
      <c r="C779" s="10" t="s">
        <v>1247</v>
      </c>
      <c r="D779" s="10" t="s">
        <v>1248</v>
      </c>
      <c r="E779" s="10" t="s">
        <v>51</v>
      </c>
      <c r="F779" s="10" t="s">
        <v>35</v>
      </c>
      <c r="G779" s="10" t="s">
        <v>3146</v>
      </c>
      <c r="H779" s="8" t="s">
        <v>36</v>
      </c>
      <c r="I779" s="11">
        <v>7.93</v>
      </c>
      <c r="J779" s="6">
        <v>7.2718100000000003</v>
      </c>
      <c r="K779" s="6">
        <v>0.91700000000000004</v>
      </c>
      <c r="L779" s="6">
        <v>7.27</v>
      </c>
      <c r="M779" s="11">
        <v>6.6665900000000002</v>
      </c>
      <c r="N779" s="11">
        <f t="shared" si="48"/>
        <v>6.6670000000000007</v>
      </c>
      <c r="O779" s="6">
        <v>0.91700000000000004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0.66</v>
      </c>
      <c r="Z779" s="6">
        <v>0.60521999999999998</v>
      </c>
      <c r="AA779" s="6">
        <v>0.91699999999999993</v>
      </c>
      <c r="AB779" s="6">
        <v>-0.66000000000000014</v>
      </c>
      <c r="AC779" s="6">
        <v>0.66000000000000014</v>
      </c>
      <c r="AD779" s="22" t="s">
        <v>3140</v>
      </c>
      <c r="AE779" s="23">
        <f t="shared" si="49"/>
        <v>6.6670000000000007</v>
      </c>
      <c r="AF779" s="24">
        <f t="shared" si="50"/>
        <v>0</v>
      </c>
      <c r="AG779" s="23">
        <f t="shared" si="51"/>
        <v>1</v>
      </c>
    </row>
    <row r="780" spans="1:33" x14ac:dyDescent="0.25">
      <c r="A780" s="12" t="s">
        <v>31</v>
      </c>
      <c r="B780" s="9">
        <v>46183</v>
      </c>
      <c r="C780" s="10" t="s">
        <v>1249</v>
      </c>
      <c r="D780" s="10" t="s">
        <v>1250</v>
      </c>
      <c r="E780" s="10" t="s">
        <v>51</v>
      </c>
      <c r="F780" s="10" t="s">
        <v>35</v>
      </c>
      <c r="G780" s="10" t="s">
        <v>3146</v>
      </c>
      <c r="H780" s="8" t="s">
        <v>36</v>
      </c>
      <c r="I780" s="11">
        <v>124.97</v>
      </c>
      <c r="J780" s="6">
        <v>114.59748999999999</v>
      </c>
      <c r="K780" s="6">
        <v>0.91699999999999993</v>
      </c>
      <c r="L780" s="6">
        <v>124.95</v>
      </c>
      <c r="M780" s="11">
        <v>114.57915</v>
      </c>
      <c r="N780" s="11">
        <f t="shared" si="48"/>
        <v>114.58</v>
      </c>
      <c r="O780" s="6">
        <v>0.91699999999999993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0.02</v>
      </c>
      <c r="Z780" s="6">
        <v>1.8339999999999999E-2</v>
      </c>
      <c r="AA780" s="6">
        <v>0.91699999999999993</v>
      </c>
      <c r="AB780" s="6">
        <v>-1.9999999999996021E-2</v>
      </c>
      <c r="AC780" s="6">
        <v>1.9999999999996021E-2</v>
      </c>
      <c r="AD780" s="23" t="s">
        <v>3143</v>
      </c>
      <c r="AE780" s="23">
        <f t="shared" si="49"/>
        <v>110.05900000000001</v>
      </c>
      <c r="AF780" s="24">
        <f t="shared" si="50"/>
        <v>4.5209999999999866</v>
      </c>
      <c r="AG780" s="23">
        <f t="shared" si="51"/>
        <v>2</v>
      </c>
    </row>
    <row r="781" spans="1:33" x14ac:dyDescent="0.25">
      <c r="A781" s="12" t="s">
        <v>31</v>
      </c>
      <c r="B781" s="9">
        <v>46183</v>
      </c>
      <c r="C781" s="10" t="s">
        <v>1251</v>
      </c>
      <c r="D781" s="10" t="s">
        <v>1252</v>
      </c>
      <c r="E781" s="10" t="s">
        <v>51</v>
      </c>
      <c r="F781" s="10" t="s">
        <v>35</v>
      </c>
      <c r="G781" s="10" t="s">
        <v>3146</v>
      </c>
      <c r="H781" s="8" t="s">
        <v>36</v>
      </c>
      <c r="I781" s="11">
        <v>55.85</v>
      </c>
      <c r="J781" s="6">
        <v>51.214449999999999</v>
      </c>
      <c r="K781" s="6">
        <v>0.91699999999999993</v>
      </c>
      <c r="L781" s="6">
        <v>55.85</v>
      </c>
      <c r="M781" s="11">
        <v>51.214449999999999</v>
      </c>
      <c r="N781" s="11">
        <f t="shared" si="48"/>
        <v>51.214999999999996</v>
      </c>
      <c r="O781" s="6">
        <v>0.91699999999999993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23" t="s">
        <v>3143</v>
      </c>
      <c r="AE781" s="23">
        <f t="shared" si="49"/>
        <v>48.234999999999999</v>
      </c>
      <c r="AF781" s="24">
        <f t="shared" si="50"/>
        <v>2.9799999999999969</v>
      </c>
      <c r="AG781" s="23">
        <f t="shared" si="51"/>
        <v>2</v>
      </c>
    </row>
    <row r="782" spans="1:33" x14ac:dyDescent="0.25">
      <c r="A782" s="12" t="s">
        <v>31</v>
      </c>
      <c r="B782" s="9">
        <v>46183</v>
      </c>
      <c r="C782" s="10" t="s">
        <v>1253</v>
      </c>
      <c r="D782" s="10" t="s">
        <v>1254</v>
      </c>
      <c r="E782" s="10" t="s">
        <v>51</v>
      </c>
      <c r="F782" s="10" t="s">
        <v>35</v>
      </c>
      <c r="G782" s="10" t="s">
        <v>3146</v>
      </c>
      <c r="H782" s="8" t="s">
        <v>36</v>
      </c>
      <c r="I782" s="11">
        <v>95.65</v>
      </c>
      <c r="J782" s="6">
        <v>87.71105</v>
      </c>
      <c r="K782" s="6">
        <v>0.91699999999999993</v>
      </c>
      <c r="L782" s="6">
        <v>95.64</v>
      </c>
      <c r="M782" s="11">
        <v>87.701880000000003</v>
      </c>
      <c r="N782" s="11">
        <f t="shared" si="48"/>
        <v>87.701999999999998</v>
      </c>
      <c r="O782" s="6">
        <v>0.91700000000000004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0.01</v>
      </c>
      <c r="Z782" s="6">
        <v>9.1699999999999993E-3</v>
      </c>
      <c r="AA782" s="6">
        <v>0.91699999999999993</v>
      </c>
      <c r="AB782" s="6">
        <v>-1.0000000000005116E-2</v>
      </c>
      <c r="AC782" s="6">
        <v>1.0000000000005116E-2</v>
      </c>
      <c r="AD782" s="23" t="s">
        <v>3143</v>
      </c>
      <c r="AE782" s="23">
        <f t="shared" si="49"/>
        <v>81.907000000000011</v>
      </c>
      <c r="AF782" s="24">
        <f t="shared" si="50"/>
        <v>5.7949999999999875</v>
      </c>
      <c r="AG782" s="23">
        <f t="shared" si="51"/>
        <v>2</v>
      </c>
    </row>
    <row r="783" spans="1:33" x14ac:dyDescent="0.25">
      <c r="A783" s="12" t="s">
        <v>31</v>
      </c>
      <c r="B783" s="9">
        <v>46183</v>
      </c>
      <c r="C783" s="10" t="s">
        <v>1255</v>
      </c>
      <c r="D783" s="10" t="s">
        <v>1256</v>
      </c>
      <c r="E783" s="10" t="s">
        <v>51</v>
      </c>
      <c r="F783" s="10" t="s">
        <v>35</v>
      </c>
      <c r="G783" s="10" t="s">
        <v>3146</v>
      </c>
      <c r="H783" s="8" t="s">
        <v>36</v>
      </c>
      <c r="I783" s="11">
        <v>7.6</v>
      </c>
      <c r="J783" s="6">
        <v>6.9691999999999998</v>
      </c>
      <c r="K783" s="6">
        <v>0.91700000000000004</v>
      </c>
      <c r="L783" s="6">
        <v>6.96</v>
      </c>
      <c r="M783" s="11">
        <v>6.38232</v>
      </c>
      <c r="N783" s="11">
        <f t="shared" si="48"/>
        <v>6.383</v>
      </c>
      <c r="O783" s="6">
        <v>0.91700000000000004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0.64</v>
      </c>
      <c r="Z783" s="6">
        <v>0.58687999999999996</v>
      </c>
      <c r="AA783" s="6">
        <v>0.91699999999999993</v>
      </c>
      <c r="AB783" s="6">
        <v>-0.63999999999999968</v>
      </c>
      <c r="AC783" s="6">
        <v>0.63999999999999968</v>
      </c>
      <c r="AD783" s="22" t="s">
        <v>3140</v>
      </c>
      <c r="AE783" s="23">
        <f t="shared" si="49"/>
        <v>6.383</v>
      </c>
      <c r="AF783" s="24">
        <f t="shared" si="50"/>
        <v>0</v>
      </c>
      <c r="AG783" s="23">
        <f t="shared" si="51"/>
        <v>1</v>
      </c>
    </row>
    <row r="784" spans="1:33" x14ac:dyDescent="0.25">
      <c r="A784" s="12" t="s">
        <v>31</v>
      </c>
      <c r="B784" s="9">
        <v>46183</v>
      </c>
      <c r="C784" s="10" t="s">
        <v>1257</v>
      </c>
      <c r="D784" s="10" t="s">
        <v>1258</v>
      </c>
      <c r="E784" s="10" t="s">
        <v>51</v>
      </c>
      <c r="F784" s="10" t="s">
        <v>35</v>
      </c>
      <c r="G784" s="10" t="s">
        <v>3146</v>
      </c>
      <c r="H784" s="8" t="s">
        <v>36</v>
      </c>
      <c r="I784" s="11">
        <v>8.0299999999999994</v>
      </c>
      <c r="J784" s="6">
        <v>7.3635099999999998</v>
      </c>
      <c r="K784" s="6">
        <v>0.91700000000000004</v>
      </c>
      <c r="L784" s="6">
        <v>7.6</v>
      </c>
      <c r="M784" s="11">
        <v>6.9691999999999998</v>
      </c>
      <c r="N784" s="11">
        <f t="shared" si="48"/>
        <v>6.9700000000000006</v>
      </c>
      <c r="O784" s="6">
        <v>0.91700000000000004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0.43</v>
      </c>
      <c r="Z784" s="6">
        <v>0.39430999999999999</v>
      </c>
      <c r="AA784" s="6">
        <v>0.91700000000000004</v>
      </c>
      <c r="AB784" s="6">
        <v>-0.42999999999999972</v>
      </c>
      <c r="AC784" s="6">
        <v>0.42999999999999972</v>
      </c>
      <c r="AD784" s="22" t="s">
        <v>3140</v>
      </c>
      <c r="AE784" s="23">
        <f t="shared" si="49"/>
        <v>6.9700000000000006</v>
      </c>
      <c r="AF784" s="24">
        <f t="shared" si="50"/>
        <v>0</v>
      </c>
      <c r="AG784" s="23">
        <f t="shared" si="51"/>
        <v>1</v>
      </c>
    </row>
    <row r="785" spans="1:33" x14ac:dyDescent="0.25">
      <c r="A785" s="12" t="s">
        <v>31</v>
      </c>
      <c r="B785" s="9">
        <v>46183</v>
      </c>
      <c r="C785" s="10" t="s">
        <v>1259</v>
      </c>
      <c r="D785" s="10" t="s">
        <v>1260</v>
      </c>
      <c r="E785" s="10" t="s">
        <v>51</v>
      </c>
      <c r="F785" s="10" t="s">
        <v>35</v>
      </c>
      <c r="G785" s="10" t="s">
        <v>3146</v>
      </c>
      <c r="H785" s="8" t="s">
        <v>36</v>
      </c>
      <c r="I785" s="11">
        <v>3.25</v>
      </c>
      <c r="J785" s="6">
        <v>2.9802499999999998</v>
      </c>
      <c r="K785" s="6">
        <v>0.91699999999999993</v>
      </c>
      <c r="L785" s="6">
        <v>2.86</v>
      </c>
      <c r="M785" s="11">
        <v>2.62262</v>
      </c>
      <c r="N785" s="11">
        <f t="shared" si="48"/>
        <v>2.6229999999999998</v>
      </c>
      <c r="O785" s="6">
        <v>0.91700000000000004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0.39</v>
      </c>
      <c r="Z785" s="6">
        <v>0.35763</v>
      </c>
      <c r="AA785" s="6">
        <v>0.91699999999999993</v>
      </c>
      <c r="AB785" s="6">
        <v>-0.39000000000000012</v>
      </c>
      <c r="AC785" s="6">
        <v>0.39000000000000012</v>
      </c>
      <c r="AD785" s="22" t="s">
        <v>3140</v>
      </c>
      <c r="AE785" s="23">
        <f t="shared" si="49"/>
        <v>2.6229999999999998</v>
      </c>
      <c r="AF785" s="24">
        <f t="shared" si="50"/>
        <v>0</v>
      </c>
      <c r="AG785" s="23">
        <f t="shared" si="51"/>
        <v>1</v>
      </c>
    </row>
    <row r="786" spans="1:33" x14ac:dyDescent="0.25">
      <c r="A786" s="12" t="s">
        <v>31</v>
      </c>
      <c r="B786" s="9">
        <v>46183</v>
      </c>
      <c r="C786" s="10" t="s">
        <v>1261</v>
      </c>
      <c r="D786" s="10" t="s">
        <v>1262</v>
      </c>
      <c r="E786" s="10" t="s">
        <v>51</v>
      </c>
      <c r="F786" s="10" t="s">
        <v>35</v>
      </c>
      <c r="G786" s="10" t="s">
        <v>3146</v>
      </c>
      <c r="H786" s="8" t="s">
        <v>36</v>
      </c>
      <c r="I786" s="11">
        <v>6.01</v>
      </c>
      <c r="J786" s="6">
        <v>5.5111699999999999</v>
      </c>
      <c r="K786" s="6">
        <v>0.91700000000000004</v>
      </c>
      <c r="L786" s="6">
        <v>5.71</v>
      </c>
      <c r="M786" s="11">
        <v>5.2360699999999998</v>
      </c>
      <c r="N786" s="11">
        <f t="shared" si="48"/>
        <v>5.2370000000000001</v>
      </c>
      <c r="O786" s="6">
        <v>0.91699999999999993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0.3</v>
      </c>
      <c r="Z786" s="6">
        <v>0.27510000000000001</v>
      </c>
      <c r="AA786" s="6">
        <v>0.91700000000000004</v>
      </c>
      <c r="AB786" s="6">
        <v>-0.29999999999999982</v>
      </c>
      <c r="AC786" s="6">
        <v>0.29999999999999982</v>
      </c>
      <c r="AD786" s="22" t="s">
        <v>3140</v>
      </c>
      <c r="AE786" s="23">
        <f t="shared" si="49"/>
        <v>5.2370000000000001</v>
      </c>
      <c r="AF786" s="24">
        <f t="shared" si="50"/>
        <v>0</v>
      </c>
      <c r="AG786" s="23">
        <f t="shared" si="51"/>
        <v>1</v>
      </c>
    </row>
    <row r="787" spans="1:33" x14ac:dyDescent="0.25">
      <c r="A787" s="12" t="s">
        <v>31</v>
      </c>
      <c r="B787" s="9">
        <v>46183</v>
      </c>
      <c r="C787" s="10" t="s">
        <v>1263</v>
      </c>
      <c r="D787" s="10" t="s">
        <v>1264</v>
      </c>
      <c r="E787" s="10" t="s">
        <v>51</v>
      </c>
      <c r="F787" s="10" t="s">
        <v>35</v>
      </c>
      <c r="G787" s="10" t="s">
        <v>3146</v>
      </c>
      <c r="H787" s="8" t="s">
        <v>36</v>
      </c>
      <c r="I787" s="11">
        <v>7.57</v>
      </c>
      <c r="J787" s="6">
        <v>6.9416900000000004</v>
      </c>
      <c r="K787" s="6">
        <v>0.91700000000000004</v>
      </c>
      <c r="L787" s="6">
        <v>7.3</v>
      </c>
      <c r="M787" s="11">
        <v>6.6940999999999997</v>
      </c>
      <c r="N787" s="11">
        <f t="shared" si="48"/>
        <v>6.6950000000000003</v>
      </c>
      <c r="O787" s="6">
        <v>0.91700000000000004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0.27</v>
      </c>
      <c r="Z787" s="6">
        <v>0.24759</v>
      </c>
      <c r="AA787" s="6">
        <v>0.91699999999999993</v>
      </c>
      <c r="AB787" s="6">
        <v>-0.27000000000000046</v>
      </c>
      <c r="AC787" s="6">
        <v>0.27000000000000046</v>
      </c>
      <c r="AD787" s="22" t="s">
        <v>3140</v>
      </c>
      <c r="AE787" s="23">
        <f t="shared" si="49"/>
        <v>6.6950000000000003</v>
      </c>
      <c r="AF787" s="24">
        <f t="shared" si="50"/>
        <v>0</v>
      </c>
      <c r="AG787" s="23">
        <f t="shared" si="51"/>
        <v>1</v>
      </c>
    </row>
    <row r="788" spans="1:33" x14ac:dyDescent="0.25">
      <c r="A788" s="12" t="s">
        <v>31</v>
      </c>
      <c r="B788" s="9">
        <v>46183</v>
      </c>
      <c r="C788" s="10" t="s">
        <v>1265</v>
      </c>
      <c r="D788" s="10" t="s">
        <v>1266</v>
      </c>
      <c r="E788" s="10" t="s">
        <v>51</v>
      </c>
      <c r="F788" s="10" t="s">
        <v>35</v>
      </c>
      <c r="G788" s="10" t="s">
        <v>3146</v>
      </c>
      <c r="H788" s="8" t="s">
        <v>36</v>
      </c>
      <c r="I788" s="11">
        <v>6.67</v>
      </c>
      <c r="J788" s="6">
        <v>6.11639</v>
      </c>
      <c r="K788" s="6">
        <v>0.91700000000000004</v>
      </c>
      <c r="L788" s="6">
        <v>6.4</v>
      </c>
      <c r="M788" s="11">
        <v>5.8688000000000002</v>
      </c>
      <c r="N788" s="11">
        <f t="shared" si="48"/>
        <v>5.8690000000000007</v>
      </c>
      <c r="O788" s="6">
        <v>0.91700000000000004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0.27</v>
      </c>
      <c r="Z788" s="6">
        <v>0.24759</v>
      </c>
      <c r="AA788" s="6">
        <v>0.91699999999999993</v>
      </c>
      <c r="AB788" s="6">
        <v>-0.26999999999999957</v>
      </c>
      <c r="AC788" s="6">
        <v>0.26999999999999957</v>
      </c>
      <c r="AD788" s="22" t="s">
        <v>3140</v>
      </c>
      <c r="AE788" s="23">
        <f t="shared" si="49"/>
        <v>5.8690000000000007</v>
      </c>
      <c r="AF788" s="24">
        <f t="shared" si="50"/>
        <v>0</v>
      </c>
      <c r="AG788" s="23">
        <f t="shared" si="51"/>
        <v>1</v>
      </c>
    </row>
    <row r="789" spans="1:33" x14ac:dyDescent="0.25">
      <c r="A789" s="12" t="s">
        <v>31</v>
      </c>
      <c r="B789" s="9">
        <v>46183</v>
      </c>
      <c r="C789" s="10" t="s">
        <v>1267</v>
      </c>
      <c r="D789" s="10" t="s">
        <v>1268</v>
      </c>
      <c r="E789" s="10" t="s">
        <v>51</v>
      </c>
      <c r="F789" s="10" t="s">
        <v>35</v>
      </c>
      <c r="G789" s="10" t="s">
        <v>3146</v>
      </c>
      <c r="H789" s="8" t="s">
        <v>36</v>
      </c>
      <c r="I789" s="11">
        <v>5.91</v>
      </c>
      <c r="J789" s="6">
        <v>5.4194699999999996</v>
      </c>
      <c r="K789" s="6">
        <v>0.91699999999999993</v>
      </c>
      <c r="L789" s="6">
        <v>5.48</v>
      </c>
      <c r="M789" s="11">
        <v>5.0251599999999996</v>
      </c>
      <c r="N789" s="11">
        <f t="shared" si="48"/>
        <v>5.0260000000000007</v>
      </c>
      <c r="O789" s="6">
        <v>0.91699999999999982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0.43</v>
      </c>
      <c r="Z789" s="6">
        <v>0.39430999999999999</v>
      </c>
      <c r="AA789" s="6">
        <v>0.91700000000000004</v>
      </c>
      <c r="AB789" s="6">
        <v>-0.42999999999999972</v>
      </c>
      <c r="AC789" s="6">
        <v>0.42999999999999972</v>
      </c>
      <c r="AD789" s="22" t="s">
        <v>3140</v>
      </c>
      <c r="AE789" s="23">
        <f t="shared" si="49"/>
        <v>5.0260000000000007</v>
      </c>
      <c r="AF789" s="24">
        <f t="shared" si="50"/>
        <v>0</v>
      </c>
      <c r="AG789" s="23">
        <f t="shared" si="51"/>
        <v>1</v>
      </c>
    </row>
    <row r="790" spans="1:33" x14ac:dyDescent="0.25">
      <c r="A790" s="12" t="s">
        <v>31</v>
      </c>
      <c r="B790" s="9">
        <v>46183</v>
      </c>
      <c r="C790" s="10" t="s">
        <v>1269</v>
      </c>
      <c r="D790" s="10" t="s">
        <v>1270</v>
      </c>
      <c r="E790" s="10" t="s">
        <v>51</v>
      </c>
      <c r="F790" s="10" t="s">
        <v>35</v>
      </c>
      <c r="G790" s="10" t="s">
        <v>3146</v>
      </c>
      <c r="H790" s="8" t="s">
        <v>36</v>
      </c>
      <c r="I790" s="11">
        <v>8.7799999999999994</v>
      </c>
      <c r="J790" s="6">
        <v>8.0512599999999992</v>
      </c>
      <c r="K790" s="6">
        <v>0.91699999999999993</v>
      </c>
      <c r="L790" s="6">
        <v>8.14</v>
      </c>
      <c r="M790" s="11">
        <v>7.4643800000000002</v>
      </c>
      <c r="N790" s="11">
        <f t="shared" si="48"/>
        <v>7.4650000000000007</v>
      </c>
      <c r="O790" s="6">
        <v>0.91699999999999993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0.64</v>
      </c>
      <c r="Z790" s="6">
        <v>0.58687999999999996</v>
      </c>
      <c r="AA790" s="6">
        <v>0.91699999999999993</v>
      </c>
      <c r="AB790" s="6">
        <v>-0.63999999999999879</v>
      </c>
      <c r="AC790" s="6">
        <v>0.63999999999999879</v>
      </c>
      <c r="AD790" s="22" t="s">
        <v>3140</v>
      </c>
      <c r="AE790" s="23">
        <f t="shared" si="49"/>
        <v>7.4650000000000007</v>
      </c>
      <c r="AF790" s="24">
        <f t="shared" si="50"/>
        <v>0</v>
      </c>
      <c r="AG790" s="23">
        <f t="shared" si="51"/>
        <v>1</v>
      </c>
    </row>
    <row r="791" spans="1:33" ht="12.5" customHeight="1" x14ac:dyDescent="0.25">
      <c r="A791" s="12" t="s">
        <v>31</v>
      </c>
      <c r="B791" s="9">
        <v>46183</v>
      </c>
      <c r="C791" s="8" t="s">
        <v>1271</v>
      </c>
      <c r="D791" s="10" t="s">
        <v>1272</v>
      </c>
      <c r="E791" s="10" t="s">
        <v>51</v>
      </c>
      <c r="F791" s="10" t="s">
        <v>35</v>
      </c>
      <c r="G791" s="10" t="s">
        <v>3146</v>
      </c>
      <c r="H791" s="8" t="s">
        <v>36</v>
      </c>
      <c r="I791" s="11">
        <v>406.12</v>
      </c>
      <c r="J791" s="6">
        <v>372.41203999999999</v>
      </c>
      <c r="K791" s="6">
        <v>0.91699999999999993</v>
      </c>
      <c r="L791" s="6">
        <v>370.2</v>
      </c>
      <c r="M791" s="11">
        <v>339.47340000000003</v>
      </c>
      <c r="N791" s="11">
        <f t="shared" si="48"/>
        <v>339.47399999999999</v>
      </c>
      <c r="O791" s="6">
        <v>0.91700000000000015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35.92</v>
      </c>
      <c r="Z791" s="6">
        <v>32.938639999999999</v>
      </c>
      <c r="AA791" s="6">
        <v>0.91699999999999993</v>
      </c>
      <c r="AB791" s="6">
        <v>-35.920000000000016</v>
      </c>
      <c r="AC791" s="6">
        <v>35.920000000000016</v>
      </c>
      <c r="AD791" s="23" t="s">
        <v>3143</v>
      </c>
      <c r="AE791" s="23">
        <f t="shared" si="49"/>
        <v>311.221</v>
      </c>
      <c r="AF791" s="24">
        <f t="shared" si="50"/>
        <v>28.252999999999986</v>
      </c>
      <c r="AG791" s="23">
        <f t="shared" si="51"/>
        <v>3</v>
      </c>
    </row>
    <row r="792" spans="1:33" ht="12.5" customHeight="1" x14ac:dyDescent="0.25">
      <c r="A792" s="12" t="s">
        <v>31</v>
      </c>
      <c r="B792" s="9">
        <v>46183</v>
      </c>
      <c r="C792" s="12" t="s">
        <v>1271</v>
      </c>
      <c r="D792" s="10" t="s">
        <v>1168</v>
      </c>
      <c r="E792" s="10" t="s">
        <v>51</v>
      </c>
      <c r="F792" s="10" t="s">
        <v>35</v>
      </c>
      <c r="G792" s="10" t="s">
        <v>3146</v>
      </c>
      <c r="H792" s="8" t="s">
        <v>36</v>
      </c>
      <c r="I792" s="11">
        <v>15.62</v>
      </c>
      <c r="J792" s="6">
        <v>14.323539999999999</v>
      </c>
      <c r="K792" s="6">
        <v>0.91700000000000004</v>
      </c>
      <c r="L792" s="6">
        <v>15.62</v>
      </c>
      <c r="M792" s="11">
        <v>14.323539999999999</v>
      </c>
      <c r="N792" s="11">
        <f t="shared" si="48"/>
        <v>14.324</v>
      </c>
      <c r="O792" s="6">
        <v>0.91700000000000004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22" t="s">
        <v>3140</v>
      </c>
      <c r="AE792" s="23">
        <f t="shared" si="49"/>
        <v>14.324</v>
      </c>
      <c r="AF792" s="24">
        <f t="shared" si="50"/>
        <v>0</v>
      </c>
      <c r="AG792" s="23">
        <f t="shared" si="51"/>
        <v>2</v>
      </c>
    </row>
    <row r="793" spans="1:33" ht="12.5" hidden="1" customHeight="1" x14ac:dyDescent="0.25">
      <c r="A793" s="12" t="s">
        <v>31</v>
      </c>
      <c r="B793" s="9">
        <v>46183</v>
      </c>
      <c r="C793" s="13" t="s">
        <v>1271</v>
      </c>
      <c r="D793" s="10" t="s">
        <v>1273</v>
      </c>
      <c r="E793" s="10" t="s">
        <v>51</v>
      </c>
      <c r="F793" s="10" t="s">
        <v>35</v>
      </c>
      <c r="G793" s="10" t="s">
        <v>3145</v>
      </c>
      <c r="H793" s="8" t="s">
        <v>48</v>
      </c>
      <c r="I793" s="11">
        <v>4.96</v>
      </c>
      <c r="J793" s="6">
        <v>3.72</v>
      </c>
      <c r="K793" s="6">
        <v>0.75</v>
      </c>
      <c r="L793" s="6">
        <v>4.6100000000000003</v>
      </c>
      <c r="M793" s="11">
        <v>3.4575</v>
      </c>
      <c r="N793" s="11">
        <f t="shared" si="48"/>
        <v>3.4579999999999997</v>
      </c>
      <c r="O793" s="6">
        <v>0.75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0.35</v>
      </c>
      <c r="Z793" s="6">
        <v>0.26250000000000001</v>
      </c>
      <c r="AA793" s="6">
        <v>0.75000000000000011</v>
      </c>
      <c r="AB793" s="6">
        <v>-0.34999999999999964</v>
      </c>
      <c r="AC793" s="6">
        <v>0.34999999999999964</v>
      </c>
      <c r="AD793" s="22" t="s">
        <v>3140</v>
      </c>
      <c r="AE793" s="23">
        <f t="shared" si="49"/>
        <v>3.4579999999999997</v>
      </c>
      <c r="AF793" s="24">
        <f t="shared" si="50"/>
        <v>0</v>
      </c>
      <c r="AG793" s="23">
        <f t="shared" si="51"/>
        <v>1</v>
      </c>
    </row>
    <row r="794" spans="1:33" ht="12.5" customHeight="1" x14ac:dyDescent="0.25">
      <c r="A794" s="12" t="s">
        <v>31</v>
      </c>
      <c r="B794" s="9">
        <v>46183</v>
      </c>
      <c r="C794" s="8" t="s">
        <v>1274</v>
      </c>
      <c r="D794" s="10" t="s">
        <v>1275</v>
      </c>
      <c r="E794" s="10" t="s">
        <v>51</v>
      </c>
      <c r="F794" s="10" t="s">
        <v>35</v>
      </c>
      <c r="G794" s="10" t="s">
        <v>3146</v>
      </c>
      <c r="H794" s="8" t="s">
        <v>36</v>
      </c>
      <c r="I794" s="11">
        <v>9.468</v>
      </c>
      <c r="J794" s="6">
        <v>8.6821560000000009</v>
      </c>
      <c r="K794" s="6">
        <v>0.91700000000000015</v>
      </c>
      <c r="L794" s="6">
        <v>8.798</v>
      </c>
      <c r="M794" s="11">
        <v>8.0677660000000007</v>
      </c>
      <c r="N794" s="11">
        <f t="shared" si="48"/>
        <v>8.0679999999999996</v>
      </c>
      <c r="O794" s="6">
        <v>0.91700000000000004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0.67</v>
      </c>
      <c r="Z794" s="6">
        <v>0.61438999999999999</v>
      </c>
      <c r="AA794" s="6">
        <v>0.91699999999999993</v>
      </c>
      <c r="AB794" s="6">
        <v>-0.67</v>
      </c>
      <c r="AC794" s="6">
        <v>0.67</v>
      </c>
      <c r="AD794" s="22" t="s">
        <v>3140</v>
      </c>
      <c r="AE794" s="23">
        <f t="shared" si="49"/>
        <v>8.0679999999999996</v>
      </c>
      <c r="AF794" s="24">
        <f t="shared" si="50"/>
        <v>0</v>
      </c>
      <c r="AG794" s="23">
        <f t="shared" si="51"/>
        <v>1</v>
      </c>
    </row>
    <row r="795" spans="1:33" ht="12.5" customHeight="1" x14ac:dyDescent="0.25">
      <c r="A795" s="12" t="s">
        <v>31</v>
      </c>
      <c r="B795" s="9">
        <v>46183</v>
      </c>
      <c r="C795" s="12" t="s">
        <v>1274</v>
      </c>
      <c r="D795" s="10" t="s">
        <v>1276</v>
      </c>
      <c r="E795" s="10" t="s">
        <v>51</v>
      </c>
      <c r="F795" s="10" t="s">
        <v>35</v>
      </c>
      <c r="G795" s="10" t="s">
        <v>3146</v>
      </c>
      <c r="H795" s="8" t="s">
        <v>36</v>
      </c>
      <c r="I795" s="11">
        <v>3.78</v>
      </c>
      <c r="J795" s="6">
        <v>3.4662600000000001</v>
      </c>
      <c r="K795" s="6">
        <v>0.91700000000000004</v>
      </c>
      <c r="L795" s="6">
        <v>3.52</v>
      </c>
      <c r="M795" s="11">
        <v>3.22784</v>
      </c>
      <c r="N795" s="11">
        <f t="shared" si="48"/>
        <v>3.2279999999999998</v>
      </c>
      <c r="O795" s="6">
        <v>0.91700000000000004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0.26</v>
      </c>
      <c r="Z795" s="6">
        <v>0.23841999999999999</v>
      </c>
      <c r="AA795" s="6">
        <v>0.91699999999999993</v>
      </c>
      <c r="AB795" s="6">
        <v>-0.25999999999999979</v>
      </c>
      <c r="AC795" s="6">
        <v>0.25999999999999979</v>
      </c>
      <c r="AD795" s="22" t="s">
        <v>3140</v>
      </c>
      <c r="AE795" s="23">
        <f t="shared" si="49"/>
        <v>3.2279999999999998</v>
      </c>
      <c r="AF795" s="24">
        <f t="shared" si="50"/>
        <v>0</v>
      </c>
      <c r="AG795" s="23">
        <f t="shared" si="51"/>
        <v>1</v>
      </c>
    </row>
    <row r="796" spans="1:33" ht="12.5" customHeight="1" x14ac:dyDescent="0.25">
      <c r="A796" s="12" t="s">
        <v>31</v>
      </c>
      <c r="B796" s="9">
        <v>46183</v>
      </c>
      <c r="C796" s="13" t="s">
        <v>1274</v>
      </c>
      <c r="D796" s="10" t="s">
        <v>1277</v>
      </c>
      <c r="E796" s="10" t="s">
        <v>51</v>
      </c>
      <c r="F796" s="10" t="s">
        <v>35</v>
      </c>
      <c r="G796" s="10" t="s">
        <v>3146</v>
      </c>
      <c r="H796" s="8" t="s">
        <v>36</v>
      </c>
      <c r="I796" s="11">
        <v>6.96</v>
      </c>
      <c r="J796" s="6">
        <v>6.38232</v>
      </c>
      <c r="K796" s="6">
        <v>0.91700000000000004</v>
      </c>
      <c r="L796" s="6">
        <v>6.59</v>
      </c>
      <c r="M796" s="11">
        <v>6.0430299999999999</v>
      </c>
      <c r="N796" s="11">
        <f t="shared" si="48"/>
        <v>6.0440000000000005</v>
      </c>
      <c r="O796" s="6">
        <v>0.91700000000000004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0.37</v>
      </c>
      <c r="Z796" s="6">
        <v>0.33928999999999998</v>
      </c>
      <c r="AA796" s="6">
        <v>0.91699999999999993</v>
      </c>
      <c r="AB796" s="6">
        <v>-0.37000000000000011</v>
      </c>
      <c r="AC796" s="6">
        <v>0.37000000000000011</v>
      </c>
      <c r="AD796" s="22" t="s">
        <v>3140</v>
      </c>
      <c r="AE796" s="23">
        <f t="shared" si="49"/>
        <v>6.0440000000000005</v>
      </c>
      <c r="AF796" s="24">
        <f t="shared" si="50"/>
        <v>0</v>
      </c>
      <c r="AG796" s="23">
        <f t="shared" si="51"/>
        <v>1</v>
      </c>
    </row>
    <row r="797" spans="1:33" x14ac:dyDescent="0.25">
      <c r="A797" s="12" t="s">
        <v>31</v>
      </c>
      <c r="B797" s="9">
        <v>46183</v>
      </c>
      <c r="C797" s="10" t="s">
        <v>1278</v>
      </c>
      <c r="D797" s="10" t="s">
        <v>1170</v>
      </c>
      <c r="E797" s="10" t="s">
        <v>51</v>
      </c>
      <c r="F797" s="10" t="s">
        <v>35</v>
      </c>
      <c r="G797" s="10" t="s">
        <v>3146</v>
      </c>
      <c r="H797" s="8" t="s">
        <v>36</v>
      </c>
      <c r="I797" s="11">
        <v>25.33</v>
      </c>
      <c r="J797" s="6">
        <v>23.227609999999999</v>
      </c>
      <c r="K797" s="6">
        <v>0.91700000000000004</v>
      </c>
      <c r="L797" s="6">
        <v>25.07</v>
      </c>
      <c r="M797" s="11">
        <v>22.989190000000001</v>
      </c>
      <c r="N797" s="11">
        <f t="shared" si="48"/>
        <v>22.990000000000002</v>
      </c>
      <c r="O797" s="6">
        <v>0.91700000000000004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0.26</v>
      </c>
      <c r="Z797" s="6">
        <v>0.23841999999999999</v>
      </c>
      <c r="AA797" s="6">
        <v>0.91699999999999993</v>
      </c>
      <c r="AB797" s="6">
        <v>-0.25999999999999801</v>
      </c>
      <c r="AC797" s="6">
        <v>0.25999999999999801</v>
      </c>
      <c r="AD797" s="23" t="s">
        <v>3143</v>
      </c>
      <c r="AE797" s="23">
        <f t="shared" si="49"/>
        <v>22.274000000000001</v>
      </c>
      <c r="AF797" s="24">
        <f t="shared" si="50"/>
        <v>0.71600000000000108</v>
      </c>
      <c r="AG797" s="23">
        <f t="shared" si="51"/>
        <v>3</v>
      </c>
    </row>
    <row r="798" spans="1:33" hidden="1" x14ac:dyDescent="0.25">
      <c r="A798" s="12" t="s">
        <v>31</v>
      </c>
      <c r="B798" s="9">
        <v>46183</v>
      </c>
      <c r="C798" s="10" t="s">
        <v>1279</v>
      </c>
      <c r="D798" s="10" t="s">
        <v>1280</v>
      </c>
      <c r="E798" s="10" t="s">
        <v>51</v>
      </c>
      <c r="F798" s="10" t="s">
        <v>35</v>
      </c>
      <c r="G798" s="10" t="s">
        <v>3145</v>
      </c>
      <c r="H798" s="8" t="s">
        <v>41</v>
      </c>
      <c r="I798" s="11">
        <v>81.64</v>
      </c>
      <c r="J798" s="6">
        <v>61.23</v>
      </c>
      <c r="K798" s="6">
        <v>0.75</v>
      </c>
      <c r="L798" s="6">
        <v>77.650000000000006</v>
      </c>
      <c r="M798" s="11">
        <v>58.237499999999997</v>
      </c>
      <c r="N798" s="11">
        <f t="shared" si="48"/>
        <v>58.238</v>
      </c>
      <c r="O798" s="6">
        <v>0.74999999999999989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3.99</v>
      </c>
      <c r="Z798" s="6">
        <v>2.9925000000000002</v>
      </c>
      <c r="AA798" s="6">
        <v>0.75</v>
      </c>
      <c r="AB798" s="6">
        <v>-3.9899999999999949</v>
      </c>
      <c r="AC798" s="6">
        <v>3.9899999999999949</v>
      </c>
      <c r="AD798" s="22" t="s">
        <v>3140</v>
      </c>
      <c r="AE798" s="23">
        <f t="shared" si="49"/>
        <v>58.238</v>
      </c>
      <c r="AF798" s="24">
        <f t="shared" si="50"/>
        <v>0</v>
      </c>
      <c r="AG798" s="23">
        <f t="shared" si="51"/>
        <v>1</v>
      </c>
    </row>
    <row r="799" spans="1:33" ht="12.5" customHeight="1" x14ac:dyDescent="0.25">
      <c r="A799" s="12" t="s">
        <v>31</v>
      </c>
      <c r="B799" s="9">
        <v>46183</v>
      </c>
      <c r="C799" s="8" t="s">
        <v>1281</v>
      </c>
      <c r="D799" s="10" t="s">
        <v>1282</v>
      </c>
      <c r="E799" s="10" t="s">
        <v>51</v>
      </c>
      <c r="F799" s="10" t="s">
        <v>35</v>
      </c>
      <c r="G799" s="10" t="s">
        <v>3146</v>
      </c>
      <c r="H799" s="8" t="s">
        <v>36</v>
      </c>
      <c r="I799" s="11">
        <v>17.059999999999999</v>
      </c>
      <c r="J799" s="6">
        <v>15.644019999999999</v>
      </c>
      <c r="K799" s="6">
        <v>0.91700000000000004</v>
      </c>
      <c r="L799" s="6">
        <v>17</v>
      </c>
      <c r="M799" s="11">
        <v>15.589</v>
      </c>
      <c r="N799" s="11">
        <f t="shared" si="48"/>
        <v>15.589</v>
      </c>
      <c r="O799" s="6">
        <v>0.91700000000000004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0.06</v>
      </c>
      <c r="Z799" s="6">
        <v>5.5019999999999999E-2</v>
      </c>
      <c r="AA799" s="6">
        <v>0.91700000000000004</v>
      </c>
      <c r="AB799" s="6">
        <v>-5.9999999999998721E-2</v>
      </c>
      <c r="AC799" s="6">
        <v>5.9999999999998721E-2</v>
      </c>
      <c r="AD799" s="22" t="s">
        <v>3143</v>
      </c>
      <c r="AE799" s="23">
        <f t="shared" si="49"/>
        <v>15.589</v>
      </c>
      <c r="AF799" s="24">
        <f t="shared" si="50"/>
        <v>0</v>
      </c>
      <c r="AG799" s="23">
        <f t="shared" si="51"/>
        <v>2</v>
      </c>
    </row>
    <row r="800" spans="1:33" ht="12.5" customHeight="1" x14ac:dyDescent="0.25">
      <c r="A800" s="12" t="s">
        <v>31</v>
      </c>
      <c r="B800" s="9">
        <v>46183</v>
      </c>
      <c r="C800" s="12" t="s">
        <v>1281</v>
      </c>
      <c r="D800" s="10" t="s">
        <v>1283</v>
      </c>
      <c r="E800" s="10" t="s">
        <v>51</v>
      </c>
      <c r="F800" s="10" t="s">
        <v>35</v>
      </c>
      <c r="G800" s="10" t="s">
        <v>3146</v>
      </c>
      <c r="H800" s="8" t="s">
        <v>36</v>
      </c>
      <c r="I800" s="11">
        <v>33.78</v>
      </c>
      <c r="J800" s="6">
        <v>30.97626</v>
      </c>
      <c r="K800" s="6">
        <v>0.91699999999999993</v>
      </c>
      <c r="L800" s="6">
        <v>33.61</v>
      </c>
      <c r="M800" s="11">
        <v>30.82037</v>
      </c>
      <c r="N800" s="11">
        <f t="shared" si="48"/>
        <v>30.821000000000002</v>
      </c>
      <c r="O800" s="6">
        <v>0.91700000000000004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0.17</v>
      </c>
      <c r="Z800" s="6">
        <v>0.15589</v>
      </c>
      <c r="AA800" s="6">
        <v>0.91699999999999993</v>
      </c>
      <c r="AB800" s="6">
        <v>-0.17000000000000171</v>
      </c>
      <c r="AC800" s="6">
        <v>0.17000000000000171</v>
      </c>
      <c r="AD800" s="22" t="s">
        <v>3140</v>
      </c>
      <c r="AE800" s="23">
        <f t="shared" si="49"/>
        <v>30.821000000000002</v>
      </c>
      <c r="AF800" s="24">
        <f t="shared" si="50"/>
        <v>0</v>
      </c>
      <c r="AG800" s="23">
        <f t="shared" si="51"/>
        <v>2</v>
      </c>
    </row>
    <row r="801" spans="1:33" ht="12.5" customHeight="1" x14ac:dyDescent="0.25">
      <c r="A801" s="12" t="s">
        <v>31</v>
      </c>
      <c r="B801" s="9">
        <v>46183</v>
      </c>
      <c r="C801" s="13" t="s">
        <v>1281</v>
      </c>
      <c r="D801" s="10" t="s">
        <v>1284</v>
      </c>
      <c r="E801" s="10" t="s">
        <v>51</v>
      </c>
      <c r="F801" s="10" t="s">
        <v>35</v>
      </c>
      <c r="G801" s="10" t="s">
        <v>3146</v>
      </c>
      <c r="H801" s="8" t="s">
        <v>36</v>
      </c>
      <c r="I801" s="11">
        <v>22.63</v>
      </c>
      <c r="J801" s="6">
        <v>20.751709999999999</v>
      </c>
      <c r="K801" s="6">
        <v>0.91700000000000004</v>
      </c>
      <c r="L801" s="6">
        <v>20.29</v>
      </c>
      <c r="M801" s="11">
        <v>18.605930000000001</v>
      </c>
      <c r="N801" s="11">
        <f t="shared" si="48"/>
        <v>18.606000000000002</v>
      </c>
      <c r="O801" s="6">
        <v>0.91700000000000004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2.34</v>
      </c>
      <c r="Z801" s="6">
        <v>2.1457799999999998</v>
      </c>
      <c r="AA801" s="6">
        <v>0.91699999999999993</v>
      </c>
      <c r="AB801" s="6">
        <v>-2.34</v>
      </c>
      <c r="AC801" s="6">
        <v>2.34</v>
      </c>
      <c r="AD801" s="22" t="s">
        <v>3140</v>
      </c>
      <c r="AE801" s="23">
        <f t="shared" si="49"/>
        <v>18.606000000000002</v>
      </c>
      <c r="AF801" s="24">
        <f t="shared" si="50"/>
        <v>0</v>
      </c>
      <c r="AG801" s="23">
        <f t="shared" si="51"/>
        <v>1</v>
      </c>
    </row>
    <row r="802" spans="1:33" ht="20" hidden="1" customHeight="1" x14ac:dyDescent="0.25">
      <c r="A802" s="12" t="s">
        <v>31</v>
      </c>
      <c r="B802" s="9">
        <v>46183</v>
      </c>
      <c r="C802" s="10" t="s">
        <v>1285</v>
      </c>
      <c r="D802" s="10" t="s">
        <v>1286</v>
      </c>
      <c r="E802" s="10" t="s">
        <v>51</v>
      </c>
      <c r="F802" s="10" t="s">
        <v>35</v>
      </c>
      <c r="G802" s="10" t="s">
        <v>3145</v>
      </c>
      <c r="H802" s="8" t="s">
        <v>48</v>
      </c>
      <c r="I802" s="11">
        <v>145.91</v>
      </c>
      <c r="J802" s="6">
        <v>109.4325</v>
      </c>
      <c r="K802" s="6">
        <v>0.75</v>
      </c>
      <c r="L802" s="6">
        <v>140.38999999999999</v>
      </c>
      <c r="M802" s="11">
        <v>105.2925</v>
      </c>
      <c r="N802" s="11">
        <f t="shared" si="48"/>
        <v>105.29300000000001</v>
      </c>
      <c r="O802" s="6">
        <v>0.75000000000000011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5.52</v>
      </c>
      <c r="Z802" s="6">
        <v>4.1399999999999997</v>
      </c>
      <c r="AA802" s="6">
        <v>0.75</v>
      </c>
      <c r="AB802" s="6">
        <v>-5.5200000000000102</v>
      </c>
      <c r="AC802" s="6">
        <v>5.5200000000000102</v>
      </c>
      <c r="AD802" s="22" t="s">
        <v>3140</v>
      </c>
      <c r="AE802" s="23">
        <f t="shared" si="49"/>
        <v>105.29300000000001</v>
      </c>
      <c r="AF802" s="24">
        <f t="shared" si="50"/>
        <v>0</v>
      </c>
      <c r="AG802" s="23">
        <f t="shared" si="51"/>
        <v>1</v>
      </c>
    </row>
    <row r="803" spans="1:33" ht="20" hidden="1" customHeight="1" x14ac:dyDescent="0.25">
      <c r="A803" s="12" t="s">
        <v>31</v>
      </c>
      <c r="B803" s="9">
        <v>46183</v>
      </c>
      <c r="C803" s="10" t="s">
        <v>1287</v>
      </c>
      <c r="D803" s="10" t="s">
        <v>1288</v>
      </c>
      <c r="E803" s="10" t="s">
        <v>51</v>
      </c>
      <c r="F803" s="10" t="s">
        <v>35</v>
      </c>
      <c r="G803" s="10" t="s">
        <v>3145</v>
      </c>
      <c r="H803" s="8" t="s">
        <v>48</v>
      </c>
      <c r="I803" s="11">
        <v>4.6399999999999997</v>
      </c>
      <c r="J803" s="6">
        <v>3.48</v>
      </c>
      <c r="K803" s="6">
        <v>0.75</v>
      </c>
      <c r="L803" s="6">
        <v>4.3899999999999997</v>
      </c>
      <c r="M803" s="11">
        <v>3.2925</v>
      </c>
      <c r="N803" s="11">
        <f t="shared" si="48"/>
        <v>3.2929999999999997</v>
      </c>
      <c r="O803" s="6">
        <v>0.75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0.25</v>
      </c>
      <c r="Z803" s="6">
        <v>0.1875</v>
      </c>
      <c r="AA803" s="6">
        <v>0.75</v>
      </c>
      <c r="AB803" s="6">
        <v>-0.25</v>
      </c>
      <c r="AC803" s="6">
        <v>0.25</v>
      </c>
      <c r="AD803" s="22" t="s">
        <v>3140</v>
      </c>
      <c r="AE803" s="23">
        <f t="shared" si="49"/>
        <v>3.2929999999999997</v>
      </c>
      <c r="AF803" s="24">
        <f t="shared" si="50"/>
        <v>0</v>
      </c>
      <c r="AG803" s="23">
        <f t="shared" si="51"/>
        <v>1</v>
      </c>
    </row>
    <row r="804" spans="1:33" x14ac:dyDescent="0.25">
      <c r="A804" s="12" t="s">
        <v>31</v>
      </c>
      <c r="B804" s="9">
        <v>46183</v>
      </c>
      <c r="C804" s="10" t="s">
        <v>1289</v>
      </c>
      <c r="D804" s="10" t="s">
        <v>1290</v>
      </c>
      <c r="E804" s="10" t="s">
        <v>51</v>
      </c>
      <c r="F804" s="10" t="s">
        <v>35</v>
      </c>
      <c r="G804" s="10" t="s">
        <v>3146</v>
      </c>
      <c r="H804" s="8" t="s">
        <v>36</v>
      </c>
      <c r="I804" s="11">
        <v>16.73</v>
      </c>
      <c r="J804" s="6">
        <v>15.34141</v>
      </c>
      <c r="K804" s="6">
        <v>0.91699999999999993</v>
      </c>
      <c r="L804" s="6">
        <v>16</v>
      </c>
      <c r="M804" s="11">
        <v>14.672000000000001</v>
      </c>
      <c r="N804" s="11">
        <f t="shared" si="48"/>
        <v>14.672000000000001</v>
      </c>
      <c r="O804" s="6">
        <v>0.91700000000000004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0.73</v>
      </c>
      <c r="Z804" s="6">
        <v>0.66940999999999995</v>
      </c>
      <c r="AA804" s="6">
        <v>0.91699999999999993</v>
      </c>
      <c r="AB804" s="6">
        <v>-0.73000000000000043</v>
      </c>
      <c r="AC804" s="6">
        <v>0.73000000000000043</v>
      </c>
      <c r="AD804" s="22" t="s">
        <v>3140</v>
      </c>
      <c r="AE804" s="23">
        <f t="shared" si="49"/>
        <v>14.672000000000001</v>
      </c>
      <c r="AF804" s="24">
        <f t="shared" si="50"/>
        <v>0</v>
      </c>
      <c r="AG804" s="23">
        <f t="shared" si="51"/>
        <v>1</v>
      </c>
    </row>
    <row r="805" spans="1:33" x14ac:dyDescent="0.25">
      <c r="A805" s="12" t="s">
        <v>31</v>
      </c>
      <c r="B805" s="9">
        <v>46183</v>
      </c>
      <c r="C805" s="10" t="s">
        <v>1291</v>
      </c>
      <c r="D805" s="10" t="s">
        <v>1292</v>
      </c>
      <c r="E805" s="10" t="s">
        <v>51</v>
      </c>
      <c r="F805" s="10" t="s">
        <v>35</v>
      </c>
      <c r="G805" s="10" t="s">
        <v>3146</v>
      </c>
      <c r="H805" s="8" t="s">
        <v>36</v>
      </c>
      <c r="I805" s="11">
        <v>26.31</v>
      </c>
      <c r="J805" s="6">
        <v>24.126270000000002</v>
      </c>
      <c r="K805" s="6">
        <v>0.91700000000000015</v>
      </c>
      <c r="L805" s="6">
        <v>24.27</v>
      </c>
      <c r="M805" s="11">
        <v>22.255590000000002</v>
      </c>
      <c r="N805" s="11">
        <f t="shared" si="48"/>
        <v>22.256</v>
      </c>
      <c r="O805" s="6">
        <v>0.91700000000000004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2.04</v>
      </c>
      <c r="Z805" s="6">
        <v>1.8706799999999999</v>
      </c>
      <c r="AA805" s="6">
        <v>0.91699999999999993</v>
      </c>
      <c r="AB805" s="6">
        <v>-2.0399999999999991</v>
      </c>
      <c r="AC805" s="6">
        <v>2.0399999999999991</v>
      </c>
      <c r="AD805" s="22" t="s">
        <v>3140</v>
      </c>
      <c r="AE805" s="23">
        <f t="shared" si="49"/>
        <v>22.256</v>
      </c>
      <c r="AF805" s="24">
        <f t="shared" si="50"/>
        <v>0</v>
      </c>
      <c r="AG805" s="23">
        <f t="shared" si="51"/>
        <v>1</v>
      </c>
    </row>
    <row r="806" spans="1:33" hidden="1" x14ac:dyDescent="0.25">
      <c r="A806" s="12" t="s">
        <v>31</v>
      </c>
      <c r="B806" s="9">
        <v>46183</v>
      </c>
      <c r="C806" s="10" t="s">
        <v>1293</v>
      </c>
      <c r="D806" s="10" t="s">
        <v>1294</v>
      </c>
      <c r="E806" s="10" t="s">
        <v>51</v>
      </c>
      <c r="F806" s="10" t="s">
        <v>35</v>
      </c>
      <c r="G806" s="10" t="s">
        <v>3145</v>
      </c>
      <c r="H806" s="8" t="s">
        <v>41</v>
      </c>
      <c r="I806" s="11">
        <v>38.08</v>
      </c>
      <c r="J806" s="6">
        <v>28.56</v>
      </c>
      <c r="K806" s="6">
        <v>0.75</v>
      </c>
      <c r="L806" s="6">
        <v>35.75</v>
      </c>
      <c r="M806" s="11">
        <v>26.8125</v>
      </c>
      <c r="N806" s="11">
        <f t="shared" si="48"/>
        <v>26.813000000000002</v>
      </c>
      <c r="O806" s="6">
        <v>0.75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2.33</v>
      </c>
      <c r="Z806" s="6">
        <v>1.7475000000000001</v>
      </c>
      <c r="AA806" s="6">
        <v>0.75</v>
      </c>
      <c r="AB806" s="6">
        <v>-2.3299999999999983</v>
      </c>
      <c r="AC806" s="6">
        <v>2.3299999999999983</v>
      </c>
      <c r="AD806" s="22" t="s">
        <v>3140</v>
      </c>
      <c r="AE806" s="23">
        <f t="shared" si="49"/>
        <v>26.813000000000002</v>
      </c>
      <c r="AF806" s="24">
        <f t="shared" si="50"/>
        <v>0</v>
      </c>
      <c r="AG806" s="23">
        <f t="shared" si="51"/>
        <v>1</v>
      </c>
    </row>
    <row r="807" spans="1:33" hidden="1" x14ac:dyDescent="0.25">
      <c r="A807" s="12" t="s">
        <v>31</v>
      </c>
      <c r="B807" s="9">
        <v>46183</v>
      </c>
      <c r="C807" s="10" t="s">
        <v>1295</v>
      </c>
      <c r="D807" s="10" t="s">
        <v>1102</v>
      </c>
      <c r="E807" s="10" t="s">
        <v>51</v>
      </c>
      <c r="F807" s="10" t="s">
        <v>35</v>
      </c>
      <c r="G807" s="10" t="s">
        <v>3145</v>
      </c>
      <c r="H807" s="8" t="s">
        <v>41</v>
      </c>
      <c r="I807" s="11">
        <v>30.85</v>
      </c>
      <c r="J807" s="6">
        <v>23.137499999999999</v>
      </c>
      <c r="K807" s="6">
        <v>0.74999999999999989</v>
      </c>
      <c r="L807" s="6">
        <v>28.36</v>
      </c>
      <c r="M807" s="11">
        <v>21.27</v>
      </c>
      <c r="N807" s="11">
        <f t="shared" si="48"/>
        <v>21.27</v>
      </c>
      <c r="O807" s="6">
        <v>0.75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2.4900000000000002</v>
      </c>
      <c r="Z807" s="6">
        <v>1.8674999999999999</v>
      </c>
      <c r="AA807" s="6">
        <v>0.74999999999999989</v>
      </c>
      <c r="AB807" s="6">
        <v>-2.490000000000002</v>
      </c>
      <c r="AC807" s="6">
        <v>2.490000000000002</v>
      </c>
      <c r="AD807" s="22" t="s">
        <v>3140</v>
      </c>
      <c r="AE807" s="23">
        <f t="shared" si="49"/>
        <v>21.27</v>
      </c>
      <c r="AF807" s="24">
        <f t="shared" si="50"/>
        <v>0</v>
      </c>
      <c r="AG807" s="23">
        <f t="shared" si="51"/>
        <v>2</v>
      </c>
    </row>
    <row r="808" spans="1:33" ht="12.5" hidden="1" customHeight="1" x14ac:dyDescent="0.25">
      <c r="A808" s="12" t="s">
        <v>31</v>
      </c>
      <c r="B808" s="9">
        <v>46183</v>
      </c>
      <c r="C808" s="8" t="s">
        <v>1296</v>
      </c>
      <c r="D808" s="10" t="s">
        <v>814</v>
      </c>
      <c r="E808" s="10" t="s">
        <v>51</v>
      </c>
      <c r="F808" s="10" t="s">
        <v>35</v>
      </c>
      <c r="G808" s="10" t="s">
        <v>3145</v>
      </c>
      <c r="H808" s="8" t="s">
        <v>41</v>
      </c>
      <c r="I808" s="11">
        <v>40.01</v>
      </c>
      <c r="J808" s="6">
        <v>30.0075</v>
      </c>
      <c r="K808" s="6">
        <v>0.75</v>
      </c>
      <c r="L808" s="6">
        <v>39.79</v>
      </c>
      <c r="M808" s="11">
        <v>29.842500000000001</v>
      </c>
      <c r="N808" s="11">
        <f t="shared" si="48"/>
        <v>29.843</v>
      </c>
      <c r="O808" s="6">
        <v>0.75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0.22</v>
      </c>
      <c r="Z808" s="6">
        <v>0.16500000000000001</v>
      </c>
      <c r="AA808" s="6">
        <v>0.75</v>
      </c>
      <c r="AB808" s="6">
        <v>-0.21999999999999886</v>
      </c>
      <c r="AC808" s="6">
        <v>0.21999999999999886</v>
      </c>
      <c r="AD808" s="22" t="s">
        <v>3140</v>
      </c>
      <c r="AE808" s="23">
        <f t="shared" si="49"/>
        <v>29.843</v>
      </c>
      <c r="AF808" s="24">
        <f t="shared" si="50"/>
        <v>0</v>
      </c>
      <c r="AG808" s="23">
        <f t="shared" si="51"/>
        <v>2</v>
      </c>
    </row>
    <row r="809" spans="1:33" ht="12.5" customHeight="1" x14ac:dyDescent="0.25">
      <c r="A809" s="12" t="s">
        <v>31</v>
      </c>
      <c r="B809" s="9">
        <v>46183</v>
      </c>
      <c r="C809" s="13" t="s">
        <v>1296</v>
      </c>
      <c r="D809" s="10" t="s">
        <v>1252</v>
      </c>
      <c r="E809" s="10" t="s">
        <v>51</v>
      </c>
      <c r="F809" s="10" t="s">
        <v>35</v>
      </c>
      <c r="G809" s="10" t="s">
        <v>3146</v>
      </c>
      <c r="H809" s="8" t="s">
        <v>36</v>
      </c>
      <c r="I809" s="11">
        <v>55.84</v>
      </c>
      <c r="J809" s="6">
        <v>51.205280000000002</v>
      </c>
      <c r="K809" s="6">
        <v>0.91699999999999993</v>
      </c>
      <c r="L809" s="6">
        <v>52.6</v>
      </c>
      <c r="M809" s="11">
        <v>48.234200000000001</v>
      </c>
      <c r="N809" s="11">
        <f t="shared" si="48"/>
        <v>48.234999999999999</v>
      </c>
      <c r="O809" s="6">
        <v>0.91700000000000004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3.24</v>
      </c>
      <c r="Z809" s="6">
        <v>2.9710800000000002</v>
      </c>
      <c r="AA809" s="6">
        <v>0.91700000000000004</v>
      </c>
      <c r="AB809" s="6">
        <v>-3.240000000000002</v>
      </c>
      <c r="AC809" s="6">
        <v>3.240000000000002</v>
      </c>
      <c r="AD809" s="22" t="s">
        <v>3140</v>
      </c>
      <c r="AE809" s="23">
        <f t="shared" si="49"/>
        <v>48.234999999999999</v>
      </c>
      <c r="AF809" s="24">
        <f t="shared" si="50"/>
        <v>0</v>
      </c>
      <c r="AG809" s="23">
        <f t="shared" si="51"/>
        <v>2</v>
      </c>
    </row>
    <row r="810" spans="1:33" x14ac:dyDescent="0.25">
      <c r="A810" s="12" t="s">
        <v>31</v>
      </c>
      <c r="B810" s="9">
        <v>46183</v>
      </c>
      <c r="C810" s="10" t="s">
        <v>1297</v>
      </c>
      <c r="D810" s="10" t="s">
        <v>1298</v>
      </c>
      <c r="E810" s="10" t="s">
        <v>51</v>
      </c>
      <c r="F810" s="10" t="s">
        <v>35</v>
      </c>
      <c r="G810" s="10" t="s">
        <v>3146</v>
      </c>
      <c r="H810" s="8" t="s">
        <v>36</v>
      </c>
      <c r="I810" s="11">
        <v>21</v>
      </c>
      <c r="J810" s="6">
        <v>19.257000000000001</v>
      </c>
      <c r="K810" s="6">
        <v>0.91700000000000004</v>
      </c>
      <c r="L810" s="6">
        <v>18.88</v>
      </c>
      <c r="M810" s="11">
        <v>17.31296</v>
      </c>
      <c r="N810" s="11">
        <f t="shared" si="48"/>
        <v>17.313000000000002</v>
      </c>
      <c r="O810" s="6">
        <v>0.91700000000000004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2.12</v>
      </c>
      <c r="Z810" s="6">
        <v>1.94404</v>
      </c>
      <c r="AA810" s="6">
        <v>0.91699999999999993</v>
      </c>
      <c r="AB810" s="6">
        <v>-2.120000000000001</v>
      </c>
      <c r="AC810" s="6">
        <v>2.120000000000001</v>
      </c>
      <c r="AD810" s="22" t="s">
        <v>3140</v>
      </c>
      <c r="AE810" s="23">
        <f t="shared" si="49"/>
        <v>17.313000000000002</v>
      </c>
      <c r="AF810" s="24">
        <f t="shared" si="50"/>
        <v>0</v>
      </c>
      <c r="AG810" s="23">
        <f t="shared" si="51"/>
        <v>1</v>
      </c>
    </row>
    <row r="811" spans="1:33" x14ac:dyDescent="0.25">
      <c r="A811" s="12" t="s">
        <v>31</v>
      </c>
      <c r="B811" s="9">
        <v>46183</v>
      </c>
      <c r="C811" s="10" t="s">
        <v>1299</v>
      </c>
      <c r="D811" s="10" t="s">
        <v>1300</v>
      </c>
      <c r="E811" s="10" t="s">
        <v>51</v>
      </c>
      <c r="F811" s="10" t="s">
        <v>35</v>
      </c>
      <c r="G811" s="10" t="s">
        <v>3146</v>
      </c>
      <c r="H811" s="8" t="s">
        <v>36</v>
      </c>
      <c r="I811" s="11">
        <v>66.91</v>
      </c>
      <c r="J811" s="6">
        <v>61.356470000000002</v>
      </c>
      <c r="K811" s="6">
        <v>0.91700000000000004</v>
      </c>
      <c r="L811" s="6">
        <v>62.97</v>
      </c>
      <c r="M811" s="11">
        <v>57.743490000000001</v>
      </c>
      <c r="N811" s="11">
        <f t="shared" si="48"/>
        <v>57.744</v>
      </c>
      <c r="O811" s="6">
        <v>0.91700000000000004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3.94</v>
      </c>
      <c r="Z811" s="6">
        <v>3.6129799999999999</v>
      </c>
      <c r="AA811" s="6">
        <v>0.91699999999999993</v>
      </c>
      <c r="AB811" s="6">
        <v>-3.9399999999999977</v>
      </c>
      <c r="AC811" s="6">
        <v>3.9399999999999977</v>
      </c>
      <c r="AD811" s="22" t="s">
        <v>3140</v>
      </c>
      <c r="AE811" s="23">
        <f t="shared" si="49"/>
        <v>57.744</v>
      </c>
      <c r="AF811" s="24">
        <f t="shared" si="50"/>
        <v>0</v>
      </c>
      <c r="AG811" s="23">
        <f t="shared" si="51"/>
        <v>1</v>
      </c>
    </row>
    <row r="812" spans="1:33" ht="12.5" customHeight="1" x14ac:dyDescent="0.25">
      <c r="A812" s="12" t="s">
        <v>31</v>
      </c>
      <c r="B812" s="9">
        <v>46183</v>
      </c>
      <c r="C812" s="8" t="s">
        <v>1301</v>
      </c>
      <c r="D812" s="10" t="s">
        <v>1302</v>
      </c>
      <c r="E812" s="10" t="s">
        <v>51</v>
      </c>
      <c r="F812" s="10" t="s">
        <v>35</v>
      </c>
      <c r="G812" s="10" t="s">
        <v>3146</v>
      </c>
      <c r="H812" s="8" t="s">
        <v>36</v>
      </c>
      <c r="I812" s="11">
        <v>28.58</v>
      </c>
      <c r="J812" s="6">
        <v>26.20786</v>
      </c>
      <c r="K812" s="6">
        <v>0.91700000000000004</v>
      </c>
      <c r="L812" s="6">
        <v>26.17</v>
      </c>
      <c r="M812" s="11">
        <v>23.997890000000002</v>
      </c>
      <c r="N812" s="11">
        <f t="shared" si="48"/>
        <v>23.998000000000001</v>
      </c>
      <c r="O812" s="6">
        <v>0.91700000000000004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2.41</v>
      </c>
      <c r="Z812" s="6">
        <v>2.2099700000000002</v>
      </c>
      <c r="AA812" s="6">
        <v>0.91700000000000004</v>
      </c>
      <c r="AB812" s="6">
        <v>-2.4099999999999966</v>
      </c>
      <c r="AC812" s="6">
        <v>2.4099999999999966</v>
      </c>
      <c r="AD812" s="22" t="s">
        <v>3140</v>
      </c>
      <c r="AE812" s="23">
        <f t="shared" si="49"/>
        <v>23.998000000000001</v>
      </c>
      <c r="AF812" s="24">
        <f t="shared" si="50"/>
        <v>0</v>
      </c>
      <c r="AG812" s="23">
        <f t="shared" si="51"/>
        <v>1</v>
      </c>
    </row>
    <row r="813" spans="1:33" ht="12.5" customHeight="1" x14ac:dyDescent="0.25">
      <c r="A813" s="12" t="s">
        <v>31</v>
      </c>
      <c r="B813" s="9">
        <v>46183</v>
      </c>
      <c r="C813" s="13" t="s">
        <v>1301</v>
      </c>
      <c r="D813" s="10" t="s">
        <v>1303</v>
      </c>
      <c r="E813" s="10" t="s">
        <v>51</v>
      </c>
      <c r="F813" s="10" t="s">
        <v>35</v>
      </c>
      <c r="G813" s="10" t="s">
        <v>3146</v>
      </c>
      <c r="H813" s="8" t="s">
        <v>36</v>
      </c>
      <c r="I813" s="11">
        <v>30.35</v>
      </c>
      <c r="J813" s="6">
        <v>27.830950000000001</v>
      </c>
      <c r="K813" s="6">
        <v>0.91700000000000004</v>
      </c>
      <c r="L813" s="6">
        <v>28.47</v>
      </c>
      <c r="M813" s="11">
        <v>26.10699</v>
      </c>
      <c r="N813" s="11">
        <f t="shared" si="48"/>
        <v>26.107000000000003</v>
      </c>
      <c r="O813" s="6">
        <v>0.91700000000000004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1.88</v>
      </c>
      <c r="Z813" s="6">
        <v>1.7239599999999999</v>
      </c>
      <c r="AA813" s="6">
        <v>0.91700000000000004</v>
      </c>
      <c r="AB813" s="6">
        <v>-1.8800000000000026</v>
      </c>
      <c r="AC813" s="6">
        <v>1.8800000000000026</v>
      </c>
      <c r="AD813" s="22" t="s">
        <v>3140</v>
      </c>
      <c r="AE813" s="23">
        <f t="shared" si="49"/>
        <v>26.107000000000003</v>
      </c>
      <c r="AF813" s="24">
        <f t="shared" si="50"/>
        <v>0</v>
      </c>
      <c r="AG813" s="23">
        <f t="shared" si="51"/>
        <v>1</v>
      </c>
    </row>
    <row r="814" spans="1:33" x14ac:dyDescent="0.25">
      <c r="A814" s="12" t="s">
        <v>31</v>
      </c>
      <c r="B814" s="9">
        <v>46183</v>
      </c>
      <c r="C814" s="10" t="s">
        <v>1304</v>
      </c>
      <c r="D814" s="10" t="s">
        <v>1305</v>
      </c>
      <c r="E814" s="10" t="s">
        <v>51</v>
      </c>
      <c r="F814" s="10" t="s">
        <v>35</v>
      </c>
      <c r="G814" s="10" t="s">
        <v>3146</v>
      </c>
      <c r="H814" s="8" t="s">
        <v>36</v>
      </c>
      <c r="I814" s="11">
        <v>45.19</v>
      </c>
      <c r="J814" s="6">
        <v>41.439230000000002</v>
      </c>
      <c r="K814" s="6">
        <v>0.91700000000000004</v>
      </c>
      <c r="L814" s="6">
        <v>41.5</v>
      </c>
      <c r="M814" s="11">
        <v>38.055500000000002</v>
      </c>
      <c r="N814" s="11">
        <f t="shared" si="48"/>
        <v>38.055999999999997</v>
      </c>
      <c r="O814" s="6">
        <v>0.91700000000000004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3.69</v>
      </c>
      <c r="Z814" s="6">
        <v>3.3837299999999999</v>
      </c>
      <c r="AA814" s="6">
        <v>0.91700000000000004</v>
      </c>
      <c r="AB814" s="6">
        <v>-3.6899999999999977</v>
      </c>
      <c r="AC814" s="6">
        <v>3.6899999999999977</v>
      </c>
      <c r="AD814" s="22" t="s">
        <v>3140</v>
      </c>
      <c r="AE814" s="23">
        <f t="shared" si="49"/>
        <v>38.055999999999997</v>
      </c>
      <c r="AF814" s="24">
        <f t="shared" si="50"/>
        <v>0</v>
      </c>
      <c r="AG814" s="23">
        <f t="shared" si="51"/>
        <v>1</v>
      </c>
    </row>
    <row r="815" spans="1:33" ht="12.5" customHeight="1" x14ac:dyDescent="0.25">
      <c r="A815" s="12" t="s">
        <v>31</v>
      </c>
      <c r="B815" s="9">
        <v>46183</v>
      </c>
      <c r="C815" s="8" t="s">
        <v>1306</v>
      </c>
      <c r="D815" s="10" t="s">
        <v>1307</v>
      </c>
      <c r="E815" s="10" t="s">
        <v>51</v>
      </c>
      <c r="F815" s="10" t="s">
        <v>35</v>
      </c>
      <c r="G815" s="10" t="s">
        <v>3146</v>
      </c>
      <c r="H815" s="8" t="s">
        <v>36</v>
      </c>
      <c r="I815" s="11">
        <v>28.86</v>
      </c>
      <c r="J815" s="6">
        <v>26.46462</v>
      </c>
      <c r="K815" s="6">
        <v>0.91700000000000004</v>
      </c>
      <c r="L815" s="6">
        <v>26.99</v>
      </c>
      <c r="M815" s="11">
        <v>24.749829999999999</v>
      </c>
      <c r="N815" s="11">
        <f t="shared" si="48"/>
        <v>24.75</v>
      </c>
      <c r="O815" s="6">
        <v>0.91700000000000004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1.87</v>
      </c>
      <c r="Z815" s="6">
        <v>1.71479</v>
      </c>
      <c r="AA815" s="6">
        <v>0.91699999999999993</v>
      </c>
      <c r="AB815" s="6">
        <v>-1.870000000000001</v>
      </c>
      <c r="AC815" s="6">
        <v>1.870000000000001</v>
      </c>
      <c r="AD815" s="22" t="s">
        <v>3140</v>
      </c>
      <c r="AE815" s="23">
        <f t="shared" si="49"/>
        <v>24.75</v>
      </c>
      <c r="AF815" s="24">
        <f t="shared" si="50"/>
        <v>0</v>
      </c>
      <c r="AG815" s="23">
        <f t="shared" si="51"/>
        <v>1</v>
      </c>
    </row>
    <row r="816" spans="1:33" ht="12.5" customHeight="1" x14ac:dyDescent="0.25">
      <c r="A816" s="12" t="s">
        <v>31</v>
      </c>
      <c r="B816" s="9">
        <v>46183</v>
      </c>
      <c r="C816" s="12" t="s">
        <v>1306</v>
      </c>
      <c r="D816" s="10" t="s">
        <v>1308</v>
      </c>
      <c r="E816" s="10" t="s">
        <v>51</v>
      </c>
      <c r="F816" s="10" t="s">
        <v>35</v>
      </c>
      <c r="G816" s="10" t="s">
        <v>3146</v>
      </c>
      <c r="H816" s="8" t="s">
        <v>36</v>
      </c>
      <c r="I816" s="11">
        <v>25.2</v>
      </c>
      <c r="J816" s="6">
        <v>23.1084</v>
      </c>
      <c r="K816" s="6">
        <v>0.91700000000000004</v>
      </c>
      <c r="L816" s="6">
        <v>23.27</v>
      </c>
      <c r="M816" s="11">
        <v>21.33859</v>
      </c>
      <c r="N816" s="11">
        <f t="shared" si="48"/>
        <v>21.339000000000002</v>
      </c>
      <c r="O816" s="6">
        <v>0.91700000000000004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1.93</v>
      </c>
      <c r="Z816" s="6">
        <v>1.7698100000000001</v>
      </c>
      <c r="AA816" s="6">
        <v>0.91700000000000004</v>
      </c>
      <c r="AB816" s="6">
        <v>-1.9299999999999997</v>
      </c>
      <c r="AC816" s="6">
        <v>1.9299999999999997</v>
      </c>
      <c r="AD816" s="22" t="s">
        <v>3140</v>
      </c>
      <c r="AE816" s="23">
        <f t="shared" si="49"/>
        <v>21.339000000000002</v>
      </c>
      <c r="AF816" s="24">
        <f t="shared" si="50"/>
        <v>0</v>
      </c>
      <c r="AG816" s="23">
        <f t="shared" si="51"/>
        <v>1</v>
      </c>
    </row>
    <row r="817" spans="1:33" ht="12.5" customHeight="1" x14ac:dyDescent="0.25">
      <c r="A817" s="12" t="s">
        <v>31</v>
      </c>
      <c r="B817" s="9">
        <v>46183</v>
      </c>
      <c r="C817" s="12" t="s">
        <v>1306</v>
      </c>
      <c r="D817" s="10" t="s">
        <v>1309</v>
      </c>
      <c r="E817" s="10" t="s">
        <v>51</v>
      </c>
      <c r="F817" s="10" t="s">
        <v>35</v>
      </c>
      <c r="G817" s="10" t="s">
        <v>3146</v>
      </c>
      <c r="H817" s="8" t="s">
        <v>36</v>
      </c>
      <c r="I817" s="11">
        <v>35.47</v>
      </c>
      <c r="J817" s="6">
        <v>32.52599</v>
      </c>
      <c r="K817" s="6">
        <v>0.91700000000000004</v>
      </c>
      <c r="L817" s="6">
        <v>33.75</v>
      </c>
      <c r="M817" s="11">
        <v>30.94875</v>
      </c>
      <c r="N817" s="11">
        <f t="shared" si="48"/>
        <v>30.949000000000002</v>
      </c>
      <c r="O817" s="6">
        <v>0.91700000000000004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1.72</v>
      </c>
      <c r="Z817" s="6">
        <v>1.57724</v>
      </c>
      <c r="AA817" s="6">
        <v>0.91700000000000004</v>
      </c>
      <c r="AB817" s="6">
        <v>-1.7199999999999989</v>
      </c>
      <c r="AC817" s="6">
        <v>1.7199999999999989</v>
      </c>
      <c r="AD817" s="22" t="s">
        <v>3140</v>
      </c>
      <c r="AE817" s="23">
        <f t="shared" si="49"/>
        <v>30.949000000000002</v>
      </c>
      <c r="AF817" s="24">
        <f t="shared" si="50"/>
        <v>0</v>
      </c>
      <c r="AG817" s="23">
        <f t="shared" si="51"/>
        <v>1</v>
      </c>
    </row>
    <row r="818" spans="1:33" ht="12.5" customHeight="1" x14ac:dyDescent="0.25">
      <c r="A818" s="12" t="s">
        <v>31</v>
      </c>
      <c r="B818" s="9">
        <v>46183</v>
      </c>
      <c r="C818" s="12" t="s">
        <v>1306</v>
      </c>
      <c r="D818" s="10" t="s">
        <v>1242</v>
      </c>
      <c r="E818" s="10" t="s">
        <v>51</v>
      </c>
      <c r="F818" s="10" t="s">
        <v>35</v>
      </c>
      <c r="G818" s="10" t="s">
        <v>3146</v>
      </c>
      <c r="H818" s="8" t="s">
        <v>36</v>
      </c>
      <c r="I818" s="11">
        <v>58.52</v>
      </c>
      <c r="J818" s="6">
        <v>53.662840000000003</v>
      </c>
      <c r="K818" s="6">
        <v>0.91700000000000004</v>
      </c>
      <c r="L818" s="6">
        <v>55.13</v>
      </c>
      <c r="M818" s="11">
        <v>50.554209999999998</v>
      </c>
      <c r="N818" s="11">
        <f t="shared" si="48"/>
        <v>50.555</v>
      </c>
      <c r="O818" s="6">
        <v>0.91699999999999993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3.39</v>
      </c>
      <c r="Z818" s="6">
        <v>3.1086299999999998</v>
      </c>
      <c r="AA818" s="6">
        <v>0.91699999999999993</v>
      </c>
      <c r="AB818" s="6">
        <v>-3.3900000000000006</v>
      </c>
      <c r="AC818" s="6">
        <v>3.3900000000000006</v>
      </c>
      <c r="AD818" s="22" t="s">
        <v>3140</v>
      </c>
      <c r="AE818" s="23">
        <f t="shared" si="49"/>
        <v>50.555</v>
      </c>
      <c r="AF818" s="24">
        <f t="shared" si="50"/>
        <v>0</v>
      </c>
      <c r="AG818" s="23">
        <f t="shared" si="51"/>
        <v>2</v>
      </c>
    </row>
    <row r="819" spans="1:33" ht="12.5" customHeight="1" x14ac:dyDescent="0.25">
      <c r="A819" s="12" t="s">
        <v>31</v>
      </c>
      <c r="B819" s="9">
        <v>46183</v>
      </c>
      <c r="C819" s="12" t="s">
        <v>1306</v>
      </c>
      <c r="D819" s="10" t="s">
        <v>1250</v>
      </c>
      <c r="E819" s="10" t="s">
        <v>51</v>
      </c>
      <c r="F819" s="10" t="s">
        <v>35</v>
      </c>
      <c r="G819" s="10" t="s">
        <v>3146</v>
      </c>
      <c r="H819" s="8" t="s">
        <v>36</v>
      </c>
      <c r="I819" s="11">
        <v>124.93</v>
      </c>
      <c r="J819" s="6">
        <v>114.56081</v>
      </c>
      <c r="K819" s="6">
        <v>0.91699999999999993</v>
      </c>
      <c r="L819" s="6">
        <v>120.02</v>
      </c>
      <c r="M819" s="11">
        <v>110.05834</v>
      </c>
      <c r="N819" s="11">
        <f t="shared" si="48"/>
        <v>110.05900000000001</v>
      </c>
      <c r="O819" s="6">
        <v>0.91700000000000004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4.91</v>
      </c>
      <c r="Z819" s="6">
        <v>4.5024699999999998</v>
      </c>
      <c r="AA819" s="6">
        <v>0.91699999999999993</v>
      </c>
      <c r="AB819" s="6">
        <v>-4.9100000000000108</v>
      </c>
      <c r="AC819" s="6">
        <v>4.9100000000000108</v>
      </c>
      <c r="AD819" s="22" t="s">
        <v>3140</v>
      </c>
      <c r="AE819" s="23">
        <f t="shared" si="49"/>
        <v>110.05900000000001</v>
      </c>
      <c r="AF819" s="24">
        <f t="shared" si="50"/>
        <v>0</v>
      </c>
      <c r="AG819" s="23">
        <f t="shared" si="51"/>
        <v>2</v>
      </c>
    </row>
    <row r="820" spans="1:33" ht="12.5" customHeight="1" x14ac:dyDescent="0.25">
      <c r="A820" s="12" t="s">
        <v>31</v>
      </c>
      <c r="B820" s="9">
        <v>46183</v>
      </c>
      <c r="C820" s="13" t="s">
        <v>1306</v>
      </c>
      <c r="D820" s="10" t="s">
        <v>1254</v>
      </c>
      <c r="E820" s="10" t="s">
        <v>51</v>
      </c>
      <c r="F820" s="10" t="s">
        <v>35</v>
      </c>
      <c r="G820" s="10" t="s">
        <v>3146</v>
      </c>
      <c r="H820" s="8" t="s">
        <v>36</v>
      </c>
      <c r="I820" s="11">
        <v>95.62</v>
      </c>
      <c r="J820" s="6">
        <v>87.683539999999994</v>
      </c>
      <c r="K820" s="6">
        <v>0.91699999999999993</v>
      </c>
      <c r="L820" s="6">
        <v>89.32</v>
      </c>
      <c r="M820" s="11">
        <v>81.906440000000003</v>
      </c>
      <c r="N820" s="11">
        <f t="shared" si="48"/>
        <v>81.907000000000011</v>
      </c>
      <c r="O820" s="6">
        <v>0.91700000000000015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6.3</v>
      </c>
      <c r="Z820" s="6">
        <v>5.7770999999999999</v>
      </c>
      <c r="AA820" s="6">
        <v>0.91700000000000004</v>
      </c>
      <c r="AB820" s="6">
        <v>-6.3000000000000114</v>
      </c>
      <c r="AC820" s="6">
        <v>6.3000000000000114</v>
      </c>
      <c r="AD820" s="22" t="s">
        <v>3140</v>
      </c>
      <c r="AE820" s="23">
        <f t="shared" si="49"/>
        <v>81.907000000000011</v>
      </c>
      <c r="AF820" s="24">
        <f t="shared" si="50"/>
        <v>0</v>
      </c>
      <c r="AG820" s="23">
        <f t="shared" si="51"/>
        <v>2</v>
      </c>
    </row>
    <row r="821" spans="1:33" ht="20" hidden="1" customHeight="1" x14ac:dyDescent="0.25">
      <c r="A821" s="12" t="s">
        <v>31</v>
      </c>
      <c r="B821" s="9">
        <v>46183</v>
      </c>
      <c r="C821" s="10" t="s">
        <v>1310</v>
      </c>
      <c r="D821" s="10" t="s">
        <v>1311</v>
      </c>
      <c r="E821" s="10" t="s">
        <v>51</v>
      </c>
      <c r="F821" s="10" t="s">
        <v>35</v>
      </c>
      <c r="G821" s="10" t="s">
        <v>3145</v>
      </c>
      <c r="H821" s="8" t="s">
        <v>48</v>
      </c>
      <c r="I821" s="11">
        <v>62.43</v>
      </c>
      <c r="J821" s="6">
        <v>46.822499999999998</v>
      </c>
      <c r="K821" s="6">
        <v>0.75</v>
      </c>
      <c r="L821" s="6">
        <v>57.37</v>
      </c>
      <c r="M821" s="11">
        <v>43.027500000000003</v>
      </c>
      <c r="N821" s="11">
        <f t="shared" si="48"/>
        <v>43.027999999999999</v>
      </c>
      <c r="O821" s="6">
        <v>0.75000000000000011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5.0599999999999996</v>
      </c>
      <c r="Z821" s="6">
        <v>3.7949999999999999</v>
      </c>
      <c r="AA821" s="6">
        <v>0.75</v>
      </c>
      <c r="AB821" s="6">
        <v>-5.0600000000000023</v>
      </c>
      <c r="AC821" s="6">
        <v>5.0600000000000023</v>
      </c>
      <c r="AD821" s="22" t="s">
        <v>3140</v>
      </c>
      <c r="AE821" s="23">
        <f t="shared" si="49"/>
        <v>43.027999999999999</v>
      </c>
      <c r="AF821" s="24">
        <f t="shared" si="50"/>
        <v>0</v>
      </c>
      <c r="AG821" s="23">
        <f t="shared" si="51"/>
        <v>1</v>
      </c>
    </row>
    <row r="822" spans="1:33" hidden="1" x14ac:dyDescent="0.25">
      <c r="A822" s="12" t="s">
        <v>31</v>
      </c>
      <c r="B822" s="9">
        <v>46183</v>
      </c>
      <c r="C822" s="10" t="s">
        <v>1312</v>
      </c>
      <c r="D822" s="10" t="s">
        <v>1141</v>
      </c>
      <c r="E822" s="10" t="s">
        <v>51</v>
      </c>
      <c r="F822" s="10" t="s">
        <v>35</v>
      </c>
      <c r="G822" s="10" t="s">
        <v>3145</v>
      </c>
      <c r="H822" s="8" t="s">
        <v>41</v>
      </c>
      <c r="I822" s="11">
        <v>331.15</v>
      </c>
      <c r="J822" s="6">
        <v>248.36250000000001</v>
      </c>
      <c r="K822" s="6">
        <v>0.75000000000000011</v>
      </c>
      <c r="L822" s="6">
        <v>313.45</v>
      </c>
      <c r="M822" s="11">
        <v>235.08750000000001</v>
      </c>
      <c r="N822" s="11">
        <f t="shared" si="48"/>
        <v>235.08799999999999</v>
      </c>
      <c r="O822" s="6">
        <v>0.75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17.7</v>
      </c>
      <c r="Z822" s="6">
        <v>13.275</v>
      </c>
      <c r="AA822" s="6">
        <v>0.75</v>
      </c>
      <c r="AB822" s="6">
        <v>-17.699999999999989</v>
      </c>
      <c r="AC822" s="6">
        <v>17.699999999999989</v>
      </c>
      <c r="AD822" s="23" t="s">
        <v>3143</v>
      </c>
      <c r="AE822" s="23">
        <f t="shared" si="49"/>
        <v>234.39</v>
      </c>
      <c r="AF822" s="24">
        <f t="shared" si="50"/>
        <v>0.6980000000000075</v>
      </c>
      <c r="AG822" s="23">
        <f t="shared" si="51"/>
        <v>3</v>
      </c>
    </row>
    <row r="823" spans="1:33" ht="20" hidden="1" customHeight="1" x14ac:dyDescent="0.25">
      <c r="A823" s="12" t="s">
        <v>31</v>
      </c>
      <c r="B823" s="9">
        <v>46183</v>
      </c>
      <c r="C823" s="10" t="s">
        <v>1313</v>
      </c>
      <c r="D823" s="10" t="s">
        <v>1314</v>
      </c>
      <c r="E823" s="10" t="s">
        <v>51</v>
      </c>
      <c r="F823" s="10" t="s">
        <v>35</v>
      </c>
      <c r="G823" s="10" t="s">
        <v>3145</v>
      </c>
      <c r="H823" s="8" t="s">
        <v>48</v>
      </c>
      <c r="I823" s="11">
        <v>69.03</v>
      </c>
      <c r="J823" s="6">
        <v>51.772500000000001</v>
      </c>
      <c r="K823" s="6">
        <v>0.75</v>
      </c>
      <c r="L823" s="6">
        <v>64.760000000000005</v>
      </c>
      <c r="M823" s="11">
        <v>48.57</v>
      </c>
      <c r="N823" s="11">
        <f t="shared" si="48"/>
        <v>48.57</v>
      </c>
      <c r="O823" s="6">
        <v>0.75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4.2699999999999996</v>
      </c>
      <c r="Z823" s="6">
        <v>3.2025000000000001</v>
      </c>
      <c r="AA823" s="6">
        <v>0.75000000000000011</v>
      </c>
      <c r="AB823" s="6">
        <v>-4.269999999999996</v>
      </c>
      <c r="AC823" s="6">
        <v>4.269999999999996</v>
      </c>
      <c r="AD823" s="22" t="s">
        <v>3140</v>
      </c>
      <c r="AE823" s="23">
        <f t="shared" si="49"/>
        <v>48.57</v>
      </c>
      <c r="AF823" s="24">
        <f t="shared" si="50"/>
        <v>0</v>
      </c>
      <c r="AG823" s="23">
        <f t="shared" si="51"/>
        <v>1</v>
      </c>
    </row>
    <row r="824" spans="1:33" x14ac:dyDescent="0.25">
      <c r="A824" s="12" t="s">
        <v>31</v>
      </c>
      <c r="B824" s="9">
        <v>46183</v>
      </c>
      <c r="C824" s="10" t="s">
        <v>1315</v>
      </c>
      <c r="D824" s="10" t="s">
        <v>1246</v>
      </c>
      <c r="E824" s="10" t="s">
        <v>51</v>
      </c>
      <c r="F824" s="10" t="s">
        <v>35</v>
      </c>
      <c r="G824" s="10" t="s">
        <v>3146</v>
      </c>
      <c r="H824" s="8" t="s">
        <v>36</v>
      </c>
      <c r="I824" s="11">
        <v>101.85</v>
      </c>
      <c r="J824" s="6">
        <v>93.396450000000002</v>
      </c>
      <c r="K824" s="6">
        <v>0.91700000000000004</v>
      </c>
      <c r="L824" s="6">
        <v>95.93</v>
      </c>
      <c r="M824" s="11">
        <v>87.96781</v>
      </c>
      <c r="N824" s="11">
        <f t="shared" si="48"/>
        <v>87.968000000000004</v>
      </c>
      <c r="O824" s="6">
        <v>0.91699999999999993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5.92</v>
      </c>
      <c r="Z824" s="6">
        <v>5.4286399999999997</v>
      </c>
      <c r="AA824" s="6">
        <v>0.91699999999999993</v>
      </c>
      <c r="AB824" s="6">
        <v>-5.9199999999999875</v>
      </c>
      <c r="AC824" s="6">
        <v>5.9199999999999875</v>
      </c>
      <c r="AD824" s="22" t="s">
        <v>3140</v>
      </c>
      <c r="AE824" s="23">
        <f t="shared" si="49"/>
        <v>87.968000000000004</v>
      </c>
      <c r="AF824" s="24">
        <f t="shared" si="50"/>
        <v>0</v>
      </c>
      <c r="AG824" s="23">
        <f t="shared" si="51"/>
        <v>2</v>
      </c>
    </row>
    <row r="825" spans="1:33" x14ac:dyDescent="0.25">
      <c r="A825" s="12" t="s">
        <v>31</v>
      </c>
      <c r="B825" s="9">
        <v>46183</v>
      </c>
      <c r="C825" s="10" t="s">
        <v>1316</v>
      </c>
      <c r="D825" s="10" t="s">
        <v>1317</v>
      </c>
      <c r="E825" s="10" t="s">
        <v>51</v>
      </c>
      <c r="F825" s="10" t="s">
        <v>35</v>
      </c>
      <c r="G825" s="10" t="s">
        <v>3146</v>
      </c>
      <c r="H825" s="8" t="s">
        <v>36</v>
      </c>
      <c r="I825" s="11">
        <v>9.98</v>
      </c>
      <c r="J825" s="6">
        <v>9.1516599999999997</v>
      </c>
      <c r="K825" s="6">
        <v>0.91699999999999993</v>
      </c>
      <c r="L825" s="6">
        <v>9.6999999999999993</v>
      </c>
      <c r="M825" s="11">
        <v>8.8948999999999998</v>
      </c>
      <c r="N825" s="11">
        <f t="shared" si="48"/>
        <v>8.8949999999999996</v>
      </c>
      <c r="O825" s="6">
        <v>0.91700000000000004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0.28000000000000003</v>
      </c>
      <c r="Z825" s="6">
        <v>0.25675999999999999</v>
      </c>
      <c r="AA825" s="6">
        <v>0.91699999999999982</v>
      </c>
      <c r="AB825" s="6">
        <v>-0.28000000000000114</v>
      </c>
      <c r="AC825" s="6">
        <v>0.28000000000000114</v>
      </c>
      <c r="AD825" s="22" t="s">
        <v>3140</v>
      </c>
      <c r="AE825" s="23">
        <f t="shared" si="49"/>
        <v>8.8949999999999996</v>
      </c>
      <c r="AF825" s="24">
        <f t="shared" si="50"/>
        <v>0</v>
      </c>
      <c r="AG825" s="23">
        <f t="shared" si="51"/>
        <v>1</v>
      </c>
    </row>
    <row r="826" spans="1:33" x14ac:dyDescent="0.25">
      <c r="A826" s="12" t="s">
        <v>31</v>
      </c>
      <c r="B826" s="9">
        <v>46183</v>
      </c>
      <c r="C826" s="10" t="s">
        <v>1318</v>
      </c>
      <c r="D826" s="10" t="s">
        <v>1319</v>
      </c>
      <c r="E826" s="10" t="s">
        <v>51</v>
      </c>
      <c r="F826" s="10" t="s">
        <v>35</v>
      </c>
      <c r="G826" s="10" t="s">
        <v>3146</v>
      </c>
      <c r="H826" s="8" t="s">
        <v>36</v>
      </c>
      <c r="I826" s="11">
        <v>33.46</v>
      </c>
      <c r="J826" s="6">
        <v>30.68282</v>
      </c>
      <c r="K826" s="6">
        <v>0.91699999999999993</v>
      </c>
      <c r="L826" s="6">
        <v>31.24</v>
      </c>
      <c r="M826" s="11">
        <v>28.647079999999999</v>
      </c>
      <c r="N826" s="11">
        <f t="shared" si="48"/>
        <v>28.648</v>
      </c>
      <c r="O826" s="6">
        <v>0.91700000000000004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2.2200000000000002</v>
      </c>
      <c r="Z826" s="6">
        <v>2.0357400000000001</v>
      </c>
      <c r="AA826" s="6">
        <v>0.91699999999999993</v>
      </c>
      <c r="AB826" s="6">
        <v>-2.2200000000000024</v>
      </c>
      <c r="AC826" s="6">
        <v>2.2200000000000024</v>
      </c>
      <c r="AD826" s="23" t="s">
        <v>3143</v>
      </c>
      <c r="AE826" s="23">
        <f t="shared" si="49"/>
        <v>28.629000000000001</v>
      </c>
      <c r="AF826" s="24">
        <f t="shared" si="50"/>
        <v>1.8999999999998352E-2</v>
      </c>
      <c r="AG826" s="23">
        <f t="shared" si="51"/>
        <v>2</v>
      </c>
    </row>
    <row r="827" spans="1:33" x14ac:dyDescent="0.25">
      <c r="A827" s="12" t="s">
        <v>31</v>
      </c>
      <c r="B827" s="9">
        <v>46183</v>
      </c>
      <c r="C827" s="10" t="s">
        <v>1320</v>
      </c>
      <c r="D827" s="10" t="s">
        <v>1321</v>
      </c>
      <c r="E827" s="10" t="s">
        <v>51</v>
      </c>
      <c r="F827" s="10" t="s">
        <v>35</v>
      </c>
      <c r="G827" s="10" t="s">
        <v>3146</v>
      </c>
      <c r="H827" s="8" t="s">
        <v>36</v>
      </c>
      <c r="I827" s="11">
        <v>31.37</v>
      </c>
      <c r="J827" s="6">
        <v>28.766290000000001</v>
      </c>
      <c r="K827" s="6">
        <v>0.91700000000000004</v>
      </c>
      <c r="L827" s="6">
        <v>29.19</v>
      </c>
      <c r="M827" s="11">
        <v>26.767230000000001</v>
      </c>
      <c r="N827" s="11">
        <f t="shared" si="48"/>
        <v>26.768000000000001</v>
      </c>
      <c r="O827" s="6">
        <v>0.91700000000000004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2.1800000000000002</v>
      </c>
      <c r="Z827" s="6">
        <v>1.9990600000000001</v>
      </c>
      <c r="AA827" s="6">
        <v>0.91699999999999993</v>
      </c>
      <c r="AB827" s="6">
        <v>-2.1799999999999997</v>
      </c>
      <c r="AC827" s="6">
        <v>2.1799999999999997</v>
      </c>
      <c r="AD827" s="22" t="s">
        <v>3140</v>
      </c>
      <c r="AE827" s="23">
        <f t="shared" si="49"/>
        <v>26.768000000000001</v>
      </c>
      <c r="AF827" s="24">
        <f t="shared" si="50"/>
        <v>0</v>
      </c>
      <c r="AG827" s="23">
        <f t="shared" si="51"/>
        <v>1</v>
      </c>
    </row>
    <row r="828" spans="1:33" x14ac:dyDescent="0.25">
      <c r="A828" s="12" t="s">
        <v>31</v>
      </c>
      <c r="B828" s="9">
        <v>46183</v>
      </c>
      <c r="C828" s="10" t="s">
        <v>1322</v>
      </c>
      <c r="D828" s="10" t="s">
        <v>1323</v>
      </c>
      <c r="E828" s="10" t="s">
        <v>51</v>
      </c>
      <c r="F828" s="10" t="s">
        <v>35</v>
      </c>
      <c r="G828" s="10" t="s">
        <v>3146</v>
      </c>
      <c r="H828" s="8" t="s">
        <v>36</v>
      </c>
      <c r="I828" s="11">
        <v>8.64</v>
      </c>
      <c r="J828" s="6">
        <v>7.9228800000000001</v>
      </c>
      <c r="K828" s="6">
        <v>0.91699999999999993</v>
      </c>
      <c r="L828" s="6">
        <v>8.18</v>
      </c>
      <c r="M828" s="11">
        <v>7.5010599999999998</v>
      </c>
      <c r="N828" s="11">
        <f t="shared" si="48"/>
        <v>7.5020000000000007</v>
      </c>
      <c r="O828" s="6">
        <v>0.91700000000000004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0.46</v>
      </c>
      <c r="Z828" s="6">
        <v>0.42181999999999997</v>
      </c>
      <c r="AA828" s="6">
        <v>0.91699999999999993</v>
      </c>
      <c r="AB828" s="6">
        <v>-0.46000000000000085</v>
      </c>
      <c r="AC828" s="6">
        <v>0.46000000000000085</v>
      </c>
      <c r="AD828" s="22" t="s">
        <v>3140</v>
      </c>
      <c r="AE828" s="23">
        <f t="shared" si="49"/>
        <v>7.5020000000000007</v>
      </c>
      <c r="AF828" s="24">
        <f t="shared" si="50"/>
        <v>0</v>
      </c>
      <c r="AG828" s="23">
        <f t="shared" si="51"/>
        <v>1</v>
      </c>
    </row>
    <row r="829" spans="1:33" x14ac:dyDescent="0.25">
      <c r="A829" s="12" t="s">
        <v>31</v>
      </c>
      <c r="B829" s="9">
        <v>46183</v>
      </c>
      <c r="C829" s="10" t="s">
        <v>1324</v>
      </c>
      <c r="D829" s="10" t="s">
        <v>1201</v>
      </c>
      <c r="E829" s="10" t="s">
        <v>51</v>
      </c>
      <c r="F829" s="10" t="s">
        <v>35</v>
      </c>
      <c r="G829" s="10" t="s">
        <v>3146</v>
      </c>
      <c r="H829" s="8" t="s">
        <v>36</v>
      </c>
      <c r="I829" s="11">
        <v>35.83</v>
      </c>
      <c r="J829" s="6">
        <v>32.856110000000001</v>
      </c>
      <c r="K829" s="6">
        <v>0.91700000000000004</v>
      </c>
      <c r="L829" s="6">
        <v>33.49</v>
      </c>
      <c r="M829" s="11">
        <v>30.710329999999999</v>
      </c>
      <c r="N829" s="11">
        <f t="shared" si="48"/>
        <v>30.711000000000002</v>
      </c>
      <c r="O829" s="6">
        <v>0.91699999999999993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2.34</v>
      </c>
      <c r="Z829" s="6">
        <v>2.1457799999999998</v>
      </c>
      <c r="AA829" s="6">
        <v>0.91699999999999993</v>
      </c>
      <c r="AB829" s="6">
        <v>-2.3399999999999963</v>
      </c>
      <c r="AC829" s="6">
        <v>2.3399999999999963</v>
      </c>
      <c r="AD829" s="22" t="s">
        <v>3140</v>
      </c>
      <c r="AE829" s="23">
        <f t="shared" si="49"/>
        <v>30.711000000000002</v>
      </c>
      <c r="AF829" s="24">
        <f t="shared" si="50"/>
        <v>0</v>
      </c>
      <c r="AG829" s="23">
        <f t="shared" si="51"/>
        <v>2</v>
      </c>
    </row>
    <row r="830" spans="1:33" ht="12.5" customHeight="1" x14ac:dyDescent="0.25">
      <c r="A830" s="12" t="s">
        <v>31</v>
      </c>
      <c r="B830" s="9">
        <v>46183</v>
      </c>
      <c r="C830" s="8" t="s">
        <v>1325</v>
      </c>
      <c r="D830" s="10" t="s">
        <v>1326</v>
      </c>
      <c r="E830" s="10" t="s">
        <v>51</v>
      </c>
      <c r="F830" s="10" t="s">
        <v>35</v>
      </c>
      <c r="G830" s="10" t="s">
        <v>3146</v>
      </c>
      <c r="H830" s="8" t="s">
        <v>36</v>
      </c>
      <c r="I830" s="11">
        <v>7.87</v>
      </c>
      <c r="J830" s="6">
        <v>7.2167899999999996</v>
      </c>
      <c r="K830" s="6">
        <v>0.91699999999999993</v>
      </c>
      <c r="L830" s="6">
        <v>7.36</v>
      </c>
      <c r="M830" s="11">
        <v>6.7491199999999996</v>
      </c>
      <c r="N830" s="11">
        <f t="shared" si="48"/>
        <v>6.75</v>
      </c>
      <c r="O830" s="6">
        <v>0.91699999999999993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0.51</v>
      </c>
      <c r="Z830" s="6">
        <v>0.46766999999999997</v>
      </c>
      <c r="AA830" s="6">
        <v>0.91699999999999993</v>
      </c>
      <c r="AB830" s="6">
        <v>-0.50999999999999979</v>
      </c>
      <c r="AC830" s="6">
        <v>0.50999999999999979</v>
      </c>
      <c r="AD830" s="22" t="s">
        <v>3140</v>
      </c>
      <c r="AE830" s="23">
        <f t="shared" si="49"/>
        <v>6.75</v>
      </c>
      <c r="AF830" s="24">
        <f t="shared" si="50"/>
        <v>0</v>
      </c>
      <c r="AG830" s="23">
        <f t="shared" si="51"/>
        <v>1</v>
      </c>
    </row>
    <row r="831" spans="1:33" ht="12.5" hidden="1" customHeight="1" x14ac:dyDescent="0.25">
      <c r="A831" s="12" t="s">
        <v>31</v>
      </c>
      <c r="B831" s="9">
        <v>46183</v>
      </c>
      <c r="C831" s="13" t="s">
        <v>1325</v>
      </c>
      <c r="D831" s="10" t="s">
        <v>1327</v>
      </c>
      <c r="E831" s="10" t="s">
        <v>51</v>
      </c>
      <c r="F831" s="10" t="s">
        <v>35</v>
      </c>
      <c r="G831" s="10" t="s">
        <v>3145</v>
      </c>
      <c r="H831" s="8" t="s">
        <v>41</v>
      </c>
      <c r="I831" s="11">
        <v>2.89</v>
      </c>
      <c r="J831" s="6">
        <v>2.1675</v>
      </c>
      <c r="K831" s="6">
        <v>0.75</v>
      </c>
      <c r="L831" s="6">
        <v>2.68</v>
      </c>
      <c r="M831" s="11">
        <v>2.0099999999999998</v>
      </c>
      <c r="N831" s="11">
        <f t="shared" si="48"/>
        <v>2.0099999999999998</v>
      </c>
      <c r="O831" s="6">
        <v>0.74999999999999989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0.21</v>
      </c>
      <c r="Z831" s="6">
        <v>0.1575</v>
      </c>
      <c r="AA831" s="6">
        <v>0.75</v>
      </c>
      <c r="AB831" s="6">
        <v>-0.20999999999999996</v>
      </c>
      <c r="AC831" s="6">
        <v>0.20999999999999996</v>
      </c>
      <c r="AD831" s="22" t="s">
        <v>3140</v>
      </c>
      <c r="AE831" s="23">
        <f t="shared" si="49"/>
        <v>2.0099999999999998</v>
      </c>
      <c r="AF831" s="24">
        <f t="shared" si="50"/>
        <v>0</v>
      </c>
      <c r="AG831" s="23">
        <f t="shared" si="51"/>
        <v>1</v>
      </c>
    </row>
    <row r="832" spans="1:33" x14ac:dyDescent="0.25">
      <c r="A832" s="12" t="s">
        <v>31</v>
      </c>
      <c r="B832" s="9">
        <v>46183</v>
      </c>
      <c r="C832" s="10" t="s">
        <v>1328</v>
      </c>
      <c r="D832" s="10" t="s">
        <v>1329</v>
      </c>
      <c r="E832" s="10" t="s">
        <v>51</v>
      </c>
      <c r="F832" s="10" t="s">
        <v>35</v>
      </c>
      <c r="G832" s="10" t="s">
        <v>3146</v>
      </c>
      <c r="H832" s="8" t="s">
        <v>36</v>
      </c>
      <c r="I832" s="11">
        <v>69.09</v>
      </c>
      <c r="J832" s="6">
        <v>63.355530000000002</v>
      </c>
      <c r="K832" s="6">
        <v>0.91699999999999993</v>
      </c>
      <c r="L832" s="6">
        <v>63.91</v>
      </c>
      <c r="M832" s="11">
        <v>58.605469999999997</v>
      </c>
      <c r="N832" s="11">
        <f t="shared" si="48"/>
        <v>58.605999999999995</v>
      </c>
      <c r="O832" s="6">
        <v>0.91700000000000004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5.18</v>
      </c>
      <c r="Z832" s="6">
        <v>4.7500600000000004</v>
      </c>
      <c r="AA832" s="6">
        <v>0.91700000000000015</v>
      </c>
      <c r="AB832" s="6">
        <v>-5.1800000000000068</v>
      </c>
      <c r="AC832" s="6">
        <v>5.1800000000000068</v>
      </c>
      <c r="AD832" s="22" t="s">
        <v>3140</v>
      </c>
      <c r="AE832" s="23">
        <f t="shared" si="49"/>
        <v>58.605999999999995</v>
      </c>
      <c r="AF832" s="24">
        <f t="shared" si="50"/>
        <v>0</v>
      </c>
      <c r="AG832" s="23">
        <f t="shared" si="51"/>
        <v>1</v>
      </c>
    </row>
    <row r="833" spans="1:33" ht="12.5" customHeight="1" x14ac:dyDescent="0.25">
      <c r="A833" s="12" t="s">
        <v>31</v>
      </c>
      <c r="B833" s="9">
        <v>46183</v>
      </c>
      <c r="C833" s="8" t="s">
        <v>1330</v>
      </c>
      <c r="D833" s="10" t="s">
        <v>1331</v>
      </c>
      <c r="E833" s="10" t="s">
        <v>51</v>
      </c>
      <c r="F833" s="10" t="s">
        <v>35</v>
      </c>
      <c r="G833" s="10" t="s">
        <v>3146</v>
      </c>
      <c r="H833" s="8" t="s">
        <v>36</v>
      </c>
      <c r="I833" s="11">
        <v>6.85</v>
      </c>
      <c r="J833" s="6">
        <v>6.2814500000000004</v>
      </c>
      <c r="K833" s="6">
        <v>0.91700000000000015</v>
      </c>
      <c r="L833" s="6">
        <v>6.28</v>
      </c>
      <c r="M833" s="11">
        <v>5.7587599999999997</v>
      </c>
      <c r="N833" s="11">
        <f t="shared" si="48"/>
        <v>5.7590000000000003</v>
      </c>
      <c r="O833" s="6">
        <v>0.91699999999999993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0.56999999999999995</v>
      </c>
      <c r="Z833" s="6">
        <v>0.52268999999999999</v>
      </c>
      <c r="AA833" s="6">
        <v>0.91700000000000004</v>
      </c>
      <c r="AB833" s="6">
        <v>-0.5699999999999994</v>
      </c>
      <c r="AC833" s="6">
        <v>0.5699999999999994</v>
      </c>
      <c r="AD833" s="22" t="s">
        <v>3140</v>
      </c>
      <c r="AE833" s="23">
        <f t="shared" si="49"/>
        <v>5.7590000000000003</v>
      </c>
      <c r="AF833" s="24">
        <f t="shared" si="50"/>
        <v>0</v>
      </c>
      <c r="AG833" s="23">
        <f t="shared" si="51"/>
        <v>1</v>
      </c>
    </row>
    <row r="834" spans="1:33" ht="12.5" customHeight="1" x14ac:dyDescent="0.25">
      <c r="A834" s="12" t="s">
        <v>31</v>
      </c>
      <c r="B834" s="9">
        <v>46183</v>
      </c>
      <c r="C834" s="12" t="s">
        <v>1330</v>
      </c>
      <c r="D834" s="10" t="s">
        <v>1332</v>
      </c>
      <c r="E834" s="10" t="s">
        <v>51</v>
      </c>
      <c r="F834" s="10" t="s">
        <v>35</v>
      </c>
      <c r="G834" s="10" t="s">
        <v>3146</v>
      </c>
      <c r="H834" s="8" t="s">
        <v>36</v>
      </c>
      <c r="I834" s="11">
        <v>3.03</v>
      </c>
      <c r="J834" s="6">
        <v>2.7785099999999998</v>
      </c>
      <c r="K834" s="6">
        <v>0.91700000000000004</v>
      </c>
      <c r="L834" s="6">
        <v>2.79</v>
      </c>
      <c r="M834" s="11">
        <v>2.55843</v>
      </c>
      <c r="N834" s="11">
        <f t="shared" si="48"/>
        <v>2.5589999999999997</v>
      </c>
      <c r="O834" s="6">
        <v>0.91700000000000004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0.24</v>
      </c>
      <c r="Z834" s="6">
        <v>0.22008</v>
      </c>
      <c r="AA834" s="6">
        <v>0.91700000000000004</v>
      </c>
      <c r="AB834" s="6">
        <v>-0.23999999999999977</v>
      </c>
      <c r="AC834" s="6">
        <v>0.23999999999999977</v>
      </c>
      <c r="AD834" s="22" t="s">
        <v>3140</v>
      </c>
      <c r="AE834" s="23">
        <f t="shared" si="49"/>
        <v>2.5589999999999997</v>
      </c>
      <c r="AF834" s="24">
        <f t="shared" si="50"/>
        <v>0</v>
      </c>
      <c r="AG834" s="23">
        <f t="shared" si="51"/>
        <v>1</v>
      </c>
    </row>
    <row r="835" spans="1:33" ht="12.5" customHeight="1" x14ac:dyDescent="0.25">
      <c r="A835" s="12" t="s">
        <v>31</v>
      </c>
      <c r="B835" s="9">
        <v>46183</v>
      </c>
      <c r="C835" s="12" t="s">
        <v>1330</v>
      </c>
      <c r="D835" s="10" t="s">
        <v>1333</v>
      </c>
      <c r="E835" s="10" t="s">
        <v>51</v>
      </c>
      <c r="F835" s="10" t="s">
        <v>35</v>
      </c>
      <c r="G835" s="10" t="s">
        <v>3146</v>
      </c>
      <c r="H835" s="8" t="s">
        <v>36</v>
      </c>
      <c r="I835" s="11">
        <v>4.1500000000000004</v>
      </c>
      <c r="J835" s="6">
        <v>3.8055500000000002</v>
      </c>
      <c r="K835" s="6">
        <v>0.91699999999999993</v>
      </c>
      <c r="L835" s="6">
        <v>3.89</v>
      </c>
      <c r="M835" s="11">
        <v>3.5671300000000001</v>
      </c>
      <c r="N835" s="11">
        <f t="shared" ref="N835:N898" si="52">ROUNDUP(M835,3)</f>
        <v>3.5680000000000001</v>
      </c>
      <c r="O835" s="6">
        <v>0.91700000000000004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0.26</v>
      </c>
      <c r="Z835" s="6">
        <v>0.23841999999999999</v>
      </c>
      <c r="AA835" s="6">
        <v>0.91699999999999993</v>
      </c>
      <c r="AB835" s="6">
        <v>-0.26000000000000023</v>
      </c>
      <c r="AC835" s="6">
        <v>0.26000000000000023</v>
      </c>
      <c r="AD835" s="22" t="s">
        <v>3140</v>
      </c>
      <c r="AE835" s="23">
        <f t="shared" ref="AE835:AE898" si="53">_xlfn.MINIFS(N:N,D:D,D835)</f>
        <v>3.5680000000000001</v>
      </c>
      <c r="AF835" s="24">
        <f t="shared" ref="AF835:AF898" si="54">N835-AE835</f>
        <v>0</v>
      </c>
      <c r="AG835" s="23">
        <f t="shared" ref="AG835:AG898" si="55">COUNTIF(D:D,D835)</f>
        <v>1</v>
      </c>
    </row>
    <row r="836" spans="1:33" ht="12.5" customHeight="1" x14ac:dyDescent="0.25">
      <c r="A836" s="12" t="s">
        <v>31</v>
      </c>
      <c r="B836" s="9">
        <v>46183</v>
      </c>
      <c r="C836" s="12" t="s">
        <v>1330</v>
      </c>
      <c r="D836" s="10" t="s">
        <v>1319</v>
      </c>
      <c r="E836" s="10" t="s">
        <v>51</v>
      </c>
      <c r="F836" s="10" t="s">
        <v>35</v>
      </c>
      <c r="G836" s="10" t="s">
        <v>3146</v>
      </c>
      <c r="H836" s="8" t="s">
        <v>36</v>
      </c>
      <c r="I836" s="11">
        <v>31.24</v>
      </c>
      <c r="J836" s="6">
        <v>28.647079999999999</v>
      </c>
      <c r="K836" s="6">
        <v>0.91700000000000004</v>
      </c>
      <c r="L836" s="6">
        <v>31.22</v>
      </c>
      <c r="M836" s="11">
        <v>28.628740000000001</v>
      </c>
      <c r="N836" s="11">
        <f t="shared" si="52"/>
        <v>28.629000000000001</v>
      </c>
      <c r="O836" s="6">
        <v>0.91700000000000004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0.02</v>
      </c>
      <c r="Z836" s="6">
        <v>1.8339999999999999E-2</v>
      </c>
      <c r="AA836" s="6">
        <v>0.91699999999999993</v>
      </c>
      <c r="AB836" s="6">
        <v>-1.9999999999999574E-2</v>
      </c>
      <c r="AC836" s="6">
        <v>1.9999999999999574E-2</v>
      </c>
      <c r="AD836" s="22" t="s">
        <v>3140</v>
      </c>
      <c r="AE836" s="23">
        <f t="shared" si="53"/>
        <v>28.629000000000001</v>
      </c>
      <c r="AF836" s="24">
        <f t="shared" si="54"/>
        <v>0</v>
      </c>
      <c r="AG836" s="23">
        <f t="shared" si="55"/>
        <v>2</v>
      </c>
    </row>
    <row r="837" spans="1:33" ht="12.5" hidden="1" customHeight="1" x14ac:dyDescent="0.25">
      <c r="A837" s="12" t="s">
        <v>31</v>
      </c>
      <c r="B837" s="9">
        <v>46183</v>
      </c>
      <c r="C837" s="13" t="s">
        <v>1330</v>
      </c>
      <c r="D837" s="10" t="s">
        <v>1334</v>
      </c>
      <c r="E837" s="10" t="s">
        <v>51</v>
      </c>
      <c r="F837" s="10" t="s">
        <v>35</v>
      </c>
      <c r="G837" s="10" t="s">
        <v>3145</v>
      </c>
      <c r="H837" s="8" t="s">
        <v>41</v>
      </c>
      <c r="I837" s="11">
        <v>2.29</v>
      </c>
      <c r="J837" s="6">
        <v>1.7175</v>
      </c>
      <c r="K837" s="6">
        <v>0.75</v>
      </c>
      <c r="L837" s="6">
        <v>2.09</v>
      </c>
      <c r="M837" s="11">
        <v>1.5674999999999999</v>
      </c>
      <c r="N837" s="11">
        <f t="shared" si="52"/>
        <v>1.5679999999999998</v>
      </c>
      <c r="O837" s="6">
        <v>0.75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0.2</v>
      </c>
      <c r="Z837" s="6">
        <v>0.15</v>
      </c>
      <c r="AA837" s="6">
        <v>0.74999999999999989</v>
      </c>
      <c r="AB837" s="6">
        <v>-0.20000000000000018</v>
      </c>
      <c r="AC837" s="6">
        <v>0.20000000000000018</v>
      </c>
      <c r="AD837" s="22" t="s">
        <v>3140</v>
      </c>
      <c r="AE837" s="23">
        <f t="shared" si="53"/>
        <v>1.5679999999999998</v>
      </c>
      <c r="AF837" s="24">
        <f t="shared" si="54"/>
        <v>0</v>
      </c>
      <c r="AG837" s="23">
        <f t="shared" si="55"/>
        <v>1</v>
      </c>
    </row>
    <row r="838" spans="1:33" ht="12.5" hidden="1" customHeight="1" x14ac:dyDescent="0.25">
      <c r="A838" s="12" t="s">
        <v>31</v>
      </c>
      <c r="B838" s="9">
        <v>46183</v>
      </c>
      <c r="C838" s="8" t="s">
        <v>1335</v>
      </c>
      <c r="D838" s="10" t="s">
        <v>1336</v>
      </c>
      <c r="E838" s="10" t="s">
        <v>51</v>
      </c>
      <c r="F838" s="10" t="s">
        <v>35</v>
      </c>
      <c r="G838" s="10" t="s">
        <v>3145</v>
      </c>
      <c r="H838" s="8" t="s">
        <v>41</v>
      </c>
      <c r="I838" s="11">
        <v>7.6</v>
      </c>
      <c r="J838" s="6">
        <v>5.7</v>
      </c>
      <c r="K838" s="6">
        <v>0.75000000000000011</v>
      </c>
      <c r="L838" s="6">
        <v>7.03</v>
      </c>
      <c r="M838" s="11">
        <v>5.2725</v>
      </c>
      <c r="N838" s="11">
        <f t="shared" si="52"/>
        <v>5.2730000000000006</v>
      </c>
      <c r="O838" s="6">
        <v>0.75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0.56999999999999995</v>
      </c>
      <c r="Z838" s="6">
        <v>0.42749999999999999</v>
      </c>
      <c r="AA838" s="6">
        <v>0.75</v>
      </c>
      <c r="AB838" s="6">
        <v>-0.5699999999999994</v>
      </c>
      <c r="AC838" s="6">
        <v>0.5699999999999994</v>
      </c>
      <c r="AD838" s="22" t="s">
        <v>3140</v>
      </c>
      <c r="AE838" s="23">
        <f t="shared" si="53"/>
        <v>5.2730000000000006</v>
      </c>
      <c r="AF838" s="24">
        <f t="shared" si="54"/>
        <v>0</v>
      </c>
      <c r="AG838" s="23">
        <f t="shared" si="55"/>
        <v>1</v>
      </c>
    </row>
    <row r="839" spans="1:33" ht="12.5" hidden="1" customHeight="1" x14ac:dyDescent="0.25">
      <c r="A839" s="12" t="s">
        <v>31</v>
      </c>
      <c r="B839" s="9">
        <v>46183</v>
      </c>
      <c r="C839" s="13" t="s">
        <v>1335</v>
      </c>
      <c r="D839" s="10" t="s">
        <v>1337</v>
      </c>
      <c r="E839" s="10" t="s">
        <v>51</v>
      </c>
      <c r="F839" s="10" t="s">
        <v>35</v>
      </c>
      <c r="G839" s="10" t="s">
        <v>3145</v>
      </c>
      <c r="H839" s="8" t="s">
        <v>41</v>
      </c>
      <c r="I839" s="11">
        <v>7.16</v>
      </c>
      <c r="J839" s="6">
        <v>5.37</v>
      </c>
      <c r="K839" s="6">
        <v>0.75</v>
      </c>
      <c r="L839" s="6">
        <v>6.74</v>
      </c>
      <c r="M839" s="11">
        <v>5.0549999999999997</v>
      </c>
      <c r="N839" s="11">
        <f t="shared" si="52"/>
        <v>5.0549999999999997</v>
      </c>
      <c r="O839" s="6">
        <v>0.74999999999999989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0.42</v>
      </c>
      <c r="Z839" s="6">
        <v>0.315</v>
      </c>
      <c r="AA839" s="6">
        <v>0.75</v>
      </c>
      <c r="AB839" s="6">
        <v>-0.41999999999999993</v>
      </c>
      <c r="AC839" s="6">
        <v>0.41999999999999993</v>
      </c>
      <c r="AD839" s="22" t="s">
        <v>3140</v>
      </c>
      <c r="AE839" s="23">
        <f t="shared" si="53"/>
        <v>5.0549999999999997</v>
      </c>
      <c r="AF839" s="24">
        <f t="shared" si="54"/>
        <v>0</v>
      </c>
      <c r="AG839" s="23">
        <f t="shared" si="55"/>
        <v>1</v>
      </c>
    </row>
    <row r="840" spans="1:33" x14ac:dyDescent="0.25">
      <c r="A840" s="12" t="s">
        <v>31</v>
      </c>
      <c r="B840" s="9">
        <v>46183</v>
      </c>
      <c r="C840" s="10" t="s">
        <v>1338</v>
      </c>
      <c r="D840" s="10" t="s">
        <v>1339</v>
      </c>
      <c r="E840" s="10" t="s">
        <v>51</v>
      </c>
      <c r="F840" s="10" t="s">
        <v>35</v>
      </c>
      <c r="G840" s="10" t="s">
        <v>3146</v>
      </c>
      <c r="H840" s="8" t="s">
        <v>36</v>
      </c>
      <c r="I840" s="11">
        <v>8.9499999999999993</v>
      </c>
      <c r="J840" s="6">
        <v>8.2071500000000004</v>
      </c>
      <c r="K840" s="6">
        <v>0.91700000000000015</v>
      </c>
      <c r="L840" s="6">
        <v>8.42</v>
      </c>
      <c r="M840" s="11">
        <v>7.7211400000000001</v>
      </c>
      <c r="N840" s="11">
        <f t="shared" si="52"/>
        <v>7.7220000000000004</v>
      </c>
      <c r="O840" s="6">
        <v>0.91700000000000004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0.53</v>
      </c>
      <c r="Z840" s="6">
        <v>0.48601</v>
      </c>
      <c r="AA840" s="6">
        <v>0.91699999999999993</v>
      </c>
      <c r="AB840" s="6">
        <v>-0.52999999999999936</v>
      </c>
      <c r="AC840" s="6">
        <v>0.52999999999999936</v>
      </c>
      <c r="AD840" s="22" t="s">
        <v>3140</v>
      </c>
      <c r="AE840" s="23">
        <f t="shared" si="53"/>
        <v>7.7220000000000004</v>
      </c>
      <c r="AF840" s="24">
        <f t="shared" si="54"/>
        <v>0</v>
      </c>
      <c r="AG840" s="23">
        <f t="shared" si="55"/>
        <v>1</v>
      </c>
    </row>
    <row r="841" spans="1:33" hidden="1" x14ac:dyDescent="0.25">
      <c r="A841" s="12" t="s">
        <v>31</v>
      </c>
      <c r="B841" s="9">
        <v>46183</v>
      </c>
      <c r="C841" s="10" t="s">
        <v>1340</v>
      </c>
      <c r="D841" s="10" t="s">
        <v>1341</v>
      </c>
      <c r="E841" s="10" t="s">
        <v>51</v>
      </c>
      <c r="F841" s="10" t="s">
        <v>35</v>
      </c>
      <c r="G841" s="10" t="s">
        <v>3145</v>
      </c>
      <c r="H841" s="8" t="s">
        <v>41</v>
      </c>
      <c r="I841" s="11">
        <v>10.8</v>
      </c>
      <c r="J841" s="6">
        <v>8.1</v>
      </c>
      <c r="K841" s="6">
        <v>0.74999999999999989</v>
      </c>
      <c r="L841" s="6">
        <v>10.39</v>
      </c>
      <c r="M841" s="11">
        <v>7.7925000000000004</v>
      </c>
      <c r="N841" s="11">
        <f t="shared" si="52"/>
        <v>7.7930000000000001</v>
      </c>
      <c r="O841" s="6">
        <v>0.75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0.41</v>
      </c>
      <c r="Z841" s="6">
        <v>0.3075</v>
      </c>
      <c r="AA841" s="6">
        <v>0.75</v>
      </c>
      <c r="AB841" s="6">
        <v>-0.41000000000000014</v>
      </c>
      <c r="AC841" s="6">
        <v>0.41000000000000014</v>
      </c>
      <c r="AD841" s="22" t="s">
        <v>3140</v>
      </c>
      <c r="AE841" s="23">
        <f t="shared" si="53"/>
        <v>7.7930000000000001</v>
      </c>
      <c r="AF841" s="24">
        <f t="shared" si="54"/>
        <v>0</v>
      </c>
      <c r="AG841" s="23">
        <f t="shared" si="55"/>
        <v>1</v>
      </c>
    </row>
    <row r="842" spans="1:33" ht="12.5" hidden="1" customHeight="1" x14ac:dyDescent="0.25">
      <c r="A842" s="12" t="s">
        <v>31</v>
      </c>
      <c r="B842" s="9">
        <v>46183</v>
      </c>
      <c r="C842" s="8" t="s">
        <v>1342</v>
      </c>
      <c r="D842" s="10" t="s">
        <v>1343</v>
      </c>
      <c r="E842" s="10" t="s">
        <v>51</v>
      </c>
      <c r="F842" s="10" t="s">
        <v>35</v>
      </c>
      <c r="G842" s="10" t="s">
        <v>3145</v>
      </c>
      <c r="H842" s="8" t="s">
        <v>48</v>
      </c>
      <c r="I842" s="11">
        <v>3.4</v>
      </c>
      <c r="J842" s="6">
        <v>2.5499999999999998</v>
      </c>
      <c r="K842" s="6">
        <v>0.75</v>
      </c>
      <c r="L842" s="6">
        <v>3.1</v>
      </c>
      <c r="M842" s="11">
        <v>2.3250000000000002</v>
      </c>
      <c r="N842" s="11">
        <f t="shared" si="52"/>
        <v>2.3250000000000002</v>
      </c>
      <c r="O842" s="6">
        <v>0.75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0.3</v>
      </c>
      <c r="Z842" s="6">
        <v>0.22500000000000001</v>
      </c>
      <c r="AA842" s="6">
        <v>0.75</v>
      </c>
      <c r="AB842" s="6">
        <v>-0.29999999999999982</v>
      </c>
      <c r="AC842" s="6">
        <v>0.29999999999999982</v>
      </c>
      <c r="AD842" s="22" t="s">
        <v>3140</v>
      </c>
      <c r="AE842" s="23">
        <f t="shared" si="53"/>
        <v>2.3250000000000002</v>
      </c>
      <c r="AF842" s="24">
        <f t="shared" si="54"/>
        <v>0</v>
      </c>
      <c r="AG842" s="23">
        <f t="shared" si="55"/>
        <v>1</v>
      </c>
    </row>
    <row r="843" spans="1:33" ht="12.5" hidden="1" customHeight="1" x14ac:dyDescent="0.25">
      <c r="A843" s="12" t="s">
        <v>31</v>
      </c>
      <c r="B843" s="9">
        <v>46183</v>
      </c>
      <c r="C843" s="12" t="s">
        <v>1342</v>
      </c>
      <c r="D843" s="10" t="s">
        <v>1344</v>
      </c>
      <c r="E843" s="10" t="s">
        <v>51</v>
      </c>
      <c r="F843" s="10" t="s">
        <v>35</v>
      </c>
      <c r="G843" s="10" t="s">
        <v>3145</v>
      </c>
      <c r="H843" s="8" t="s">
        <v>48</v>
      </c>
      <c r="I843" s="11">
        <v>4.32</v>
      </c>
      <c r="J843" s="6">
        <v>3.24</v>
      </c>
      <c r="K843" s="6">
        <v>0.75</v>
      </c>
      <c r="L843" s="6">
        <v>3.99</v>
      </c>
      <c r="M843" s="11">
        <v>2.9925000000000002</v>
      </c>
      <c r="N843" s="11">
        <f t="shared" si="52"/>
        <v>2.9929999999999999</v>
      </c>
      <c r="O843" s="6">
        <v>0.75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0.33</v>
      </c>
      <c r="Z843" s="6">
        <v>0.2475</v>
      </c>
      <c r="AA843" s="6">
        <v>0.75</v>
      </c>
      <c r="AB843" s="6">
        <v>-0.33000000000000007</v>
      </c>
      <c r="AC843" s="6">
        <v>0.33000000000000007</v>
      </c>
      <c r="AD843" s="22" t="s">
        <v>3140</v>
      </c>
      <c r="AE843" s="23">
        <f t="shared" si="53"/>
        <v>2.9929999999999999</v>
      </c>
      <c r="AF843" s="24">
        <f t="shared" si="54"/>
        <v>0</v>
      </c>
      <c r="AG843" s="23">
        <f t="shared" si="55"/>
        <v>1</v>
      </c>
    </row>
    <row r="844" spans="1:33" ht="12.5" hidden="1" customHeight="1" x14ac:dyDescent="0.25">
      <c r="A844" s="12" t="s">
        <v>31</v>
      </c>
      <c r="B844" s="9">
        <v>46183</v>
      </c>
      <c r="C844" s="13" t="s">
        <v>1342</v>
      </c>
      <c r="D844" s="10" t="s">
        <v>1345</v>
      </c>
      <c r="E844" s="10" t="s">
        <v>51</v>
      </c>
      <c r="F844" s="10" t="s">
        <v>35</v>
      </c>
      <c r="G844" s="10" t="s">
        <v>3145</v>
      </c>
      <c r="H844" s="8" t="s">
        <v>48</v>
      </c>
      <c r="I844" s="11">
        <v>3.35</v>
      </c>
      <c r="J844" s="6">
        <v>2.5125000000000002</v>
      </c>
      <c r="K844" s="6">
        <v>0.75</v>
      </c>
      <c r="L844" s="6">
        <v>3.13</v>
      </c>
      <c r="M844" s="11">
        <v>2.3475000000000001</v>
      </c>
      <c r="N844" s="11">
        <f t="shared" si="52"/>
        <v>2.3479999999999999</v>
      </c>
      <c r="O844" s="6">
        <v>0.75000000000000011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0.22</v>
      </c>
      <c r="Z844" s="6">
        <v>0.16500000000000001</v>
      </c>
      <c r="AA844" s="6">
        <v>0.75</v>
      </c>
      <c r="AB844" s="6">
        <v>-0.2200000000000002</v>
      </c>
      <c r="AC844" s="6">
        <v>0.2200000000000002</v>
      </c>
      <c r="AD844" s="22" t="s">
        <v>3140</v>
      </c>
      <c r="AE844" s="23">
        <f t="shared" si="53"/>
        <v>2.3479999999999999</v>
      </c>
      <c r="AF844" s="24">
        <f t="shared" si="54"/>
        <v>0</v>
      </c>
      <c r="AG844" s="23">
        <f t="shared" si="55"/>
        <v>1</v>
      </c>
    </row>
    <row r="845" spans="1:33" ht="12.5" hidden="1" customHeight="1" x14ac:dyDescent="0.25">
      <c r="A845" s="12" t="s">
        <v>31</v>
      </c>
      <c r="B845" s="9">
        <v>46184</v>
      </c>
      <c r="C845" s="10" t="s">
        <v>1346</v>
      </c>
      <c r="D845" s="10" t="s">
        <v>1347</v>
      </c>
      <c r="E845" s="10" t="s">
        <v>34</v>
      </c>
      <c r="F845" s="10" t="s">
        <v>35</v>
      </c>
      <c r="G845" s="10" t="s">
        <v>3145</v>
      </c>
      <c r="H845" s="8" t="s">
        <v>48</v>
      </c>
      <c r="I845" s="11">
        <v>10.1</v>
      </c>
      <c r="J845" s="6">
        <v>7.5750000000000002</v>
      </c>
      <c r="K845" s="6">
        <v>0.75</v>
      </c>
      <c r="L845" s="6">
        <v>9.4499999999999993</v>
      </c>
      <c r="M845" s="11">
        <v>7.0875000000000004</v>
      </c>
      <c r="N845" s="11">
        <f t="shared" si="52"/>
        <v>7.0880000000000001</v>
      </c>
      <c r="O845" s="6">
        <v>0.75000000000000011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0.65</v>
      </c>
      <c r="Z845" s="6">
        <v>0.48749999999999999</v>
      </c>
      <c r="AA845" s="6">
        <v>0.75</v>
      </c>
      <c r="AB845" s="6">
        <v>-0.65000000000000036</v>
      </c>
      <c r="AC845" s="6">
        <v>0.65000000000000036</v>
      </c>
      <c r="AD845" s="22" t="s">
        <v>3140</v>
      </c>
      <c r="AE845" s="23">
        <f t="shared" si="53"/>
        <v>7.0880000000000001</v>
      </c>
      <c r="AF845" s="24">
        <f t="shared" si="54"/>
        <v>0</v>
      </c>
      <c r="AG845" s="23">
        <f t="shared" si="55"/>
        <v>1</v>
      </c>
    </row>
    <row r="846" spans="1:33" ht="12.5" hidden="1" customHeight="1" x14ac:dyDescent="0.25">
      <c r="A846" s="12" t="s">
        <v>31</v>
      </c>
      <c r="B846" s="9">
        <v>46184</v>
      </c>
      <c r="C846" s="10" t="s">
        <v>1348</v>
      </c>
      <c r="D846" s="10" t="s">
        <v>1349</v>
      </c>
      <c r="E846" s="10" t="s">
        <v>34</v>
      </c>
      <c r="F846" s="10" t="s">
        <v>35</v>
      </c>
      <c r="G846" s="10" t="s">
        <v>3145</v>
      </c>
      <c r="H846" s="8" t="s">
        <v>48</v>
      </c>
      <c r="I846" s="11">
        <v>135.44</v>
      </c>
      <c r="J846" s="6">
        <v>101.58</v>
      </c>
      <c r="K846" s="6">
        <v>0.75</v>
      </c>
      <c r="L846" s="6">
        <v>126.23</v>
      </c>
      <c r="M846" s="11">
        <v>94.672499999999999</v>
      </c>
      <c r="N846" s="11">
        <f t="shared" si="52"/>
        <v>94.673000000000002</v>
      </c>
      <c r="O846" s="6">
        <v>0.75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9.2100000000000009</v>
      </c>
      <c r="Z846" s="6">
        <v>6.9074999999999998</v>
      </c>
      <c r="AA846" s="6">
        <v>0.74999999999999989</v>
      </c>
      <c r="AB846" s="6">
        <v>-9.2099999999999937</v>
      </c>
      <c r="AC846" s="6">
        <v>9.2099999999999937</v>
      </c>
      <c r="AD846" s="22" t="s">
        <v>3140</v>
      </c>
      <c r="AE846" s="23">
        <f t="shared" si="53"/>
        <v>94.673000000000002</v>
      </c>
      <c r="AF846" s="24">
        <f t="shared" si="54"/>
        <v>0</v>
      </c>
      <c r="AG846" s="23">
        <f t="shared" si="55"/>
        <v>1</v>
      </c>
    </row>
    <row r="847" spans="1:33" ht="12.5" customHeight="1" x14ac:dyDescent="0.25">
      <c r="A847" s="12" t="s">
        <v>31</v>
      </c>
      <c r="B847" s="9">
        <v>46184</v>
      </c>
      <c r="C847" s="10" t="s">
        <v>1350</v>
      </c>
      <c r="D847" s="10" t="s">
        <v>1351</v>
      </c>
      <c r="E847" s="10" t="s">
        <v>34</v>
      </c>
      <c r="F847" s="10" t="s">
        <v>35</v>
      </c>
      <c r="G847" s="10" t="s">
        <v>3146</v>
      </c>
      <c r="H847" s="8" t="s">
        <v>36</v>
      </c>
      <c r="I847" s="11">
        <v>89.22</v>
      </c>
      <c r="J847" s="6">
        <v>81.81474</v>
      </c>
      <c r="K847" s="6">
        <v>0.91700000000000004</v>
      </c>
      <c r="L847" s="6">
        <v>85.82</v>
      </c>
      <c r="M847" s="11">
        <v>78.696939999999998</v>
      </c>
      <c r="N847" s="11">
        <f t="shared" si="52"/>
        <v>78.697000000000003</v>
      </c>
      <c r="O847" s="6">
        <v>0.91700000000000004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3.4</v>
      </c>
      <c r="Z847" s="6">
        <v>3.1177999999999999</v>
      </c>
      <c r="AA847" s="6">
        <v>0.91700000000000004</v>
      </c>
      <c r="AB847" s="6">
        <v>-3.4000000000000057</v>
      </c>
      <c r="AC847" s="6">
        <v>3.4000000000000057</v>
      </c>
      <c r="AD847" s="22" t="s">
        <v>3140</v>
      </c>
      <c r="AE847" s="23">
        <f t="shared" si="53"/>
        <v>78.697000000000003</v>
      </c>
      <c r="AF847" s="24">
        <f t="shared" si="54"/>
        <v>0</v>
      </c>
      <c r="AG847" s="23">
        <f t="shared" si="55"/>
        <v>1</v>
      </c>
    </row>
    <row r="848" spans="1:33" ht="20" hidden="1" customHeight="1" x14ac:dyDescent="0.25">
      <c r="A848" s="12" t="s">
        <v>31</v>
      </c>
      <c r="B848" s="9">
        <v>46184</v>
      </c>
      <c r="C848" s="10" t="s">
        <v>1352</v>
      </c>
      <c r="D848" s="10" t="s">
        <v>1353</v>
      </c>
      <c r="E848" s="10" t="s">
        <v>51</v>
      </c>
      <c r="F848" s="10" t="s">
        <v>35</v>
      </c>
      <c r="G848" s="10" t="s">
        <v>3145</v>
      </c>
      <c r="H848" s="8" t="s">
        <v>48</v>
      </c>
      <c r="I848" s="11">
        <v>18.68</v>
      </c>
      <c r="J848" s="6">
        <v>14.01</v>
      </c>
      <c r="K848" s="6">
        <v>0.75</v>
      </c>
      <c r="L848" s="6">
        <v>17.28</v>
      </c>
      <c r="M848" s="11">
        <v>12.96</v>
      </c>
      <c r="N848" s="11">
        <f t="shared" si="52"/>
        <v>12.96</v>
      </c>
      <c r="O848" s="6">
        <v>0.75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1.4</v>
      </c>
      <c r="Z848" s="6">
        <v>1.05</v>
      </c>
      <c r="AA848" s="6">
        <v>0.75000000000000011</v>
      </c>
      <c r="AB848" s="6">
        <v>-1.3999999999999986</v>
      </c>
      <c r="AC848" s="6">
        <v>1.3999999999999986</v>
      </c>
      <c r="AD848" s="22" t="s">
        <v>3140</v>
      </c>
      <c r="AE848" s="23">
        <f t="shared" si="53"/>
        <v>12.96</v>
      </c>
      <c r="AF848" s="24">
        <f t="shared" si="54"/>
        <v>0</v>
      </c>
      <c r="AG848" s="23">
        <f t="shared" si="55"/>
        <v>1</v>
      </c>
    </row>
    <row r="849" spans="1:33" x14ac:dyDescent="0.25">
      <c r="A849" s="12" t="s">
        <v>31</v>
      </c>
      <c r="B849" s="9">
        <v>46184</v>
      </c>
      <c r="C849" s="10" t="s">
        <v>1354</v>
      </c>
      <c r="D849" s="10" t="s">
        <v>1355</v>
      </c>
      <c r="E849" s="10" t="s">
        <v>51</v>
      </c>
      <c r="F849" s="10" t="s">
        <v>35</v>
      </c>
      <c r="G849" s="10" t="s">
        <v>3146</v>
      </c>
      <c r="H849" s="8" t="s">
        <v>36</v>
      </c>
      <c r="I849" s="11">
        <v>30.07</v>
      </c>
      <c r="J849" s="6">
        <v>27.574190000000002</v>
      </c>
      <c r="K849" s="6">
        <v>0.91700000000000004</v>
      </c>
      <c r="L849" s="6">
        <v>27.74</v>
      </c>
      <c r="M849" s="11">
        <v>25.437580000000001</v>
      </c>
      <c r="N849" s="11">
        <f t="shared" si="52"/>
        <v>25.438000000000002</v>
      </c>
      <c r="O849" s="6">
        <v>0.91700000000000004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2.33</v>
      </c>
      <c r="Z849" s="6">
        <v>2.1366100000000001</v>
      </c>
      <c r="AA849" s="6">
        <v>0.91700000000000004</v>
      </c>
      <c r="AB849" s="6">
        <v>-2.3300000000000018</v>
      </c>
      <c r="AC849" s="6">
        <v>2.3300000000000018</v>
      </c>
      <c r="AD849" s="22" t="s">
        <v>3140</v>
      </c>
      <c r="AE849" s="23">
        <f t="shared" si="53"/>
        <v>25.438000000000002</v>
      </c>
      <c r="AF849" s="24">
        <f t="shared" si="54"/>
        <v>0</v>
      </c>
      <c r="AG849" s="23">
        <f t="shared" si="55"/>
        <v>1</v>
      </c>
    </row>
    <row r="850" spans="1:33" ht="12.5" customHeight="1" x14ac:dyDescent="0.25">
      <c r="A850" s="12" t="s">
        <v>31</v>
      </c>
      <c r="B850" s="9">
        <v>46184</v>
      </c>
      <c r="C850" s="8" t="s">
        <v>1356</v>
      </c>
      <c r="D850" s="10" t="s">
        <v>1357</v>
      </c>
      <c r="E850" s="10" t="s">
        <v>51</v>
      </c>
      <c r="F850" s="10" t="s">
        <v>35</v>
      </c>
      <c r="G850" s="10" t="s">
        <v>3146</v>
      </c>
      <c r="H850" s="8" t="s">
        <v>36</v>
      </c>
      <c r="I850" s="11">
        <v>35.020000000000003</v>
      </c>
      <c r="J850" s="6">
        <v>32.113340000000001</v>
      </c>
      <c r="K850" s="6">
        <v>0.91699999999999993</v>
      </c>
      <c r="L850" s="6">
        <v>32.700000000000003</v>
      </c>
      <c r="M850" s="11">
        <v>29.985900000000001</v>
      </c>
      <c r="N850" s="11">
        <f t="shared" si="52"/>
        <v>29.986000000000001</v>
      </c>
      <c r="O850" s="6">
        <v>0.91699999999999993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2.3199999999999998</v>
      </c>
      <c r="Z850" s="6">
        <v>2.12744</v>
      </c>
      <c r="AA850" s="6">
        <v>0.91700000000000004</v>
      </c>
      <c r="AB850" s="6">
        <v>-2.3200000000000003</v>
      </c>
      <c r="AC850" s="6">
        <v>2.3200000000000003</v>
      </c>
      <c r="AD850" s="22" t="s">
        <v>3140</v>
      </c>
      <c r="AE850" s="23">
        <f t="shared" si="53"/>
        <v>29.986000000000001</v>
      </c>
      <c r="AF850" s="24">
        <f t="shared" si="54"/>
        <v>0</v>
      </c>
      <c r="AG850" s="23">
        <f t="shared" si="55"/>
        <v>1</v>
      </c>
    </row>
    <row r="851" spans="1:33" ht="12.5" customHeight="1" x14ac:dyDescent="0.25">
      <c r="A851" s="12" t="s">
        <v>31</v>
      </c>
      <c r="B851" s="9">
        <v>46184</v>
      </c>
      <c r="C851" s="12" t="s">
        <v>1356</v>
      </c>
      <c r="D851" s="10" t="s">
        <v>1358</v>
      </c>
      <c r="E851" s="10" t="s">
        <v>51</v>
      </c>
      <c r="F851" s="10" t="s">
        <v>35</v>
      </c>
      <c r="G851" s="10" t="s">
        <v>3146</v>
      </c>
      <c r="H851" s="8" t="s">
        <v>36</v>
      </c>
      <c r="I851" s="11">
        <v>32.700000000000003</v>
      </c>
      <c r="J851" s="6">
        <v>29.985900000000001</v>
      </c>
      <c r="K851" s="6">
        <v>0.91699999999999993</v>
      </c>
      <c r="L851" s="6">
        <v>30.97</v>
      </c>
      <c r="M851" s="11">
        <v>28.39949</v>
      </c>
      <c r="N851" s="11">
        <f t="shared" si="52"/>
        <v>28.400000000000002</v>
      </c>
      <c r="O851" s="6">
        <v>0.91700000000000004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1.73</v>
      </c>
      <c r="Z851" s="6">
        <v>1.5864100000000001</v>
      </c>
      <c r="AA851" s="6">
        <v>0.91700000000000004</v>
      </c>
      <c r="AB851" s="6">
        <v>-1.730000000000004</v>
      </c>
      <c r="AC851" s="6">
        <v>1.730000000000004</v>
      </c>
      <c r="AD851" s="22" t="s">
        <v>3140</v>
      </c>
      <c r="AE851" s="23">
        <f t="shared" si="53"/>
        <v>28.400000000000002</v>
      </c>
      <c r="AF851" s="24">
        <f t="shared" si="54"/>
        <v>0</v>
      </c>
      <c r="AG851" s="23">
        <f t="shared" si="55"/>
        <v>1</v>
      </c>
    </row>
    <row r="852" spans="1:33" ht="12.5" hidden="1" customHeight="1" x14ac:dyDescent="0.25">
      <c r="A852" s="12" t="s">
        <v>31</v>
      </c>
      <c r="B852" s="9">
        <v>46184</v>
      </c>
      <c r="C852" s="13" t="s">
        <v>1356</v>
      </c>
      <c r="D852" s="10" t="s">
        <v>1359</v>
      </c>
      <c r="E852" s="10" t="s">
        <v>51</v>
      </c>
      <c r="F852" s="10" t="s">
        <v>35</v>
      </c>
      <c r="G852" s="10" t="s">
        <v>3145</v>
      </c>
      <c r="H852" s="8" t="s">
        <v>48</v>
      </c>
      <c r="I852" s="11">
        <v>9.7100000000000009</v>
      </c>
      <c r="J852" s="6">
        <v>7.2824999999999998</v>
      </c>
      <c r="K852" s="6">
        <v>0.74999999999999989</v>
      </c>
      <c r="L852" s="6">
        <v>9.1199999999999992</v>
      </c>
      <c r="M852" s="11">
        <v>6.84</v>
      </c>
      <c r="N852" s="11">
        <f t="shared" si="52"/>
        <v>6.84</v>
      </c>
      <c r="O852" s="6">
        <v>0.75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0.59</v>
      </c>
      <c r="Z852" s="6">
        <v>0.4425</v>
      </c>
      <c r="AA852" s="6">
        <v>0.75</v>
      </c>
      <c r="AB852" s="6">
        <v>-0.59000000000000163</v>
      </c>
      <c r="AC852" s="6">
        <v>0.59000000000000163</v>
      </c>
      <c r="AD852" s="22" t="s">
        <v>3140</v>
      </c>
      <c r="AE852" s="23">
        <f t="shared" si="53"/>
        <v>6.84</v>
      </c>
      <c r="AF852" s="24">
        <f t="shared" si="54"/>
        <v>0</v>
      </c>
      <c r="AG852" s="23">
        <f t="shared" si="55"/>
        <v>1</v>
      </c>
    </row>
    <row r="853" spans="1:33" ht="12.5" customHeight="1" x14ac:dyDescent="0.25">
      <c r="A853" s="12" t="s">
        <v>31</v>
      </c>
      <c r="B853" s="9">
        <v>46184</v>
      </c>
      <c r="C853" s="8" t="s">
        <v>1360</v>
      </c>
      <c r="D853" s="10" t="s">
        <v>1361</v>
      </c>
      <c r="E853" s="10" t="s">
        <v>51</v>
      </c>
      <c r="F853" s="10" t="s">
        <v>35</v>
      </c>
      <c r="G853" s="10" t="s">
        <v>3146</v>
      </c>
      <c r="H853" s="8" t="s">
        <v>36</v>
      </c>
      <c r="I853" s="11">
        <v>3.97</v>
      </c>
      <c r="J853" s="6">
        <v>3.6404899999999998</v>
      </c>
      <c r="K853" s="6">
        <v>0.91699999999999993</v>
      </c>
      <c r="L853" s="6">
        <v>3.74</v>
      </c>
      <c r="M853" s="11">
        <v>3.4295800000000001</v>
      </c>
      <c r="N853" s="11">
        <f t="shared" si="52"/>
        <v>3.4299999999999997</v>
      </c>
      <c r="O853" s="6">
        <v>0.91699999999999993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0.23</v>
      </c>
      <c r="Z853" s="6">
        <v>0.21090999999999999</v>
      </c>
      <c r="AA853" s="6">
        <v>0.91699999999999993</v>
      </c>
      <c r="AB853" s="6">
        <v>-0.23</v>
      </c>
      <c r="AC853" s="6">
        <v>0.23</v>
      </c>
      <c r="AD853" s="22" t="s">
        <v>3140</v>
      </c>
      <c r="AE853" s="23">
        <f t="shared" si="53"/>
        <v>3.4299999999999997</v>
      </c>
      <c r="AF853" s="24">
        <f t="shared" si="54"/>
        <v>0</v>
      </c>
      <c r="AG853" s="23">
        <f t="shared" si="55"/>
        <v>1</v>
      </c>
    </row>
    <row r="854" spans="1:33" ht="12.5" hidden="1" customHeight="1" x14ac:dyDescent="0.25">
      <c r="A854" s="12" t="s">
        <v>31</v>
      </c>
      <c r="B854" s="9">
        <v>46184</v>
      </c>
      <c r="C854" s="13" t="s">
        <v>1360</v>
      </c>
      <c r="D854" s="10" t="s">
        <v>1362</v>
      </c>
      <c r="E854" s="10" t="s">
        <v>51</v>
      </c>
      <c r="F854" s="10" t="s">
        <v>35</v>
      </c>
      <c r="G854" s="10" t="s">
        <v>3145</v>
      </c>
      <c r="H854" s="8" t="s">
        <v>48</v>
      </c>
      <c r="I854" s="11">
        <v>5.94</v>
      </c>
      <c r="J854" s="6">
        <v>4.4550000000000001</v>
      </c>
      <c r="K854" s="6">
        <v>0.75</v>
      </c>
      <c r="L854" s="6">
        <v>5.65</v>
      </c>
      <c r="M854" s="11">
        <v>4.2374999999999998</v>
      </c>
      <c r="N854" s="11">
        <f t="shared" si="52"/>
        <v>4.2380000000000004</v>
      </c>
      <c r="O854" s="6">
        <v>0.74999999999999989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0.28999999999999998</v>
      </c>
      <c r="Z854" s="6">
        <v>0.2175</v>
      </c>
      <c r="AA854" s="6">
        <v>0.75</v>
      </c>
      <c r="AB854" s="6">
        <v>-0.29000000000000004</v>
      </c>
      <c r="AC854" s="6">
        <v>0.29000000000000004</v>
      </c>
      <c r="AD854" s="22" t="s">
        <v>3140</v>
      </c>
      <c r="AE854" s="23">
        <f t="shared" si="53"/>
        <v>4.2380000000000004</v>
      </c>
      <c r="AF854" s="24">
        <f t="shared" si="54"/>
        <v>0</v>
      </c>
      <c r="AG854" s="23">
        <f t="shared" si="55"/>
        <v>1</v>
      </c>
    </row>
    <row r="855" spans="1:33" ht="12.5" hidden="1" customHeight="1" x14ac:dyDescent="0.25">
      <c r="A855" s="12" t="s">
        <v>31</v>
      </c>
      <c r="B855" s="9">
        <v>46184</v>
      </c>
      <c r="C855" s="8" t="s">
        <v>1363</v>
      </c>
      <c r="D855" s="10" t="s">
        <v>1364</v>
      </c>
      <c r="E855" s="10" t="s">
        <v>51</v>
      </c>
      <c r="F855" s="10" t="s">
        <v>35</v>
      </c>
      <c r="G855" s="10" t="s">
        <v>3145</v>
      </c>
      <c r="H855" s="8" t="s">
        <v>48</v>
      </c>
      <c r="I855" s="11">
        <v>30.08</v>
      </c>
      <c r="J855" s="6">
        <v>22.56</v>
      </c>
      <c r="K855" s="6">
        <v>0.75</v>
      </c>
      <c r="L855" s="6">
        <v>26.81</v>
      </c>
      <c r="M855" s="11">
        <v>20.107500000000002</v>
      </c>
      <c r="N855" s="11">
        <f t="shared" si="52"/>
        <v>20.108000000000001</v>
      </c>
      <c r="O855" s="6">
        <v>0.75000000000000011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3.27</v>
      </c>
      <c r="Z855" s="6">
        <v>2.4525000000000001</v>
      </c>
      <c r="AA855" s="6">
        <v>0.75</v>
      </c>
      <c r="AB855" s="6">
        <v>-3.2699999999999996</v>
      </c>
      <c r="AC855" s="6">
        <v>3.2699999999999996</v>
      </c>
      <c r="AD855" s="22" t="s">
        <v>3140</v>
      </c>
      <c r="AE855" s="23">
        <f t="shared" si="53"/>
        <v>20.108000000000001</v>
      </c>
      <c r="AF855" s="24">
        <f t="shared" si="54"/>
        <v>0</v>
      </c>
      <c r="AG855" s="23">
        <f t="shared" si="55"/>
        <v>1</v>
      </c>
    </row>
    <row r="856" spans="1:33" ht="12.5" hidden="1" customHeight="1" x14ac:dyDescent="0.25">
      <c r="A856" s="12" t="s">
        <v>31</v>
      </c>
      <c r="B856" s="9">
        <v>46184</v>
      </c>
      <c r="C856" s="12" t="s">
        <v>1363</v>
      </c>
      <c r="D856" s="10" t="s">
        <v>1365</v>
      </c>
      <c r="E856" s="10" t="s">
        <v>51</v>
      </c>
      <c r="F856" s="10" t="s">
        <v>35</v>
      </c>
      <c r="G856" s="10" t="s">
        <v>3145</v>
      </c>
      <c r="H856" s="8" t="s">
        <v>48</v>
      </c>
      <c r="I856" s="11">
        <v>37.22</v>
      </c>
      <c r="J856" s="6">
        <v>27.914999999999999</v>
      </c>
      <c r="K856" s="6">
        <v>0.75</v>
      </c>
      <c r="L856" s="6">
        <v>34.4</v>
      </c>
      <c r="M856" s="11">
        <v>25.8</v>
      </c>
      <c r="N856" s="11">
        <f t="shared" si="52"/>
        <v>25.8</v>
      </c>
      <c r="O856" s="6">
        <v>0.75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2.82</v>
      </c>
      <c r="Z856" s="6">
        <v>2.1150000000000002</v>
      </c>
      <c r="AA856" s="6">
        <v>0.75000000000000011</v>
      </c>
      <c r="AB856" s="6">
        <v>-2.82</v>
      </c>
      <c r="AC856" s="6">
        <v>2.82</v>
      </c>
      <c r="AD856" s="22" t="s">
        <v>3140</v>
      </c>
      <c r="AE856" s="23">
        <f t="shared" si="53"/>
        <v>25.8</v>
      </c>
      <c r="AF856" s="24">
        <f t="shared" si="54"/>
        <v>0</v>
      </c>
      <c r="AG856" s="23">
        <f t="shared" si="55"/>
        <v>1</v>
      </c>
    </row>
    <row r="857" spans="1:33" ht="12.5" customHeight="1" x14ac:dyDescent="0.25">
      <c r="A857" s="12" t="s">
        <v>31</v>
      </c>
      <c r="B857" s="9">
        <v>46184</v>
      </c>
      <c r="C857" s="13" t="s">
        <v>1363</v>
      </c>
      <c r="D857" s="10" t="s">
        <v>1366</v>
      </c>
      <c r="E857" s="10" t="s">
        <v>51</v>
      </c>
      <c r="F857" s="10" t="s">
        <v>35</v>
      </c>
      <c r="G857" s="10" t="s">
        <v>3146</v>
      </c>
      <c r="H857" s="8" t="s">
        <v>36</v>
      </c>
      <c r="I857" s="11">
        <v>22.3</v>
      </c>
      <c r="J857" s="6">
        <v>20.449100000000001</v>
      </c>
      <c r="K857" s="6">
        <v>0.91700000000000004</v>
      </c>
      <c r="L857" s="6">
        <v>21.66</v>
      </c>
      <c r="M857" s="11">
        <v>19.862220000000001</v>
      </c>
      <c r="N857" s="11">
        <f t="shared" si="52"/>
        <v>19.863</v>
      </c>
      <c r="O857" s="6">
        <v>0.91700000000000004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0.64</v>
      </c>
      <c r="Z857" s="6">
        <v>0.58687999999999996</v>
      </c>
      <c r="AA857" s="6">
        <v>0.91699999999999993</v>
      </c>
      <c r="AB857" s="6">
        <v>-0.64000000000000057</v>
      </c>
      <c r="AC857" s="6">
        <v>0.64000000000000057</v>
      </c>
      <c r="AD857" s="22" t="s">
        <v>3140</v>
      </c>
      <c r="AE857" s="23">
        <f t="shared" si="53"/>
        <v>19.863</v>
      </c>
      <c r="AF857" s="24">
        <f t="shared" si="54"/>
        <v>0</v>
      </c>
      <c r="AG857" s="23">
        <f t="shared" si="55"/>
        <v>1</v>
      </c>
    </row>
    <row r="858" spans="1:33" x14ac:dyDescent="0.25">
      <c r="A858" s="12" t="s">
        <v>31</v>
      </c>
      <c r="B858" s="9">
        <v>46184</v>
      </c>
      <c r="C858" s="10" t="s">
        <v>1367</v>
      </c>
      <c r="D858" s="10" t="s">
        <v>1368</v>
      </c>
      <c r="E858" s="10" t="s">
        <v>51</v>
      </c>
      <c r="F858" s="10" t="s">
        <v>35</v>
      </c>
      <c r="G858" s="10" t="s">
        <v>3146</v>
      </c>
      <c r="H858" s="8" t="s">
        <v>36</v>
      </c>
      <c r="I858" s="11">
        <v>47.3</v>
      </c>
      <c r="J858" s="6">
        <v>43.374099999999999</v>
      </c>
      <c r="K858" s="6">
        <v>0.91700000000000004</v>
      </c>
      <c r="L858" s="6">
        <v>43.77</v>
      </c>
      <c r="M858" s="11">
        <v>40.137090000000001</v>
      </c>
      <c r="N858" s="11">
        <f t="shared" si="52"/>
        <v>40.137999999999998</v>
      </c>
      <c r="O858" s="6">
        <v>0.91699999999999993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3.53</v>
      </c>
      <c r="Z858" s="6">
        <v>3.2370100000000002</v>
      </c>
      <c r="AA858" s="6">
        <v>0.91700000000000015</v>
      </c>
      <c r="AB858" s="6">
        <v>-3.529999999999994</v>
      </c>
      <c r="AC858" s="6">
        <v>3.529999999999994</v>
      </c>
      <c r="AD858" s="22" t="s">
        <v>3140</v>
      </c>
      <c r="AE858" s="23">
        <f t="shared" si="53"/>
        <v>40.137999999999998</v>
      </c>
      <c r="AF858" s="24">
        <f t="shared" si="54"/>
        <v>0</v>
      </c>
      <c r="AG858" s="23">
        <f t="shared" si="55"/>
        <v>1</v>
      </c>
    </row>
    <row r="859" spans="1:33" hidden="1" x14ac:dyDescent="0.25">
      <c r="A859" s="12" t="s">
        <v>31</v>
      </c>
      <c r="B859" s="9">
        <v>46184</v>
      </c>
      <c r="C859" s="10" t="s">
        <v>1369</v>
      </c>
      <c r="D859" s="10" t="s">
        <v>1370</v>
      </c>
      <c r="E859" s="10" t="s">
        <v>51</v>
      </c>
      <c r="F859" s="10" t="s">
        <v>35</v>
      </c>
      <c r="G859" s="10" t="s">
        <v>3145</v>
      </c>
      <c r="H859" s="8" t="s">
        <v>41</v>
      </c>
      <c r="I859" s="11">
        <v>259.82</v>
      </c>
      <c r="J859" s="6">
        <v>194.86500000000001</v>
      </c>
      <c r="K859" s="6">
        <v>0.75</v>
      </c>
      <c r="L859" s="6">
        <v>259.42</v>
      </c>
      <c r="M859" s="11">
        <v>194.565</v>
      </c>
      <c r="N859" s="11">
        <f t="shared" si="52"/>
        <v>194.565</v>
      </c>
      <c r="O859" s="6">
        <v>0.75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0.4</v>
      </c>
      <c r="Z859" s="6">
        <v>0.3</v>
      </c>
      <c r="AA859" s="6">
        <v>0.74999999999999989</v>
      </c>
      <c r="AB859" s="6">
        <v>-0.39999999999997726</v>
      </c>
      <c r="AC859" s="6">
        <v>0.39999999999997726</v>
      </c>
      <c r="AD859" s="22" t="s">
        <v>3140</v>
      </c>
      <c r="AE859" s="23">
        <f t="shared" si="53"/>
        <v>194.565</v>
      </c>
      <c r="AF859" s="24">
        <f t="shared" si="54"/>
        <v>0</v>
      </c>
      <c r="AG859" s="23">
        <f t="shared" si="55"/>
        <v>4</v>
      </c>
    </row>
    <row r="860" spans="1:33" hidden="1" x14ac:dyDescent="0.25">
      <c r="A860" s="12" t="s">
        <v>31</v>
      </c>
      <c r="B860" s="9">
        <v>46184</v>
      </c>
      <c r="C860" s="10" t="s">
        <v>1371</v>
      </c>
      <c r="D860" s="10" t="s">
        <v>1142</v>
      </c>
      <c r="E860" s="10" t="s">
        <v>51</v>
      </c>
      <c r="F860" s="10" t="s">
        <v>35</v>
      </c>
      <c r="G860" s="10" t="s">
        <v>3145</v>
      </c>
      <c r="H860" s="8" t="s">
        <v>41</v>
      </c>
      <c r="I860" s="11">
        <v>254.76</v>
      </c>
      <c r="J860" s="6">
        <v>191.07</v>
      </c>
      <c r="K860" s="6">
        <v>0.75</v>
      </c>
      <c r="L860" s="6">
        <v>253.22</v>
      </c>
      <c r="M860" s="11">
        <v>189.91499999999999</v>
      </c>
      <c r="N860" s="11">
        <f t="shared" si="52"/>
        <v>189.91499999999999</v>
      </c>
      <c r="O860" s="6">
        <v>0.75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1.54</v>
      </c>
      <c r="Z860" s="6">
        <v>1.155</v>
      </c>
      <c r="AA860" s="6">
        <v>0.75</v>
      </c>
      <c r="AB860" s="6">
        <v>-1.539999999999992</v>
      </c>
      <c r="AC860" s="6">
        <v>1.539999999999992</v>
      </c>
      <c r="AD860" s="22" t="s">
        <v>3140</v>
      </c>
      <c r="AE860" s="23">
        <f t="shared" si="53"/>
        <v>189.91499999999999</v>
      </c>
      <c r="AF860" s="24">
        <f t="shared" si="54"/>
        <v>0</v>
      </c>
      <c r="AG860" s="23">
        <f t="shared" si="55"/>
        <v>4</v>
      </c>
    </row>
    <row r="861" spans="1:33" ht="20" hidden="1" customHeight="1" x14ac:dyDescent="0.25">
      <c r="A861" s="12" t="s">
        <v>31</v>
      </c>
      <c r="B861" s="9">
        <v>46184</v>
      </c>
      <c r="C861" s="10" t="s">
        <v>1372</v>
      </c>
      <c r="D861" s="10" t="s">
        <v>1161</v>
      </c>
      <c r="E861" s="10" t="s">
        <v>51</v>
      </c>
      <c r="F861" s="10" t="s">
        <v>35</v>
      </c>
      <c r="G861" s="10" t="s">
        <v>3145</v>
      </c>
      <c r="H861" s="8" t="s">
        <v>48</v>
      </c>
      <c r="I861" s="11">
        <v>17.649999999999999</v>
      </c>
      <c r="J861" s="6">
        <v>13.237500000000001</v>
      </c>
      <c r="K861" s="6">
        <v>0.75000000000000011</v>
      </c>
      <c r="L861" s="6">
        <v>17.47</v>
      </c>
      <c r="M861" s="11">
        <v>13.102499999999999</v>
      </c>
      <c r="N861" s="11">
        <f t="shared" si="52"/>
        <v>13.103</v>
      </c>
      <c r="O861" s="6">
        <v>0.75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0.18</v>
      </c>
      <c r="Z861" s="6">
        <v>0.13500000000000001</v>
      </c>
      <c r="AA861" s="6">
        <v>0.75000000000000011</v>
      </c>
      <c r="AB861" s="6">
        <v>-0.17999999999999972</v>
      </c>
      <c r="AC861" s="6">
        <v>0.17999999999999972</v>
      </c>
      <c r="AD861" s="22" t="s">
        <v>3140</v>
      </c>
      <c r="AE861" s="23">
        <f t="shared" si="53"/>
        <v>13.103</v>
      </c>
      <c r="AF861" s="24">
        <f t="shared" si="54"/>
        <v>0</v>
      </c>
      <c r="AG861" s="23">
        <f t="shared" si="55"/>
        <v>2</v>
      </c>
    </row>
    <row r="862" spans="1:33" x14ac:dyDescent="0.25">
      <c r="A862" s="12" t="s">
        <v>31</v>
      </c>
      <c r="B862" s="9">
        <v>46184</v>
      </c>
      <c r="C862" s="10" t="s">
        <v>1373</v>
      </c>
      <c r="D862" s="10" t="s">
        <v>1374</v>
      </c>
      <c r="E862" s="10" t="s">
        <v>51</v>
      </c>
      <c r="F862" s="10" t="s">
        <v>35</v>
      </c>
      <c r="G862" s="10" t="s">
        <v>3146</v>
      </c>
      <c r="H862" s="8" t="s">
        <v>36</v>
      </c>
      <c r="I862" s="11">
        <v>10.69</v>
      </c>
      <c r="J862" s="6">
        <v>9.8027300000000004</v>
      </c>
      <c r="K862" s="6">
        <v>0.91700000000000004</v>
      </c>
      <c r="L862" s="6">
        <v>9.9700000000000006</v>
      </c>
      <c r="M862" s="11">
        <v>9.1424900000000004</v>
      </c>
      <c r="N862" s="11">
        <f t="shared" si="52"/>
        <v>9.1429999999999989</v>
      </c>
      <c r="O862" s="6">
        <v>0.91700000000000004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0.72</v>
      </c>
      <c r="Z862" s="6">
        <v>0.66024000000000005</v>
      </c>
      <c r="AA862" s="6">
        <v>0.91700000000000015</v>
      </c>
      <c r="AB862" s="6">
        <v>-0.71999999999999886</v>
      </c>
      <c r="AC862" s="6">
        <v>0.71999999999999886</v>
      </c>
      <c r="AD862" s="23" t="s">
        <v>3143</v>
      </c>
      <c r="AE862" s="23">
        <f t="shared" si="53"/>
        <v>8.8859999999999992</v>
      </c>
      <c r="AF862" s="24">
        <f t="shared" si="54"/>
        <v>0.25699999999999967</v>
      </c>
      <c r="AG862" s="23">
        <f t="shared" si="55"/>
        <v>3</v>
      </c>
    </row>
    <row r="863" spans="1:33" x14ac:dyDescent="0.25">
      <c r="A863" s="12" t="s">
        <v>31</v>
      </c>
      <c r="B863" s="9">
        <v>46184</v>
      </c>
      <c r="C863" s="10" t="s">
        <v>1375</v>
      </c>
      <c r="D863" s="10" t="s">
        <v>1376</v>
      </c>
      <c r="E863" s="10" t="s">
        <v>51</v>
      </c>
      <c r="F863" s="10" t="s">
        <v>35</v>
      </c>
      <c r="G863" s="10" t="s">
        <v>3146</v>
      </c>
      <c r="H863" s="8" t="s">
        <v>36</v>
      </c>
      <c r="I863" s="11">
        <v>6.41</v>
      </c>
      <c r="J863" s="6">
        <v>5.8779700000000004</v>
      </c>
      <c r="K863" s="6">
        <v>0.91700000000000004</v>
      </c>
      <c r="L863" s="6">
        <v>6.38</v>
      </c>
      <c r="M863" s="11">
        <v>5.85046</v>
      </c>
      <c r="N863" s="11">
        <f t="shared" si="52"/>
        <v>5.851</v>
      </c>
      <c r="O863" s="6">
        <v>0.91700000000000004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0.03</v>
      </c>
      <c r="Z863" s="6">
        <v>2.751E-2</v>
      </c>
      <c r="AA863" s="6">
        <v>0.91700000000000004</v>
      </c>
      <c r="AB863" s="6">
        <v>-3.0000000000000249E-2</v>
      </c>
      <c r="AC863" s="6">
        <v>3.0000000000000249E-2</v>
      </c>
      <c r="AD863" s="22" t="s">
        <v>3140</v>
      </c>
      <c r="AE863" s="23">
        <f t="shared" si="53"/>
        <v>5.851</v>
      </c>
      <c r="AF863" s="24">
        <f t="shared" si="54"/>
        <v>0</v>
      </c>
      <c r="AG863" s="23">
        <f t="shared" si="55"/>
        <v>1</v>
      </c>
    </row>
    <row r="864" spans="1:33" ht="12.5" customHeight="1" x14ac:dyDescent="0.25">
      <c r="A864" s="12" t="s">
        <v>31</v>
      </c>
      <c r="B864" s="9">
        <v>46184</v>
      </c>
      <c r="C864" s="8" t="s">
        <v>1377</v>
      </c>
      <c r="D864" s="10" t="s">
        <v>1378</v>
      </c>
      <c r="E864" s="10" t="s">
        <v>51</v>
      </c>
      <c r="F864" s="10" t="s">
        <v>35</v>
      </c>
      <c r="G864" s="10" t="s">
        <v>3146</v>
      </c>
      <c r="H864" s="8" t="s">
        <v>36</v>
      </c>
      <c r="I864" s="11">
        <v>23.68</v>
      </c>
      <c r="J864" s="6">
        <v>21.714559999999999</v>
      </c>
      <c r="K864" s="6">
        <v>0.91699999999999993</v>
      </c>
      <c r="L864" s="6">
        <v>22.27</v>
      </c>
      <c r="M864" s="11">
        <v>20.421589999999998</v>
      </c>
      <c r="N864" s="11">
        <f t="shared" si="52"/>
        <v>20.422000000000001</v>
      </c>
      <c r="O864" s="6">
        <v>0.91699999999999993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1.41</v>
      </c>
      <c r="Z864" s="6">
        <v>1.29297</v>
      </c>
      <c r="AA864" s="6">
        <v>0.91700000000000004</v>
      </c>
      <c r="AB864" s="6">
        <v>-1.41</v>
      </c>
      <c r="AC864" s="6">
        <v>1.41</v>
      </c>
      <c r="AD864" s="22" t="s">
        <v>3140</v>
      </c>
      <c r="AE864" s="23">
        <f t="shared" si="53"/>
        <v>20.422000000000001</v>
      </c>
      <c r="AF864" s="24">
        <f t="shared" si="54"/>
        <v>0</v>
      </c>
      <c r="AG864" s="23">
        <f t="shared" si="55"/>
        <v>2</v>
      </c>
    </row>
    <row r="865" spans="1:33" ht="12.5" customHeight="1" x14ac:dyDescent="0.25">
      <c r="A865" s="12" t="s">
        <v>31</v>
      </c>
      <c r="B865" s="9">
        <v>46184</v>
      </c>
      <c r="C865" s="13" t="s">
        <v>1377</v>
      </c>
      <c r="D865" s="10" t="s">
        <v>1379</v>
      </c>
      <c r="E865" s="10" t="s">
        <v>51</v>
      </c>
      <c r="F865" s="10" t="s">
        <v>35</v>
      </c>
      <c r="G865" s="10" t="s">
        <v>3146</v>
      </c>
      <c r="H865" s="8" t="s">
        <v>36</v>
      </c>
      <c r="I865" s="11">
        <v>41.09</v>
      </c>
      <c r="J865" s="6">
        <v>37.67953</v>
      </c>
      <c r="K865" s="6">
        <v>0.91699999999999993</v>
      </c>
      <c r="L865" s="6">
        <v>39.33</v>
      </c>
      <c r="M865" s="11">
        <v>36.06561</v>
      </c>
      <c r="N865" s="11">
        <f t="shared" si="52"/>
        <v>36.065999999999995</v>
      </c>
      <c r="O865" s="6">
        <v>0.91700000000000004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1.76</v>
      </c>
      <c r="Z865" s="6">
        <v>1.61392</v>
      </c>
      <c r="AA865" s="6">
        <v>0.91700000000000004</v>
      </c>
      <c r="AB865" s="6">
        <v>-1.7600000000000051</v>
      </c>
      <c r="AC865" s="6">
        <v>1.7600000000000051</v>
      </c>
      <c r="AD865" s="22" t="s">
        <v>3140</v>
      </c>
      <c r="AE865" s="23">
        <f t="shared" si="53"/>
        <v>36.065999999999995</v>
      </c>
      <c r="AF865" s="24">
        <f t="shared" si="54"/>
        <v>0</v>
      </c>
      <c r="AG865" s="23">
        <f t="shared" si="55"/>
        <v>1</v>
      </c>
    </row>
    <row r="866" spans="1:33" ht="12.5" customHeight="1" x14ac:dyDescent="0.25">
      <c r="A866" s="12" t="s">
        <v>31</v>
      </c>
      <c r="B866" s="9">
        <v>46184</v>
      </c>
      <c r="C866" s="8" t="s">
        <v>1380</v>
      </c>
      <c r="D866" s="10" t="s">
        <v>1381</v>
      </c>
      <c r="E866" s="10" t="s">
        <v>51</v>
      </c>
      <c r="F866" s="10" t="s">
        <v>35</v>
      </c>
      <c r="G866" s="10" t="s">
        <v>3146</v>
      </c>
      <c r="H866" s="8" t="s">
        <v>36</v>
      </c>
      <c r="I866" s="11">
        <v>42.86</v>
      </c>
      <c r="J866" s="6">
        <v>39.302619999999997</v>
      </c>
      <c r="K866" s="6">
        <v>0.91699999999999993</v>
      </c>
      <c r="L866" s="6">
        <v>40.74</v>
      </c>
      <c r="M866" s="11">
        <v>37.358580000000003</v>
      </c>
      <c r="N866" s="11">
        <f t="shared" si="52"/>
        <v>37.358999999999995</v>
      </c>
      <c r="O866" s="6">
        <v>0.91700000000000004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2.12</v>
      </c>
      <c r="Z866" s="6">
        <v>1.94404</v>
      </c>
      <c r="AA866" s="6">
        <v>0.91699999999999993</v>
      </c>
      <c r="AB866" s="6">
        <v>-2.1199999999999974</v>
      </c>
      <c r="AC866" s="6">
        <v>2.1199999999999974</v>
      </c>
      <c r="AD866" s="23" t="s">
        <v>3143</v>
      </c>
      <c r="AE866" s="23">
        <f t="shared" si="53"/>
        <v>36.277000000000001</v>
      </c>
      <c r="AF866" s="24">
        <f t="shared" si="54"/>
        <v>1.0819999999999936</v>
      </c>
      <c r="AG866" s="23">
        <f t="shared" si="55"/>
        <v>2</v>
      </c>
    </row>
    <row r="867" spans="1:33" ht="12.5" customHeight="1" x14ac:dyDescent="0.25">
      <c r="A867" s="12" t="s">
        <v>31</v>
      </c>
      <c r="B867" s="9">
        <v>46184</v>
      </c>
      <c r="C867" s="13" t="s">
        <v>1380</v>
      </c>
      <c r="D867" s="10" t="s">
        <v>1382</v>
      </c>
      <c r="E867" s="10" t="s">
        <v>51</v>
      </c>
      <c r="F867" s="10" t="s">
        <v>35</v>
      </c>
      <c r="G867" s="10" t="s">
        <v>3146</v>
      </c>
      <c r="H867" s="8" t="s">
        <v>36</v>
      </c>
      <c r="I867" s="11">
        <v>66.893000000000001</v>
      </c>
      <c r="J867" s="6">
        <v>61.340881000000003</v>
      </c>
      <c r="K867" s="6">
        <v>0.91700000000000004</v>
      </c>
      <c r="L867" s="6">
        <v>63.423000000000002</v>
      </c>
      <c r="M867" s="11">
        <v>58.158890999999997</v>
      </c>
      <c r="N867" s="11">
        <f t="shared" si="52"/>
        <v>58.158999999999999</v>
      </c>
      <c r="O867" s="6">
        <v>0.91699999999999993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3.47</v>
      </c>
      <c r="Z867" s="6">
        <v>3.1819899999999999</v>
      </c>
      <c r="AA867" s="6">
        <v>0.91699999999999993</v>
      </c>
      <c r="AB867" s="6">
        <v>-3.4699999999999989</v>
      </c>
      <c r="AC867" s="6">
        <v>3.4699999999999989</v>
      </c>
      <c r="AD867" s="22" t="s">
        <v>3140</v>
      </c>
      <c r="AE867" s="23">
        <f t="shared" si="53"/>
        <v>58.158999999999999</v>
      </c>
      <c r="AF867" s="24">
        <f t="shared" si="54"/>
        <v>0</v>
      </c>
      <c r="AG867" s="23">
        <f t="shared" si="55"/>
        <v>1</v>
      </c>
    </row>
    <row r="868" spans="1:33" ht="12.5" customHeight="1" x14ac:dyDescent="0.25">
      <c r="A868" s="12" t="s">
        <v>31</v>
      </c>
      <c r="B868" s="9">
        <v>46184</v>
      </c>
      <c r="C868" s="8" t="s">
        <v>1383</v>
      </c>
      <c r="D868" s="10" t="s">
        <v>1282</v>
      </c>
      <c r="E868" s="10" t="s">
        <v>51</v>
      </c>
      <c r="F868" s="10" t="s">
        <v>35</v>
      </c>
      <c r="G868" s="10" t="s">
        <v>3146</v>
      </c>
      <c r="H868" s="8" t="s">
        <v>36</v>
      </c>
      <c r="I868" s="11">
        <v>17</v>
      </c>
      <c r="J868" s="6">
        <v>15.589</v>
      </c>
      <c r="K868" s="6">
        <v>0.91700000000000004</v>
      </c>
      <c r="L868" s="6">
        <v>17</v>
      </c>
      <c r="M868" s="11">
        <v>15.589</v>
      </c>
      <c r="N868" s="11">
        <f t="shared" si="52"/>
        <v>15.589</v>
      </c>
      <c r="O868" s="6">
        <v>0.91700000000000004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22" t="s">
        <v>3140</v>
      </c>
      <c r="AE868" s="23">
        <f t="shared" si="53"/>
        <v>15.589</v>
      </c>
      <c r="AF868" s="24">
        <f t="shared" si="54"/>
        <v>0</v>
      </c>
      <c r="AG868" s="23">
        <f t="shared" si="55"/>
        <v>2</v>
      </c>
    </row>
    <row r="869" spans="1:33" ht="12.5" customHeight="1" x14ac:dyDescent="0.25">
      <c r="A869" s="12" t="s">
        <v>31</v>
      </c>
      <c r="B869" s="9">
        <v>46184</v>
      </c>
      <c r="C869" s="13" t="s">
        <v>1383</v>
      </c>
      <c r="D869" s="10" t="s">
        <v>1211</v>
      </c>
      <c r="E869" s="10" t="s">
        <v>51</v>
      </c>
      <c r="F869" s="10" t="s">
        <v>35</v>
      </c>
      <c r="G869" s="10" t="s">
        <v>3146</v>
      </c>
      <c r="H869" s="8" t="s">
        <v>36</v>
      </c>
      <c r="I869" s="11">
        <v>5.92</v>
      </c>
      <c r="J869" s="6">
        <v>5.4286399999999997</v>
      </c>
      <c r="K869" s="6">
        <v>0.91699999999999993</v>
      </c>
      <c r="L869" s="6">
        <v>5.85</v>
      </c>
      <c r="M869" s="11">
        <v>5.3644499999999997</v>
      </c>
      <c r="N869" s="11">
        <f t="shared" si="52"/>
        <v>5.3650000000000002</v>
      </c>
      <c r="O869" s="6">
        <v>0.91700000000000004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7.0000000000000007E-2</v>
      </c>
      <c r="Z869" s="6">
        <v>6.4189999999999997E-2</v>
      </c>
      <c r="AA869" s="6">
        <v>0.91699999999999982</v>
      </c>
      <c r="AB869" s="6">
        <v>-7.0000000000000284E-2</v>
      </c>
      <c r="AC869" s="6">
        <v>7.0000000000000284E-2</v>
      </c>
      <c r="AD869" s="22" t="s">
        <v>3140</v>
      </c>
      <c r="AE869" s="23">
        <f t="shared" si="53"/>
        <v>5.3650000000000002</v>
      </c>
      <c r="AF869" s="24">
        <f t="shared" si="54"/>
        <v>0</v>
      </c>
      <c r="AG869" s="23">
        <f t="shared" si="55"/>
        <v>2</v>
      </c>
    </row>
    <row r="870" spans="1:33" ht="12.5" customHeight="1" x14ac:dyDescent="0.25">
      <c r="A870" s="12" t="s">
        <v>31</v>
      </c>
      <c r="B870" s="9">
        <v>46184</v>
      </c>
      <c r="C870" s="8" t="s">
        <v>1384</v>
      </c>
      <c r="D870" s="10" t="s">
        <v>1385</v>
      </c>
      <c r="E870" s="10" t="s">
        <v>51</v>
      </c>
      <c r="F870" s="10" t="s">
        <v>35</v>
      </c>
      <c r="G870" s="10" t="s">
        <v>3146</v>
      </c>
      <c r="H870" s="8" t="s">
        <v>36</v>
      </c>
      <c r="I870" s="11">
        <v>23.96</v>
      </c>
      <c r="J870" s="6">
        <v>21.971319999999999</v>
      </c>
      <c r="K870" s="6">
        <v>0.91699999999999993</v>
      </c>
      <c r="L870" s="6">
        <v>22.61</v>
      </c>
      <c r="M870" s="11">
        <v>20.733370000000001</v>
      </c>
      <c r="N870" s="11">
        <f t="shared" si="52"/>
        <v>20.734000000000002</v>
      </c>
      <c r="O870" s="6">
        <v>0.91700000000000004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1.35</v>
      </c>
      <c r="Z870" s="6">
        <v>1.2379500000000001</v>
      </c>
      <c r="AA870" s="6">
        <v>0.91700000000000004</v>
      </c>
      <c r="AB870" s="6">
        <v>-1.3500000000000014</v>
      </c>
      <c r="AC870" s="6">
        <v>1.3500000000000014</v>
      </c>
      <c r="AD870" s="22" t="s">
        <v>3140</v>
      </c>
      <c r="AE870" s="23">
        <f t="shared" si="53"/>
        <v>20.734000000000002</v>
      </c>
      <c r="AF870" s="24">
        <f t="shared" si="54"/>
        <v>0</v>
      </c>
      <c r="AG870" s="23">
        <f t="shared" si="55"/>
        <v>2</v>
      </c>
    </row>
    <row r="871" spans="1:33" ht="12.5" customHeight="1" x14ac:dyDescent="0.25">
      <c r="A871" s="12" t="s">
        <v>31</v>
      </c>
      <c r="B871" s="9">
        <v>46184</v>
      </c>
      <c r="C871" s="13" t="s">
        <v>1384</v>
      </c>
      <c r="D871" s="10" t="s">
        <v>1386</v>
      </c>
      <c r="E871" s="10" t="s">
        <v>51</v>
      </c>
      <c r="F871" s="10" t="s">
        <v>35</v>
      </c>
      <c r="G871" s="10" t="s">
        <v>3146</v>
      </c>
      <c r="H871" s="8" t="s">
        <v>36</v>
      </c>
      <c r="I871" s="11">
        <v>18.45</v>
      </c>
      <c r="J871" s="6">
        <v>16.91865</v>
      </c>
      <c r="K871" s="6">
        <v>0.91700000000000004</v>
      </c>
      <c r="L871" s="6">
        <v>17.25</v>
      </c>
      <c r="M871" s="11">
        <v>15.818250000000001</v>
      </c>
      <c r="N871" s="11">
        <f t="shared" si="52"/>
        <v>15.818999999999999</v>
      </c>
      <c r="O871" s="6">
        <v>0.91700000000000004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1.2</v>
      </c>
      <c r="Z871" s="6">
        <v>1.1004</v>
      </c>
      <c r="AA871" s="6">
        <v>0.91700000000000004</v>
      </c>
      <c r="AB871" s="6">
        <v>-1.1999999999999993</v>
      </c>
      <c r="AC871" s="6">
        <v>1.1999999999999993</v>
      </c>
      <c r="AD871" s="22" t="s">
        <v>3140</v>
      </c>
      <c r="AE871" s="23">
        <f t="shared" si="53"/>
        <v>15.818999999999999</v>
      </c>
      <c r="AF871" s="24">
        <f t="shared" si="54"/>
        <v>0</v>
      </c>
      <c r="AG871" s="23">
        <f t="shared" si="55"/>
        <v>1</v>
      </c>
    </row>
    <row r="872" spans="1:33" x14ac:dyDescent="0.25">
      <c r="A872" s="12" t="s">
        <v>31</v>
      </c>
      <c r="B872" s="9">
        <v>46184</v>
      </c>
      <c r="C872" s="10" t="s">
        <v>1387</v>
      </c>
      <c r="D872" s="10" t="s">
        <v>1283</v>
      </c>
      <c r="E872" s="10" t="s">
        <v>51</v>
      </c>
      <c r="F872" s="10" t="s">
        <v>35</v>
      </c>
      <c r="G872" s="10" t="s">
        <v>3146</v>
      </c>
      <c r="H872" s="8" t="s">
        <v>36</v>
      </c>
      <c r="I872" s="11">
        <v>33.61</v>
      </c>
      <c r="J872" s="6">
        <v>30.82037</v>
      </c>
      <c r="K872" s="6">
        <v>0.91700000000000004</v>
      </c>
      <c r="L872" s="6">
        <v>33.61</v>
      </c>
      <c r="M872" s="11">
        <v>30.82037</v>
      </c>
      <c r="N872" s="11">
        <f t="shared" si="52"/>
        <v>30.821000000000002</v>
      </c>
      <c r="O872" s="6">
        <v>0.91700000000000004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22" t="s">
        <v>3143</v>
      </c>
      <c r="AE872" s="23">
        <f t="shared" si="53"/>
        <v>30.821000000000002</v>
      </c>
      <c r="AF872" s="24">
        <f t="shared" si="54"/>
        <v>0</v>
      </c>
      <c r="AG872" s="23">
        <f t="shared" si="55"/>
        <v>2</v>
      </c>
    </row>
    <row r="873" spans="1:33" x14ac:dyDescent="0.25">
      <c r="A873" s="12" t="s">
        <v>31</v>
      </c>
      <c r="B873" s="9">
        <v>46184</v>
      </c>
      <c r="C873" s="10" t="s">
        <v>1388</v>
      </c>
      <c r="D873" s="10" t="s">
        <v>1374</v>
      </c>
      <c r="E873" s="10" t="s">
        <v>51</v>
      </c>
      <c r="F873" s="10" t="s">
        <v>35</v>
      </c>
      <c r="G873" s="10" t="s">
        <v>3146</v>
      </c>
      <c r="H873" s="8" t="s">
        <v>36</v>
      </c>
      <c r="I873" s="11">
        <v>9.9700000000000006</v>
      </c>
      <c r="J873" s="6">
        <v>9.1424900000000004</v>
      </c>
      <c r="K873" s="6">
        <v>0.91700000000000004</v>
      </c>
      <c r="L873" s="6">
        <v>9.69</v>
      </c>
      <c r="M873" s="11">
        <v>8.8857300000000006</v>
      </c>
      <c r="N873" s="11">
        <f t="shared" si="52"/>
        <v>8.8859999999999992</v>
      </c>
      <c r="O873" s="6">
        <v>0.91700000000000015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0.28000000000000003</v>
      </c>
      <c r="Z873" s="6">
        <v>0.25675999999999999</v>
      </c>
      <c r="AA873" s="6">
        <v>0.91699999999999982</v>
      </c>
      <c r="AB873" s="6">
        <v>-0.28000000000000114</v>
      </c>
      <c r="AC873" s="6">
        <v>0.28000000000000114</v>
      </c>
      <c r="AD873" s="22" t="s">
        <v>3140</v>
      </c>
      <c r="AE873" s="23">
        <f t="shared" si="53"/>
        <v>8.8859999999999992</v>
      </c>
      <c r="AF873" s="24">
        <f t="shared" si="54"/>
        <v>0</v>
      </c>
      <c r="AG873" s="23">
        <f t="shared" si="55"/>
        <v>3</v>
      </c>
    </row>
    <row r="874" spans="1:33" x14ac:dyDescent="0.25">
      <c r="A874" s="12" t="s">
        <v>31</v>
      </c>
      <c r="B874" s="9">
        <v>46184</v>
      </c>
      <c r="C874" s="10" t="s">
        <v>1389</v>
      </c>
      <c r="D874" s="10" t="s">
        <v>1390</v>
      </c>
      <c r="E874" s="10" t="s">
        <v>51</v>
      </c>
      <c r="F874" s="10" t="s">
        <v>35</v>
      </c>
      <c r="G874" s="10" t="s">
        <v>3146</v>
      </c>
      <c r="H874" s="8" t="s">
        <v>36</v>
      </c>
      <c r="I874" s="11">
        <v>37.76</v>
      </c>
      <c r="J874" s="6">
        <v>34.625920000000001</v>
      </c>
      <c r="K874" s="6">
        <v>0.91700000000000004</v>
      </c>
      <c r="L874" s="6">
        <v>36.71</v>
      </c>
      <c r="M874" s="11">
        <v>33.663069999999998</v>
      </c>
      <c r="N874" s="11">
        <f t="shared" si="52"/>
        <v>33.663999999999994</v>
      </c>
      <c r="O874" s="6">
        <v>0.91699999999999993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1.05</v>
      </c>
      <c r="Z874" s="6">
        <v>0.96284999999999998</v>
      </c>
      <c r="AA874" s="6">
        <v>0.91699999999999993</v>
      </c>
      <c r="AB874" s="6">
        <v>-1.0499999999999972</v>
      </c>
      <c r="AC874" s="6">
        <v>1.0499999999999972</v>
      </c>
      <c r="AD874" s="22" t="s">
        <v>3140</v>
      </c>
      <c r="AE874" s="23">
        <f t="shared" si="53"/>
        <v>33.663999999999994</v>
      </c>
      <c r="AF874" s="24">
        <f t="shared" si="54"/>
        <v>0</v>
      </c>
      <c r="AG874" s="23">
        <f t="shared" si="55"/>
        <v>1</v>
      </c>
    </row>
    <row r="875" spans="1:33" ht="20" hidden="1" customHeight="1" x14ac:dyDescent="0.25">
      <c r="A875" s="12" t="s">
        <v>31</v>
      </c>
      <c r="B875" s="9">
        <v>46184</v>
      </c>
      <c r="C875" s="10" t="s">
        <v>1391</v>
      </c>
      <c r="D875" s="10" t="s">
        <v>1392</v>
      </c>
      <c r="E875" s="10" t="s">
        <v>34</v>
      </c>
      <c r="F875" s="10" t="s">
        <v>35</v>
      </c>
      <c r="G875" s="10" t="s">
        <v>3145</v>
      </c>
      <c r="H875" s="8" t="s">
        <v>48</v>
      </c>
      <c r="I875" s="11">
        <v>70.2</v>
      </c>
      <c r="J875" s="6">
        <v>52.65</v>
      </c>
      <c r="K875" s="6">
        <v>0.75</v>
      </c>
      <c r="L875" s="6">
        <v>68.77</v>
      </c>
      <c r="M875" s="11">
        <v>51.577500000000001</v>
      </c>
      <c r="N875" s="11">
        <f t="shared" si="52"/>
        <v>51.577999999999996</v>
      </c>
      <c r="O875" s="6">
        <v>0.75</v>
      </c>
      <c r="P875" s="6">
        <v>1.43</v>
      </c>
      <c r="Q875" s="6">
        <v>1.0725</v>
      </c>
      <c r="R875" s="6">
        <v>0.75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-2.8600000000000065</v>
      </c>
      <c r="AC875" s="6">
        <v>6.8833827526759706E-15</v>
      </c>
      <c r="AD875" s="23" t="s">
        <v>3143</v>
      </c>
      <c r="AE875" s="23">
        <f t="shared" si="53"/>
        <v>49.207999999999998</v>
      </c>
      <c r="AF875" s="24">
        <f t="shared" si="54"/>
        <v>2.3699999999999974</v>
      </c>
      <c r="AG875" s="23">
        <f t="shared" si="55"/>
        <v>3</v>
      </c>
    </row>
    <row r="876" spans="1:33" ht="20" hidden="1" customHeight="1" x14ac:dyDescent="0.25">
      <c r="A876" s="12" t="s">
        <v>31</v>
      </c>
      <c r="B876" s="9">
        <v>46184</v>
      </c>
      <c r="C876" s="10" t="s">
        <v>1393</v>
      </c>
      <c r="D876" s="10" t="s">
        <v>1392</v>
      </c>
      <c r="E876" s="10" t="s">
        <v>34</v>
      </c>
      <c r="F876" s="10" t="s">
        <v>35</v>
      </c>
      <c r="G876" s="10" t="s">
        <v>3145</v>
      </c>
      <c r="H876" s="8" t="s">
        <v>48</v>
      </c>
      <c r="I876" s="11">
        <v>68.77</v>
      </c>
      <c r="J876" s="6">
        <v>51.577500000000001</v>
      </c>
      <c r="K876" s="6">
        <v>0.75</v>
      </c>
      <c r="L876" s="6">
        <v>68.459999999999994</v>
      </c>
      <c r="M876" s="11">
        <v>51.344999999999999</v>
      </c>
      <c r="N876" s="11">
        <f t="shared" si="52"/>
        <v>51.344999999999999</v>
      </c>
      <c r="O876" s="6">
        <v>0.75</v>
      </c>
      <c r="P876" s="6">
        <v>0.31</v>
      </c>
      <c r="Q876" s="6">
        <v>0.23250000000000001</v>
      </c>
      <c r="R876" s="6">
        <v>0.75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-0.62000000000000233</v>
      </c>
      <c r="AC876" s="6">
        <v>2.2759572004815709E-15</v>
      </c>
      <c r="AD876" s="23" t="s">
        <v>3143</v>
      </c>
      <c r="AE876" s="23">
        <f t="shared" si="53"/>
        <v>49.207999999999998</v>
      </c>
      <c r="AF876" s="24">
        <f t="shared" si="54"/>
        <v>2.1370000000000005</v>
      </c>
      <c r="AG876" s="23">
        <f t="shared" si="55"/>
        <v>3</v>
      </c>
    </row>
    <row r="877" spans="1:33" ht="20" hidden="1" customHeight="1" x14ac:dyDescent="0.25">
      <c r="A877" s="12" t="s">
        <v>31</v>
      </c>
      <c r="B877" s="9">
        <v>46184</v>
      </c>
      <c r="C877" s="10" t="s">
        <v>1394</v>
      </c>
      <c r="D877" s="10" t="s">
        <v>1392</v>
      </c>
      <c r="E877" s="10" t="s">
        <v>34</v>
      </c>
      <c r="F877" s="10" t="s">
        <v>35</v>
      </c>
      <c r="G877" s="10" t="s">
        <v>3145</v>
      </c>
      <c r="H877" s="8" t="s">
        <v>48</v>
      </c>
      <c r="I877" s="11">
        <v>68.459999999999994</v>
      </c>
      <c r="J877" s="6">
        <v>51.344999999999999</v>
      </c>
      <c r="K877" s="6">
        <v>0.75</v>
      </c>
      <c r="L877" s="6">
        <v>65.61</v>
      </c>
      <c r="M877" s="11">
        <v>49.207500000000003</v>
      </c>
      <c r="N877" s="11">
        <f t="shared" si="52"/>
        <v>49.207999999999998</v>
      </c>
      <c r="O877" s="6">
        <v>0.75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2.85</v>
      </c>
      <c r="Z877" s="6">
        <v>2.1375000000000002</v>
      </c>
      <c r="AA877" s="6">
        <v>0.75</v>
      </c>
      <c r="AB877" s="6">
        <v>-2.8499999999999943</v>
      </c>
      <c r="AC877" s="6">
        <v>2.8499999999999943</v>
      </c>
      <c r="AD877" s="22" t="s">
        <v>3140</v>
      </c>
      <c r="AE877" s="23">
        <f t="shared" si="53"/>
        <v>49.207999999999998</v>
      </c>
      <c r="AF877" s="24">
        <f t="shared" si="54"/>
        <v>0</v>
      </c>
      <c r="AG877" s="23">
        <f t="shared" si="55"/>
        <v>3</v>
      </c>
    </row>
    <row r="878" spans="1:33" ht="12.5" customHeight="1" x14ac:dyDescent="0.25">
      <c r="A878" s="12" t="s">
        <v>31</v>
      </c>
      <c r="B878" s="9">
        <v>46184</v>
      </c>
      <c r="C878" s="8" t="s">
        <v>1395</v>
      </c>
      <c r="D878" s="8" t="s">
        <v>1396</v>
      </c>
      <c r="E878" s="8" t="s">
        <v>51</v>
      </c>
      <c r="F878" s="8" t="s">
        <v>35</v>
      </c>
      <c r="G878" s="10" t="s">
        <v>3146</v>
      </c>
      <c r="H878" s="8" t="s">
        <v>36</v>
      </c>
      <c r="I878" s="11">
        <v>5.1115000000000004</v>
      </c>
      <c r="J878" s="6">
        <v>4.6872455000000004</v>
      </c>
      <c r="K878" s="6">
        <v>0.91700000000000004</v>
      </c>
      <c r="L878" s="6">
        <v>4.8577000000000004</v>
      </c>
      <c r="M878" s="11">
        <v>4.4545108999999998</v>
      </c>
      <c r="N878" s="11">
        <f t="shared" si="52"/>
        <v>4.4550000000000001</v>
      </c>
      <c r="O878" s="6">
        <v>0.91699999999999993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0.25380000000000003</v>
      </c>
      <c r="Z878" s="6">
        <v>0.23273460000000001</v>
      </c>
      <c r="AA878" s="6">
        <v>0.91699999999999993</v>
      </c>
      <c r="AB878" s="6">
        <v>-0.25380000000000003</v>
      </c>
      <c r="AC878" s="6">
        <v>0.25380000000000003</v>
      </c>
      <c r="AD878" s="23" t="s">
        <v>3143</v>
      </c>
      <c r="AE878" s="23">
        <f t="shared" si="53"/>
        <v>3.15</v>
      </c>
      <c r="AF878" s="24">
        <f t="shared" si="54"/>
        <v>1.3050000000000002</v>
      </c>
      <c r="AG878" s="23">
        <f t="shared" si="55"/>
        <v>5</v>
      </c>
    </row>
    <row r="879" spans="1:33" ht="12.5" customHeight="1" x14ac:dyDescent="0.25">
      <c r="A879" s="12" t="s">
        <v>31</v>
      </c>
      <c r="B879" s="9">
        <v>46184</v>
      </c>
      <c r="C879" s="13" t="s">
        <v>1395</v>
      </c>
      <c r="D879" s="13" t="s">
        <v>1396</v>
      </c>
      <c r="E879" s="13" t="s">
        <v>51</v>
      </c>
      <c r="F879" s="13" t="s">
        <v>35</v>
      </c>
      <c r="G879" s="10" t="s">
        <v>3146</v>
      </c>
      <c r="H879" s="8" t="s">
        <v>1397</v>
      </c>
      <c r="I879" s="11">
        <v>3.7484999999999999</v>
      </c>
      <c r="J879" s="6">
        <v>3.4411230000000002</v>
      </c>
      <c r="K879" s="6">
        <v>0.91800000000000004</v>
      </c>
      <c r="L879" s="6">
        <v>3.5623</v>
      </c>
      <c r="M879" s="11">
        <v>3.2701913999999999</v>
      </c>
      <c r="N879" s="11">
        <f t="shared" si="52"/>
        <v>3.2709999999999999</v>
      </c>
      <c r="O879" s="6">
        <v>0.91799999999999993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0.1862</v>
      </c>
      <c r="Z879" s="6">
        <v>0.17093159999999999</v>
      </c>
      <c r="AA879" s="6">
        <v>0.91799999999999993</v>
      </c>
      <c r="AB879" s="6">
        <v>-0.18619999999999992</v>
      </c>
      <c r="AC879" s="6">
        <v>0.18619999999999992</v>
      </c>
      <c r="AD879" s="23" t="s">
        <v>3143</v>
      </c>
      <c r="AE879" s="23">
        <f t="shared" si="53"/>
        <v>3.15</v>
      </c>
      <c r="AF879" s="24">
        <f t="shared" si="54"/>
        <v>0.121</v>
      </c>
      <c r="AG879" s="23">
        <f t="shared" si="55"/>
        <v>5</v>
      </c>
    </row>
    <row r="880" spans="1:33" ht="12.5" customHeight="1" x14ac:dyDescent="0.25">
      <c r="A880" s="12" t="s">
        <v>31</v>
      </c>
      <c r="B880" s="9">
        <v>46184</v>
      </c>
      <c r="C880" s="8" t="s">
        <v>1398</v>
      </c>
      <c r="D880" s="10" t="s">
        <v>1399</v>
      </c>
      <c r="E880" s="10" t="s">
        <v>51</v>
      </c>
      <c r="F880" s="10" t="s">
        <v>35</v>
      </c>
      <c r="G880" s="10" t="s">
        <v>3146</v>
      </c>
      <c r="H880" s="8" t="s">
        <v>36</v>
      </c>
      <c r="I880" s="11">
        <v>65.94</v>
      </c>
      <c r="J880" s="6">
        <v>60.46698</v>
      </c>
      <c r="K880" s="6">
        <v>0.91700000000000004</v>
      </c>
      <c r="L880" s="6">
        <v>60.17</v>
      </c>
      <c r="M880" s="11">
        <v>55.175890000000003</v>
      </c>
      <c r="N880" s="11">
        <f t="shared" si="52"/>
        <v>55.175999999999995</v>
      </c>
      <c r="O880" s="6">
        <v>0.91700000000000004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5.77</v>
      </c>
      <c r="Z880" s="6">
        <v>5.2910899999999996</v>
      </c>
      <c r="AA880" s="6">
        <v>0.91700000000000004</v>
      </c>
      <c r="AB880" s="6">
        <v>-5.769999999999996</v>
      </c>
      <c r="AC880" s="6">
        <v>5.769999999999996</v>
      </c>
      <c r="AD880" s="22" t="s">
        <v>3140</v>
      </c>
      <c r="AE880" s="23">
        <f t="shared" si="53"/>
        <v>55.175999999999995</v>
      </c>
      <c r="AF880" s="24">
        <f t="shared" si="54"/>
        <v>0</v>
      </c>
      <c r="AG880" s="23">
        <f t="shared" si="55"/>
        <v>1</v>
      </c>
    </row>
    <row r="881" spans="1:33" ht="12.5" customHeight="1" x14ac:dyDescent="0.25">
      <c r="A881" s="12" t="s">
        <v>31</v>
      </c>
      <c r="B881" s="9">
        <v>46184</v>
      </c>
      <c r="C881" s="13" t="s">
        <v>1398</v>
      </c>
      <c r="D881" s="10" t="s">
        <v>1400</v>
      </c>
      <c r="E881" s="10" t="s">
        <v>51</v>
      </c>
      <c r="F881" s="10" t="s">
        <v>35</v>
      </c>
      <c r="G881" s="10" t="s">
        <v>3146</v>
      </c>
      <c r="H881" s="8" t="s">
        <v>36</v>
      </c>
      <c r="I881" s="11">
        <v>35.270000000000003</v>
      </c>
      <c r="J881" s="6">
        <v>32.342590000000001</v>
      </c>
      <c r="K881" s="6">
        <v>0.91699999999999993</v>
      </c>
      <c r="L881" s="6">
        <v>33.24</v>
      </c>
      <c r="M881" s="11">
        <v>30.481079999999999</v>
      </c>
      <c r="N881" s="11">
        <f t="shared" si="52"/>
        <v>30.482000000000003</v>
      </c>
      <c r="O881" s="6">
        <v>0.91699999999999993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2.0299999999999998</v>
      </c>
      <c r="Z881" s="6">
        <v>1.86151</v>
      </c>
      <c r="AA881" s="6">
        <v>0.91700000000000004</v>
      </c>
      <c r="AB881" s="6">
        <v>-2.0300000000000011</v>
      </c>
      <c r="AC881" s="6">
        <v>2.0300000000000011</v>
      </c>
      <c r="AD881" s="22" t="s">
        <v>3140</v>
      </c>
      <c r="AE881" s="23">
        <f t="shared" si="53"/>
        <v>30.482000000000003</v>
      </c>
      <c r="AF881" s="24">
        <f t="shared" si="54"/>
        <v>0</v>
      </c>
      <c r="AG881" s="23">
        <f t="shared" si="55"/>
        <v>1</v>
      </c>
    </row>
    <row r="882" spans="1:33" ht="20" hidden="1" customHeight="1" x14ac:dyDescent="0.25">
      <c r="A882" s="12" t="s">
        <v>31</v>
      </c>
      <c r="B882" s="9">
        <v>46184</v>
      </c>
      <c r="C882" s="10" t="s">
        <v>1401</v>
      </c>
      <c r="D882" s="10" t="s">
        <v>1192</v>
      </c>
      <c r="E882" s="10" t="s">
        <v>51</v>
      </c>
      <c r="F882" s="10" t="s">
        <v>35</v>
      </c>
      <c r="G882" s="10" t="s">
        <v>3145</v>
      </c>
      <c r="H882" s="8" t="s">
        <v>48</v>
      </c>
      <c r="I882" s="11">
        <v>32.729999999999997</v>
      </c>
      <c r="J882" s="6">
        <v>24.547499999999999</v>
      </c>
      <c r="K882" s="6">
        <v>0.75</v>
      </c>
      <c r="L882" s="6">
        <v>32.46</v>
      </c>
      <c r="M882" s="11">
        <v>24.344999999999999</v>
      </c>
      <c r="N882" s="11">
        <f t="shared" si="52"/>
        <v>24.344999999999999</v>
      </c>
      <c r="O882" s="6">
        <v>0.75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0.27</v>
      </c>
      <c r="Z882" s="6">
        <v>0.20250000000000001</v>
      </c>
      <c r="AA882" s="6">
        <v>0.75</v>
      </c>
      <c r="AB882" s="6">
        <v>-0.26999999999999602</v>
      </c>
      <c r="AC882" s="6">
        <v>0.26999999999999602</v>
      </c>
      <c r="AD882" s="22" t="s">
        <v>3140</v>
      </c>
      <c r="AE882" s="23">
        <f t="shared" si="53"/>
        <v>24.344999999999999</v>
      </c>
      <c r="AF882" s="24">
        <f t="shared" si="54"/>
        <v>0</v>
      </c>
      <c r="AG882" s="23">
        <f t="shared" si="55"/>
        <v>2</v>
      </c>
    </row>
    <row r="883" spans="1:33" x14ac:dyDescent="0.25">
      <c r="A883" s="12" t="s">
        <v>31</v>
      </c>
      <c r="B883" s="9">
        <v>46184</v>
      </c>
      <c r="C883" s="10" t="s">
        <v>1402</v>
      </c>
      <c r="D883" s="10" t="s">
        <v>1374</v>
      </c>
      <c r="E883" s="10" t="s">
        <v>51</v>
      </c>
      <c r="F883" s="10" t="s">
        <v>35</v>
      </c>
      <c r="G883" s="10" t="s">
        <v>3146</v>
      </c>
      <c r="H883" s="8" t="s">
        <v>36</v>
      </c>
      <c r="I883" s="11">
        <v>11.58</v>
      </c>
      <c r="J883" s="6">
        <v>10.61886</v>
      </c>
      <c r="K883" s="6">
        <v>0.91699999999999993</v>
      </c>
      <c r="L883" s="6">
        <v>11.04</v>
      </c>
      <c r="M883" s="11">
        <v>10.12368</v>
      </c>
      <c r="N883" s="11">
        <f t="shared" si="52"/>
        <v>10.123999999999999</v>
      </c>
      <c r="O883" s="6">
        <v>0.91700000000000004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0.54</v>
      </c>
      <c r="Z883" s="6">
        <v>0.49518000000000001</v>
      </c>
      <c r="AA883" s="6">
        <v>0.91699999999999993</v>
      </c>
      <c r="AB883" s="6">
        <v>-0.54000000000000092</v>
      </c>
      <c r="AC883" s="6">
        <v>0.54000000000000092</v>
      </c>
      <c r="AD883" s="23" t="s">
        <v>3143</v>
      </c>
      <c r="AE883" s="23">
        <f t="shared" si="53"/>
        <v>8.8859999999999992</v>
      </c>
      <c r="AF883" s="24">
        <f t="shared" si="54"/>
        <v>1.2379999999999995</v>
      </c>
      <c r="AG883" s="23">
        <f t="shared" si="55"/>
        <v>3</v>
      </c>
    </row>
    <row r="884" spans="1:33" ht="12.5" hidden="1" customHeight="1" x14ac:dyDescent="0.25">
      <c r="A884" s="12" t="s">
        <v>31</v>
      </c>
      <c r="B884" s="9">
        <v>46184</v>
      </c>
      <c r="C884" s="8" t="s">
        <v>1403</v>
      </c>
      <c r="D884" s="10" t="s">
        <v>1404</v>
      </c>
      <c r="E884" s="10" t="s">
        <v>51</v>
      </c>
      <c r="F884" s="10" t="s">
        <v>35</v>
      </c>
      <c r="G884" s="10" t="s">
        <v>3145</v>
      </c>
      <c r="H884" s="8" t="s">
        <v>48</v>
      </c>
      <c r="I884" s="11">
        <v>44.39</v>
      </c>
      <c r="J884" s="6">
        <v>33.292499999999997</v>
      </c>
      <c r="K884" s="6">
        <v>0.74999999999999989</v>
      </c>
      <c r="L884" s="6">
        <v>41.060099999999998</v>
      </c>
      <c r="M884" s="11">
        <v>30.795075000000001</v>
      </c>
      <c r="N884" s="11">
        <f t="shared" si="52"/>
        <v>30.796000000000003</v>
      </c>
      <c r="O884" s="6">
        <v>0.75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3.3298999999999999</v>
      </c>
      <c r="Z884" s="6">
        <v>2.4974249999999998</v>
      </c>
      <c r="AA884" s="6">
        <v>0.75</v>
      </c>
      <c r="AB884" s="6">
        <v>-3.3299000000000021</v>
      </c>
      <c r="AC884" s="6">
        <v>3.3299000000000021</v>
      </c>
      <c r="AD884" s="23" t="s">
        <v>3143</v>
      </c>
      <c r="AE884" s="23">
        <f t="shared" si="53"/>
        <v>29.085000000000001</v>
      </c>
      <c r="AF884" s="24">
        <f t="shared" si="54"/>
        <v>1.7110000000000021</v>
      </c>
      <c r="AG884" s="23">
        <f t="shared" si="55"/>
        <v>2</v>
      </c>
    </row>
    <row r="885" spans="1:33" ht="12.5" hidden="1" customHeight="1" x14ac:dyDescent="0.25">
      <c r="A885" s="12" t="s">
        <v>31</v>
      </c>
      <c r="B885" s="9">
        <v>46184</v>
      </c>
      <c r="C885" s="13" t="s">
        <v>1403</v>
      </c>
      <c r="D885" s="10" t="s">
        <v>1405</v>
      </c>
      <c r="E885" s="10" t="s">
        <v>51</v>
      </c>
      <c r="F885" s="10" t="s">
        <v>35</v>
      </c>
      <c r="G885" s="10" t="s">
        <v>3145</v>
      </c>
      <c r="H885" s="8" t="s">
        <v>48</v>
      </c>
      <c r="I885" s="11">
        <v>12.1</v>
      </c>
      <c r="J885" s="6">
        <v>9.0749999999999993</v>
      </c>
      <c r="K885" s="6">
        <v>0.75</v>
      </c>
      <c r="L885" s="6">
        <v>11.02</v>
      </c>
      <c r="M885" s="11">
        <v>8.2650000000000006</v>
      </c>
      <c r="N885" s="11">
        <f t="shared" si="52"/>
        <v>8.2650000000000006</v>
      </c>
      <c r="O885" s="6">
        <v>0.75000000000000011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1.08</v>
      </c>
      <c r="Z885" s="6">
        <v>0.81</v>
      </c>
      <c r="AA885" s="6">
        <v>0.75</v>
      </c>
      <c r="AB885" s="6">
        <v>-1.08</v>
      </c>
      <c r="AC885" s="6">
        <v>1.08</v>
      </c>
      <c r="AD885" s="22" t="s">
        <v>3140</v>
      </c>
      <c r="AE885" s="23">
        <f t="shared" si="53"/>
        <v>8.2650000000000006</v>
      </c>
      <c r="AF885" s="24">
        <f t="shared" si="54"/>
        <v>0</v>
      </c>
      <c r="AG885" s="23">
        <f t="shared" si="55"/>
        <v>1</v>
      </c>
    </row>
    <row r="886" spans="1:33" ht="12.5" customHeight="1" x14ac:dyDescent="0.25">
      <c r="A886" s="12" t="s">
        <v>31</v>
      </c>
      <c r="B886" s="9">
        <v>46184</v>
      </c>
      <c r="C886" s="8" t="s">
        <v>1406</v>
      </c>
      <c r="D886" s="8" t="s">
        <v>1396</v>
      </c>
      <c r="E886" s="8" t="s">
        <v>51</v>
      </c>
      <c r="F886" s="8" t="s">
        <v>35</v>
      </c>
      <c r="G886" s="10" t="s">
        <v>3146</v>
      </c>
      <c r="H886" s="8" t="s">
        <v>36</v>
      </c>
      <c r="I886" s="11">
        <v>4.8461999999999996</v>
      </c>
      <c r="J886" s="6">
        <v>4.4439653999999997</v>
      </c>
      <c r="K886" s="6">
        <v>0.91700000000000004</v>
      </c>
      <c r="L886" s="6">
        <v>4.6788999999999996</v>
      </c>
      <c r="M886" s="11">
        <v>4.2905512999999997</v>
      </c>
      <c r="N886" s="11">
        <f t="shared" si="52"/>
        <v>4.2910000000000004</v>
      </c>
      <c r="O886" s="6">
        <v>0.91700000000000004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0.1673</v>
      </c>
      <c r="Z886" s="6">
        <v>0.1534141</v>
      </c>
      <c r="AA886" s="6">
        <v>0.91699999999999993</v>
      </c>
      <c r="AB886" s="6">
        <v>-0.1673</v>
      </c>
      <c r="AC886" s="6">
        <v>0.1673</v>
      </c>
      <c r="AD886" s="23" t="s">
        <v>3143</v>
      </c>
      <c r="AE886" s="23">
        <f t="shared" si="53"/>
        <v>3.15</v>
      </c>
      <c r="AF886" s="24">
        <f t="shared" si="54"/>
        <v>1.1410000000000005</v>
      </c>
      <c r="AG886" s="23">
        <f t="shared" si="55"/>
        <v>5</v>
      </c>
    </row>
    <row r="887" spans="1:33" ht="12.5" customHeight="1" x14ac:dyDescent="0.25">
      <c r="A887" s="12" t="s">
        <v>31</v>
      </c>
      <c r="B887" s="9">
        <v>46184</v>
      </c>
      <c r="C887" s="13" t="s">
        <v>1406</v>
      </c>
      <c r="D887" s="13" t="s">
        <v>1396</v>
      </c>
      <c r="E887" s="13" t="s">
        <v>51</v>
      </c>
      <c r="F887" s="13" t="s">
        <v>35</v>
      </c>
      <c r="G887" s="10" t="s">
        <v>3146</v>
      </c>
      <c r="H887" s="8" t="s">
        <v>1397</v>
      </c>
      <c r="I887" s="11">
        <v>3.5537999999999998</v>
      </c>
      <c r="J887" s="6">
        <v>3.2623883999999999</v>
      </c>
      <c r="K887" s="6">
        <v>0.91800000000000004</v>
      </c>
      <c r="L887" s="6">
        <v>3.4310999999999998</v>
      </c>
      <c r="M887" s="11">
        <v>3.1497497999999999</v>
      </c>
      <c r="N887" s="11">
        <f t="shared" si="52"/>
        <v>3.15</v>
      </c>
      <c r="O887" s="6">
        <v>0.91800000000000004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0.1227</v>
      </c>
      <c r="Z887" s="6">
        <v>0.11263860000000001</v>
      </c>
      <c r="AA887" s="6">
        <v>0.91800000000000004</v>
      </c>
      <c r="AB887" s="6">
        <v>-0.12270000000000003</v>
      </c>
      <c r="AC887" s="6">
        <v>0.12270000000000003</v>
      </c>
      <c r="AD887" s="22" t="s">
        <v>3140</v>
      </c>
      <c r="AE887" s="23">
        <f t="shared" si="53"/>
        <v>3.15</v>
      </c>
      <c r="AF887" s="24">
        <f t="shared" si="54"/>
        <v>0</v>
      </c>
      <c r="AG887" s="23">
        <f t="shared" si="55"/>
        <v>5</v>
      </c>
    </row>
    <row r="888" spans="1:33" x14ac:dyDescent="0.25">
      <c r="A888" s="12" t="s">
        <v>31</v>
      </c>
      <c r="B888" s="9">
        <v>46184</v>
      </c>
      <c r="C888" s="10" t="s">
        <v>1407</v>
      </c>
      <c r="D888" s="10" t="s">
        <v>1272</v>
      </c>
      <c r="E888" s="10" t="s">
        <v>51</v>
      </c>
      <c r="F888" s="10" t="s">
        <v>35</v>
      </c>
      <c r="G888" s="10" t="s">
        <v>3146</v>
      </c>
      <c r="H888" s="8" t="s">
        <v>36</v>
      </c>
      <c r="I888" s="11">
        <v>366.74</v>
      </c>
      <c r="J888" s="6">
        <v>336.30058000000002</v>
      </c>
      <c r="K888" s="6">
        <v>0.91700000000000004</v>
      </c>
      <c r="L888" s="6">
        <v>358.78</v>
      </c>
      <c r="M888" s="11">
        <v>329.00126</v>
      </c>
      <c r="N888" s="11">
        <f t="shared" si="52"/>
        <v>329.00199999999995</v>
      </c>
      <c r="O888" s="6">
        <v>0.91700000000000004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7.96</v>
      </c>
      <c r="Z888" s="6">
        <v>7.2993199999999998</v>
      </c>
      <c r="AA888" s="6">
        <v>0.91699999999999993</v>
      </c>
      <c r="AB888" s="6">
        <v>-7.9600000000000364</v>
      </c>
      <c r="AC888" s="6">
        <v>7.9600000000000364</v>
      </c>
      <c r="AD888" s="23" t="s">
        <v>3143</v>
      </c>
      <c r="AE888" s="23">
        <f t="shared" si="53"/>
        <v>311.221</v>
      </c>
      <c r="AF888" s="24">
        <f t="shared" si="54"/>
        <v>17.780999999999949</v>
      </c>
      <c r="AG888" s="23">
        <f t="shared" si="55"/>
        <v>3</v>
      </c>
    </row>
    <row r="889" spans="1:33" hidden="1" x14ac:dyDescent="0.25">
      <c r="A889" s="12" t="s">
        <v>31</v>
      </c>
      <c r="B889" s="9">
        <v>46184</v>
      </c>
      <c r="C889" s="10" t="s">
        <v>1408</v>
      </c>
      <c r="D889" s="10" t="s">
        <v>652</v>
      </c>
      <c r="E889" s="10" t="s">
        <v>51</v>
      </c>
      <c r="F889" s="10" t="s">
        <v>35</v>
      </c>
      <c r="G889" s="10" t="s">
        <v>3145</v>
      </c>
      <c r="H889" s="8" t="s">
        <v>41</v>
      </c>
      <c r="I889" s="11">
        <v>5.4</v>
      </c>
      <c r="J889" s="6">
        <v>4.05</v>
      </c>
      <c r="K889" s="6">
        <v>0.74999999999999989</v>
      </c>
      <c r="L889" s="6">
        <v>5.37</v>
      </c>
      <c r="M889" s="11">
        <v>4.0274999999999999</v>
      </c>
      <c r="N889" s="11">
        <f t="shared" si="52"/>
        <v>4.0280000000000005</v>
      </c>
      <c r="O889" s="6">
        <v>0.75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0.03</v>
      </c>
      <c r="Z889" s="6">
        <v>2.2499999999999999E-2</v>
      </c>
      <c r="AA889" s="6">
        <v>0.75</v>
      </c>
      <c r="AB889" s="6">
        <v>-3.0000000000000249E-2</v>
      </c>
      <c r="AC889" s="6">
        <v>3.0000000000000249E-2</v>
      </c>
      <c r="AD889" s="22" t="s">
        <v>3140</v>
      </c>
      <c r="AE889" s="23">
        <f t="shared" si="53"/>
        <v>4.0280000000000005</v>
      </c>
      <c r="AF889" s="24">
        <f t="shared" si="54"/>
        <v>0</v>
      </c>
      <c r="AG889" s="23">
        <f t="shared" si="55"/>
        <v>2</v>
      </c>
    </row>
    <row r="890" spans="1:33" ht="12.5" hidden="1" customHeight="1" x14ac:dyDescent="0.25">
      <c r="A890" s="12" t="s">
        <v>31</v>
      </c>
      <c r="B890" s="9">
        <v>46184</v>
      </c>
      <c r="C890" s="8" t="s">
        <v>1409</v>
      </c>
      <c r="D890" s="10" t="s">
        <v>1410</v>
      </c>
      <c r="E890" s="10" t="s">
        <v>51</v>
      </c>
      <c r="F890" s="10" t="s">
        <v>35</v>
      </c>
      <c r="G890" s="10" t="s">
        <v>3145</v>
      </c>
      <c r="H890" s="8" t="s">
        <v>41</v>
      </c>
      <c r="I890" s="11">
        <v>1.9</v>
      </c>
      <c r="J890" s="6">
        <v>1.425</v>
      </c>
      <c r="K890" s="6">
        <v>0.75000000000000011</v>
      </c>
      <c r="L890" s="6">
        <v>1.75</v>
      </c>
      <c r="M890" s="11">
        <v>1.3125</v>
      </c>
      <c r="N890" s="11">
        <f t="shared" si="52"/>
        <v>1.3129999999999999</v>
      </c>
      <c r="O890" s="6">
        <v>0.75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0.15</v>
      </c>
      <c r="Z890" s="6">
        <v>0.1125</v>
      </c>
      <c r="AA890" s="6">
        <v>0.75</v>
      </c>
      <c r="AB890" s="6">
        <v>-0.14999999999999991</v>
      </c>
      <c r="AC890" s="6">
        <v>0.14999999999999991</v>
      </c>
      <c r="AD890" s="22" t="s">
        <v>3140</v>
      </c>
      <c r="AE890" s="23">
        <f t="shared" si="53"/>
        <v>1.3129999999999999</v>
      </c>
      <c r="AF890" s="24">
        <f t="shared" si="54"/>
        <v>0</v>
      </c>
      <c r="AG890" s="23">
        <f t="shared" si="55"/>
        <v>1</v>
      </c>
    </row>
    <row r="891" spans="1:33" ht="12.5" hidden="1" customHeight="1" x14ac:dyDescent="0.25">
      <c r="A891" s="12" t="s">
        <v>31</v>
      </c>
      <c r="B891" s="9">
        <v>46184</v>
      </c>
      <c r="C891" s="12" t="s">
        <v>1409</v>
      </c>
      <c r="D891" s="10" t="s">
        <v>1411</v>
      </c>
      <c r="E891" s="10" t="s">
        <v>51</v>
      </c>
      <c r="F891" s="10" t="s">
        <v>35</v>
      </c>
      <c r="G891" s="10" t="s">
        <v>3145</v>
      </c>
      <c r="H891" s="8" t="s">
        <v>41</v>
      </c>
      <c r="I891" s="11">
        <v>1.96</v>
      </c>
      <c r="J891" s="6">
        <v>1.47</v>
      </c>
      <c r="K891" s="6">
        <v>0.75</v>
      </c>
      <c r="L891" s="6">
        <v>1.81</v>
      </c>
      <c r="M891" s="11">
        <v>1.3574999999999999</v>
      </c>
      <c r="N891" s="11">
        <f t="shared" si="52"/>
        <v>1.3579999999999999</v>
      </c>
      <c r="O891" s="6">
        <v>0.74999999999999989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0.15</v>
      </c>
      <c r="Z891" s="6">
        <v>0.1125</v>
      </c>
      <c r="AA891" s="6">
        <v>0.75</v>
      </c>
      <c r="AB891" s="6">
        <v>-0.14999999999999991</v>
      </c>
      <c r="AC891" s="6">
        <v>0.14999999999999991</v>
      </c>
      <c r="AD891" s="22" t="s">
        <v>3140</v>
      </c>
      <c r="AE891" s="23">
        <f t="shared" si="53"/>
        <v>1.3579999999999999</v>
      </c>
      <c r="AF891" s="24">
        <f t="shared" si="54"/>
        <v>0</v>
      </c>
      <c r="AG891" s="23">
        <f t="shared" si="55"/>
        <v>1</v>
      </c>
    </row>
    <row r="892" spans="1:33" ht="12.5" hidden="1" customHeight="1" x14ac:dyDescent="0.25">
      <c r="A892" s="12" t="s">
        <v>31</v>
      </c>
      <c r="B892" s="9">
        <v>46184</v>
      </c>
      <c r="C892" s="13" t="s">
        <v>1409</v>
      </c>
      <c r="D892" s="10" t="s">
        <v>1412</v>
      </c>
      <c r="E892" s="10" t="s">
        <v>51</v>
      </c>
      <c r="F892" s="10" t="s">
        <v>35</v>
      </c>
      <c r="G892" s="10" t="s">
        <v>3145</v>
      </c>
      <c r="H892" s="8" t="s">
        <v>41</v>
      </c>
      <c r="I892" s="11">
        <v>2.4</v>
      </c>
      <c r="J892" s="6">
        <v>1.8</v>
      </c>
      <c r="K892" s="6">
        <v>0.75</v>
      </c>
      <c r="L892" s="6">
        <v>2.2799999999999998</v>
      </c>
      <c r="M892" s="11">
        <v>1.71</v>
      </c>
      <c r="N892" s="11">
        <f t="shared" si="52"/>
        <v>1.71</v>
      </c>
      <c r="O892" s="6">
        <v>0.75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0.12</v>
      </c>
      <c r="Z892" s="6">
        <v>0.09</v>
      </c>
      <c r="AA892" s="6">
        <v>0.75</v>
      </c>
      <c r="AB892" s="6">
        <v>-0.12000000000000011</v>
      </c>
      <c r="AC892" s="6">
        <v>0.12000000000000011</v>
      </c>
      <c r="AD892" s="22" t="s">
        <v>3140</v>
      </c>
      <c r="AE892" s="23">
        <f t="shared" si="53"/>
        <v>1.71</v>
      </c>
      <c r="AF892" s="24">
        <f t="shared" si="54"/>
        <v>0</v>
      </c>
      <c r="AG892" s="23">
        <f t="shared" si="55"/>
        <v>1</v>
      </c>
    </row>
    <row r="893" spans="1:33" x14ac:dyDescent="0.25">
      <c r="A893" s="12" t="s">
        <v>31</v>
      </c>
      <c r="B893" s="9">
        <v>46184</v>
      </c>
      <c r="C893" s="10" t="s">
        <v>1413</v>
      </c>
      <c r="D893" s="10" t="s">
        <v>1414</v>
      </c>
      <c r="E893" s="10" t="s">
        <v>51</v>
      </c>
      <c r="F893" s="10" t="s">
        <v>35</v>
      </c>
      <c r="G893" s="10" t="s">
        <v>3146</v>
      </c>
      <c r="H893" s="8" t="s">
        <v>36</v>
      </c>
      <c r="I893" s="11">
        <v>385.24</v>
      </c>
      <c r="J893" s="6">
        <v>353.26508000000001</v>
      </c>
      <c r="K893" s="6">
        <v>0.91700000000000004</v>
      </c>
      <c r="L893" s="6">
        <v>351.98</v>
      </c>
      <c r="M893" s="11">
        <v>322.76566000000003</v>
      </c>
      <c r="N893" s="11">
        <f t="shared" si="52"/>
        <v>322.76599999999996</v>
      </c>
      <c r="O893" s="6">
        <v>0.91700000000000004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33.26</v>
      </c>
      <c r="Z893" s="6">
        <v>30.499420000000001</v>
      </c>
      <c r="AA893" s="6">
        <v>0.91700000000000004</v>
      </c>
      <c r="AB893" s="6">
        <v>-33.259999999999991</v>
      </c>
      <c r="AC893" s="6">
        <v>33.259999999999991</v>
      </c>
      <c r="AD893" s="23" t="s">
        <v>3143</v>
      </c>
      <c r="AE893" s="23">
        <f t="shared" si="53"/>
        <v>319.84999999999997</v>
      </c>
      <c r="AF893" s="24">
        <f t="shared" si="54"/>
        <v>2.9159999999999968</v>
      </c>
      <c r="AG893" s="23">
        <f t="shared" si="55"/>
        <v>2</v>
      </c>
    </row>
    <row r="894" spans="1:33" hidden="1" x14ac:dyDescent="0.25">
      <c r="A894" s="12" t="s">
        <v>31</v>
      </c>
      <c r="B894" s="9">
        <v>46184</v>
      </c>
      <c r="C894" s="10" t="s">
        <v>1415</v>
      </c>
      <c r="D894" s="10" t="s">
        <v>1370</v>
      </c>
      <c r="E894" s="10" t="s">
        <v>51</v>
      </c>
      <c r="F894" s="10" t="s">
        <v>35</v>
      </c>
      <c r="G894" s="10" t="s">
        <v>3145</v>
      </c>
      <c r="H894" s="8" t="s">
        <v>41</v>
      </c>
      <c r="I894" s="11">
        <v>265.24</v>
      </c>
      <c r="J894" s="6">
        <v>198.93</v>
      </c>
      <c r="K894" s="6">
        <v>0.75</v>
      </c>
      <c r="L894" s="6">
        <v>262.70999999999998</v>
      </c>
      <c r="M894" s="11">
        <v>197.0325</v>
      </c>
      <c r="N894" s="11">
        <f t="shared" si="52"/>
        <v>197.03300000000002</v>
      </c>
      <c r="O894" s="6">
        <v>0.75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2.5299999999999998</v>
      </c>
      <c r="Z894" s="6">
        <v>1.8975</v>
      </c>
      <c r="AA894" s="6">
        <v>0.75</v>
      </c>
      <c r="AB894" s="6">
        <v>-2.5300000000000296</v>
      </c>
      <c r="AC894" s="6">
        <v>2.5300000000000296</v>
      </c>
      <c r="AD894" s="23" t="s">
        <v>3143</v>
      </c>
      <c r="AE894" s="23">
        <f t="shared" si="53"/>
        <v>194.565</v>
      </c>
      <c r="AF894" s="24">
        <f t="shared" si="54"/>
        <v>2.4680000000000177</v>
      </c>
      <c r="AG894" s="23">
        <f t="shared" si="55"/>
        <v>4</v>
      </c>
    </row>
    <row r="895" spans="1:33" hidden="1" x14ac:dyDescent="0.25">
      <c r="A895" s="12" t="s">
        <v>31</v>
      </c>
      <c r="B895" s="9">
        <v>46184</v>
      </c>
      <c r="C895" s="10" t="s">
        <v>1416</v>
      </c>
      <c r="D895" s="10" t="s">
        <v>1141</v>
      </c>
      <c r="E895" s="10" t="s">
        <v>51</v>
      </c>
      <c r="F895" s="10" t="s">
        <v>35</v>
      </c>
      <c r="G895" s="10" t="s">
        <v>3145</v>
      </c>
      <c r="H895" s="8" t="s">
        <v>41</v>
      </c>
      <c r="I895" s="11">
        <v>313.42</v>
      </c>
      <c r="J895" s="6">
        <v>235.065</v>
      </c>
      <c r="K895" s="6">
        <v>0.75</v>
      </c>
      <c r="L895" s="6">
        <v>312.52</v>
      </c>
      <c r="M895" s="11">
        <v>234.39</v>
      </c>
      <c r="N895" s="11">
        <f t="shared" si="52"/>
        <v>234.39</v>
      </c>
      <c r="O895" s="6">
        <v>0.75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0.9</v>
      </c>
      <c r="Z895" s="6">
        <v>0.67500000000000004</v>
      </c>
      <c r="AA895" s="6">
        <v>0.75</v>
      </c>
      <c r="AB895" s="6">
        <v>-0.90000000000003411</v>
      </c>
      <c r="AC895" s="6">
        <v>0.90000000000003411</v>
      </c>
      <c r="AD895" s="22" t="s">
        <v>3140</v>
      </c>
      <c r="AE895" s="23">
        <f t="shared" si="53"/>
        <v>234.39</v>
      </c>
      <c r="AF895" s="24">
        <f t="shared" si="54"/>
        <v>0</v>
      </c>
      <c r="AG895" s="23">
        <f t="shared" si="55"/>
        <v>3</v>
      </c>
    </row>
    <row r="896" spans="1:33" x14ac:dyDescent="0.25">
      <c r="A896" s="12" t="s">
        <v>31</v>
      </c>
      <c r="B896" s="9">
        <v>46184</v>
      </c>
      <c r="C896" s="10" t="s">
        <v>1417</v>
      </c>
      <c r="D896" s="10" t="s">
        <v>1381</v>
      </c>
      <c r="E896" s="10" t="s">
        <v>51</v>
      </c>
      <c r="F896" s="10" t="s">
        <v>35</v>
      </c>
      <c r="G896" s="10" t="s">
        <v>3146</v>
      </c>
      <c r="H896" s="8" t="s">
        <v>36</v>
      </c>
      <c r="I896" s="11">
        <v>39.700000000000003</v>
      </c>
      <c r="J896" s="6">
        <v>36.404899999999998</v>
      </c>
      <c r="K896" s="6">
        <v>0.91699999999999993</v>
      </c>
      <c r="L896" s="6">
        <v>39.56</v>
      </c>
      <c r="M896" s="11">
        <v>36.276519999999998</v>
      </c>
      <c r="N896" s="11">
        <f t="shared" si="52"/>
        <v>36.277000000000001</v>
      </c>
      <c r="O896" s="6">
        <v>0.91699999999999993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0.14000000000000001</v>
      </c>
      <c r="Z896" s="6">
        <v>0.12837999999999999</v>
      </c>
      <c r="AA896" s="6">
        <v>0.91699999999999982</v>
      </c>
      <c r="AB896" s="6">
        <v>-0.14000000000000057</v>
      </c>
      <c r="AC896" s="6">
        <v>0.14000000000000057</v>
      </c>
      <c r="AD896" s="22" t="s">
        <v>3140</v>
      </c>
      <c r="AE896" s="23">
        <f t="shared" si="53"/>
        <v>36.277000000000001</v>
      </c>
      <c r="AF896" s="24">
        <f t="shared" si="54"/>
        <v>0</v>
      </c>
      <c r="AG896" s="23">
        <f t="shared" si="55"/>
        <v>2</v>
      </c>
    </row>
    <row r="897" spans="1:33" hidden="1" x14ac:dyDescent="0.25">
      <c r="A897" s="12" t="s">
        <v>31</v>
      </c>
      <c r="B897" s="9">
        <v>46184</v>
      </c>
      <c r="C897" s="10" t="s">
        <v>1418</v>
      </c>
      <c r="D897" s="10" t="s">
        <v>1419</v>
      </c>
      <c r="E897" s="10" t="s">
        <v>51</v>
      </c>
      <c r="F897" s="10" t="s">
        <v>35</v>
      </c>
      <c r="G897" s="10" t="s">
        <v>3145</v>
      </c>
      <c r="H897" s="8" t="s">
        <v>41</v>
      </c>
      <c r="I897" s="11">
        <v>3.46</v>
      </c>
      <c r="J897" s="6">
        <v>2.5950000000000002</v>
      </c>
      <c r="K897" s="6">
        <v>0.75000000000000011</v>
      </c>
      <c r="L897" s="6">
        <v>3.15</v>
      </c>
      <c r="M897" s="11">
        <v>2.3624999999999998</v>
      </c>
      <c r="N897" s="11">
        <f t="shared" si="52"/>
        <v>2.363</v>
      </c>
      <c r="O897" s="6">
        <v>0.75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0.31</v>
      </c>
      <c r="Z897" s="6">
        <v>0.23250000000000001</v>
      </c>
      <c r="AA897" s="6">
        <v>0.75</v>
      </c>
      <c r="AB897" s="6">
        <v>-0.31000000000000005</v>
      </c>
      <c r="AC897" s="6">
        <v>0.31000000000000005</v>
      </c>
      <c r="AD897" s="22" t="s">
        <v>3140</v>
      </c>
      <c r="AE897" s="23">
        <f t="shared" si="53"/>
        <v>2.363</v>
      </c>
      <c r="AF897" s="24">
        <f t="shared" si="54"/>
        <v>0</v>
      </c>
      <c r="AG897" s="23">
        <f t="shared" si="55"/>
        <v>1</v>
      </c>
    </row>
    <row r="898" spans="1:33" ht="12.5" hidden="1" customHeight="1" x14ac:dyDescent="0.25">
      <c r="A898" s="12" t="s">
        <v>31</v>
      </c>
      <c r="B898" s="9">
        <v>46184</v>
      </c>
      <c r="C898" s="8" t="s">
        <v>1420</v>
      </c>
      <c r="D898" s="10" t="s">
        <v>1421</v>
      </c>
      <c r="E898" s="10" t="s">
        <v>51</v>
      </c>
      <c r="F898" s="10" t="s">
        <v>35</v>
      </c>
      <c r="G898" s="10" t="s">
        <v>3145</v>
      </c>
      <c r="H898" s="8" t="s">
        <v>41</v>
      </c>
      <c r="I898" s="11">
        <v>359.74</v>
      </c>
      <c r="J898" s="6">
        <v>269.80500000000001</v>
      </c>
      <c r="K898" s="6">
        <v>0.75</v>
      </c>
      <c r="L898" s="6">
        <v>338.45</v>
      </c>
      <c r="M898" s="11">
        <v>253.83750000000001</v>
      </c>
      <c r="N898" s="11">
        <f t="shared" si="52"/>
        <v>253.83799999999999</v>
      </c>
      <c r="O898" s="6">
        <v>0.75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21.29</v>
      </c>
      <c r="Z898" s="6">
        <v>15.967499999999999</v>
      </c>
      <c r="AA898" s="6">
        <v>0.75</v>
      </c>
      <c r="AB898" s="6">
        <v>-21.29000000000002</v>
      </c>
      <c r="AC898" s="6">
        <v>21.29000000000002</v>
      </c>
      <c r="AD898" s="23" t="s">
        <v>3143</v>
      </c>
      <c r="AE898" s="23">
        <f t="shared" si="53"/>
        <v>230.018</v>
      </c>
      <c r="AF898" s="24">
        <f t="shared" si="54"/>
        <v>23.819999999999993</v>
      </c>
      <c r="AG898" s="23">
        <f t="shared" si="55"/>
        <v>3</v>
      </c>
    </row>
    <row r="899" spans="1:33" ht="12.5" hidden="1" customHeight="1" x14ac:dyDescent="0.25">
      <c r="A899" s="12" t="s">
        <v>31</v>
      </c>
      <c r="B899" s="9">
        <v>46184</v>
      </c>
      <c r="C899" s="13" t="s">
        <v>1420</v>
      </c>
      <c r="D899" s="10" t="s">
        <v>1422</v>
      </c>
      <c r="E899" s="10" t="s">
        <v>51</v>
      </c>
      <c r="F899" s="10" t="s">
        <v>35</v>
      </c>
      <c r="G899" s="10" t="s">
        <v>3145</v>
      </c>
      <c r="H899" s="8" t="s">
        <v>48</v>
      </c>
      <c r="I899" s="11">
        <v>65.680000000000007</v>
      </c>
      <c r="J899" s="6">
        <v>49.26</v>
      </c>
      <c r="K899" s="6">
        <v>0.74999999999999989</v>
      </c>
      <c r="L899" s="6">
        <v>63.86</v>
      </c>
      <c r="M899" s="11">
        <v>47.895000000000003</v>
      </c>
      <c r="N899" s="11">
        <f t="shared" ref="N899:N962" si="56">ROUNDUP(M899,3)</f>
        <v>47.895000000000003</v>
      </c>
      <c r="O899" s="6">
        <v>0.75000000000000011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1.82</v>
      </c>
      <c r="Z899" s="6">
        <v>1.365</v>
      </c>
      <c r="AA899" s="6">
        <v>0.75</v>
      </c>
      <c r="AB899" s="6">
        <v>-1.8200000000000074</v>
      </c>
      <c r="AC899" s="6">
        <v>1.8200000000000074</v>
      </c>
      <c r="AD899" s="22" t="s">
        <v>3140</v>
      </c>
      <c r="AE899" s="23">
        <f t="shared" ref="AE899:AE962" si="57">_xlfn.MINIFS(N:N,D:D,D899)</f>
        <v>47.895000000000003</v>
      </c>
      <c r="AF899" s="24">
        <f t="shared" ref="AF899:AF962" si="58">N899-AE899</f>
        <v>0</v>
      </c>
      <c r="AG899" s="23">
        <f t="shared" ref="AG899:AG962" si="59">COUNTIF(D:D,D899)</f>
        <v>1</v>
      </c>
    </row>
    <row r="900" spans="1:33" ht="12.5" hidden="1" customHeight="1" x14ac:dyDescent="0.25">
      <c r="A900" s="12" t="s">
        <v>31</v>
      </c>
      <c r="B900" s="9">
        <v>46184</v>
      </c>
      <c r="C900" s="8" t="s">
        <v>1423</v>
      </c>
      <c r="D900" s="10" t="s">
        <v>1424</v>
      </c>
      <c r="E900" s="10" t="s">
        <v>51</v>
      </c>
      <c r="F900" s="10" t="s">
        <v>35</v>
      </c>
      <c r="G900" s="10" t="s">
        <v>3145</v>
      </c>
      <c r="H900" s="8" t="s">
        <v>41</v>
      </c>
      <c r="I900" s="11">
        <v>2.58</v>
      </c>
      <c r="J900" s="6">
        <v>1.9350000000000001</v>
      </c>
      <c r="K900" s="6">
        <v>0.75</v>
      </c>
      <c r="L900" s="6">
        <v>2.23</v>
      </c>
      <c r="M900" s="11">
        <v>1.6725000000000001</v>
      </c>
      <c r="N900" s="11">
        <f t="shared" si="56"/>
        <v>1.6729999999999998</v>
      </c>
      <c r="O900" s="6">
        <v>0.75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0.35</v>
      </c>
      <c r="Z900" s="6">
        <v>0.26250000000000001</v>
      </c>
      <c r="AA900" s="6">
        <v>0.75000000000000011</v>
      </c>
      <c r="AB900" s="6">
        <v>-0.35000000000000009</v>
      </c>
      <c r="AC900" s="6">
        <v>0.35000000000000009</v>
      </c>
      <c r="AD900" s="22" t="s">
        <v>3140</v>
      </c>
      <c r="AE900" s="23">
        <f t="shared" si="57"/>
        <v>1.6729999999999998</v>
      </c>
      <c r="AF900" s="24">
        <f t="shared" si="58"/>
        <v>0</v>
      </c>
      <c r="AG900" s="23">
        <f t="shared" si="59"/>
        <v>1</v>
      </c>
    </row>
    <row r="901" spans="1:33" ht="12.5" hidden="1" customHeight="1" x14ac:dyDescent="0.25">
      <c r="A901" s="12" t="s">
        <v>31</v>
      </c>
      <c r="B901" s="9">
        <v>46184</v>
      </c>
      <c r="C901" s="13" t="s">
        <v>1423</v>
      </c>
      <c r="D901" s="10" t="s">
        <v>1425</v>
      </c>
      <c r="E901" s="10" t="s">
        <v>51</v>
      </c>
      <c r="F901" s="10" t="s">
        <v>35</v>
      </c>
      <c r="G901" s="10" t="s">
        <v>3145</v>
      </c>
      <c r="H901" s="8" t="s">
        <v>41</v>
      </c>
      <c r="I901" s="11">
        <v>4.1399999999999997</v>
      </c>
      <c r="J901" s="6">
        <v>3.105</v>
      </c>
      <c r="K901" s="6">
        <v>0.75</v>
      </c>
      <c r="L901" s="6">
        <v>3.79</v>
      </c>
      <c r="M901" s="11">
        <v>2.8424999999999998</v>
      </c>
      <c r="N901" s="11">
        <f t="shared" si="56"/>
        <v>2.843</v>
      </c>
      <c r="O901" s="6">
        <v>0.74999999999999989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0.35</v>
      </c>
      <c r="Z901" s="6">
        <v>0.26250000000000001</v>
      </c>
      <c r="AA901" s="6">
        <v>0.75000000000000011</v>
      </c>
      <c r="AB901" s="6">
        <v>-0.34999999999999964</v>
      </c>
      <c r="AC901" s="6">
        <v>0.34999999999999964</v>
      </c>
      <c r="AD901" s="22" t="s">
        <v>3140</v>
      </c>
      <c r="AE901" s="23">
        <f t="shared" si="57"/>
        <v>2.843</v>
      </c>
      <c r="AF901" s="24">
        <f t="shared" si="58"/>
        <v>0</v>
      </c>
      <c r="AG901" s="23">
        <f t="shared" si="59"/>
        <v>1</v>
      </c>
    </row>
    <row r="902" spans="1:33" ht="20" hidden="1" customHeight="1" x14ac:dyDescent="0.25">
      <c r="A902" s="12" t="s">
        <v>31</v>
      </c>
      <c r="B902" s="9">
        <v>46184</v>
      </c>
      <c r="C902" s="10" t="s">
        <v>1426</v>
      </c>
      <c r="D902" s="10" t="s">
        <v>1427</v>
      </c>
      <c r="E902" s="10" t="s">
        <v>51</v>
      </c>
      <c r="F902" s="10" t="s">
        <v>35</v>
      </c>
      <c r="G902" s="10" t="s">
        <v>3145</v>
      </c>
      <c r="H902" s="8" t="s">
        <v>48</v>
      </c>
      <c r="I902" s="11">
        <v>35.26</v>
      </c>
      <c r="J902" s="6">
        <v>26.445</v>
      </c>
      <c r="K902" s="6">
        <v>0.75</v>
      </c>
      <c r="L902" s="6">
        <v>34.96</v>
      </c>
      <c r="M902" s="11">
        <v>26.22</v>
      </c>
      <c r="N902" s="11">
        <f t="shared" si="56"/>
        <v>26.22</v>
      </c>
      <c r="O902" s="6">
        <v>0.75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0.3</v>
      </c>
      <c r="Z902" s="6">
        <v>0.22500000000000001</v>
      </c>
      <c r="AA902" s="6">
        <v>0.75</v>
      </c>
      <c r="AB902" s="6">
        <v>-0.29999999999999716</v>
      </c>
      <c r="AC902" s="6">
        <v>0.29999999999999716</v>
      </c>
      <c r="AD902" s="22" t="s">
        <v>3140</v>
      </c>
      <c r="AE902" s="23">
        <f t="shared" si="57"/>
        <v>26.22</v>
      </c>
      <c r="AF902" s="24">
        <f t="shared" si="58"/>
        <v>0</v>
      </c>
      <c r="AG902" s="23">
        <f t="shared" si="59"/>
        <v>1</v>
      </c>
    </row>
    <row r="903" spans="1:33" x14ac:dyDescent="0.25">
      <c r="A903" s="12" t="s">
        <v>31</v>
      </c>
      <c r="B903" s="9">
        <v>46184</v>
      </c>
      <c r="C903" s="10" t="s">
        <v>1428</v>
      </c>
      <c r="D903" s="10" t="s">
        <v>1429</v>
      </c>
      <c r="E903" s="10" t="s">
        <v>51</v>
      </c>
      <c r="F903" s="10" t="s">
        <v>35</v>
      </c>
      <c r="G903" s="10" t="s">
        <v>3146</v>
      </c>
      <c r="H903" s="8" t="s">
        <v>36</v>
      </c>
      <c r="I903" s="11">
        <v>25.18</v>
      </c>
      <c r="J903" s="6">
        <v>23.090060000000001</v>
      </c>
      <c r="K903" s="6">
        <v>0.91700000000000004</v>
      </c>
      <c r="L903" s="6">
        <v>23.66</v>
      </c>
      <c r="M903" s="11">
        <v>21.69622</v>
      </c>
      <c r="N903" s="11">
        <f t="shared" si="56"/>
        <v>21.697000000000003</v>
      </c>
      <c r="O903" s="6">
        <v>0.91700000000000004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1.52</v>
      </c>
      <c r="Z903" s="6">
        <v>1.39384</v>
      </c>
      <c r="AA903" s="6">
        <v>0.91699999999999993</v>
      </c>
      <c r="AB903" s="6">
        <v>-1.5199999999999996</v>
      </c>
      <c r="AC903" s="6">
        <v>1.5199999999999996</v>
      </c>
      <c r="AD903" s="22" t="s">
        <v>3140</v>
      </c>
      <c r="AE903" s="23">
        <f t="shared" si="57"/>
        <v>21.697000000000003</v>
      </c>
      <c r="AF903" s="24">
        <f t="shared" si="58"/>
        <v>0</v>
      </c>
      <c r="AG903" s="23">
        <f t="shared" si="59"/>
        <v>1</v>
      </c>
    </row>
    <row r="904" spans="1:33" ht="12.5" hidden="1" customHeight="1" x14ac:dyDescent="0.25">
      <c r="A904" s="12" t="s">
        <v>31</v>
      </c>
      <c r="B904" s="9">
        <v>46185</v>
      </c>
      <c r="C904" s="10" t="s">
        <v>1430</v>
      </c>
      <c r="D904" s="10" t="s">
        <v>1431</v>
      </c>
      <c r="E904" s="10" t="s">
        <v>34</v>
      </c>
      <c r="F904" s="10" t="s">
        <v>35</v>
      </c>
      <c r="G904" s="10" t="s">
        <v>3145</v>
      </c>
      <c r="H904" s="8" t="s">
        <v>48</v>
      </c>
      <c r="I904" s="11">
        <v>49.58</v>
      </c>
      <c r="J904" s="6">
        <v>37.185000000000002</v>
      </c>
      <c r="K904" s="6">
        <v>0.75000000000000011</v>
      </c>
      <c r="L904" s="6">
        <v>46.2</v>
      </c>
      <c r="M904" s="11">
        <v>34.65</v>
      </c>
      <c r="N904" s="11">
        <f t="shared" si="56"/>
        <v>34.65</v>
      </c>
      <c r="O904" s="6">
        <v>0.74999999999999989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3.38</v>
      </c>
      <c r="Z904" s="6">
        <v>2.5350000000000001</v>
      </c>
      <c r="AA904" s="6">
        <v>0.75000000000000011</v>
      </c>
      <c r="AB904" s="6">
        <v>-3.3799999999999955</v>
      </c>
      <c r="AC904" s="6">
        <v>3.3799999999999955</v>
      </c>
      <c r="AD904" s="22" t="s">
        <v>3140</v>
      </c>
      <c r="AE904" s="23">
        <f t="shared" si="57"/>
        <v>34.65</v>
      </c>
      <c r="AF904" s="24">
        <f t="shared" si="58"/>
        <v>0</v>
      </c>
      <c r="AG904" s="23">
        <f t="shared" si="59"/>
        <v>1</v>
      </c>
    </row>
    <row r="905" spans="1:33" ht="12.5" hidden="1" customHeight="1" x14ac:dyDescent="0.25">
      <c r="A905" s="12" t="s">
        <v>31</v>
      </c>
      <c r="B905" s="9">
        <v>46185</v>
      </c>
      <c r="C905" s="10" t="s">
        <v>1432</v>
      </c>
      <c r="D905" s="10" t="s">
        <v>1433</v>
      </c>
      <c r="E905" s="10" t="s">
        <v>34</v>
      </c>
      <c r="F905" s="10" t="s">
        <v>35</v>
      </c>
      <c r="G905" s="10" t="s">
        <v>3145</v>
      </c>
      <c r="H905" s="8" t="s">
        <v>48</v>
      </c>
      <c r="I905" s="11">
        <v>36.479999999999997</v>
      </c>
      <c r="J905" s="6">
        <v>27.36</v>
      </c>
      <c r="K905" s="6">
        <v>0.75</v>
      </c>
      <c r="L905" s="6">
        <v>34.75</v>
      </c>
      <c r="M905" s="11">
        <v>26.0625</v>
      </c>
      <c r="N905" s="11">
        <f t="shared" si="56"/>
        <v>26.063000000000002</v>
      </c>
      <c r="O905" s="6">
        <v>0.75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1.73</v>
      </c>
      <c r="Z905" s="6">
        <v>1.2975000000000001</v>
      </c>
      <c r="AA905" s="6">
        <v>0.75000000000000011</v>
      </c>
      <c r="AB905" s="6">
        <v>-1.7299999999999969</v>
      </c>
      <c r="AC905" s="6">
        <v>1.7299999999999969</v>
      </c>
      <c r="AD905" s="22" t="s">
        <v>3140</v>
      </c>
      <c r="AE905" s="23">
        <f t="shared" si="57"/>
        <v>26.063000000000002</v>
      </c>
      <c r="AF905" s="24">
        <f t="shared" si="58"/>
        <v>0</v>
      </c>
      <c r="AG905" s="23">
        <f t="shared" si="59"/>
        <v>1</v>
      </c>
    </row>
    <row r="906" spans="1:33" ht="12.5" customHeight="1" x14ac:dyDescent="0.25">
      <c r="A906" s="12" t="s">
        <v>31</v>
      </c>
      <c r="B906" s="9">
        <v>46185</v>
      </c>
      <c r="C906" s="10" t="s">
        <v>1434</v>
      </c>
      <c r="D906" s="10" t="s">
        <v>1435</v>
      </c>
      <c r="E906" s="10" t="s">
        <v>34</v>
      </c>
      <c r="F906" s="10" t="s">
        <v>35</v>
      </c>
      <c r="G906" s="10" t="s">
        <v>3146</v>
      </c>
      <c r="H906" s="8" t="s">
        <v>36</v>
      </c>
      <c r="I906" s="11">
        <v>67.67</v>
      </c>
      <c r="J906" s="6">
        <v>62.05339</v>
      </c>
      <c r="K906" s="6">
        <v>0.91699999999999993</v>
      </c>
      <c r="L906" s="6">
        <v>63.5</v>
      </c>
      <c r="M906" s="11">
        <v>58.229500000000002</v>
      </c>
      <c r="N906" s="11">
        <f t="shared" si="56"/>
        <v>58.23</v>
      </c>
      <c r="O906" s="6">
        <v>0.91700000000000004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4.17</v>
      </c>
      <c r="Z906" s="6">
        <v>3.82389</v>
      </c>
      <c r="AA906" s="6">
        <v>0.91700000000000004</v>
      </c>
      <c r="AB906" s="6">
        <v>-4.1700000000000017</v>
      </c>
      <c r="AC906" s="6">
        <v>4.1700000000000017</v>
      </c>
      <c r="AD906" s="23" t="s">
        <v>3143</v>
      </c>
      <c r="AE906" s="23">
        <f t="shared" si="57"/>
        <v>58.201999999999998</v>
      </c>
      <c r="AF906" s="24">
        <f t="shared" si="58"/>
        <v>2.7999999999998693E-2</v>
      </c>
      <c r="AG906" s="23">
        <f t="shared" si="59"/>
        <v>2</v>
      </c>
    </row>
    <row r="907" spans="1:33" ht="12.5" customHeight="1" x14ac:dyDescent="0.25">
      <c r="A907" s="12" t="s">
        <v>31</v>
      </c>
      <c r="B907" s="9">
        <v>46185</v>
      </c>
      <c r="C907" s="10" t="s">
        <v>1436</v>
      </c>
      <c r="D907" s="10" t="s">
        <v>1435</v>
      </c>
      <c r="E907" s="10" t="s">
        <v>34</v>
      </c>
      <c r="F907" s="10" t="s">
        <v>35</v>
      </c>
      <c r="G907" s="10" t="s">
        <v>3146</v>
      </c>
      <c r="H907" s="8" t="s">
        <v>36</v>
      </c>
      <c r="I907" s="11">
        <v>63.5</v>
      </c>
      <c r="J907" s="6">
        <v>58.229500000000002</v>
      </c>
      <c r="K907" s="6">
        <v>0.91700000000000004</v>
      </c>
      <c r="L907" s="6">
        <v>63.47</v>
      </c>
      <c r="M907" s="11">
        <v>58.201990000000002</v>
      </c>
      <c r="N907" s="11">
        <f t="shared" si="56"/>
        <v>58.201999999999998</v>
      </c>
      <c r="O907" s="6">
        <v>0.91700000000000004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0.03</v>
      </c>
      <c r="Z907" s="6">
        <v>2.751E-2</v>
      </c>
      <c r="AA907" s="6">
        <v>0.91700000000000004</v>
      </c>
      <c r="AB907" s="6">
        <v>-3.0000000000001137E-2</v>
      </c>
      <c r="AC907" s="6">
        <v>3.0000000000001137E-2</v>
      </c>
      <c r="AD907" s="22" t="s">
        <v>3140</v>
      </c>
      <c r="AE907" s="23">
        <f t="shared" si="57"/>
        <v>58.201999999999998</v>
      </c>
      <c r="AF907" s="24">
        <f t="shared" si="58"/>
        <v>0</v>
      </c>
      <c r="AG907" s="23">
        <f t="shared" si="59"/>
        <v>2</v>
      </c>
    </row>
    <row r="908" spans="1:33" ht="12.5" customHeight="1" x14ac:dyDescent="0.25">
      <c r="A908" s="12" t="s">
        <v>31</v>
      </c>
      <c r="B908" s="9">
        <v>46185</v>
      </c>
      <c r="C908" s="10" t="s">
        <v>1437</v>
      </c>
      <c r="D908" s="10" t="s">
        <v>1438</v>
      </c>
      <c r="E908" s="10" t="s">
        <v>34</v>
      </c>
      <c r="F908" s="10" t="s">
        <v>35</v>
      </c>
      <c r="G908" s="10" t="s">
        <v>3146</v>
      </c>
      <c r="H908" s="8" t="s">
        <v>36</v>
      </c>
      <c r="I908" s="11">
        <v>190.06</v>
      </c>
      <c r="J908" s="6">
        <v>174.28502</v>
      </c>
      <c r="K908" s="6">
        <v>0.91700000000000004</v>
      </c>
      <c r="L908" s="6">
        <v>181.63</v>
      </c>
      <c r="M908" s="11">
        <v>166.55471</v>
      </c>
      <c r="N908" s="11">
        <f t="shared" si="56"/>
        <v>166.55500000000001</v>
      </c>
      <c r="O908" s="6">
        <v>0.91700000000000004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8.43</v>
      </c>
      <c r="Z908" s="6">
        <v>7.7303100000000002</v>
      </c>
      <c r="AA908" s="6">
        <v>0.91700000000000004</v>
      </c>
      <c r="AB908" s="6">
        <v>-8.4300000000000068</v>
      </c>
      <c r="AC908" s="6">
        <v>8.4300000000000068</v>
      </c>
      <c r="AD908" s="22" t="s">
        <v>3140</v>
      </c>
      <c r="AE908" s="23">
        <f t="shared" si="57"/>
        <v>166.55500000000001</v>
      </c>
      <c r="AF908" s="24">
        <f t="shared" si="58"/>
        <v>0</v>
      </c>
      <c r="AG908" s="23">
        <f t="shared" si="59"/>
        <v>1</v>
      </c>
    </row>
    <row r="909" spans="1:33" ht="12.5" customHeight="1" x14ac:dyDescent="0.25">
      <c r="A909" s="12" t="s">
        <v>31</v>
      </c>
      <c r="B909" s="9">
        <v>46185</v>
      </c>
      <c r="C909" s="10" t="s">
        <v>1439</v>
      </c>
      <c r="D909" s="10" t="s">
        <v>1440</v>
      </c>
      <c r="E909" s="10" t="s">
        <v>34</v>
      </c>
      <c r="F909" s="10" t="s">
        <v>35</v>
      </c>
      <c r="G909" s="10" t="s">
        <v>3146</v>
      </c>
      <c r="H909" s="8" t="s">
        <v>36</v>
      </c>
      <c r="I909" s="11">
        <v>123.88</v>
      </c>
      <c r="J909" s="6">
        <v>113.59796</v>
      </c>
      <c r="K909" s="6">
        <v>0.91700000000000004</v>
      </c>
      <c r="L909" s="6">
        <v>117.31</v>
      </c>
      <c r="M909" s="11">
        <v>107.57326999999999</v>
      </c>
      <c r="N909" s="11">
        <f t="shared" si="56"/>
        <v>107.574</v>
      </c>
      <c r="O909" s="6">
        <v>0.91699999999999993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6.57</v>
      </c>
      <c r="Z909" s="6">
        <v>6.0246899999999997</v>
      </c>
      <c r="AA909" s="6">
        <v>0.91699999999999993</v>
      </c>
      <c r="AB909" s="6">
        <v>-6.5699999999999932</v>
      </c>
      <c r="AC909" s="6">
        <v>6.5699999999999932</v>
      </c>
      <c r="AD909" s="22" t="s">
        <v>3140</v>
      </c>
      <c r="AE909" s="23">
        <f t="shared" si="57"/>
        <v>107.574</v>
      </c>
      <c r="AF909" s="24">
        <f t="shared" si="58"/>
        <v>0</v>
      </c>
      <c r="AG909" s="23">
        <f t="shared" si="59"/>
        <v>1</v>
      </c>
    </row>
    <row r="910" spans="1:33" x14ac:dyDescent="0.25">
      <c r="A910" s="12" t="s">
        <v>31</v>
      </c>
      <c r="B910" s="9">
        <v>46185</v>
      </c>
      <c r="C910" s="10" t="s">
        <v>1441</v>
      </c>
      <c r="D910" s="10" t="s">
        <v>338</v>
      </c>
      <c r="E910" s="10" t="s">
        <v>34</v>
      </c>
      <c r="F910" s="10" t="s">
        <v>35</v>
      </c>
      <c r="G910" s="10" t="s">
        <v>3146</v>
      </c>
      <c r="H910" s="8" t="s">
        <v>36</v>
      </c>
      <c r="I910" s="11">
        <v>3.1</v>
      </c>
      <c r="J910" s="6">
        <v>2.8426999999999998</v>
      </c>
      <c r="K910" s="6">
        <v>0.91699999999999993</v>
      </c>
      <c r="L910" s="6">
        <v>0</v>
      </c>
      <c r="M910" s="11">
        <v>0</v>
      </c>
      <c r="N910" s="11">
        <f t="shared" si="56"/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3.1</v>
      </c>
      <c r="Z910" s="6">
        <v>2.8426999999999998</v>
      </c>
      <c r="AA910" s="6">
        <v>0.91699999999999993</v>
      </c>
      <c r="AB910" s="6">
        <v>-3.1</v>
      </c>
      <c r="AC910" s="6">
        <v>3.1</v>
      </c>
      <c r="AD910" s="23" t="s">
        <v>3143</v>
      </c>
      <c r="AE910" s="23">
        <f t="shared" si="57"/>
        <v>0</v>
      </c>
      <c r="AF910" s="24">
        <f t="shared" si="58"/>
        <v>0</v>
      </c>
      <c r="AG910" s="23">
        <f t="shared" si="59"/>
        <v>67</v>
      </c>
    </row>
    <row r="911" spans="1:33" hidden="1" x14ac:dyDescent="0.25">
      <c r="A911" s="12" t="s">
        <v>31</v>
      </c>
      <c r="B911" s="9">
        <v>46185</v>
      </c>
      <c r="C911" s="10" t="s">
        <v>1442</v>
      </c>
      <c r="D911" s="10" t="s">
        <v>1443</v>
      </c>
      <c r="E911" s="10" t="s">
        <v>51</v>
      </c>
      <c r="F911" s="10" t="s">
        <v>35</v>
      </c>
      <c r="G911" s="10" t="s">
        <v>3145</v>
      </c>
      <c r="H911" s="8" t="s">
        <v>41</v>
      </c>
      <c r="I911" s="11">
        <v>24.75</v>
      </c>
      <c r="J911" s="6">
        <v>18.5625</v>
      </c>
      <c r="K911" s="6">
        <v>0.75</v>
      </c>
      <c r="L911" s="6">
        <v>22.59</v>
      </c>
      <c r="M911" s="11">
        <v>16.942499999999999</v>
      </c>
      <c r="N911" s="11">
        <f t="shared" si="56"/>
        <v>16.943000000000001</v>
      </c>
      <c r="O911" s="6">
        <v>0.75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2.16</v>
      </c>
      <c r="Z911" s="6">
        <v>1.62</v>
      </c>
      <c r="AA911" s="6">
        <v>0.75</v>
      </c>
      <c r="AB911" s="6">
        <v>-2.16</v>
      </c>
      <c r="AC911" s="6">
        <v>2.16</v>
      </c>
      <c r="AD911" s="22" t="s">
        <v>3140</v>
      </c>
      <c r="AE911" s="23">
        <f t="shared" si="57"/>
        <v>16.943000000000001</v>
      </c>
      <c r="AF911" s="24">
        <f t="shared" si="58"/>
        <v>0</v>
      </c>
      <c r="AG911" s="23">
        <f t="shared" si="59"/>
        <v>1</v>
      </c>
    </row>
    <row r="912" spans="1:33" ht="12.5" hidden="1" customHeight="1" x14ac:dyDescent="0.25">
      <c r="A912" s="12" t="s">
        <v>31</v>
      </c>
      <c r="B912" s="9">
        <v>46185</v>
      </c>
      <c r="C912" s="8" t="s">
        <v>1444</v>
      </c>
      <c r="D912" s="10" t="s">
        <v>859</v>
      </c>
      <c r="E912" s="10" t="s">
        <v>51</v>
      </c>
      <c r="F912" s="10" t="s">
        <v>35</v>
      </c>
      <c r="G912" s="10" t="s">
        <v>3145</v>
      </c>
      <c r="H912" s="8" t="s">
        <v>48</v>
      </c>
      <c r="I912" s="11">
        <v>18.690000000000001</v>
      </c>
      <c r="J912" s="6">
        <v>14.0175</v>
      </c>
      <c r="K912" s="6">
        <v>0.75</v>
      </c>
      <c r="L912" s="6">
        <v>17.73</v>
      </c>
      <c r="M912" s="11">
        <v>13.297499999999999</v>
      </c>
      <c r="N912" s="11">
        <f t="shared" si="56"/>
        <v>13.298</v>
      </c>
      <c r="O912" s="6">
        <v>0.75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0.96</v>
      </c>
      <c r="Z912" s="6">
        <v>0.72</v>
      </c>
      <c r="AA912" s="6">
        <v>0.75</v>
      </c>
      <c r="AB912" s="6">
        <v>-0.96000000000000085</v>
      </c>
      <c r="AC912" s="6">
        <v>0.96000000000000085</v>
      </c>
      <c r="AD912" s="23" t="s">
        <v>3143</v>
      </c>
      <c r="AE912" s="23">
        <f t="shared" si="57"/>
        <v>12.765000000000001</v>
      </c>
      <c r="AF912" s="24">
        <f t="shared" si="58"/>
        <v>0.53299999999999947</v>
      </c>
      <c r="AG912" s="23">
        <f t="shared" si="59"/>
        <v>2</v>
      </c>
    </row>
    <row r="913" spans="1:33" ht="12.5" customHeight="1" x14ac:dyDescent="0.25">
      <c r="A913" s="12" t="s">
        <v>31</v>
      </c>
      <c r="B913" s="9">
        <v>46185</v>
      </c>
      <c r="C913" s="13" t="s">
        <v>1444</v>
      </c>
      <c r="D913" s="10" t="s">
        <v>1445</v>
      </c>
      <c r="E913" s="10" t="s">
        <v>51</v>
      </c>
      <c r="F913" s="10" t="s">
        <v>35</v>
      </c>
      <c r="G913" s="10" t="s">
        <v>3146</v>
      </c>
      <c r="H913" s="8" t="s">
        <v>36</v>
      </c>
      <c r="I913" s="11">
        <v>8.68</v>
      </c>
      <c r="J913" s="6">
        <v>7.9595599999999997</v>
      </c>
      <c r="K913" s="6">
        <v>0.91700000000000004</v>
      </c>
      <c r="L913" s="6">
        <v>8.4</v>
      </c>
      <c r="M913" s="11">
        <v>7.7027999999999999</v>
      </c>
      <c r="N913" s="11">
        <f t="shared" si="56"/>
        <v>7.7030000000000003</v>
      </c>
      <c r="O913" s="6">
        <v>0.91699999999999993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0.28000000000000003</v>
      </c>
      <c r="Z913" s="6">
        <v>0.25675999999999999</v>
      </c>
      <c r="AA913" s="6">
        <v>0.91699999999999982</v>
      </c>
      <c r="AB913" s="6">
        <v>-0.27999999999999936</v>
      </c>
      <c r="AC913" s="6">
        <v>0.27999999999999936</v>
      </c>
      <c r="AD913" s="22" t="s">
        <v>3140</v>
      </c>
      <c r="AE913" s="23">
        <f t="shared" si="57"/>
        <v>7.7030000000000003</v>
      </c>
      <c r="AF913" s="24">
        <f t="shared" si="58"/>
        <v>0</v>
      </c>
      <c r="AG913" s="23">
        <f t="shared" si="59"/>
        <v>1</v>
      </c>
    </row>
    <row r="914" spans="1:33" ht="20" hidden="1" customHeight="1" x14ac:dyDescent="0.25">
      <c r="A914" s="12" t="s">
        <v>31</v>
      </c>
      <c r="B914" s="9">
        <v>46185</v>
      </c>
      <c r="C914" s="10" t="s">
        <v>1446</v>
      </c>
      <c r="D914" s="10" t="s">
        <v>1447</v>
      </c>
      <c r="E914" s="10" t="s">
        <v>51</v>
      </c>
      <c r="F914" s="10" t="s">
        <v>35</v>
      </c>
      <c r="G914" s="10" t="s">
        <v>3145</v>
      </c>
      <c r="H914" s="8" t="s">
        <v>48</v>
      </c>
      <c r="I914" s="11">
        <v>21.16</v>
      </c>
      <c r="J914" s="6">
        <v>15.87</v>
      </c>
      <c r="K914" s="6">
        <v>0.75</v>
      </c>
      <c r="L914" s="6">
        <v>20.2</v>
      </c>
      <c r="M914" s="11">
        <v>15.15</v>
      </c>
      <c r="N914" s="11">
        <f t="shared" si="56"/>
        <v>15.15</v>
      </c>
      <c r="O914" s="6">
        <v>0.75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0.96</v>
      </c>
      <c r="Z914" s="6">
        <v>0.72</v>
      </c>
      <c r="AA914" s="6">
        <v>0.75</v>
      </c>
      <c r="AB914" s="6">
        <v>-0.96000000000000085</v>
      </c>
      <c r="AC914" s="6">
        <v>0.96000000000000085</v>
      </c>
      <c r="AD914" s="22" t="s">
        <v>3140</v>
      </c>
      <c r="AE914" s="23">
        <f t="shared" si="57"/>
        <v>15.15</v>
      </c>
      <c r="AF914" s="24">
        <f t="shared" si="58"/>
        <v>0</v>
      </c>
      <c r="AG914" s="23">
        <f t="shared" si="59"/>
        <v>2</v>
      </c>
    </row>
    <row r="915" spans="1:33" ht="12.5" hidden="1" customHeight="1" x14ac:dyDescent="0.25">
      <c r="A915" s="12" t="s">
        <v>31</v>
      </c>
      <c r="B915" s="9">
        <v>46185</v>
      </c>
      <c r="C915" s="8" t="s">
        <v>1448</v>
      </c>
      <c r="D915" s="10" t="s">
        <v>1449</v>
      </c>
      <c r="E915" s="10" t="s">
        <v>51</v>
      </c>
      <c r="F915" s="10" t="s">
        <v>35</v>
      </c>
      <c r="G915" s="10" t="s">
        <v>3145</v>
      </c>
      <c r="H915" s="8" t="s">
        <v>48</v>
      </c>
      <c r="I915" s="11">
        <v>15.68</v>
      </c>
      <c r="J915" s="6">
        <v>11.76</v>
      </c>
      <c r="K915" s="6">
        <v>0.75</v>
      </c>
      <c r="L915" s="6">
        <v>14.95</v>
      </c>
      <c r="M915" s="11">
        <v>11.2125</v>
      </c>
      <c r="N915" s="11">
        <f t="shared" si="56"/>
        <v>11.212999999999999</v>
      </c>
      <c r="O915" s="6">
        <v>0.75000000000000011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0.73</v>
      </c>
      <c r="Z915" s="6">
        <v>0.54749999999999999</v>
      </c>
      <c r="AA915" s="6">
        <v>0.75</v>
      </c>
      <c r="AB915" s="6">
        <v>-0.73000000000000043</v>
      </c>
      <c r="AC915" s="6">
        <v>0.73000000000000043</v>
      </c>
      <c r="AD915" s="22" t="s">
        <v>3140</v>
      </c>
      <c r="AE915" s="23">
        <f t="shared" si="57"/>
        <v>11.212999999999999</v>
      </c>
      <c r="AF915" s="24">
        <f t="shared" si="58"/>
        <v>0</v>
      </c>
      <c r="AG915" s="23">
        <f t="shared" si="59"/>
        <v>1</v>
      </c>
    </row>
    <row r="916" spans="1:33" ht="12.5" hidden="1" customHeight="1" x14ac:dyDescent="0.25">
      <c r="A916" s="12" t="s">
        <v>31</v>
      </c>
      <c r="B916" s="9">
        <v>46185</v>
      </c>
      <c r="C916" s="12" t="s">
        <v>1448</v>
      </c>
      <c r="D916" s="10" t="s">
        <v>1450</v>
      </c>
      <c r="E916" s="10" t="s">
        <v>51</v>
      </c>
      <c r="F916" s="10" t="s">
        <v>35</v>
      </c>
      <c r="G916" s="10" t="s">
        <v>3145</v>
      </c>
      <c r="H916" s="8" t="s">
        <v>48</v>
      </c>
      <c r="I916" s="11">
        <v>19.57</v>
      </c>
      <c r="J916" s="6">
        <v>14.6775</v>
      </c>
      <c r="K916" s="6">
        <v>0.75</v>
      </c>
      <c r="L916" s="6">
        <v>18.829999999999998</v>
      </c>
      <c r="M916" s="11">
        <v>14.1225</v>
      </c>
      <c r="N916" s="11">
        <f t="shared" si="56"/>
        <v>14.122999999999999</v>
      </c>
      <c r="O916" s="6">
        <v>0.75000000000000011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0.74</v>
      </c>
      <c r="Z916" s="6">
        <v>0.55500000000000005</v>
      </c>
      <c r="AA916" s="6">
        <v>0.75000000000000011</v>
      </c>
      <c r="AB916" s="6">
        <v>-0.74000000000000199</v>
      </c>
      <c r="AC916" s="6">
        <v>0.74000000000000199</v>
      </c>
      <c r="AD916" s="22" t="s">
        <v>3140</v>
      </c>
      <c r="AE916" s="23">
        <f t="shared" si="57"/>
        <v>14.122999999999999</v>
      </c>
      <c r="AF916" s="24">
        <f t="shared" si="58"/>
        <v>0</v>
      </c>
      <c r="AG916" s="23">
        <f t="shared" si="59"/>
        <v>1</v>
      </c>
    </row>
    <row r="917" spans="1:33" ht="12.5" hidden="1" customHeight="1" x14ac:dyDescent="0.25">
      <c r="A917" s="12" t="s">
        <v>31</v>
      </c>
      <c r="B917" s="9">
        <v>46185</v>
      </c>
      <c r="C917" s="13" t="s">
        <v>1448</v>
      </c>
      <c r="D917" s="10" t="s">
        <v>1451</v>
      </c>
      <c r="E917" s="10" t="s">
        <v>51</v>
      </c>
      <c r="F917" s="10" t="s">
        <v>35</v>
      </c>
      <c r="G917" s="10" t="s">
        <v>3145</v>
      </c>
      <c r="H917" s="8" t="s">
        <v>41</v>
      </c>
      <c r="I917" s="11">
        <v>11.11</v>
      </c>
      <c r="J917" s="6">
        <v>8.3324999999999996</v>
      </c>
      <c r="K917" s="6">
        <v>0.75</v>
      </c>
      <c r="L917" s="6">
        <v>10.3</v>
      </c>
      <c r="M917" s="11">
        <v>7.7249999999999996</v>
      </c>
      <c r="N917" s="11">
        <f t="shared" si="56"/>
        <v>7.7249999999999996</v>
      </c>
      <c r="O917" s="6">
        <v>0.74999999999999989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0.81</v>
      </c>
      <c r="Z917" s="6">
        <v>0.60750000000000004</v>
      </c>
      <c r="AA917" s="6">
        <v>0.75</v>
      </c>
      <c r="AB917" s="6">
        <v>-0.80999999999999872</v>
      </c>
      <c r="AC917" s="6">
        <v>0.80999999999999872</v>
      </c>
      <c r="AD917" s="22" t="s">
        <v>3140</v>
      </c>
      <c r="AE917" s="23">
        <f t="shared" si="57"/>
        <v>7.7249999999999996</v>
      </c>
      <c r="AF917" s="24">
        <f t="shared" si="58"/>
        <v>0</v>
      </c>
      <c r="AG917" s="23">
        <f t="shared" si="59"/>
        <v>1</v>
      </c>
    </row>
    <row r="918" spans="1:33" ht="12.5" customHeight="1" x14ac:dyDescent="0.25">
      <c r="A918" s="12" t="s">
        <v>31</v>
      </c>
      <c r="B918" s="9">
        <v>46185</v>
      </c>
      <c r="C918" s="8" t="s">
        <v>1452</v>
      </c>
      <c r="D918" s="10" t="s">
        <v>1453</v>
      </c>
      <c r="E918" s="10" t="s">
        <v>51</v>
      </c>
      <c r="F918" s="10" t="s">
        <v>35</v>
      </c>
      <c r="G918" s="10" t="s">
        <v>3146</v>
      </c>
      <c r="H918" s="8" t="s">
        <v>36</v>
      </c>
      <c r="I918" s="11">
        <v>3.99</v>
      </c>
      <c r="J918" s="6">
        <v>3.65883</v>
      </c>
      <c r="K918" s="6">
        <v>0.91699999999999993</v>
      </c>
      <c r="L918" s="6">
        <v>3.62</v>
      </c>
      <c r="M918" s="11">
        <v>3.3195399999999999</v>
      </c>
      <c r="N918" s="11">
        <f t="shared" si="56"/>
        <v>3.32</v>
      </c>
      <c r="O918" s="6">
        <v>0.91699999999999993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0.37</v>
      </c>
      <c r="Z918" s="6">
        <v>0.33928999999999998</v>
      </c>
      <c r="AA918" s="6">
        <v>0.91699999999999993</v>
      </c>
      <c r="AB918" s="6">
        <v>-0.37000000000000011</v>
      </c>
      <c r="AC918" s="6">
        <v>0.37000000000000011</v>
      </c>
      <c r="AD918" s="22" t="s">
        <v>3140</v>
      </c>
      <c r="AE918" s="23">
        <f t="shared" si="57"/>
        <v>3.32</v>
      </c>
      <c r="AF918" s="24">
        <f t="shared" si="58"/>
        <v>0</v>
      </c>
      <c r="AG918" s="23">
        <f t="shared" si="59"/>
        <v>1</v>
      </c>
    </row>
    <row r="919" spans="1:33" ht="12.5" hidden="1" customHeight="1" x14ac:dyDescent="0.25">
      <c r="A919" s="12" t="s">
        <v>31</v>
      </c>
      <c r="B919" s="9">
        <v>46185</v>
      </c>
      <c r="C919" s="13" t="s">
        <v>1452</v>
      </c>
      <c r="D919" s="10" t="s">
        <v>1454</v>
      </c>
      <c r="E919" s="10" t="s">
        <v>51</v>
      </c>
      <c r="F919" s="10" t="s">
        <v>35</v>
      </c>
      <c r="G919" s="10" t="s">
        <v>3145</v>
      </c>
      <c r="H919" s="8" t="s">
        <v>48</v>
      </c>
      <c r="I919" s="11">
        <v>17.43</v>
      </c>
      <c r="J919" s="6">
        <v>13.0725</v>
      </c>
      <c r="K919" s="6">
        <v>0.75</v>
      </c>
      <c r="L919" s="6">
        <v>16.22</v>
      </c>
      <c r="M919" s="11">
        <v>12.164999999999999</v>
      </c>
      <c r="N919" s="11">
        <f t="shared" si="56"/>
        <v>12.164999999999999</v>
      </c>
      <c r="O919" s="6">
        <v>0.75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1.21</v>
      </c>
      <c r="Z919" s="6">
        <v>0.90749999999999997</v>
      </c>
      <c r="AA919" s="6">
        <v>0.75</v>
      </c>
      <c r="AB919" s="6">
        <v>-1.2100000000000009</v>
      </c>
      <c r="AC919" s="6">
        <v>1.2100000000000009</v>
      </c>
      <c r="AD919" s="22" t="s">
        <v>3140</v>
      </c>
      <c r="AE919" s="23">
        <f t="shared" si="57"/>
        <v>12.164999999999999</v>
      </c>
      <c r="AF919" s="24">
        <f t="shared" si="58"/>
        <v>0</v>
      </c>
      <c r="AG919" s="23">
        <f t="shared" si="59"/>
        <v>1</v>
      </c>
    </row>
    <row r="920" spans="1:33" ht="12.5" hidden="1" customHeight="1" x14ac:dyDescent="0.25">
      <c r="A920" s="12" t="s">
        <v>31</v>
      </c>
      <c r="B920" s="9">
        <v>46185</v>
      </c>
      <c r="C920" s="8" t="s">
        <v>1455</v>
      </c>
      <c r="D920" s="10" t="s">
        <v>1456</v>
      </c>
      <c r="E920" s="10" t="s">
        <v>51</v>
      </c>
      <c r="F920" s="10" t="s">
        <v>35</v>
      </c>
      <c r="G920" s="10" t="s">
        <v>3145</v>
      </c>
      <c r="H920" s="8" t="s">
        <v>48</v>
      </c>
      <c r="I920" s="11">
        <v>10.11</v>
      </c>
      <c r="J920" s="6">
        <v>7.5824999999999996</v>
      </c>
      <c r="K920" s="6">
        <v>0.75</v>
      </c>
      <c r="L920" s="6">
        <v>9.33</v>
      </c>
      <c r="M920" s="11">
        <v>6.9974999999999996</v>
      </c>
      <c r="N920" s="11">
        <f t="shared" si="56"/>
        <v>6.9980000000000002</v>
      </c>
      <c r="O920" s="6">
        <v>0.75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0.78</v>
      </c>
      <c r="Z920" s="6">
        <v>0.58499999999999996</v>
      </c>
      <c r="AA920" s="6">
        <v>0.74999999999999989</v>
      </c>
      <c r="AB920" s="6">
        <v>-0.77999999999999936</v>
      </c>
      <c r="AC920" s="6">
        <v>0.77999999999999936</v>
      </c>
      <c r="AD920" s="22" t="s">
        <v>3140</v>
      </c>
      <c r="AE920" s="23">
        <f t="shared" si="57"/>
        <v>6.9980000000000002</v>
      </c>
      <c r="AF920" s="24">
        <f t="shared" si="58"/>
        <v>0</v>
      </c>
      <c r="AG920" s="23">
        <f t="shared" si="59"/>
        <v>1</v>
      </c>
    </row>
    <row r="921" spans="1:33" ht="12.5" hidden="1" customHeight="1" x14ac:dyDescent="0.25">
      <c r="A921" s="12" t="s">
        <v>31</v>
      </c>
      <c r="B921" s="9">
        <v>46185</v>
      </c>
      <c r="C921" s="13" t="s">
        <v>1455</v>
      </c>
      <c r="D921" s="10" t="s">
        <v>1457</v>
      </c>
      <c r="E921" s="10" t="s">
        <v>51</v>
      </c>
      <c r="F921" s="10" t="s">
        <v>35</v>
      </c>
      <c r="G921" s="10" t="s">
        <v>3145</v>
      </c>
      <c r="H921" s="8" t="s">
        <v>48</v>
      </c>
      <c r="I921" s="11">
        <v>11.74</v>
      </c>
      <c r="J921" s="6">
        <v>8.8049999999999997</v>
      </c>
      <c r="K921" s="6">
        <v>0.75</v>
      </c>
      <c r="L921" s="6">
        <v>11.17</v>
      </c>
      <c r="M921" s="11">
        <v>8.3774999999999995</v>
      </c>
      <c r="N921" s="11">
        <f t="shared" si="56"/>
        <v>8.3780000000000001</v>
      </c>
      <c r="O921" s="6">
        <v>0.75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0.56999999999999995</v>
      </c>
      <c r="Z921" s="6">
        <v>0.42749999999999999</v>
      </c>
      <c r="AA921" s="6">
        <v>0.75</v>
      </c>
      <c r="AB921" s="6">
        <v>-0.57000000000000028</v>
      </c>
      <c r="AC921" s="6">
        <v>0.57000000000000028</v>
      </c>
      <c r="AD921" s="22" t="s">
        <v>3140</v>
      </c>
      <c r="AE921" s="23">
        <f t="shared" si="57"/>
        <v>8.3780000000000001</v>
      </c>
      <c r="AF921" s="24">
        <f t="shared" si="58"/>
        <v>0</v>
      </c>
      <c r="AG921" s="23">
        <f t="shared" si="59"/>
        <v>1</v>
      </c>
    </row>
    <row r="922" spans="1:33" x14ac:dyDescent="0.25">
      <c r="A922" s="12" t="s">
        <v>31</v>
      </c>
      <c r="B922" s="9">
        <v>46185</v>
      </c>
      <c r="C922" s="10" t="s">
        <v>1458</v>
      </c>
      <c r="D922" s="10" t="s">
        <v>1459</v>
      </c>
      <c r="E922" s="10" t="s">
        <v>51</v>
      </c>
      <c r="F922" s="10" t="s">
        <v>35</v>
      </c>
      <c r="G922" s="10" t="s">
        <v>3146</v>
      </c>
      <c r="H922" s="8" t="s">
        <v>36</v>
      </c>
      <c r="I922" s="11">
        <v>81.510000000000005</v>
      </c>
      <c r="J922" s="6">
        <v>74.744669999999999</v>
      </c>
      <c r="K922" s="6">
        <v>0.91699999999999993</v>
      </c>
      <c r="L922" s="6">
        <v>77.88</v>
      </c>
      <c r="M922" s="11">
        <v>71.415959999999998</v>
      </c>
      <c r="N922" s="11">
        <f t="shared" si="56"/>
        <v>71.416000000000011</v>
      </c>
      <c r="O922" s="6">
        <v>0.91700000000000004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3.63</v>
      </c>
      <c r="Z922" s="6">
        <v>3.3287100000000001</v>
      </c>
      <c r="AA922" s="6">
        <v>0.91700000000000004</v>
      </c>
      <c r="AB922" s="6">
        <v>-3.6300000000000097</v>
      </c>
      <c r="AC922" s="6">
        <v>3.6300000000000097</v>
      </c>
      <c r="AD922" s="23" t="s">
        <v>3143</v>
      </c>
      <c r="AE922" s="23">
        <f t="shared" si="57"/>
        <v>64.2</v>
      </c>
      <c r="AF922" s="24">
        <f t="shared" si="58"/>
        <v>7.2160000000000082</v>
      </c>
      <c r="AG922" s="23">
        <f t="shared" si="59"/>
        <v>2</v>
      </c>
    </row>
    <row r="923" spans="1:33" x14ac:dyDescent="0.25">
      <c r="A923" s="12" t="s">
        <v>31</v>
      </c>
      <c r="B923" s="9">
        <v>46185</v>
      </c>
      <c r="C923" s="10" t="s">
        <v>1460</v>
      </c>
      <c r="D923" s="10" t="s">
        <v>1396</v>
      </c>
      <c r="E923" s="10" t="s">
        <v>51</v>
      </c>
      <c r="F923" s="10" t="s">
        <v>35</v>
      </c>
      <c r="G923" s="10" t="s">
        <v>3146</v>
      </c>
      <c r="H923" s="8" t="s">
        <v>36</v>
      </c>
      <c r="I923" s="11">
        <v>23.81</v>
      </c>
      <c r="J923" s="6">
        <v>21.833770000000001</v>
      </c>
      <c r="K923" s="6">
        <v>0.91700000000000015</v>
      </c>
      <c r="L923" s="6">
        <v>23.79</v>
      </c>
      <c r="M923" s="11">
        <v>21.815429999999999</v>
      </c>
      <c r="N923" s="11">
        <f t="shared" si="56"/>
        <v>21.816000000000003</v>
      </c>
      <c r="O923" s="6">
        <v>0.91700000000000004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0.02</v>
      </c>
      <c r="Z923" s="6">
        <v>1.8339999999999999E-2</v>
      </c>
      <c r="AA923" s="6">
        <v>0.91699999999999993</v>
      </c>
      <c r="AB923" s="6">
        <v>-1.9999999999999574E-2</v>
      </c>
      <c r="AC923" s="6">
        <v>1.9999999999999574E-2</v>
      </c>
      <c r="AD923" s="23" t="s">
        <v>3143</v>
      </c>
      <c r="AE923" s="23">
        <f t="shared" si="57"/>
        <v>3.15</v>
      </c>
      <c r="AF923" s="24">
        <f t="shared" si="58"/>
        <v>18.666000000000004</v>
      </c>
      <c r="AG923" s="23">
        <f t="shared" si="59"/>
        <v>5</v>
      </c>
    </row>
    <row r="924" spans="1:33" ht="20" hidden="1" customHeight="1" x14ac:dyDescent="0.25">
      <c r="A924" s="12" t="s">
        <v>31</v>
      </c>
      <c r="B924" s="9">
        <v>46185</v>
      </c>
      <c r="C924" s="10" t="s">
        <v>1461</v>
      </c>
      <c r="D924" s="10" t="s">
        <v>1462</v>
      </c>
      <c r="E924" s="10" t="s">
        <v>51</v>
      </c>
      <c r="F924" s="10" t="s">
        <v>35</v>
      </c>
      <c r="G924" s="10" t="s">
        <v>3145</v>
      </c>
      <c r="H924" s="8" t="s">
        <v>48</v>
      </c>
      <c r="I924" s="11">
        <v>29.35</v>
      </c>
      <c r="J924" s="6">
        <v>22.012499999999999</v>
      </c>
      <c r="K924" s="6">
        <v>0.74999999999999989</v>
      </c>
      <c r="L924" s="6">
        <v>27.11</v>
      </c>
      <c r="M924" s="11">
        <v>20.3325</v>
      </c>
      <c r="N924" s="11">
        <f t="shared" si="56"/>
        <v>20.333000000000002</v>
      </c>
      <c r="O924" s="6">
        <v>0.75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2.2400000000000002</v>
      </c>
      <c r="Z924" s="6">
        <v>1.68</v>
      </c>
      <c r="AA924" s="6">
        <v>0.74999999999999989</v>
      </c>
      <c r="AB924" s="6">
        <v>-2.240000000000002</v>
      </c>
      <c r="AC924" s="6">
        <v>2.240000000000002</v>
      </c>
      <c r="AD924" s="22" t="s">
        <v>3140</v>
      </c>
      <c r="AE924" s="23">
        <f t="shared" si="57"/>
        <v>20.333000000000002</v>
      </c>
      <c r="AF924" s="24">
        <f t="shared" si="58"/>
        <v>0</v>
      </c>
      <c r="AG924" s="23">
        <f t="shared" si="59"/>
        <v>1</v>
      </c>
    </row>
    <row r="925" spans="1:33" ht="12.5" customHeight="1" x14ac:dyDescent="0.25">
      <c r="A925" s="12" t="s">
        <v>31</v>
      </c>
      <c r="B925" s="9">
        <v>46185</v>
      </c>
      <c r="C925" s="8" t="s">
        <v>1463</v>
      </c>
      <c r="D925" s="10" t="s">
        <v>1464</v>
      </c>
      <c r="E925" s="10" t="s">
        <v>51</v>
      </c>
      <c r="F925" s="10" t="s">
        <v>35</v>
      </c>
      <c r="G925" s="10" t="s">
        <v>3146</v>
      </c>
      <c r="H925" s="8" t="s">
        <v>36</v>
      </c>
      <c r="I925" s="11">
        <v>34.9</v>
      </c>
      <c r="J925" s="6">
        <v>32.003300000000003</v>
      </c>
      <c r="K925" s="6">
        <v>0.91700000000000015</v>
      </c>
      <c r="L925" s="6">
        <v>33.15</v>
      </c>
      <c r="M925" s="11">
        <v>30.39855</v>
      </c>
      <c r="N925" s="11">
        <f t="shared" si="56"/>
        <v>30.399000000000001</v>
      </c>
      <c r="O925" s="6">
        <v>0.91700000000000004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1.75</v>
      </c>
      <c r="Z925" s="6">
        <v>1.6047499999999999</v>
      </c>
      <c r="AA925" s="6">
        <v>0.91699999999999993</v>
      </c>
      <c r="AB925" s="6">
        <v>-1.75</v>
      </c>
      <c r="AC925" s="6">
        <v>1.75</v>
      </c>
      <c r="AD925" s="22" t="s">
        <v>3140</v>
      </c>
      <c r="AE925" s="23">
        <f t="shared" si="57"/>
        <v>30.399000000000001</v>
      </c>
      <c r="AF925" s="24">
        <f t="shared" si="58"/>
        <v>0</v>
      </c>
      <c r="AG925" s="23">
        <f t="shared" si="59"/>
        <v>2</v>
      </c>
    </row>
    <row r="926" spans="1:33" ht="12.5" hidden="1" customHeight="1" x14ac:dyDescent="0.25">
      <c r="A926" s="12" t="s">
        <v>31</v>
      </c>
      <c r="B926" s="9">
        <v>46185</v>
      </c>
      <c r="C926" s="13" t="s">
        <v>1463</v>
      </c>
      <c r="D926" s="10" t="s">
        <v>1465</v>
      </c>
      <c r="E926" s="10" t="s">
        <v>51</v>
      </c>
      <c r="F926" s="10" t="s">
        <v>35</v>
      </c>
      <c r="G926" s="10" t="s">
        <v>3145</v>
      </c>
      <c r="H926" s="8" t="s">
        <v>48</v>
      </c>
      <c r="I926" s="11">
        <v>139.66999999999999</v>
      </c>
      <c r="J926" s="6">
        <v>104.7525</v>
      </c>
      <c r="K926" s="6">
        <v>0.75</v>
      </c>
      <c r="L926" s="6">
        <v>133.99</v>
      </c>
      <c r="M926" s="11">
        <v>100.49250000000001</v>
      </c>
      <c r="N926" s="11">
        <f t="shared" si="56"/>
        <v>100.49300000000001</v>
      </c>
      <c r="O926" s="6">
        <v>0.75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5.68</v>
      </c>
      <c r="Z926" s="6">
        <v>4.26</v>
      </c>
      <c r="AA926" s="6">
        <v>0.75</v>
      </c>
      <c r="AB926" s="6">
        <v>-5.6799999999999784</v>
      </c>
      <c r="AC926" s="6">
        <v>5.6799999999999784</v>
      </c>
      <c r="AD926" s="22" t="s">
        <v>3140</v>
      </c>
      <c r="AE926" s="23">
        <f t="shared" si="57"/>
        <v>100.49300000000001</v>
      </c>
      <c r="AF926" s="24">
        <f t="shared" si="58"/>
        <v>0</v>
      </c>
      <c r="AG926" s="23">
        <f t="shared" si="59"/>
        <v>1</v>
      </c>
    </row>
    <row r="927" spans="1:33" x14ac:dyDescent="0.25">
      <c r="A927" s="12" t="s">
        <v>31</v>
      </c>
      <c r="B927" s="9">
        <v>46185</v>
      </c>
      <c r="C927" s="10" t="s">
        <v>1466</v>
      </c>
      <c r="D927" s="10" t="s">
        <v>1385</v>
      </c>
      <c r="E927" s="10" t="s">
        <v>51</v>
      </c>
      <c r="F927" s="10" t="s">
        <v>35</v>
      </c>
      <c r="G927" s="10" t="s">
        <v>3146</v>
      </c>
      <c r="H927" s="8" t="s">
        <v>36</v>
      </c>
      <c r="I927" s="11">
        <v>27</v>
      </c>
      <c r="J927" s="6">
        <v>24.759</v>
      </c>
      <c r="K927" s="6">
        <v>0.91700000000000004</v>
      </c>
      <c r="L927" s="6">
        <v>26.95</v>
      </c>
      <c r="M927" s="11">
        <v>24.713149999999999</v>
      </c>
      <c r="N927" s="11">
        <f t="shared" si="56"/>
        <v>24.714000000000002</v>
      </c>
      <c r="O927" s="6">
        <v>0.91699999999999993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0.05</v>
      </c>
      <c r="Z927" s="6">
        <v>4.5850000000000002E-2</v>
      </c>
      <c r="AA927" s="6">
        <v>0.91700000000000004</v>
      </c>
      <c r="AB927" s="6">
        <v>-5.0000000000000711E-2</v>
      </c>
      <c r="AC927" s="6">
        <v>5.0000000000000711E-2</v>
      </c>
      <c r="AD927" s="23" t="s">
        <v>3143</v>
      </c>
      <c r="AE927" s="23">
        <f t="shared" si="57"/>
        <v>20.734000000000002</v>
      </c>
      <c r="AF927" s="24">
        <f t="shared" si="58"/>
        <v>3.9800000000000004</v>
      </c>
      <c r="AG927" s="23">
        <f t="shared" si="59"/>
        <v>2</v>
      </c>
    </row>
    <row r="928" spans="1:33" x14ac:dyDescent="0.25">
      <c r="A928" s="12" t="s">
        <v>31</v>
      </c>
      <c r="B928" s="9">
        <v>46185</v>
      </c>
      <c r="C928" s="10" t="s">
        <v>1467</v>
      </c>
      <c r="D928" s="10" t="s">
        <v>763</v>
      </c>
      <c r="E928" s="10" t="s">
        <v>51</v>
      </c>
      <c r="F928" s="10" t="s">
        <v>35</v>
      </c>
      <c r="G928" s="10" t="s">
        <v>3146</v>
      </c>
      <c r="H928" s="8" t="s">
        <v>36</v>
      </c>
      <c r="I928" s="11">
        <v>91.82</v>
      </c>
      <c r="J928" s="6">
        <v>84.198939999999993</v>
      </c>
      <c r="K928" s="6">
        <v>0.91700000000000004</v>
      </c>
      <c r="L928" s="6">
        <v>85.2</v>
      </c>
      <c r="M928" s="11">
        <v>78.128399999999999</v>
      </c>
      <c r="N928" s="11">
        <f t="shared" si="56"/>
        <v>78.129000000000005</v>
      </c>
      <c r="O928" s="6">
        <v>0.91699999999999993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6.62</v>
      </c>
      <c r="Z928" s="6">
        <v>6.0705400000000003</v>
      </c>
      <c r="AA928" s="6">
        <v>0.91700000000000004</v>
      </c>
      <c r="AB928" s="6">
        <v>-6.6199999999999903</v>
      </c>
      <c r="AC928" s="6">
        <v>6.6199999999999903</v>
      </c>
      <c r="AD928" s="23" t="s">
        <v>3143</v>
      </c>
      <c r="AE928" s="23">
        <f t="shared" si="57"/>
        <v>75.286000000000001</v>
      </c>
      <c r="AF928" s="24">
        <f t="shared" si="58"/>
        <v>2.8430000000000035</v>
      </c>
      <c r="AG928" s="23">
        <f t="shared" si="59"/>
        <v>3</v>
      </c>
    </row>
    <row r="929" spans="1:33" hidden="1" x14ac:dyDescent="0.25">
      <c r="A929" s="12" t="s">
        <v>31</v>
      </c>
      <c r="B929" s="9">
        <v>46185</v>
      </c>
      <c r="C929" s="10" t="s">
        <v>1468</v>
      </c>
      <c r="D929" s="10" t="s">
        <v>1370</v>
      </c>
      <c r="E929" s="10" t="s">
        <v>51</v>
      </c>
      <c r="F929" s="10" t="s">
        <v>35</v>
      </c>
      <c r="G929" s="10" t="s">
        <v>3145</v>
      </c>
      <c r="H929" s="8" t="s">
        <v>41</v>
      </c>
      <c r="I929" s="11">
        <v>262.95</v>
      </c>
      <c r="J929" s="6">
        <v>197.21250000000001</v>
      </c>
      <c r="K929" s="6">
        <v>0.75</v>
      </c>
      <c r="L929" s="6">
        <v>261.61</v>
      </c>
      <c r="M929" s="11">
        <v>196.20750000000001</v>
      </c>
      <c r="N929" s="11">
        <f t="shared" si="56"/>
        <v>196.208</v>
      </c>
      <c r="O929" s="6">
        <v>0.75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1.34</v>
      </c>
      <c r="Z929" s="6">
        <v>1.0049999999999999</v>
      </c>
      <c r="AA929" s="6">
        <v>0.74999999999999989</v>
      </c>
      <c r="AB929" s="6">
        <v>-1.339999999999975</v>
      </c>
      <c r="AC929" s="6">
        <v>1.339999999999975</v>
      </c>
      <c r="AD929" s="23" t="s">
        <v>3143</v>
      </c>
      <c r="AE929" s="23">
        <f t="shared" si="57"/>
        <v>194.565</v>
      </c>
      <c r="AF929" s="24">
        <f t="shared" si="58"/>
        <v>1.6430000000000007</v>
      </c>
      <c r="AG929" s="23">
        <f t="shared" si="59"/>
        <v>4</v>
      </c>
    </row>
    <row r="930" spans="1:33" x14ac:dyDescent="0.25">
      <c r="A930" s="12" t="s">
        <v>31</v>
      </c>
      <c r="B930" s="9">
        <v>46185</v>
      </c>
      <c r="C930" s="10" t="s">
        <v>1469</v>
      </c>
      <c r="D930" s="10" t="s">
        <v>1470</v>
      </c>
      <c r="E930" s="10" t="s">
        <v>51</v>
      </c>
      <c r="F930" s="10" t="s">
        <v>35</v>
      </c>
      <c r="G930" s="10" t="s">
        <v>3146</v>
      </c>
      <c r="H930" s="8" t="s">
        <v>36</v>
      </c>
      <c r="I930" s="11">
        <v>24.12</v>
      </c>
      <c r="J930" s="6">
        <v>22.118040000000001</v>
      </c>
      <c r="K930" s="6">
        <v>0.91700000000000004</v>
      </c>
      <c r="L930" s="6">
        <v>22.86</v>
      </c>
      <c r="M930" s="11">
        <v>20.962620000000001</v>
      </c>
      <c r="N930" s="11">
        <f t="shared" si="56"/>
        <v>20.963000000000001</v>
      </c>
      <c r="O930" s="6">
        <v>0.91700000000000004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1.26</v>
      </c>
      <c r="Z930" s="6">
        <v>1.1554199999999999</v>
      </c>
      <c r="AA930" s="6">
        <v>0.91699999999999993</v>
      </c>
      <c r="AB930" s="6">
        <v>-1.2600000000000016</v>
      </c>
      <c r="AC930" s="6">
        <v>1.2600000000000016</v>
      </c>
      <c r="AD930" s="22" t="s">
        <v>3140</v>
      </c>
      <c r="AE930" s="23">
        <f t="shared" si="57"/>
        <v>20.963000000000001</v>
      </c>
      <c r="AF930" s="24">
        <f t="shared" si="58"/>
        <v>0</v>
      </c>
      <c r="AG930" s="23">
        <f t="shared" si="59"/>
        <v>1</v>
      </c>
    </row>
    <row r="931" spans="1:33" x14ac:dyDescent="0.25">
      <c r="A931" s="12" t="s">
        <v>31</v>
      </c>
      <c r="B931" s="9">
        <v>46185</v>
      </c>
      <c r="C931" s="10" t="s">
        <v>1471</v>
      </c>
      <c r="D931" s="10" t="s">
        <v>1472</v>
      </c>
      <c r="E931" s="10" t="s">
        <v>51</v>
      </c>
      <c r="F931" s="10" t="s">
        <v>35</v>
      </c>
      <c r="G931" s="10" t="s">
        <v>3146</v>
      </c>
      <c r="H931" s="8" t="s">
        <v>36</v>
      </c>
      <c r="I931" s="11">
        <v>30.46</v>
      </c>
      <c r="J931" s="6">
        <v>27.931819999999998</v>
      </c>
      <c r="K931" s="6">
        <v>0.91699999999999993</v>
      </c>
      <c r="L931" s="6">
        <v>27.32</v>
      </c>
      <c r="M931" s="11">
        <v>25.052440000000001</v>
      </c>
      <c r="N931" s="11">
        <f t="shared" si="56"/>
        <v>25.053000000000001</v>
      </c>
      <c r="O931" s="6">
        <v>0.91700000000000004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3.14</v>
      </c>
      <c r="Z931" s="6">
        <v>2.8793799999999998</v>
      </c>
      <c r="AA931" s="6">
        <v>0.91699999999999993</v>
      </c>
      <c r="AB931" s="6">
        <v>-3.1400000000000006</v>
      </c>
      <c r="AC931" s="6">
        <v>3.1400000000000006</v>
      </c>
      <c r="AD931" s="22" t="s">
        <v>3140</v>
      </c>
      <c r="AE931" s="23">
        <f t="shared" si="57"/>
        <v>25.053000000000001</v>
      </c>
      <c r="AF931" s="24">
        <f t="shared" si="58"/>
        <v>0</v>
      </c>
      <c r="AG931" s="23">
        <f t="shared" si="59"/>
        <v>3</v>
      </c>
    </row>
    <row r="932" spans="1:33" x14ac:dyDescent="0.25">
      <c r="A932" s="12" t="s">
        <v>31</v>
      </c>
      <c r="B932" s="9">
        <v>46185</v>
      </c>
      <c r="C932" s="10" t="s">
        <v>1473</v>
      </c>
      <c r="D932" s="10" t="s">
        <v>1474</v>
      </c>
      <c r="E932" s="10" t="s">
        <v>51</v>
      </c>
      <c r="F932" s="10" t="s">
        <v>35</v>
      </c>
      <c r="G932" s="10" t="s">
        <v>3146</v>
      </c>
      <c r="H932" s="8" t="s">
        <v>36</v>
      </c>
      <c r="I932" s="11">
        <v>38.64</v>
      </c>
      <c r="J932" s="6">
        <v>35.432879999999997</v>
      </c>
      <c r="K932" s="6">
        <v>0.91699999999999993</v>
      </c>
      <c r="L932" s="6">
        <v>36.729999999999997</v>
      </c>
      <c r="M932" s="11">
        <v>33.68141</v>
      </c>
      <c r="N932" s="11">
        <f t="shared" si="56"/>
        <v>33.681999999999995</v>
      </c>
      <c r="O932" s="6">
        <v>0.91700000000000004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1.91</v>
      </c>
      <c r="Z932" s="6">
        <v>1.7514700000000001</v>
      </c>
      <c r="AA932" s="6">
        <v>0.91700000000000004</v>
      </c>
      <c r="AB932" s="6">
        <v>-1.9100000000000037</v>
      </c>
      <c r="AC932" s="6">
        <v>1.9100000000000037</v>
      </c>
      <c r="AD932" s="22" t="s">
        <v>3140</v>
      </c>
      <c r="AE932" s="23">
        <f t="shared" si="57"/>
        <v>33.681999999999995</v>
      </c>
      <c r="AF932" s="24">
        <f t="shared" si="58"/>
        <v>0</v>
      </c>
      <c r="AG932" s="23">
        <f t="shared" si="59"/>
        <v>1</v>
      </c>
    </row>
    <row r="933" spans="1:33" x14ac:dyDescent="0.25">
      <c r="A933" s="12" t="s">
        <v>31</v>
      </c>
      <c r="B933" s="9">
        <v>46185</v>
      </c>
      <c r="C933" s="10" t="s">
        <v>1475</v>
      </c>
      <c r="D933" s="10" t="s">
        <v>1378</v>
      </c>
      <c r="E933" s="10" t="s">
        <v>51</v>
      </c>
      <c r="F933" s="10" t="s">
        <v>35</v>
      </c>
      <c r="G933" s="10" t="s">
        <v>3146</v>
      </c>
      <c r="H933" s="8" t="s">
        <v>36</v>
      </c>
      <c r="I933" s="11">
        <v>26.65</v>
      </c>
      <c r="J933" s="6">
        <v>24.43805</v>
      </c>
      <c r="K933" s="6">
        <v>0.91700000000000004</v>
      </c>
      <c r="L933" s="6">
        <v>26.65</v>
      </c>
      <c r="M933" s="11">
        <v>24.43805</v>
      </c>
      <c r="N933" s="11">
        <f t="shared" si="56"/>
        <v>24.439</v>
      </c>
      <c r="O933" s="6">
        <v>0.91700000000000004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23" t="s">
        <v>3143</v>
      </c>
      <c r="AE933" s="23">
        <f t="shared" si="57"/>
        <v>20.422000000000001</v>
      </c>
      <c r="AF933" s="24">
        <f t="shared" si="58"/>
        <v>4.0169999999999995</v>
      </c>
      <c r="AG933" s="23">
        <f t="shared" si="59"/>
        <v>2</v>
      </c>
    </row>
    <row r="934" spans="1:33" ht="12.5" customHeight="1" x14ac:dyDescent="0.25">
      <c r="A934" s="12" t="s">
        <v>31</v>
      </c>
      <c r="B934" s="9">
        <v>46185</v>
      </c>
      <c r="C934" s="8" t="s">
        <v>1476</v>
      </c>
      <c r="D934" s="10" t="s">
        <v>1477</v>
      </c>
      <c r="E934" s="10" t="s">
        <v>51</v>
      </c>
      <c r="F934" s="10" t="s">
        <v>35</v>
      </c>
      <c r="G934" s="10" t="s">
        <v>3146</v>
      </c>
      <c r="H934" s="8" t="s">
        <v>36</v>
      </c>
      <c r="I934" s="11">
        <v>27.42</v>
      </c>
      <c r="J934" s="6">
        <v>25.14414</v>
      </c>
      <c r="K934" s="6">
        <v>0.91699999999999993</v>
      </c>
      <c r="L934" s="6">
        <v>26.4</v>
      </c>
      <c r="M934" s="11">
        <v>24.2088</v>
      </c>
      <c r="N934" s="11">
        <f t="shared" si="56"/>
        <v>24.209</v>
      </c>
      <c r="O934" s="6">
        <v>0.91700000000000004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1.02</v>
      </c>
      <c r="Z934" s="6">
        <v>0.93533999999999995</v>
      </c>
      <c r="AA934" s="6">
        <v>0.91699999999999993</v>
      </c>
      <c r="AB934" s="6">
        <v>-1.0200000000000031</v>
      </c>
      <c r="AC934" s="6">
        <v>1.0200000000000031</v>
      </c>
      <c r="AD934" s="22" t="s">
        <v>3140</v>
      </c>
      <c r="AE934" s="23">
        <f t="shared" si="57"/>
        <v>24.209</v>
      </c>
      <c r="AF934" s="24">
        <f t="shared" si="58"/>
        <v>0</v>
      </c>
      <c r="AG934" s="23">
        <f t="shared" si="59"/>
        <v>1</v>
      </c>
    </row>
    <row r="935" spans="1:33" ht="12.5" customHeight="1" x14ac:dyDescent="0.25">
      <c r="A935" s="12" t="s">
        <v>31</v>
      </c>
      <c r="B935" s="9">
        <v>46185</v>
      </c>
      <c r="C935" s="13" t="s">
        <v>1476</v>
      </c>
      <c r="D935" s="10" t="s">
        <v>1478</v>
      </c>
      <c r="E935" s="10" t="s">
        <v>51</v>
      </c>
      <c r="F935" s="10" t="s">
        <v>35</v>
      </c>
      <c r="G935" s="10" t="s">
        <v>3146</v>
      </c>
      <c r="H935" s="8" t="s">
        <v>36</v>
      </c>
      <c r="I935" s="11">
        <v>43.24</v>
      </c>
      <c r="J935" s="6">
        <v>39.65108</v>
      </c>
      <c r="K935" s="6">
        <v>0.91699999999999993</v>
      </c>
      <c r="L935" s="6">
        <v>41.79</v>
      </c>
      <c r="M935" s="11">
        <v>38.321429999999999</v>
      </c>
      <c r="N935" s="11">
        <f t="shared" si="56"/>
        <v>38.321999999999996</v>
      </c>
      <c r="O935" s="6">
        <v>0.91700000000000004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1.45</v>
      </c>
      <c r="Z935" s="6">
        <v>1.32965</v>
      </c>
      <c r="AA935" s="6">
        <v>0.91700000000000004</v>
      </c>
      <c r="AB935" s="6">
        <v>-1.4500000000000028</v>
      </c>
      <c r="AC935" s="6">
        <v>1.4500000000000028</v>
      </c>
      <c r="AD935" s="22" t="s">
        <v>3140</v>
      </c>
      <c r="AE935" s="23">
        <f t="shared" si="57"/>
        <v>38.321999999999996</v>
      </c>
      <c r="AF935" s="24">
        <f t="shared" si="58"/>
        <v>0</v>
      </c>
      <c r="AG935" s="23">
        <f t="shared" si="59"/>
        <v>1</v>
      </c>
    </row>
    <row r="936" spans="1:33" hidden="1" x14ac:dyDescent="0.25">
      <c r="A936" s="12" t="s">
        <v>31</v>
      </c>
      <c r="B936" s="9">
        <v>46185</v>
      </c>
      <c r="C936" s="10" t="s">
        <v>1479</v>
      </c>
      <c r="D936" s="10" t="s">
        <v>1421</v>
      </c>
      <c r="E936" s="10" t="s">
        <v>51</v>
      </c>
      <c r="F936" s="10" t="s">
        <v>35</v>
      </c>
      <c r="G936" s="10" t="s">
        <v>3145</v>
      </c>
      <c r="H936" s="8" t="s">
        <v>41</v>
      </c>
      <c r="I936" s="11">
        <v>338.31</v>
      </c>
      <c r="J936" s="6">
        <v>253.73249999999999</v>
      </c>
      <c r="K936" s="6">
        <v>0.75</v>
      </c>
      <c r="L936" s="6">
        <v>337.65</v>
      </c>
      <c r="M936" s="11">
        <v>253.23750000000001</v>
      </c>
      <c r="N936" s="11">
        <f t="shared" si="56"/>
        <v>253.238</v>
      </c>
      <c r="O936" s="6">
        <v>0.75000000000000011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0.66</v>
      </c>
      <c r="Z936" s="6">
        <v>0.495</v>
      </c>
      <c r="AA936" s="6">
        <v>0.75</v>
      </c>
      <c r="AB936" s="6">
        <v>-0.66000000000002501</v>
      </c>
      <c r="AC936" s="6">
        <v>0.66000000000002501</v>
      </c>
      <c r="AD936" s="23" t="s">
        <v>3143</v>
      </c>
      <c r="AE936" s="23">
        <f t="shared" si="57"/>
        <v>230.018</v>
      </c>
      <c r="AF936" s="24">
        <f t="shared" si="58"/>
        <v>23.22</v>
      </c>
      <c r="AG936" s="23">
        <f t="shared" si="59"/>
        <v>3</v>
      </c>
    </row>
    <row r="937" spans="1:33" x14ac:dyDescent="0.25">
      <c r="A937" s="12" t="s">
        <v>31</v>
      </c>
      <c r="B937" s="9">
        <v>46185</v>
      </c>
      <c r="C937" s="10" t="s">
        <v>1480</v>
      </c>
      <c r="D937" s="10" t="s">
        <v>1481</v>
      </c>
      <c r="E937" s="10" t="s">
        <v>51</v>
      </c>
      <c r="F937" s="10" t="s">
        <v>35</v>
      </c>
      <c r="G937" s="10" t="s">
        <v>3146</v>
      </c>
      <c r="H937" s="8" t="s">
        <v>36</v>
      </c>
      <c r="I937" s="11">
        <v>20.2</v>
      </c>
      <c r="J937" s="6">
        <v>18.523399999999999</v>
      </c>
      <c r="K937" s="6">
        <v>0.91699999999999993</v>
      </c>
      <c r="L937" s="6">
        <v>18.93</v>
      </c>
      <c r="M937" s="11">
        <v>17.358809999999998</v>
      </c>
      <c r="N937" s="11">
        <f t="shared" si="56"/>
        <v>17.359000000000002</v>
      </c>
      <c r="O937" s="6">
        <v>0.91699999999999993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1.27</v>
      </c>
      <c r="Z937" s="6">
        <v>1.16459</v>
      </c>
      <c r="AA937" s="6">
        <v>0.91700000000000004</v>
      </c>
      <c r="AB937" s="6">
        <v>-1.2699999999999996</v>
      </c>
      <c r="AC937" s="6">
        <v>1.2699999999999996</v>
      </c>
      <c r="AD937" s="22" t="s">
        <v>3140</v>
      </c>
      <c r="AE937" s="23">
        <f t="shared" si="57"/>
        <v>17.359000000000002</v>
      </c>
      <c r="AF937" s="24">
        <f t="shared" si="58"/>
        <v>0</v>
      </c>
      <c r="AG937" s="23">
        <f t="shared" si="59"/>
        <v>1</v>
      </c>
    </row>
    <row r="938" spans="1:33" x14ac:dyDescent="0.25">
      <c r="A938" s="12" t="s">
        <v>31</v>
      </c>
      <c r="B938" s="9">
        <v>46185</v>
      </c>
      <c r="C938" s="10" t="s">
        <v>1482</v>
      </c>
      <c r="D938" s="10" t="s">
        <v>1483</v>
      </c>
      <c r="E938" s="10" t="s">
        <v>51</v>
      </c>
      <c r="F938" s="10" t="s">
        <v>35</v>
      </c>
      <c r="G938" s="10" t="s">
        <v>3146</v>
      </c>
      <c r="H938" s="8" t="s">
        <v>36</v>
      </c>
      <c r="I938" s="11">
        <v>6.7</v>
      </c>
      <c r="J938" s="6">
        <v>6.1439000000000004</v>
      </c>
      <c r="K938" s="6">
        <v>0.91700000000000004</v>
      </c>
      <c r="L938" s="6">
        <v>6.34</v>
      </c>
      <c r="M938" s="11">
        <v>5.8137800000000004</v>
      </c>
      <c r="N938" s="11">
        <f t="shared" si="56"/>
        <v>5.8140000000000001</v>
      </c>
      <c r="O938" s="6">
        <v>0.91700000000000004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0.36</v>
      </c>
      <c r="Z938" s="6">
        <v>0.33012000000000002</v>
      </c>
      <c r="AA938" s="6">
        <v>0.91700000000000015</v>
      </c>
      <c r="AB938" s="6">
        <v>-0.36000000000000032</v>
      </c>
      <c r="AC938" s="6">
        <v>0.36000000000000032</v>
      </c>
      <c r="AD938" s="22" t="s">
        <v>3140</v>
      </c>
      <c r="AE938" s="23">
        <f t="shared" si="57"/>
        <v>5.8140000000000001</v>
      </c>
      <c r="AF938" s="24">
        <f t="shared" si="58"/>
        <v>0</v>
      </c>
      <c r="AG938" s="23">
        <f t="shared" si="59"/>
        <v>2</v>
      </c>
    </row>
    <row r="939" spans="1:33" x14ac:dyDescent="0.25">
      <c r="A939" s="12" t="s">
        <v>31</v>
      </c>
      <c r="B939" s="9">
        <v>46185</v>
      </c>
      <c r="C939" s="10" t="s">
        <v>1484</v>
      </c>
      <c r="D939" s="10" t="s">
        <v>1485</v>
      </c>
      <c r="E939" s="10" t="s">
        <v>51</v>
      </c>
      <c r="F939" s="10" t="s">
        <v>35</v>
      </c>
      <c r="G939" s="10" t="s">
        <v>3146</v>
      </c>
      <c r="H939" s="8" t="s">
        <v>36</v>
      </c>
      <c r="I939" s="11">
        <v>3.12</v>
      </c>
      <c r="J939" s="6">
        <v>2.86104</v>
      </c>
      <c r="K939" s="6">
        <v>0.91699999999999993</v>
      </c>
      <c r="L939" s="6">
        <v>2.97</v>
      </c>
      <c r="M939" s="11">
        <v>2.72349</v>
      </c>
      <c r="N939" s="11">
        <f t="shared" si="56"/>
        <v>2.7239999999999998</v>
      </c>
      <c r="O939" s="6">
        <v>0.91699999999999993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0.15</v>
      </c>
      <c r="Z939" s="6">
        <v>0.13755000000000001</v>
      </c>
      <c r="AA939" s="6">
        <v>0.91700000000000004</v>
      </c>
      <c r="AB939" s="6">
        <v>-0.14999999999999991</v>
      </c>
      <c r="AC939" s="6">
        <v>0.14999999999999991</v>
      </c>
      <c r="AD939" s="22" t="s">
        <v>3140</v>
      </c>
      <c r="AE939" s="23">
        <f t="shared" si="57"/>
        <v>2.7239999999999998</v>
      </c>
      <c r="AF939" s="24">
        <f t="shared" si="58"/>
        <v>0</v>
      </c>
      <c r="AG939" s="23">
        <f t="shared" si="59"/>
        <v>1</v>
      </c>
    </row>
    <row r="940" spans="1:33" x14ac:dyDescent="0.25">
      <c r="A940" s="12" t="s">
        <v>31</v>
      </c>
      <c r="B940" s="9">
        <v>46185</v>
      </c>
      <c r="C940" s="10" t="s">
        <v>1486</v>
      </c>
      <c r="D940" s="10" t="s">
        <v>1487</v>
      </c>
      <c r="E940" s="10" t="s">
        <v>51</v>
      </c>
      <c r="F940" s="10" t="s">
        <v>35</v>
      </c>
      <c r="G940" s="10" t="s">
        <v>3146</v>
      </c>
      <c r="H940" s="8" t="s">
        <v>36</v>
      </c>
      <c r="I940" s="11">
        <v>3.65</v>
      </c>
      <c r="J940" s="6">
        <v>3.3470499999999999</v>
      </c>
      <c r="K940" s="6">
        <v>0.91700000000000004</v>
      </c>
      <c r="L940" s="6">
        <v>3.48</v>
      </c>
      <c r="M940" s="11">
        <v>3.19116</v>
      </c>
      <c r="N940" s="11">
        <f t="shared" si="56"/>
        <v>3.1919999999999997</v>
      </c>
      <c r="O940" s="6">
        <v>0.91700000000000004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0.17</v>
      </c>
      <c r="Z940" s="6">
        <v>0.15589</v>
      </c>
      <c r="AA940" s="6">
        <v>0.91699999999999993</v>
      </c>
      <c r="AB940" s="6">
        <v>-0.16999999999999993</v>
      </c>
      <c r="AC940" s="6">
        <v>0.16999999999999993</v>
      </c>
      <c r="AD940" s="22" t="s">
        <v>3140</v>
      </c>
      <c r="AE940" s="23">
        <f t="shared" si="57"/>
        <v>3.1919999999999997</v>
      </c>
      <c r="AF940" s="24">
        <f t="shared" si="58"/>
        <v>0</v>
      </c>
      <c r="AG940" s="23">
        <f t="shared" si="59"/>
        <v>1</v>
      </c>
    </row>
    <row r="941" spans="1:33" ht="12.5" customHeight="1" x14ac:dyDescent="0.25">
      <c r="A941" s="12" t="s">
        <v>31</v>
      </c>
      <c r="B941" s="9">
        <v>46185</v>
      </c>
      <c r="C941" s="8" t="s">
        <v>1488</v>
      </c>
      <c r="D941" s="10" t="s">
        <v>1489</v>
      </c>
      <c r="E941" s="10" t="s">
        <v>51</v>
      </c>
      <c r="F941" s="10" t="s">
        <v>35</v>
      </c>
      <c r="G941" s="10" t="s">
        <v>3146</v>
      </c>
      <c r="H941" s="8" t="s">
        <v>36</v>
      </c>
      <c r="I941" s="11">
        <v>42.2</v>
      </c>
      <c r="J941" s="6">
        <v>38.697400000000002</v>
      </c>
      <c r="K941" s="6">
        <v>0.91699999999999993</v>
      </c>
      <c r="L941" s="6">
        <v>40.51</v>
      </c>
      <c r="M941" s="11">
        <v>37.147669999999998</v>
      </c>
      <c r="N941" s="11">
        <f t="shared" si="56"/>
        <v>37.147999999999996</v>
      </c>
      <c r="O941" s="6">
        <v>0.91700000000000004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1.69</v>
      </c>
      <c r="Z941" s="6">
        <v>1.5497300000000001</v>
      </c>
      <c r="AA941" s="6">
        <v>0.91700000000000004</v>
      </c>
      <c r="AB941" s="6">
        <v>-1.6900000000000048</v>
      </c>
      <c r="AC941" s="6">
        <v>1.6900000000000048</v>
      </c>
      <c r="AD941" s="22" t="s">
        <v>3140</v>
      </c>
      <c r="AE941" s="23">
        <f t="shared" si="57"/>
        <v>37.147999999999996</v>
      </c>
      <c r="AF941" s="24">
        <f t="shared" si="58"/>
        <v>0</v>
      </c>
      <c r="AG941" s="23">
        <f t="shared" si="59"/>
        <v>1</v>
      </c>
    </row>
    <row r="942" spans="1:33" ht="12.5" customHeight="1" x14ac:dyDescent="0.25">
      <c r="A942" s="12" t="s">
        <v>31</v>
      </c>
      <c r="B942" s="9">
        <v>46185</v>
      </c>
      <c r="C942" s="13" t="s">
        <v>1488</v>
      </c>
      <c r="D942" s="10" t="s">
        <v>1490</v>
      </c>
      <c r="E942" s="10" t="s">
        <v>51</v>
      </c>
      <c r="F942" s="10" t="s">
        <v>35</v>
      </c>
      <c r="G942" s="10" t="s">
        <v>3146</v>
      </c>
      <c r="H942" s="8" t="s">
        <v>36</v>
      </c>
      <c r="I942" s="11">
        <v>37.619999999999997</v>
      </c>
      <c r="J942" s="6">
        <v>34.497540000000001</v>
      </c>
      <c r="K942" s="6">
        <v>0.91700000000000004</v>
      </c>
      <c r="L942" s="6">
        <v>36.07</v>
      </c>
      <c r="M942" s="11">
        <v>33.076189999999997</v>
      </c>
      <c r="N942" s="11">
        <f t="shared" si="56"/>
        <v>33.076999999999998</v>
      </c>
      <c r="O942" s="6">
        <v>0.91699999999999993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1.55</v>
      </c>
      <c r="Z942" s="6">
        <v>1.4213499999999999</v>
      </c>
      <c r="AA942" s="6">
        <v>0.91699999999999993</v>
      </c>
      <c r="AB942" s="6">
        <v>-1.5499999999999972</v>
      </c>
      <c r="AC942" s="6">
        <v>1.5499999999999972</v>
      </c>
      <c r="AD942" s="23" t="s">
        <v>3143</v>
      </c>
      <c r="AE942" s="23">
        <f t="shared" si="57"/>
        <v>31.215</v>
      </c>
      <c r="AF942" s="24">
        <f t="shared" si="58"/>
        <v>1.8619999999999983</v>
      </c>
      <c r="AG942" s="23">
        <f t="shared" si="59"/>
        <v>4</v>
      </c>
    </row>
    <row r="943" spans="1:33" x14ac:dyDescent="0.25">
      <c r="A943" s="12" t="s">
        <v>31</v>
      </c>
      <c r="B943" s="9">
        <v>46185</v>
      </c>
      <c r="C943" s="10" t="s">
        <v>1491</v>
      </c>
      <c r="D943" s="10" t="s">
        <v>1492</v>
      </c>
      <c r="E943" s="10" t="s">
        <v>51</v>
      </c>
      <c r="F943" s="10" t="s">
        <v>35</v>
      </c>
      <c r="G943" s="10" t="s">
        <v>3146</v>
      </c>
      <c r="H943" s="8" t="s">
        <v>36</v>
      </c>
      <c r="I943" s="11">
        <v>24.2</v>
      </c>
      <c r="J943" s="6">
        <v>22.191400000000002</v>
      </c>
      <c r="K943" s="6">
        <v>0.91700000000000004</v>
      </c>
      <c r="L943" s="6">
        <v>23.51</v>
      </c>
      <c r="M943" s="11">
        <v>21.558669999999999</v>
      </c>
      <c r="N943" s="11">
        <f t="shared" si="56"/>
        <v>21.559000000000001</v>
      </c>
      <c r="O943" s="6">
        <v>0.91699999999999993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0.69</v>
      </c>
      <c r="Z943" s="6">
        <v>0.63273000000000001</v>
      </c>
      <c r="AA943" s="6">
        <v>0.91700000000000004</v>
      </c>
      <c r="AB943" s="6">
        <v>-0.68999999999999773</v>
      </c>
      <c r="AC943" s="6">
        <v>0.68999999999999773</v>
      </c>
      <c r="AD943" s="22" t="s">
        <v>3140</v>
      </c>
      <c r="AE943" s="23">
        <f t="shared" si="57"/>
        <v>21.559000000000001</v>
      </c>
      <c r="AF943" s="24">
        <f t="shared" si="58"/>
        <v>0</v>
      </c>
      <c r="AG943" s="23">
        <f t="shared" si="59"/>
        <v>1</v>
      </c>
    </row>
    <row r="944" spans="1:33" x14ac:dyDescent="0.25">
      <c r="A944" s="12" t="s">
        <v>31</v>
      </c>
      <c r="B944" s="9">
        <v>46185</v>
      </c>
      <c r="C944" s="10" t="s">
        <v>1493</v>
      </c>
      <c r="D944" s="10" t="s">
        <v>763</v>
      </c>
      <c r="E944" s="10" t="s">
        <v>51</v>
      </c>
      <c r="F944" s="10" t="s">
        <v>35</v>
      </c>
      <c r="G944" s="10" t="s">
        <v>3146</v>
      </c>
      <c r="H944" s="8" t="s">
        <v>36</v>
      </c>
      <c r="I944" s="11">
        <v>82.1</v>
      </c>
      <c r="J944" s="6">
        <v>75.285700000000006</v>
      </c>
      <c r="K944" s="6">
        <v>0.91700000000000015</v>
      </c>
      <c r="L944" s="6">
        <v>82.1</v>
      </c>
      <c r="M944" s="11">
        <v>75.285700000000006</v>
      </c>
      <c r="N944" s="11">
        <f t="shared" si="56"/>
        <v>75.286000000000001</v>
      </c>
      <c r="O944" s="6">
        <v>0.91700000000000015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22" t="s">
        <v>3140</v>
      </c>
      <c r="AE944" s="23">
        <f t="shared" si="57"/>
        <v>75.286000000000001</v>
      </c>
      <c r="AF944" s="24">
        <f t="shared" si="58"/>
        <v>0</v>
      </c>
      <c r="AG944" s="23">
        <f t="shared" si="59"/>
        <v>3</v>
      </c>
    </row>
    <row r="945" spans="1:33" x14ac:dyDescent="0.25">
      <c r="A945" s="12" t="s">
        <v>31</v>
      </c>
      <c r="B945" s="9">
        <v>46185</v>
      </c>
      <c r="C945" s="10" t="s">
        <v>1494</v>
      </c>
      <c r="D945" s="10" t="s">
        <v>1495</v>
      </c>
      <c r="E945" s="10" t="s">
        <v>51</v>
      </c>
      <c r="F945" s="10" t="s">
        <v>35</v>
      </c>
      <c r="G945" s="10" t="s">
        <v>3146</v>
      </c>
      <c r="H945" s="8" t="s">
        <v>36</v>
      </c>
      <c r="I945" s="11">
        <v>58.38</v>
      </c>
      <c r="J945" s="6">
        <v>53.534460000000003</v>
      </c>
      <c r="K945" s="6">
        <v>0.91700000000000004</v>
      </c>
      <c r="L945" s="6">
        <v>53.11</v>
      </c>
      <c r="M945" s="11">
        <v>48.70187</v>
      </c>
      <c r="N945" s="11">
        <f t="shared" si="56"/>
        <v>48.701999999999998</v>
      </c>
      <c r="O945" s="6">
        <v>0.91700000000000004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5.27</v>
      </c>
      <c r="Z945" s="6">
        <v>4.8325899999999997</v>
      </c>
      <c r="AA945" s="6">
        <v>0.91700000000000004</v>
      </c>
      <c r="AB945" s="6">
        <v>-5.2700000000000031</v>
      </c>
      <c r="AC945" s="6">
        <v>5.2700000000000031</v>
      </c>
      <c r="AD945" s="22" t="s">
        <v>3140</v>
      </c>
      <c r="AE945" s="23">
        <f t="shared" si="57"/>
        <v>48.701999999999998</v>
      </c>
      <c r="AF945" s="24">
        <f t="shared" si="58"/>
        <v>0</v>
      </c>
      <c r="AG945" s="23">
        <f t="shared" si="59"/>
        <v>1</v>
      </c>
    </row>
    <row r="946" spans="1:33" x14ac:dyDescent="0.25">
      <c r="A946" s="12" t="s">
        <v>31</v>
      </c>
      <c r="B946" s="9">
        <v>46185</v>
      </c>
      <c r="C946" s="10" t="s">
        <v>1496</v>
      </c>
      <c r="D946" s="10" t="s">
        <v>1483</v>
      </c>
      <c r="E946" s="10" t="s">
        <v>51</v>
      </c>
      <c r="F946" s="10" t="s">
        <v>35</v>
      </c>
      <c r="G946" s="10" t="s">
        <v>3146</v>
      </c>
      <c r="H946" s="8" t="s">
        <v>36</v>
      </c>
      <c r="I946" s="11">
        <v>6.4</v>
      </c>
      <c r="J946" s="6">
        <v>5.8688000000000002</v>
      </c>
      <c r="K946" s="6">
        <v>0.91700000000000004</v>
      </c>
      <c r="L946" s="6">
        <v>6.37</v>
      </c>
      <c r="M946" s="11">
        <v>5.8412899999999999</v>
      </c>
      <c r="N946" s="11">
        <f t="shared" si="56"/>
        <v>5.8420000000000005</v>
      </c>
      <c r="O946" s="6">
        <v>0.91699999999999993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0.03</v>
      </c>
      <c r="Z946" s="6">
        <v>2.751E-2</v>
      </c>
      <c r="AA946" s="6">
        <v>0.91700000000000004</v>
      </c>
      <c r="AB946" s="6">
        <v>-3.0000000000000249E-2</v>
      </c>
      <c r="AC946" s="6">
        <v>3.0000000000000249E-2</v>
      </c>
      <c r="AD946" s="23" t="s">
        <v>3143</v>
      </c>
      <c r="AE946" s="23">
        <f t="shared" si="57"/>
        <v>5.8140000000000001</v>
      </c>
      <c r="AF946" s="24">
        <f t="shared" si="58"/>
        <v>2.8000000000000469E-2</v>
      </c>
      <c r="AG946" s="23">
        <f t="shared" si="59"/>
        <v>2</v>
      </c>
    </row>
    <row r="947" spans="1:33" x14ac:dyDescent="0.25">
      <c r="A947" s="12" t="s">
        <v>31</v>
      </c>
      <c r="B947" s="9">
        <v>46185</v>
      </c>
      <c r="C947" s="10" t="s">
        <v>1497</v>
      </c>
      <c r="D947" s="10" t="s">
        <v>1498</v>
      </c>
      <c r="E947" s="10" t="s">
        <v>51</v>
      </c>
      <c r="F947" s="10" t="s">
        <v>35</v>
      </c>
      <c r="G947" s="10" t="s">
        <v>3146</v>
      </c>
      <c r="H947" s="8" t="s">
        <v>36</v>
      </c>
      <c r="I947" s="11">
        <v>33.21</v>
      </c>
      <c r="J947" s="6">
        <v>30.453569999999999</v>
      </c>
      <c r="K947" s="6">
        <v>0.91699999999999993</v>
      </c>
      <c r="L947" s="6">
        <v>31.07</v>
      </c>
      <c r="M947" s="11">
        <v>28.49119</v>
      </c>
      <c r="N947" s="11">
        <f t="shared" si="56"/>
        <v>28.492000000000001</v>
      </c>
      <c r="O947" s="6">
        <v>0.91699999999999993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2.14</v>
      </c>
      <c r="Z947" s="6">
        <v>1.96238</v>
      </c>
      <c r="AA947" s="6">
        <v>0.91699999999999993</v>
      </c>
      <c r="AB947" s="6">
        <v>-2.1400000000000006</v>
      </c>
      <c r="AC947" s="6">
        <v>2.1400000000000006</v>
      </c>
      <c r="AD947" s="22" t="s">
        <v>3140</v>
      </c>
      <c r="AE947" s="23">
        <f t="shared" si="57"/>
        <v>28.492000000000001</v>
      </c>
      <c r="AF947" s="24">
        <f t="shared" si="58"/>
        <v>0</v>
      </c>
      <c r="AG947" s="23">
        <f t="shared" si="59"/>
        <v>1</v>
      </c>
    </row>
    <row r="948" spans="1:33" ht="12.5" customHeight="1" x14ac:dyDescent="0.25">
      <c r="A948" s="12" t="s">
        <v>31</v>
      </c>
      <c r="B948" s="9">
        <v>46185</v>
      </c>
      <c r="C948" s="8" t="s">
        <v>1499</v>
      </c>
      <c r="D948" s="10" t="s">
        <v>1500</v>
      </c>
      <c r="E948" s="10" t="s">
        <v>51</v>
      </c>
      <c r="F948" s="10" t="s">
        <v>35</v>
      </c>
      <c r="G948" s="10" t="s">
        <v>3146</v>
      </c>
      <c r="H948" s="8" t="s">
        <v>36</v>
      </c>
      <c r="I948" s="11">
        <v>42.01</v>
      </c>
      <c r="J948" s="6">
        <v>38.52317</v>
      </c>
      <c r="K948" s="6">
        <v>0.91700000000000004</v>
      </c>
      <c r="L948" s="6">
        <v>37.200000000000003</v>
      </c>
      <c r="M948" s="11">
        <v>34.112400000000001</v>
      </c>
      <c r="N948" s="11">
        <f t="shared" si="56"/>
        <v>34.113</v>
      </c>
      <c r="O948" s="6">
        <v>0.91699999999999993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4.8099999999999996</v>
      </c>
      <c r="Z948" s="6">
        <v>4.4107700000000003</v>
      </c>
      <c r="AA948" s="6">
        <v>0.91700000000000015</v>
      </c>
      <c r="AB948" s="6">
        <v>-4.8099999999999952</v>
      </c>
      <c r="AC948" s="6">
        <v>4.8099999999999952</v>
      </c>
      <c r="AD948" s="22" t="s">
        <v>3140</v>
      </c>
      <c r="AE948" s="23">
        <f t="shared" si="57"/>
        <v>34.113</v>
      </c>
      <c r="AF948" s="24">
        <f t="shared" si="58"/>
        <v>0</v>
      </c>
      <c r="AG948" s="23">
        <f t="shared" si="59"/>
        <v>1</v>
      </c>
    </row>
    <row r="949" spans="1:33" ht="12.5" customHeight="1" x14ac:dyDescent="0.25">
      <c r="A949" s="12" t="s">
        <v>31</v>
      </c>
      <c r="B949" s="9">
        <v>46185</v>
      </c>
      <c r="C949" s="13" t="s">
        <v>1499</v>
      </c>
      <c r="D949" s="10" t="s">
        <v>1414</v>
      </c>
      <c r="E949" s="10" t="s">
        <v>51</v>
      </c>
      <c r="F949" s="10" t="s">
        <v>35</v>
      </c>
      <c r="G949" s="10" t="s">
        <v>3146</v>
      </c>
      <c r="H949" s="8" t="s">
        <v>36</v>
      </c>
      <c r="I949" s="11">
        <v>349.4</v>
      </c>
      <c r="J949" s="6">
        <v>320.39980000000003</v>
      </c>
      <c r="K949" s="6">
        <v>0.91700000000000015</v>
      </c>
      <c r="L949" s="6">
        <v>348.8</v>
      </c>
      <c r="M949" s="11">
        <v>319.84960000000001</v>
      </c>
      <c r="N949" s="11">
        <f t="shared" si="56"/>
        <v>319.84999999999997</v>
      </c>
      <c r="O949" s="6">
        <v>0.91700000000000004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0.6</v>
      </c>
      <c r="Z949" s="6">
        <v>0.55020000000000002</v>
      </c>
      <c r="AA949" s="6">
        <v>0.91700000000000004</v>
      </c>
      <c r="AB949" s="6">
        <v>-0.59999999999996589</v>
      </c>
      <c r="AC949" s="6">
        <v>0.59999999999996589</v>
      </c>
      <c r="AD949" s="22" t="s">
        <v>3140</v>
      </c>
      <c r="AE949" s="23">
        <f t="shared" si="57"/>
        <v>319.84999999999997</v>
      </c>
      <c r="AF949" s="24">
        <f t="shared" si="58"/>
        <v>0</v>
      </c>
      <c r="AG949" s="23">
        <f t="shared" si="59"/>
        <v>2</v>
      </c>
    </row>
    <row r="950" spans="1:33" x14ac:dyDescent="0.25">
      <c r="A950" s="12" t="s">
        <v>31</v>
      </c>
      <c r="B950" s="9">
        <v>46185</v>
      </c>
      <c r="C950" s="10" t="s">
        <v>1501</v>
      </c>
      <c r="D950" s="10" t="s">
        <v>1502</v>
      </c>
      <c r="E950" s="10" t="s">
        <v>51</v>
      </c>
      <c r="F950" s="10" t="s">
        <v>35</v>
      </c>
      <c r="G950" s="10" t="s">
        <v>3146</v>
      </c>
      <c r="H950" s="8" t="s">
        <v>36</v>
      </c>
      <c r="I950" s="11">
        <v>79.81</v>
      </c>
      <c r="J950" s="6">
        <v>73.185770000000005</v>
      </c>
      <c r="K950" s="6">
        <v>0.91700000000000004</v>
      </c>
      <c r="L950" s="6">
        <v>75.64</v>
      </c>
      <c r="M950" s="11">
        <v>69.361879999999999</v>
      </c>
      <c r="N950" s="11">
        <f t="shared" si="56"/>
        <v>69.362000000000009</v>
      </c>
      <c r="O950" s="6">
        <v>0.91700000000000004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4.17</v>
      </c>
      <c r="Z950" s="6">
        <v>3.82389</v>
      </c>
      <c r="AA950" s="6">
        <v>0.91700000000000004</v>
      </c>
      <c r="AB950" s="6">
        <v>-4.1700000000000017</v>
      </c>
      <c r="AC950" s="6">
        <v>4.1700000000000017</v>
      </c>
      <c r="AD950" s="22" t="s">
        <v>3140</v>
      </c>
      <c r="AE950" s="23">
        <f t="shared" si="57"/>
        <v>69.362000000000009</v>
      </c>
      <c r="AF950" s="24">
        <f t="shared" si="58"/>
        <v>0</v>
      </c>
      <c r="AG950" s="23">
        <f t="shared" si="59"/>
        <v>2</v>
      </c>
    </row>
    <row r="951" spans="1:33" hidden="1" x14ac:dyDescent="0.25">
      <c r="A951" s="12" t="s">
        <v>31</v>
      </c>
      <c r="B951" s="9">
        <v>46185</v>
      </c>
      <c r="C951" s="10" t="s">
        <v>1503</v>
      </c>
      <c r="D951" s="10" t="s">
        <v>1504</v>
      </c>
      <c r="E951" s="10" t="s">
        <v>51</v>
      </c>
      <c r="F951" s="10" t="s">
        <v>35</v>
      </c>
      <c r="G951" s="10" t="s">
        <v>3145</v>
      </c>
      <c r="H951" s="8" t="s">
        <v>41</v>
      </c>
      <c r="I951" s="11">
        <v>22.2</v>
      </c>
      <c r="J951" s="6">
        <v>16.649999999999999</v>
      </c>
      <c r="K951" s="6">
        <v>0.75</v>
      </c>
      <c r="L951" s="6">
        <v>22.03</v>
      </c>
      <c r="M951" s="11">
        <v>16.522500000000001</v>
      </c>
      <c r="N951" s="11">
        <f t="shared" si="56"/>
        <v>16.523</v>
      </c>
      <c r="O951" s="6">
        <v>0.75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0.17</v>
      </c>
      <c r="Z951" s="6">
        <v>0.1275</v>
      </c>
      <c r="AA951" s="6">
        <v>0.75</v>
      </c>
      <c r="AB951" s="6">
        <v>-0.16999999999999815</v>
      </c>
      <c r="AC951" s="6">
        <v>0.16999999999999815</v>
      </c>
      <c r="AD951" s="22" t="s">
        <v>3140</v>
      </c>
      <c r="AE951" s="23">
        <f t="shared" si="57"/>
        <v>16.523</v>
      </c>
      <c r="AF951" s="24">
        <f t="shared" si="58"/>
        <v>0</v>
      </c>
      <c r="AG951" s="23">
        <f t="shared" si="59"/>
        <v>1</v>
      </c>
    </row>
    <row r="952" spans="1:33" x14ac:dyDescent="0.25">
      <c r="A952" s="12" t="s">
        <v>31</v>
      </c>
      <c r="B952" s="9">
        <v>46185</v>
      </c>
      <c r="C952" s="10" t="s">
        <v>1505</v>
      </c>
      <c r="D952" s="10" t="s">
        <v>1506</v>
      </c>
      <c r="E952" s="10" t="s">
        <v>51</v>
      </c>
      <c r="F952" s="10" t="s">
        <v>35</v>
      </c>
      <c r="G952" s="10" t="s">
        <v>3146</v>
      </c>
      <c r="H952" s="8" t="s">
        <v>36</v>
      </c>
      <c r="I952" s="11">
        <v>29.59</v>
      </c>
      <c r="J952" s="6">
        <v>27.134029999999999</v>
      </c>
      <c r="K952" s="6">
        <v>0.91699999999999993</v>
      </c>
      <c r="L952" s="6">
        <v>26.96</v>
      </c>
      <c r="M952" s="11">
        <v>24.72232</v>
      </c>
      <c r="N952" s="11">
        <f t="shared" si="56"/>
        <v>24.723000000000003</v>
      </c>
      <c r="O952" s="6">
        <v>0.91699999999999993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2.63</v>
      </c>
      <c r="Z952" s="6">
        <v>2.4117099999999998</v>
      </c>
      <c r="AA952" s="6">
        <v>0.91699999999999993</v>
      </c>
      <c r="AB952" s="6">
        <v>-2.629999999999999</v>
      </c>
      <c r="AC952" s="6">
        <v>2.629999999999999</v>
      </c>
      <c r="AD952" s="22" t="s">
        <v>3140</v>
      </c>
      <c r="AE952" s="23">
        <f t="shared" si="57"/>
        <v>24.723000000000003</v>
      </c>
      <c r="AF952" s="24">
        <f t="shared" si="58"/>
        <v>0</v>
      </c>
      <c r="AG952" s="23">
        <f t="shared" si="59"/>
        <v>1</v>
      </c>
    </row>
    <row r="953" spans="1:33" x14ac:dyDescent="0.25">
      <c r="A953" s="12" t="s">
        <v>31</v>
      </c>
      <c r="B953" s="9">
        <v>46185</v>
      </c>
      <c r="C953" s="10" t="s">
        <v>1507</v>
      </c>
      <c r="D953" s="10" t="s">
        <v>1272</v>
      </c>
      <c r="E953" s="10" t="s">
        <v>51</v>
      </c>
      <c r="F953" s="10" t="s">
        <v>35</v>
      </c>
      <c r="G953" s="10" t="s">
        <v>3146</v>
      </c>
      <c r="H953" s="8" t="s">
        <v>36</v>
      </c>
      <c r="I953" s="11">
        <v>339.91</v>
      </c>
      <c r="J953" s="6">
        <v>311.69747000000001</v>
      </c>
      <c r="K953" s="6">
        <v>0.91699999999999993</v>
      </c>
      <c r="L953" s="6">
        <v>339.39</v>
      </c>
      <c r="M953" s="11">
        <v>311.22063000000003</v>
      </c>
      <c r="N953" s="11">
        <f t="shared" si="56"/>
        <v>311.221</v>
      </c>
      <c r="O953" s="6">
        <v>0.91700000000000015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0.52</v>
      </c>
      <c r="Z953" s="6">
        <v>0.47683999999999999</v>
      </c>
      <c r="AA953" s="6">
        <v>0.91699999999999993</v>
      </c>
      <c r="AB953" s="6">
        <v>-0.52000000000003865</v>
      </c>
      <c r="AC953" s="6">
        <v>0.52000000000003865</v>
      </c>
      <c r="AD953" s="22" t="s">
        <v>3140</v>
      </c>
      <c r="AE953" s="23">
        <f t="shared" si="57"/>
        <v>311.221</v>
      </c>
      <c r="AF953" s="24">
        <f t="shared" si="58"/>
        <v>0</v>
      </c>
      <c r="AG953" s="23">
        <f t="shared" si="59"/>
        <v>3</v>
      </c>
    </row>
    <row r="954" spans="1:33" x14ac:dyDescent="0.25">
      <c r="A954" s="12" t="s">
        <v>31</v>
      </c>
      <c r="B954" s="9">
        <v>46185</v>
      </c>
      <c r="C954" s="10" t="s">
        <v>1508</v>
      </c>
      <c r="D954" s="10" t="s">
        <v>1509</v>
      </c>
      <c r="E954" s="10" t="s">
        <v>51</v>
      </c>
      <c r="F954" s="10" t="s">
        <v>35</v>
      </c>
      <c r="G954" s="10" t="s">
        <v>3146</v>
      </c>
      <c r="H954" s="8" t="s">
        <v>36</v>
      </c>
      <c r="I954" s="11">
        <v>89.52</v>
      </c>
      <c r="J954" s="6">
        <v>82.089839999999995</v>
      </c>
      <c r="K954" s="6">
        <v>0.91700000000000004</v>
      </c>
      <c r="L954" s="6">
        <v>83.03</v>
      </c>
      <c r="M954" s="11">
        <v>76.138509999999997</v>
      </c>
      <c r="N954" s="11">
        <f t="shared" si="56"/>
        <v>76.13900000000001</v>
      </c>
      <c r="O954" s="6">
        <v>0.91699999999999993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6.49</v>
      </c>
      <c r="Z954" s="6">
        <v>5.9513299999999996</v>
      </c>
      <c r="AA954" s="6">
        <v>0.91699999999999993</v>
      </c>
      <c r="AB954" s="6">
        <v>-6.4899999999999949</v>
      </c>
      <c r="AC954" s="6">
        <v>6.4899999999999949</v>
      </c>
      <c r="AD954" s="22" t="s">
        <v>3140</v>
      </c>
      <c r="AE954" s="23">
        <f t="shared" si="57"/>
        <v>76.13900000000001</v>
      </c>
      <c r="AF954" s="24">
        <f t="shared" si="58"/>
        <v>0</v>
      </c>
      <c r="AG954" s="23">
        <f t="shared" si="59"/>
        <v>1</v>
      </c>
    </row>
    <row r="955" spans="1:33" x14ac:dyDescent="0.25">
      <c r="A955" s="12" t="s">
        <v>31</v>
      </c>
      <c r="B955" s="9">
        <v>46185</v>
      </c>
      <c r="C955" s="10" t="s">
        <v>1510</v>
      </c>
      <c r="D955" s="10" t="s">
        <v>1511</v>
      </c>
      <c r="E955" s="10" t="s">
        <v>51</v>
      </c>
      <c r="F955" s="10" t="s">
        <v>35</v>
      </c>
      <c r="G955" s="10" t="s">
        <v>3146</v>
      </c>
      <c r="H955" s="8" t="s">
        <v>36</v>
      </c>
      <c r="I955" s="11">
        <v>41.69</v>
      </c>
      <c r="J955" s="6">
        <v>38.229730000000004</v>
      </c>
      <c r="K955" s="6">
        <v>0.91700000000000015</v>
      </c>
      <c r="L955" s="6">
        <v>37.590000000000003</v>
      </c>
      <c r="M955" s="11">
        <v>34.470030000000001</v>
      </c>
      <c r="N955" s="11">
        <f t="shared" si="56"/>
        <v>34.470999999999997</v>
      </c>
      <c r="O955" s="6">
        <v>0.91699999999999993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4.0999999999999996</v>
      </c>
      <c r="Z955" s="6">
        <v>3.7597</v>
      </c>
      <c r="AA955" s="6">
        <v>0.91700000000000004</v>
      </c>
      <c r="AB955" s="6">
        <v>-4.0999999999999943</v>
      </c>
      <c r="AC955" s="6">
        <v>4.0999999999999943</v>
      </c>
      <c r="AD955" s="22" t="s">
        <v>3140</v>
      </c>
      <c r="AE955" s="23">
        <f t="shared" si="57"/>
        <v>34.470999999999997</v>
      </c>
      <c r="AF955" s="24">
        <f t="shared" si="58"/>
        <v>0</v>
      </c>
      <c r="AG955" s="23">
        <f t="shared" si="59"/>
        <v>1</v>
      </c>
    </row>
    <row r="956" spans="1:33" x14ac:dyDescent="0.25">
      <c r="A956" s="12" t="s">
        <v>31</v>
      </c>
      <c r="B956" s="9">
        <v>46185</v>
      </c>
      <c r="C956" s="10" t="s">
        <v>1512</v>
      </c>
      <c r="D956" s="10" t="s">
        <v>1513</v>
      </c>
      <c r="E956" s="10" t="s">
        <v>51</v>
      </c>
      <c r="F956" s="10" t="s">
        <v>35</v>
      </c>
      <c r="G956" s="10" t="s">
        <v>3146</v>
      </c>
      <c r="H956" s="8" t="s">
        <v>36</v>
      </c>
      <c r="I956" s="11">
        <v>34.26</v>
      </c>
      <c r="J956" s="6">
        <v>31.416419999999999</v>
      </c>
      <c r="K956" s="6">
        <v>0.91700000000000004</v>
      </c>
      <c r="L956" s="6">
        <v>32.729999999999997</v>
      </c>
      <c r="M956" s="11">
        <v>30.01341</v>
      </c>
      <c r="N956" s="11">
        <f t="shared" si="56"/>
        <v>30.014000000000003</v>
      </c>
      <c r="O956" s="6">
        <v>0.91700000000000015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1.53</v>
      </c>
      <c r="Z956" s="6">
        <v>1.4030100000000001</v>
      </c>
      <c r="AA956" s="6">
        <v>0.91700000000000004</v>
      </c>
      <c r="AB956" s="6">
        <v>-1.5300000000000011</v>
      </c>
      <c r="AC956" s="6">
        <v>1.5300000000000011</v>
      </c>
      <c r="AD956" s="22" t="s">
        <v>3140</v>
      </c>
      <c r="AE956" s="23">
        <f t="shared" si="57"/>
        <v>30.014000000000003</v>
      </c>
      <c r="AF956" s="24">
        <f t="shared" si="58"/>
        <v>0</v>
      </c>
      <c r="AG956" s="23">
        <f t="shared" si="59"/>
        <v>4</v>
      </c>
    </row>
    <row r="957" spans="1:33" x14ac:dyDescent="0.25">
      <c r="A957" s="12" t="s">
        <v>31</v>
      </c>
      <c r="B957" s="9">
        <v>46185</v>
      </c>
      <c r="C957" s="10" t="s">
        <v>1514</v>
      </c>
      <c r="D957" s="10" t="s">
        <v>1515</v>
      </c>
      <c r="E957" s="10" t="s">
        <v>51</v>
      </c>
      <c r="F957" s="10" t="s">
        <v>35</v>
      </c>
      <c r="G957" s="10" t="s">
        <v>3146</v>
      </c>
      <c r="H957" s="8" t="s">
        <v>36</v>
      </c>
      <c r="I957" s="11">
        <v>90.32</v>
      </c>
      <c r="J957" s="6">
        <v>82.823440000000005</v>
      </c>
      <c r="K957" s="6">
        <v>0.91700000000000015</v>
      </c>
      <c r="L957" s="6">
        <v>86.5</v>
      </c>
      <c r="M957" s="11">
        <v>79.320499999999996</v>
      </c>
      <c r="N957" s="11">
        <f t="shared" si="56"/>
        <v>79.320999999999998</v>
      </c>
      <c r="O957" s="6">
        <v>0.91699999999999993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3.82</v>
      </c>
      <c r="Z957" s="6">
        <v>3.5029400000000002</v>
      </c>
      <c r="AA957" s="6">
        <v>0.91700000000000004</v>
      </c>
      <c r="AB957" s="6">
        <v>-3.8199999999999932</v>
      </c>
      <c r="AC957" s="6">
        <v>3.8199999999999932</v>
      </c>
      <c r="AD957" s="22" t="s">
        <v>3140</v>
      </c>
      <c r="AE957" s="23">
        <f t="shared" si="57"/>
        <v>79.320999999999998</v>
      </c>
      <c r="AF957" s="24">
        <f t="shared" si="58"/>
        <v>0</v>
      </c>
      <c r="AG957" s="23">
        <f t="shared" si="59"/>
        <v>5</v>
      </c>
    </row>
    <row r="958" spans="1:33" x14ac:dyDescent="0.25">
      <c r="A958" s="12" t="s">
        <v>31</v>
      </c>
      <c r="B958" s="9">
        <v>46185</v>
      </c>
      <c r="C958" s="10" t="s">
        <v>1516</v>
      </c>
      <c r="D958" s="10" t="s">
        <v>338</v>
      </c>
      <c r="E958" s="10" t="s">
        <v>51</v>
      </c>
      <c r="F958" s="10" t="s">
        <v>35</v>
      </c>
      <c r="G958" s="10" t="s">
        <v>3146</v>
      </c>
      <c r="H958" s="8" t="s">
        <v>36</v>
      </c>
      <c r="I958" s="11">
        <v>15.33</v>
      </c>
      <c r="J958" s="6">
        <v>14.05761</v>
      </c>
      <c r="K958" s="6">
        <v>0.91700000000000004</v>
      </c>
      <c r="L958" s="6">
        <v>0.91</v>
      </c>
      <c r="M958" s="11">
        <v>0.83447000000000005</v>
      </c>
      <c r="N958" s="11">
        <f t="shared" si="56"/>
        <v>0.83499999999999996</v>
      </c>
      <c r="O958" s="6">
        <v>0.91700000000000004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14.42</v>
      </c>
      <c r="Z958" s="6">
        <v>13.223140000000001</v>
      </c>
      <c r="AA958" s="6">
        <v>0.91700000000000004</v>
      </c>
      <c r="AB958" s="6">
        <v>-14.42</v>
      </c>
      <c r="AC958" s="6">
        <v>14.42</v>
      </c>
      <c r="AD958" s="23" t="s">
        <v>3143</v>
      </c>
      <c r="AE958" s="23">
        <f t="shared" si="57"/>
        <v>0</v>
      </c>
      <c r="AF958" s="24">
        <f t="shared" si="58"/>
        <v>0.83499999999999996</v>
      </c>
      <c r="AG958" s="23">
        <f t="shared" si="59"/>
        <v>67</v>
      </c>
    </row>
    <row r="959" spans="1:33" hidden="1" x14ac:dyDescent="0.25">
      <c r="A959" s="12" t="s">
        <v>31</v>
      </c>
      <c r="B959" s="9">
        <v>46185</v>
      </c>
      <c r="C959" s="10" t="s">
        <v>1517</v>
      </c>
      <c r="D959" s="10" t="s">
        <v>338</v>
      </c>
      <c r="E959" s="10" t="s">
        <v>51</v>
      </c>
      <c r="F959" s="10" t="s">
        <v>35</v>
      </c>
      <c r="G959" s="10" t="s">
        <v>3145</v>
      </c>
      <c r="H959" s="8" t="s">
        <v>41</v>
      </c>
      <c r="I959" s="11">
        <v>8.81</v>
      </c>
      <c r="J959" s="6">
        <v>6.6074999999999999</v>
      </c>
      <c r="K959" s="6">
        <v>0.75</v>
      </c>
      <c r="L959" s="6">
        <v>6.89</v>
      </c>
      <c r="M959" s="11">
        <v>5.1675000000000004</v>
      </c>
      <c r="N959" s="11">
        <f t="shared" si="56"/>
        <v>5.1680000000000001</v>
      </c>
      <c r="O959" s="6">
        <v>0.75000000000000011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1.92</v>
      </c>
      <c r="Z959" s="6">
        <v>1.44</v>
      </c>
      <c r="AA959" s="6">
        <v>0.75</v>
      </c>
      <c r="AB959" s="6">
        <v>-1.9200000000000008</v>
      </c>
      <c r="AC959" s="6">
        <v>1.9200000000000008</v>
      </c>
      <c r="AD959" s="23" t="s">
        <v>3143</v>
      </c>
      <c r="AE959" s="23">
        <f t="shared" si="57"/>
        <v>0</v>
      </c>
      <c r="AF959" s="24">
        <f t="shared" si="58"/>
        <v>5.1680000000000001</v>
      </c>
      <c r="AG959" s="23">
        <f t="shared" si="59"/>
        <v>67</v>
      </c>
    </row>
    <row r="960" spans="1:33" ht="20" hidden="1" customHeight="1" x14ac:dyDescent="0.25">
      <c r="A960" s="12" t="s">
        <v>31</v>
      </c>
      <c r="B960" s="9">
        <v>46185</v>
      </c>
      <c r="C960" s="10" t="s">
        <v>1518</v>
      </c>
      <c r="D960" s="10" t="s">
        <v>338</v>
      </c>
      <c r="E960" s="10" t="s">
        <v>51</v>
      </c>
      <c r="F960" s="10" t="s">
        <v>35</v>
      </c>
      <c r="G960" s="10" t="s">
        <v>3145</v>
      </c>
      <c r="H960" s="8" t="s">
        <v>48</v>
      </c>
      <c r="I960" s="11">
        <v>15.76</v>
      </c>
      <c r="J960" s="6">
        <v>11.82</v>
      </c>
      <c r="K960" s="6">
        <v>0.75</v>
      </c>
      <c r="L960" s="6">
        <v>12.98</v>
      </c>
      <c r="M960" s="11">
        <v>9.7349999999999994</v>
      </c>
      <c r="N960" s="11">
        <f t="shared" si="56"/>
        <v>9.7349999999999994</v>
      </c>
      <c r="O960" s="6">
        <v>0.74999999999999989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2.78</v>
      </c>
      <c r="Z960" s="6">
        <v>2.085</v>
      </c>
      <c r="AA960" s="6">
        <v>0.75</v>
      </c>
      <c r="AB960" s="6">
        <v>-2.7799999999999994</v>
      </c>
      <c r="AC960" s="6">
        <v>2.7799999999999994</v>
      </c>
      <c r="AD960" s="23" t="s">
        <v>3143</v>
      </c>
      <c r="AE960" s="23">
        <f t="shared" si="57"/>
        <v>0</v>
      </c>
      <c r="AF960" s="24">
        <f t="shared" si="58"/>
        <v>9.7349999999999994</v>
      </c>
      <c r="AG960" s="23">
        <f t="shared" si="59"/>
        <v>67</v>
      </c>
    </row>
    <row r="961" spans="1:33" ht="12.5" customHeight="1" x14ac:dyDescent="0.25">
      <c r="A961" s="12" t="s">
        <v>31</v>
      </c>
      <c r="B961" s="9">
        <v>46186</v>
      </c>
      <c r="C961" s="10" t="s">
        <v>1519</v>
      </c>
      <c r="D961" s="10" t="s">
        <v>1520</v>
      </c>
      <c r="E961" s="10" t="s">
        <v>34</v>
      </c>
      <c r="F961" s="10" t="s">
        <v>35</v>
      </c>
      <c r="G961" s="10" t="s">
        <v>3146</v>
      </c>
      <c r="H961" s="8" t="s">
        <v>36</v>
      </c>
      <c r="I961" s="11">
        <v>226.16</v>
      </c>
      <c r="J961" s="6">
        <v>207.38872000000001</v>
      </c>
      <c r="K961" s="6">
        <v>0.91700000000000004</v>
      </c>
      <c r="L961" s="6">
        <v>207.71</v>
      </c>
      <c r="M961" s="11">
        <v>190.47006999999999</v>
      </c>
      <c r="N961" s="11">
        <f t="shared" si="56"/>
        <v>190.471</v>
      </c>
      <c r="O961" s="6">
        <v>0.91699999999999993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18.45</v>
      </c>
      <c r="Z961" s="6">
        <v>16.91865</v>
      </c>
      <c r="AA961" s="6">
        <v>0.91700000000000004</v>
      </c>
      <c r="AB961" s="6">
        <v>-18.449999999999989</v>
      </c>
      <c r="AC961" s="6">
        <v>18.449999999999989</v>
      </c>
      <c r="AD961" s="22" t="s">
        <v>3140</v>
      </c>
      <c r="AE961" s="23">
        <f t="shared" si="57"/>
        <v>190.471</v>
      </c>
      <c r="AF961" s="24">
        <f t="shared" si="58"/>
        <v>0</v>
      </c>
      <c r="AG961" s="23">
        <f t="shared" si="59"/>
        <v>1</v>
      </c>
    </row>
    <row r="962" spans="1:33" ht="12.5" customHeight="1" x14ac:dyDescent="0.25">
      <c r="A962" s="12" t="s">
        <v>31</v>
      </c>
      <c r="B962" s="9">
        <v>46186</v>
      </c>
      <c r="C962" s="8" t="s">
        <v>1521</v>
      </c>
      <c r="D962" s="10" t="s">
        <v>1522</v>
      </c>
      <c r="E962" s="10" t="s">
        <v>51</v>
      </c>
      <c r="F962" s="10" t="s">
        <v>35</v>
      </c>
      <c r="G962" s="10" t="s">
        <v>3146</v>
      </c>
      <c r="H962" s="8" t="s">
        <v>36</v>
      </c>
      <c r="I962" s="11">
        <v>40.01</v>
      </c>
      <c r="J962" s="6">
        <v>36.689169999999997</v>
      </c>
      <c r="K962" s="6">
        <v>0.91699999999999993</v>
      </c>
      <c r="L962" s="6">
        <v>38</v>
      </c>
      <c r="M962" s="11">
        <v>34.845999999999997</v>
      </c>
      <c r="N962" s="11">
        <f t="shared" si="56"/>
        <v>34.845999999999997</v>
      </c>
      <c r="O962" s="6">
        <v>0.91699999999999993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2.0099999999999998</v>
      </c>
      <c r="Z962" s="6">
        <v>1.84317</v>
      </c>
      <c r="AA962" s="6">
        <v>0.91700000000000004</v>
      </c>
      <c r="AB962" s="6">
        <v>-2.009999999999998</v>
      </c>
      <c r="AC962" s="6">
        <v>2.009999999999998</v>
      </c>
      <c r="AD962" s="22" t="s">
        <v>3140</v>
      </c>
      <c r="AE962" s="23">
        <f t="shared" si="57"/>
        <v>34.845999999999997</v>
      </c>
      <c r="AF962" s="24">
        <f t="shared" si="58"/>
        <v>0</v>
      </c>
      <c r="AG962" s="23">
        <f t="shared" si="59"/>
        <v>2</v>
      </c>
    </row>
    <row r="963" spans="1:33" ht="12.5" customHeight="1" x14ac:dyDescent="0.25">
      <c r="A963" s="12" t="s">
        <v>31</v>
      </c>
      <c r="B963" s="9">
        <v>46186</v>
      </c>
      <c r="C963" s="12" t="s">
        <v>1521</v>
      </c>
      <c r="D963" s="10" t="s">
        <v>1523</v>
      </c>
      <c r="E963" s="10" t="s">
        <v>51</v>
      </c>
      <c r="F963" s="10" t="s">
        <v>35</v>
      </c>
      <c r="G963" s="10" t="s">
        <v>3146</v>
      </c>
      <c r="H963" s="8" t="s">
        <v>36</v>
      </c>
      <c r="I963" s="11">
        <v>62.14</v>
      </c>
      <c r="J963" s="6">
        <v>56.982379999999999</v>
      </c>
      <c r="K963" s="6">
        <v>0.91699999999999993</v>
      </c>
      <c r="L963" s="6">
        <v>56.91</v>
      </c>
      <c r="M963" s="11">
        <v>52.18647</v>
      </c>
      <c r="N963" s="11">
        <f t="shared" ref="N963:N1026" si="60">ROUNDUP(M963,3)</f>
        <v>52.186999999999998</v>
      </c>
      <c r="O963" s="6">
        <v>0.91700000000000004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5.23</v>
      </c>
      <c r="Z963" s="6">
        <v>4.7959100000000001</v>
      </c>
      <c r="AA963" s="6">
        <v>0.91699999999999993</v>
      </c>
      <c r="AB963" s="6">
        <v>-5.230000000000004</v>
      </c>
      <c r="AC963" s="6">
        <v>5.230000000000004</v>
      </c>
      <c r="AD963" s="22" t="s">
        <v>3140</v>
      </c>
      <c r="AE963" s="23">
        <f t="shared" ref="AE963:AE1026" si="61">_xlfn.MINIFS(N:N,D:D,D963)</f>
        <v>52.186999999999998</v>
      </c>
      <c r="AF963" s="24">
        <f t="shared" ref="AF963:AF1026" si="62">N963-AE963</f>
        <v>0</v>
      </c>
      <c r="AG963" s="23">
        <f t="shared" ref="AG963:AG1026" si="63">COUNTIF(D:D,D963)</f>
        <v>1</v>
      </c>
    </row>
    <row r="964" spans="1:33" ht="12.5" customHeight="1" x14ac:dyDescent="0.25">
      <c r="A964" s="12" t="s">
        <v>31</v>
      </c>
      <c r="B964" s="9">
        <v>46186</v>
      </c>
      <c r="C964" s="12" t="s">
        <v>1521</v>
      </c>
      <c r="D964" s="10" t="s">
        <v>1524</v>
      </c>
      <c r="E964" s="10" t="s">
        <v>51</v>
      </c>
      <c r="F964" s="10" t="s">
        <v>35</v>
      </c>
      <c r="G964" s="10" t="s">
        <v>3146</v>
      </c>
      <c r="H964" s="8" t="s">
        <v>36</v>
      </c>
      <c r="I964" s="11">
        <v>17.79</v>
      </c>
      <c r="J964" s="6">
        <v>16.31343</v>
      </c>
      <c r="K964" s="6">
        <v>0.91700000000000004</v>
      </c>
      <c r="L964" s="6">
        <v>16.260000000000002</v>
      </c>
      <c r="M964" s="11">
        <v>14.91042</v>
      </c>
      <c r="N964" s="11">
        <f t="shared" si="60"/>
        <v>14.911</v>
      </c>
      <c r="O964" s="6">
        <v>0.91699999999999993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1.53</v>
      </c>
      <c r="Z964" s="6">
        <v>1.4030100000000001</v>
      </c>
      <c r="AA964" s="6">
        <v>0.91700000000000004</v>
      </c>
      <c r="AB964" s="6">
        <v>-1.5299999999999976</v>
      </c>
      <c r="AC964" s="6">
        <v>1.5299999999999976</v>
      </c>
      <c r="AD964" s="22" t="s">
        <v>3140</v>
      </c>
      <c r="AE964" s="23">
        <f t="shared" si="61"/>
        <v>14.911</v>
      </c>
      <c r="AF964" s="24">
        <f t="shared" si="62"/>
        <v>0</v>
      </c>
      <c r="AG964" s="23">
        <f t="shared" si="63"/>
        <v>1</v>
      </c>
    </row>
    <row r="965" spans="1:33" ht="12.5" customHeight="1" x14ac:dyDescent="0.25">
      <c r="A965" s="12" t="s">
        <v>31</v>
      </c>
      <c r="B965" s="9">
        <v>46186</v>
      </c>
      <c r="C965" s="12" t="s">
        <v>1521</v>
      </c>
      <c r="D965" s="10" t="s">
        <v>1525</v>
      </c>
      <c r="E965" s="10" t="s">
        <v>51</v>
      </c>
      <c r="F965" s="10" t="s">
        <v>35</v>
      </c>
      <c r="G965" s="10" t="s">
        <v>3146</v>
      </c>
      <c r="H965" s="8" t="s">
        <v>36</v>
      </c>
      <c r="I965" s="11">
        <v>45.74</v>
      </c>
      <c r="J965" s="6">
        <v>41.943579999999997</v>
      </c>
      <c r="K965" s="6">
        <v>0.91699999999999993</v>
      </c>
      <c r="L965" s="6">
        <v>42.77</v>
      </c>
      <c r="M965" s="11">
        <v>39.220089999999999</v>
      </c>
      <c r="N965" s="11">
        <f t="shared" si="60"/>
        <v>39.220999999999997</v>
      </c>
      <c r="O965" s="6">
        <v>0.91699999999999993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2.97</v>
      </c>
      <c r="Z965" s="6">
        <v>2.72349</v>
      </c>
      <c r="AA965" s="6">
        <v>0.91699999999999993</v>
      </c>
      <c r="AB965" s="6">
        <v>-2.9699999999999989</v>
      </c>
      <c r="AC965" s="6">
        <v>2.9699999999999989</v>
      </c>
      <c r="AD965" s="22" t="s">
        <v>3140</v>
      </c>
      <c r="AE965" s="23">
        <f t="shared" si="61"/>
        <v>39.220999999999997</v>
      </c>
      <c r="AF965" s="24">
        <f t="shared" si="62"/>
        <v>0</v>
      </c>
      <c r="AG965" s="23">
        <f t="shared" si="63"/>
        <v>1</v>
      </c>
    </row>
    <row r="966" spans="1:33" ht="12.5" hidden="1" customHeight="1" x14ac:dyDescent="0.25">
      <c r="A966" s="12" t="s">
        <v>31</v>
      </c>
      <c r="B966" s="9">
        <v>46186</v>
      </c>
      <c r="C966" s="13" t="s">
        <v>1521</v>
      </c>
      <c r="D966" s="10" t="s">
        <v>1526</v>
      </c>
      <c r="E966" s="10" t="s">
        <v>51</v>
      </c>
      <c r="F966" s="10" t="s">
        <v>35</v>
      </c>
      <c r="G966" s="10" t="s">
        <v>3145</v>
      </c>
      <c r="H966" s="8" t="s">
        <v>48</v>
      </c>
      <c r="I966" s="11">
        <v>5.04</v>
      </c>
      <c r="J966" s="6">
        <v>3.78</v>
      </c>
      <c r="K966" s="6">
        <v>0.75</v>
      </c>
      <c r="L966" s="6">
        <v>4.5199999999999996</v>
      </c>
      <c r="M966" s="11">
        <v>3.39</v>
      </c>
      <c r="N966" s="11">
        <f t="shared" si="60"/>
        <v>3.39</v>
      </c>
      <c r="O966" s="6">
        <v>0.75000000000000011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0.52</v>
      </c>
      <c r="Z966" s="6">
        <v>0.39</v>
      </c>
      <c r="AA966" s="6">
        <v>0.75</v>
      </c>
      <c r="AB966" s="6">
        <v>-0.52000000000000046</v>
      </c>
      <c r="AC966" s="6">
        <v>0.52000000000000046</v>
      </c>
      <c r="AD966" s="22" t="s">
        <v>3140</v>
      </c>
      <c r="AE966" s="23">
        <f t="shared" si="61"/>
        <v>3.39</v>
      </c>
      <c r="AF966" s="24">
        <f t="shared" si="62"/>
        <v>0</v>
      </c>
      <c r="AG966" s="23">
        <f t="shared" si="63"/>
        <v>1</v>
      </c>
    </row>
    <row r="967" spans="1:33" x14ac:dyDescent="0.25">
      <c r="A967" s="12" t="s">
        <v>31</v>
      </c>
      <c r="B967" s="9">
        <v>46186</v>
      </c>
      <c r="C967" s="10" t="s">
        <v>1527</v>
      </c>
      <c r="D967" s="10" t="s">
        <v>1528</v>
      </c>
      <c r="E967" s="10" t="s">
        <v>51</v>
      </c>
      <c r="F967" s="10" t="s">
        <v>35</v>
      </c>
      <c r="G967" s="10" t="s">
        <v>3146</v>
      </c>
      <c r="H967" s="8" t="s">
        <v>36</v>
      </c>
      <c r="I967" s="11">
        <v>36.83</v>
      </c>
      <c r="J967" s="6">
        <v>33.773110000000003</v>
      </c>
      <c r="K967" s="6">
        <v>0.91700000000000015</v>
      </c>
      <c r="L967" s="6">
        <v>34.43</v>
      </c>
      <c r="M967" s="11">
        <v>31.572310000000002</v>
      </c>
      <c r="N967" s="11">
        <f t="shared" si="60"/>
        <v>31.573</v>
      </c>
      <c r="O967" s="6">
        <v>0.91700000000000004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2.4</v>
      </c>
      <c r="Z967" s="6">
        <v>2.2008000000000001</v>
      </c>
      <c r="AA967" s="6">
        <v>0.91700000000000004</v>
      </c>
      <c r="AB967" s="6">
        <v>-2.3999999999999986</v>
      </c>
      <c r="AC967" s="6">
        <v>2.3999999999999986</v>
      </c>
      <c r="AD967" s="22" t="s">
        <v>3140</v>
      </c>
      <c r="AE967" s="23">
        <f t="shared" si="61"/>
        <v>31.573</v>
      </c>
      <c r="AF967" s="24">
        <f t="shared" si="62"/>
        <v>0</v>
      </c>
      <c r="AG967" s="23">
        <f t="shared" si="63"/>
        <v>1</v>
      </c>
    </row>
    <row r="968" spans="1:33" ht="12.5" hidden="1" customHeight="1" x14ac:dyDescent="0.25">
      <c r="A968" s="12" t="s">
        <v>31</v>
      </c>
      <c r="B968" s="9">
        <v>46186</v>
      </c>
      <c r="C968" s="8" t="s">
        <v>1529</v>
      </c>
      <c r="D968" s="10" t="s">
        <v>1009</v>
      </c>
      <c r="E968" s="10" t="s">
        <v>51</v>
      </c>
      <c r="F968" s="10" t="s">
        <v>35</v>
      </c>
      <c r="G968" s="10" t="s">
        <v>3145</v>
      </c>
      <c r="H968" s="8" t="s">
        <v>48</v>
      </c>
      <c r="I968" s="11">
        <v>20.440000000000001</v>
      </c>
      <c r="J968" s="6">
        <v>15.33</v>
      </c>
      <c r="K968" s="6">
        <v>0.75</v>
      </c>
      <c r="L968" s="6">
        <v>20.32</v>
      </c>
      <c r="M968" s="11">
        <v>15.24</v>
      </c>
      <c r="N968" s="11">
        <f t="shared" si="60"/>
        <v>15.24</v>
      </c>
      <c r="O968" s="6">
        <v>0.75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0.12</v>
      </c>
      <c r="Z968" s="6">
        <v>0.09</v>
      </c>
      <c r="AA968" s="6">
        <v>0.75</v>
      </c>
      <c r="AB968" s="6">
        <v>-0.12000000000000099</v>
      </c>
      <c r="AC968" s="6">
        <v>0.12000000000000099</v>
      </c>
      <c r="AD968" s="22" t="s">
        <v>3140</v>
      </c>
      <c r="AE968" s="23">
        <f t="shared" si="61"/>
        <v>15.24</v>
      </c>
      <c r="AF968" s="24">
        <f t="shared" si="62"/>
        <v>0</v>
      </c>
      <c r="AG968" s="23">
        <f t="shared" si="63"/>
        <v>2</v>
      </c>
    </row>
    <row r="969" spans="1:33" ht="12.5" hidden="1" customHeight="1" x14ac:dyDescent="0.25">
      <c r="A969" s="12" t="s">
        <v>31</v>
      </c>
      <c r="B969" s="9">
        <v>46186</v>
      </c>
      <c r="C969" s="13" t="s">
        <v>1529</v>
      </c>
      <c r="D969" s="10" t="s">
        <v>1404</v>
      </c>
      <c r="E969" s="10" t="s">
        <v>51</v>
      </c>
      <c r="F969" s="10" t="s">
        <v>35</v>
      </c>
      <c r="G969" s="10" t="s">
        <v>3145</v>
      </c>
      <c r="H969" s="8" t="s">
        <v>48</v>
      </c>
      <c r="I969" s="11">
        <v>38.950099999999999</v>
      </c>
      <c r="J969" s="6">
        <v>29.212575000000001</v>
      </c>
      <c r="K969" s="6">
        <v>0.75</v>
      </c>
      <c r="L969" s="6">
        <v>38.78</v>
      </c>
      <c r="M969" s="11">
        <v>29.085000000000001</v>
      </c>
      <c r="N969" s="11">
        <f t="shared" si="60"/>
        <v>29.085000000000001</v>
      </c>
      <c r="O969" s="6">
        <v>0.75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0.1701</v>
      </c>
      <c r="Z969" s="6">
        <v>0.12757499999999999</v>
      </c>
      <c r="AA969" s="6">
        <v>0.75</v>
      </c>
      <c r="AB969" s="6">
        <v>-0.17009999999999792</v>
      </c>
      <c r="AC969" s="6">
        <v>0.17009999999999792</v>
      </c>
      <c r="AD969" s="22" t="s">
        <v>3140</v>
      </c>
      <c r="AE969" s="23">
        <f t="shared" si="61"/>
        <v>29.085000000000001</v>
      </c>
      <c r="AF969" s="24">
        <f t="shared" si="62"/>
        <v>0</v>
      </c>
      <c r="AG969" s="23">
        <f t="shared" si="63"/>
        <v>2</v>
      </c>
    </row>
    <row r="970" spans="1:33" hidden="1" x14ac:dyDescent="0.25">
      <c r="A970" s="12" t="s">
        <v>31</v>
      </c>
      <c r="B970" s="9">
        <v>46186</v>
      </c>
      <c r="C970" s="10" t="s">
        <v>1530</v>
      </c>
      <c r="D970" s="10" t="s">
        <v>1142</v>
      </c>
      <c r="E970" s="10" t="s">
        <v>51</v>
      </c>
      <c r="F970" s="10" t="s">
        <v>35</v>
      </c>
      <c r="G970" s="10" t="s">
        <v>3145</v>
      </c>
      <c r="H970" s="8" t="s">
        <v>41</v>
      </c>
      <c r="I970" s="11">
        <v>261.82</v>
      </c>
      <c r="J970" s="6">
        <v>196.36500000000001</v>
      </c>
      <c r="K970" s="6">
        <v>0.75</v>
      </c>
      <c r="L970" s="6">
        <v>260.74</v>
      </c>
      <c r="M970" s="11">
        <v>195.55500000000001</v>
      </c>
      <c r="N970" s="11">
        <f t="shared" si="60"/>
        <v>195.55500000000001</v>
      </c>
      <c r="O970" s="6">
        <v>0.75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1.08</v>
      </c>
      <c r="Z970" s="6">
        <v>0.81</v>
      </c>
      <c r="AA970" s="6">
        <v>0.75</v>
      </c>
      <c r="AB970" s="6">
        <v>-1.0799999999999841</v>
      </c>
      <c r="AC970" s="6">
        <v>1.0799999999999841</v>
      </c>
      <c r="AD970" s="23" t="s">
        <v>3143</v>
      </c>
      <c r="AE970" s="23">
        <f t="shared" si="61"/>
        <v>189.91499999999999</v>
      </c>
      <c r="AF970" s="24">
        <f t="shared" si="62"/>
        <v>5.6400000000000148</v>
      </c>
      <c r="AG970" s="23">
        <f t="shared" si="63"/>
        <v>4</v>
      </c>
    </row>
    <row r="971" spans="1:33" x14ac:dyDescent="0.25">
      <c r="A971" s="12" t="s">
        <v>31</v>
      </c>
      <c r="B971" s="9">
        <v>46186</v>
      </c>
      <c r="C971" s="10" t="s">
        <v>1531</v>
      </c>
      <c r="D971" s="10" t="s">
        <v>1532</v>
      </c>
      <c r="E971" s="10" t="s">
        <v>51</v>
      </c>
      <c r="F971" s="10" t="s">
        <v>35</v>
      </c>
      <c r="G971" s="10" t="s">
        <v>3146</v>
      </c>
      <c r="H971" s="8" t="s">
        <v>36</v>
      </c>
      <c r="I971" s="11">
        <v>3.38</v>
      </c>
      <c r="J971" s="6">
        <v>3.0994600000000001</v>
      </c>
      <c r="K971" s="6">
        <v>0.91700000000000004</v>
      </c>
      <c r="L971" s="6">
        <v>3.16</v>
      </c>
      <c r="M971" s="11">
        <v>2.8977200000000001</v>
      </c>
      <c r="N971" s="11">
        <f t="shared" si="60"/>
        <v>2.8979999999999997</v>
      </c>
      <c r="O971" s="6">
        <v>0.91700000000000004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0.22</v>
      </c>
      <c r="Z971" s="6">
        <v>0.20174</v>
      </c>
      <c r="AA971" s="6">
        <v>0.91700000000000004</v>
      </c>
      <c r="AB971" s="6">
        <v>-0.21999999999999975</v>
      </c>
      <c r="AC971" s="6">
        <v>0.21999999999999975</v>
      </c>
      <c r="AD971" s="22" t="s">
        <v>3140</v>
      </c>
      <c r="AE971" s="23">
        <f t="shared" si="61"/>
        <v>2.8979999999999997</v>
      </c>
      <c r="AF971" s="24">
        <f t="shared" si="62"/>
        <v>0</v>
      </c>
      <c r="AG971" s="23">
        <f t="shared" si="63"/>
        <v>2</v>
      </c>
    </row>
    <row r="972" spans="1:33" x14ac:dyDescent="0.25">
      <c r="A972" s="12" t="s">
        <v>31</v>
      </c>
      <c r="B972" s="9">
        <v>46186</v>
      </c>
      <c r="C972" s="10" t="s">
        <v>1533</v>
      </c>
      <c r="D972" s="10" t="s">
        <v>1534</v>
      </c>
      <c r="E972" s="10" t="s">
        <v>51</v>
      </c>
      <c r="F972" s="10" t="s">
        <v>35</v>
      </c>
      <c r="G972" s="10" t="s">
        <v>3146</v>
      </c>
      <c r="H972" s="8" t="s">
        <v>36</v>
      </c>
      <c r="I972" s="11">
        <v>15.88</v>
      </c>
      <c r="J972" s="6">
        <v>14.561959999999999</v>
      </c>
      <c r="K972" s="6">
        <v>0.91699999999999993</v>
      </c>
      <c r="L972" s="6">
        <v>15.19</v>
      </c>
      <c r="M972" s="11">
        <v>13.92923</v>
      </c>
      <c r="N972" s="11">
        <f t="shared" si="60"/>
        <v>13.93</v>
      </c>
      <c r="O972" s="6">
        <v>0.91700000000000004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0.69</v>
      </c>
      <c r="Z972" s="6">
        <v>0.63273000000000001</v>
      </c>
      <c r="AA972" s="6">
        <v>0.91700000000000004</v>
      </c>
      <c r="AB972" s="6">
        <v>-0.69000000000000128</v>
      </c>
      <c r="AC972" s="6">
        <v>0.69000000000000128</v>
      </c>
      <c r="AD972" s="22" t="s">
        <v>3140</v>
      </c>
      <c r="AE972" s="23">
        <f t="shared" si="61"/>
        <v>13.93</v>
      </c>
      <c r="AF972" s="24">
        <f t="shared" si="62"/>
        <v>0</v>
      </c>
      <c r="AG972" s="23">
        <f t="shared" si="63"/>
        <v>2</v>
      </c>
    </row>
    <row r="973" spans="1:33" ht="20" hidden="1" customHeight="1" x14ac:dyDescent="0.25">
      <c r="A973" s="12" t="s">
        <v>31</v>
      </c>
      <c r="B973" s="9">
        <v>46186</v>
      </c>
      <c r="C973" s="10" t="s">
        <v>1535</v>
      </c>
      <c r="D973" s="10" t="s">
        <v>1536</v>
      </c>
      <c r="E973" s="10" t="s">
        <v>51</v>
      </c>
      <c r="F973" s="10" t="s">
        <v>35</v>
      </c>
      <c r="G973" s="10" t="s">
        <v>3145</v>
      </c>
      <c r="H973" s="8" t="s">
        <v>48</v>
      </c>
      <c r="I973" s="11">
        <v>39.979999999999997</v>
      </c>
      <c r="J973" s="6">
        <v>29.984999999999999</v>
      </c>
      <c r="K973" s="6">
        <v>0.75</v>
      </c>
      <c r="L973" s="6">
        <v>37.659999999999997</v>
      </c>
      <c r="M973" s="11">
        <v>28.245000000000001</v>
      </c>
      <c r="N973" s="11">
        <f t="shared" si="60"/>
        <v>28.245000000000001</v>
      </c>
      <c r="O973" s="6">
        <v>0.75000000000000011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2.3199999999999998</v>
      </c>
      <c r="Z973" s="6">
        <v>1.74</v>
      </c>
      <c r="AA973" s="6">
        <v>0.75</v>
      </c>
      <c r="AB973" s="6">
        <v>-2.3200000000000003</v>
      </c>
      <c r="AC973" s="6">
        <v>2.3200000000000003</v>
      </c>
      <c r="AD973" s="22" t="s">
        <v>3140</v>
      </c>
      <c r="AE973" s="23">
        <f t="shared" si="61"/>
        <v>28.245000000000001</v>
      </c>
      <c r="AF973" s="24">
        <f t="shared" si="62"/>
        <v>0</v>
      </c>
      <c r="AG973" s="23">
        <f t="shared" si="63"/>
        <v>1</v>
      </c>
    </row>
    <row r="974" spans="1:33" x14ac:dyDescent="0.25">
      <c r="A974" s="12" t="s">
        <v>31</v>
      </c>
      <c r="B974" s="9">
        <v>46186</v>
      </c>
      <c r="C974" s="10" t="s">
        <v>1537</v>
      </c>
      <c r="D974" s="10" t="s">
        <v>1538</v>
      </c>
      <c r="E974" s="10" t="s">
        <v>51</v>
      </c>
      <c r="F974" s="10" t="s">
        <v>35</v>
      </c>
      <c r="G974" s="10" t="s">
        <v>3146</v>
      </c>
      <c r="H974" s="8" t="s">
        <v>36</v>
      </c>
      <c r="I974" s="11">
        <v>56.51</v>
      </c>
      <c r="J974" s="6">
        <v>51.819670000000002</v>
      </c>
      <c r="K974" s="6">
        <v>0.91700000000000004</v>
      </c>
      <c r="L974" s="6">
        <v>53.22</v>
      </c>
      <c r="M974" s="11">
        <v>48.80274</v>
      </c>
      <c r="N974" s="11">
        <f t="shared" si="60"/>
        <v>48.802999999999997</v>
      </c>
      <c r="O974" s="6">
        <v>0.91700000000000004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3.29</v>
      </c>
      <c r="Z974" s="6">
        <v>3.0169299999999999</v>
      </c>
      <c r="AA974" s="6">
        <v>0.91699999999999993</v>
      </c>
      <c r="AB974" s="6">
        <v>-3.2899999999999991</v>
      </c>
      <c r="AC974" s="6">
        <v>3.2899999999999991</v>
      </c>
      <c r="AD974" s="22" t="s">
        <v>3140</v>
      </c>
      <c r="AE974" s="23">
        <f t="shared" si="61"/>
        <v>48.802999999999997</v>
      </c>
      <c r="AF974" s="24">
        <f t="shared" si="62"/>
        <v>0</v>
      </c>
      <c r="AG974" s="23">
        <f t="shared" si="63"/>
        <v>1</v>
      </c>
    </row>
    <row r="975" spans="1:33" ht="12.5" customHeight="1" x14ac:dyDescent="0.25">
      <c r="A975" s="12" t="s">
        <v>31</v>
      </c>
      <c r="B975" s="9">
        <v>46186</v>
      </c>
      <c r="C975" s="8" t="s">
        <v>1539</v>
      </c>
      <c r="D975" s="10" t="s">
        <v>1540</v>
      </c>
      <c r="E975" s="10" t="s">
        <v>51</v>
      </c>
      <c r="F975" s="10" t="s">
        <v>35</v>
      </c>
      <c r="G975" s="10" t="s">
        <v>3146</v>
      </c>
      <c r="H975" s="8" t="s">
        <v>36</v>
      </c>
      <c r="I975" s="11">
        <v>56.07</v>
      </c>
      <c r="J975" s="6">
        <v>51.41619</v>
      </c>
      <c r="K975" s="6">
        <v>0.91700000000000004</v>
      </c>
      <c r="L975" s="6">
        <v>52.65</v>
      </c>
      <c r="M975" s="11">
        <v>48.280050000000003</v>
      </c>
      <c r="N975" s="11">
        <f t="shared" si="60"/>
        <v>48.280999999999999</v>
      </c>
      <c r="O975" s="6">
        <v>0.91700000000000004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3.42</v>
      </c>
      <c r="Z975" s="6">
        <v>3.1361400000000001</v>
      </c>
      <c r="AA975" s="6">
        <v>0.91700000000000004</v>
      </c>
      <c r="AB975" s="6">
        <v>-3.4200000000000017</v>
      </c>
      <c r="AC975" s="6">
        <v>3.4200000000000017</v>
      </c>
      <c r="AD975" s="22" t="s">
        <v>3140</v>
      </c>
      <c r="AE975" s="23">
        <f t="shared" si="61"/>
        <v>48.280999999999999</v>
      </c>
      <c r="AF975" s="24">
        <f t="shared" si="62"/>
        <v>0</v>
      </c>
      <c r="AG975" s="23">
        <f t="shared" si="63"/>
        <v>1</v>
      </c>
    </row>
    <row r="976" spans="1:33" ht="12.5" hidden="1" customHeight="1" x14ac:dyDescent="0.25">
      <c r="A976" s="12" t="s">
        <v>31</v>
      </c>
      <c r="B976" s="9">
        <v>46186</v>
      </c>
      <c r="C976" s="13" t="s">
        <v>1539</v>
      </c>
      <c r="D976" s="10" t="s">
        <v>1541</v>
      </c>
      <c r="E976" s="10" t="s">
        <v>51</v>
      </c>
      <c r="F976" s="10" t="s">
        <v>35</v>
      </c>
      <c r="G976" s="10" t="s">
        <v>3145</v>
      </c>
      <c r="H976" s="8" t="s">
        <v>41</v>
      </c>
      <c r="I976" s="11">
        <v>95.05</v>
      </c>
      <c r="J976" s="6">
        <v>71.287499999999994</v>
      </c>
      <c r="K976" s="6">
        <v>0.75</v>
      </c>
      <c r="L976" s="6">
        <v>91.97</v>
      </c>
      <c r="M976" s="11">
        <v>68.977500000000006</v>
      </c>
      <c r="N976" s="11">
        <f t="shared" si="60"/>
        <v>68.978000000000009</v>
      </c>
      <c r="O976" s="6">
        <v>0.75000000000000011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3.08</v>
      </c>
      <c r="Z976" s="6">
        <v>2.31</v>
      </c>
      <c r="AA976" s="6">
        <v>0.75</v>
      </c>
      <c r="AB976" s="6">
        <v>-3.0799999999999983</v>
      </c>
      <c r="AC976" s="6">
        <v>3.0799999999999983</v>
      </c>
      <c r="AD976" s="22" t="s">
        <v>3140</v>
      </c>
      <c r="AE976" s="23">
        <f t="shared" si="61"/>
        <v>68.978000000000009</v>
      </c>
      <c r="AF976" s="24">
        <f t="shared" si="62"/>
        <v>0</v>
      </c>
      <c r="AG976" s="23">
        <f t="shared" si="63"/>
        <v>1</v>
      </c>
    </row>
    <row r="977" spans="1:33" x14ac:dyDescent="0.25">
      <c r="A977" s="12" t="s">
        <v>31</v>
      </c>
      <c r="B977" s="9">
        <v>46186</v>
      </c>
      <c r="C977" s="10" t="s">
        <v>1542</v>
      </c>
      <c r="D977" s="10" t="s">
        <v>1543</v>
      </c>
      <c r="E977" s="10" t="s">
        <v>51</v>
      </c>
      <c r="F977" s="10" t="s">
        <v>35</v>
      </c>
      <c r="G977" s="10" t="s">
        <v>3146</v>
      </c>
      <c r="H977" s="8" t="s">
        <v>36</v>
      </c>
      <c r="I977" s="11">
        <v>41.83</v>
      </c>
      <c r="J977" s="6">
        <v>38.358110000000003</v>
      </c>
      <c r="K977" s="6">
        <v>0.91700000000000015</v>
      </c>
      <c r="L977" s="6">
        <v>40.04</v>
      </c>
      <c r="M977" s="11">
        <v>36.716679999999997</v>
      </c>
      <c r="N977" s="11">
        <f t="shared" si="60"/>
        <v>36.716999999999999</v>
      </c>
      <c r="O977" s="6">
        <v>0.91699999999999993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1.79</v>
      </c>
      <c r="Z977" s="6">
        <v>1.6414299999999999</v>
      </c>
      <c r="AA977" s="6">
        <v>0.91699999999999993</v>
      </c>
      <c r="AB977" s="6">
        <v>-1.7899999999999991</v>
      </c>
      <c r="AC977" s="6">
        <v>1.7899999999999991</v>
      </c>
      <c r="AD977" s="22" t="s">
        <v>3140</v>
      </c>
      <c r="AE977" s="23">
        <f t="shared" si="61"/>
        <v>36.716999999999999</v>
      </c>
      <c r="AF977" s="24">
        <f t="shared" si="62"/>
        <v>0</v>
      </c>
      <c r="AG977" s="23">
        <f t="shared" si="63"/>
        <v>2</v>
      </c>
    </row>
    <row r="978" spans="1:33" x14ac:dyDescent="0.25">
      <c r="A978" s="12" t="s">
        <v>31</v>
      </c>
      <c r="B978" s="9">
        <v>46186</v>
      </c>
      <c r="C978" s="10" t="s">
        <v>1544</v>
      </c>
      <c r="D978" s="10" t="s">
        <v>1532</v>
      </c>
      <c r="E978" s="10" t="s">
        <v>51</v>
      </c>
      <c r="F978" s="10" t="s">
        <v>35</v>
      </c>
      <c r="G978" s="10" t="s">
        <v>3146</v>
      </c>
      <c r="H978" s="8" t="s">
        <v>36</v>
      </c>
      <c r="I978" s="11">
        <v>3.59</v>
      </c>
      <c r="J978" s="6">
        <v>3.29203</v>
      </c>
      <c r="K978" s="6">
        <v>0.91700000000000004</v>
      </c>
      <c r="L978" s="6">
        <v>3.46</v>
      </c>
      <c r="M978" s="11">
        <v>3.1728200000000002</v>
      </c>
      <c r="N978" s="11">
        <f t="shared" si="60"/>
        <v>3.173</v>
      </c>
      <c r="O978" s="6">
        <v>0.91700000000000004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0.13</v>
      </c>
      <c r="Z978" s="6">
        <v>0.11921</v>
      </c>
      <c r="AA978" s="6">
        <v>0.91699999999999993</v>
      </c>
      <c r="AB978" s="6">
        <v>-0.12999999999999989</v>
      </c>
      <c r="AC978" s="6">
        <v>0.12999999999999989</v>
      </c>
      <c r="AD978" s="23" t="s">
        <v>3143</v>
      </c>
      <c r="AE978" s="23">
        <f t="shared" si="61"/>
        <v>2.8979999999999997</v>
      </c>
      <c r="AF978" s="24">
        <f t="shared" si="62"/>
        <v>0.27500000000000036</v>
      </c>
      <c r="AG978" s="23">
        <f t="shared" si="63"/>
        <v>2</v>
      </c>
    </row>
    <row r="979" spans="1:33" hidden="1" x14ac:dyDescent="0.25">
      <c r="A979" s="12" t="s">
        <v>31</v>
      </c>
      <c r="B979" s="9">
        <v>46186</v>
      </c>
      <c r="C979" s="10" t="s">
        <v>1545</v>
      </c>
      <c r="D979" s="10" t="s">
        <v>751</v>
      </c>
      <c r="E979" s="10" t="s">
        <v>51</v>
      </c>
      <c r="F979" s="10" t="s">
        <v>35</v>
      </c>
      <c r="G979" s="10" t="s">
        <v>3145</v>
      </c>
      <c r="H979" s="8" t="s">
        <v>41</v>
      </c>
      <c r="I979" s="11">
        <v>27.53</v>
      </c>
      <c r="J979" s="6">
        <v>20.647500000000001</v>
      </c>
      <c r="K979" s="6">
        <v>0.75</v>
      </c>
      <c r="L979" s="6">
        <v>24.78</v>
      </c>
      <c r="M979" s="11">
        <v>18.585000000000001</v>
      </c>
      <c r="N979" s="11">
        <f t="shared" si="60"/>
        <v>18.585000000000001</v>
      </c>
      <c r="O979" s="6">
        <v>0.75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2.75</v>
      </c>
      <c r="Z979" s="6">
        <v>2.0625</v>
      </c>
      <c r="AA979" s="6">
        <v>0.75</v>
      </c>
      <c r="AB979" s="6">
        <v>-2.75</v>
      </c>
      <c r="AC979" s="6">
        <v>2.75</v>
      </c>
      <c r="AD979" s="22" t="s">
        <v>3140</v>
      </c>
      <c r="AE979" s="23">
        <f t="shared" si="61"/>
        <v>18.585000000000001</v>
      </c>
      <c r="AF979" s="24">
        <f t="shared" si="62"/>
        <v>0</v>
      </c>
      <c r="AG979" s="23">
        <f t="shared" si="63"/>
        <v>2</v>
      </c>
    </row>
    <row r="980" spans="1:33" hidden="1" x14ac:dyDescent="0.25">
      <c r="A980" s="12" t="s">
        <v>31</v>
      </c>
      <c r="B980" s="9">
        <v>46186</v>
      </c>
      <c r="C980" s="10" t="s">
        <v>1546</v>
      </c>
      <c r="D980" s="10" t="s">
        <v>677</v>
      </c>
      <c r="E980" s="10" t="s">
        <v>51</v>
      </c>
      <c r="F980" s="10" t="s">
        <v>35</v>
      </c>
      <c r="G980" s="10" t="s">
        <v>3145</v>
      </c>
      <c r="H980" s="8" t="s">
        <v>41</v>
      </c>
      <c r="I980" s="11">
        <v>31.37</v>
      </c>
      <c r="J980" s="6">
        <v>23.5275</v>
      </c>
      <c r="K980" s="6">
        <v>0.75</v>
      </c>
      <c r="L980" s="6">
        <v>28.82</v>
      </c>
      <c r="M980" s="11">
        <v>21.614999999999998</v>
      </c>
      <c r="N980" s="11">
        <f t="shared" si="60"/>
        <v>21.614999999999998</v>
      </c>
      <c r="O980" s="6">
        <v>0.74999999999999989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2.5499999999999998</v>
      </c>
      <c r="Z980" s="6">
        <v>1.9125000000000001</v>
      </c>
      <c r="AA980" s="6">
        <v>0.75000000000000011</v>
      </c>
      <c r="AB980" s="6">
        <v>-2.5500000000000007</v>
      </c>
      <c r="AC980" s="6">
        <v>2.5500000000000007</v>
      </c>
      <c r="AD980" s="23" t="s">
        <v>3143</v>
      </c>
      <c r="AE980" s="23">
        <f t="shared" si="61"/>
        <v>17.774999999999999</v>
      </c>
      <c r="AF980" s="24">
        <f t="shared" si="62"/>
        <v>3.84</v>
      </c>
      <c r="AG980" s="23">
        <f t="shared" si="63"/>
        <v>2</v>
      </c>
    </row>
    <row r="981" spans="1:33" hidden="1" x14ac:dyDescent="0.25">
      <c r="A981" s="12" t="s">
        <v>31</v>
      </c>
      <c r="B981" s="9">
        <v>46186</v>
      </c>
      <c r="C981" s="10" t="s">
        <v>1547</v>
      </c>
      <c r="D981" s="10" t="s">
        <v>1548</v>
      </c>
      <c r="E981" s="10" t="s">
        <v>51</v>
      </c>
      <c r="F981" s="10" t="s">
        <v>35</v>
      </c>
      <c r="G981" s="10" t="s">
        <v>3145</v>
      </c>
      <c r="H981" s="8" t="s">
        <v>41</v>
      </c>
      <c r="I981" s="11">
        <v>203.31</v>
      </c>
      <c r="J981" s="6">
        <v>152.48249999999999</v>
      </c>
      <c r="K981" s="6">
        <v>0.74999999999999989</v>
      </c>
      <c r="L981" s="6">
        <v>193.44</v>
      </c>
      <c r="M981" s="11">
        <v>145.08000000000001</v>
      </c>
      <c r="N981" s="11">
        <f t="shared" si="60"/>
        <v>145.08000000000001</v>
      </c>
      <c r="O981" s="6">
        <v>0.75000000000000011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9.8699999999999992</v>
      </c>
      <c r="Z981" s="6">
        <v>7.4024999999999999</v>
      </c>
      <c r="AA981" s="6">
        <v>0.75</v>
      </c>
      <c r="AB981" s="6">
        <v>-9.8700000000000045</v>
      </c>
      <c r="AC981" s="6">
        <v>9.8700000000000045</v>
      </c>
      <c r="AD981" s="22" t="s">
        <v>3140</v>
      </c>
      <c r="AE981" s="23">
        <f t="shared" si="61"/>
        <v>145.08000000000001</v>
      </c>
      <c r="AF981" s="24">
        <f t="shared" si="62"/>
        <v>0</v>
      </c>
      <c r="AG981" s="23">
        <f t="shared" si="63"/>
        <v>1</v>
      </c>
    </row>
    <row r="982" spans="1:33" x14ac:dyDescent="0.25">
      <c r="A982" s="12" t="s">
        <v>31</v>
      </c>
      <c r="B982" s="9">
        <v>46186</v>
      </c>
      <c r="C982" s="10" t="s">
        <v>1549</v>
      </c>
      <c r="D982" s="10" t="s">
        <v>1550</v>
      </c>
      <c r="E982" s="10" t="s">
        <v>51</v>
      </c>
      <c r="F982" s="10" t="s">
        <v>35</v>
      </c>
      <c r="G982" s="10" t="s">
        <v>3146</v>
      </c>
      <c r="H982" s="8" t="s">
        <v>36</v>
      </c>
      <c r="I982" s="11">
        <v>50.69</v>
      </c>
      <c r="J982" s="6">
        <v>46.482729999999997</v>
      </c>
      <c r="K982" s="6">
        <v>0.91699999999999993</v>
      </c>
      <c r="L982" s="6">
        <v>47.85</v>
      </c>
      <c r="M982" s="11">
        <v>43.878450000000001</v>
      </c>
      <c r="N982" s="11">
        <f t="shared" si="60"/>
        <v>43.878999999999998</v>
      </c>
      <c r="O982" s="6">
        <v>0.91700000000000004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2.84</v>
      </c>
      <c r="Z982" s="6">
        <v>2.6042800000000002</v>
      </c>
      <c r="AA982" s="6">
        <v>0.91700000000000015</v>
      </c>
      <c r="AB982" s="6">
        <v>-2.8399999999999963</v>
      </c>
      <c r="AC982" s="6">
        <v>2.8399999999999963</v>
      </c>
      <c r="AD982" s="22" t="s">
        <v>3140</v>
      </c>
      <c r="AE982" s="23">
        <f t="shared" si="61"/>
        <v>43.878999999999998</v>
      </c>
      <c r="AF982" s="24">
        <f t="shared" si="62"/>
        <v>0</v>
      </c>
      <c r="AG982" s="23">
        <f t="shared" si="63"/>
        <v>2</v>
      </c>
    </row>
    <row r="983" spans="1:33" x14ac:dyDescent="0.25">
      <c r="A983" s="12" t="s">
        <v>31</v>
      </c>
      <c r="B983" s="9">
        <v>46186</v>
      </c>
      <c r="C983" s="10" t="s">
        <v>1551</v>
      </c>
      <c r="D983" s="10" t="s">
        <v>1534</v>
      </c>
      <c r="E983" s="10" t="s">
        <v>51</v>
      </c>
      <c r="F983" s="10" t="s">
        <v>35</v>
      </c>
      <c r="G983" s="10" t="s">
        <v>3146</v>
      </c>
      <c r="H983" s="8" t="s">
        <v>36</v>
      </c>
      <c r="I983" s="11">
        <v>17.010000000000002</v>
      </c>
      <c r="J983" s="6">
        <v>15.59817</v>
      </c>
      <c r="K983" s="6">
        <v>0.91699999999999993</v>
      </c>
      <c r="L983" s="6">
        <v>16.55</v>
      </c>
      <c r="M983" s="11">
        <v>15.176349999999999</v>
      </c>
      <c r="N983" s="11">
        <f t="shared" si="60"/>
        <v>15.177</v>
      </c>
      <c r="O983" s="6">
        <v>0.91699999999999993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0.46</v>
      </c>
      <c r="Z983" s="6">
        <v>0.42181999999999997</v>
      </c>
      <c r="AA983" s="6">
        <v>0.91699999999999993</v>
      </c>
      <c r="AB983" s="6">
        <v>-0.46000000000000085</v>
      </c>
      <c r="AC983" s="6">
        <v>0.46000000000000085</v>
      </c>
      <c r="AD983" s="23" t="s">
        <v>3143</v>
      </c>
      <c r="AE983" s="23">
        <f t="shared" si="61"/>
        <v>13.93</v>
      </c>
      <c r="AF983" s="24">
        <f t="shared" si="62"/>
        <v>1.2469999999999999</v>
      </c>
      <c r="AG983" s="23">
        <f t="shared" si="63"/>
        <v>2</v>
      </c>
    </row>
    <row r="984" spans="1:33" ht="12.5" customHeight="1" x14ac:dyDescent="0.25">
      <c r="A984" s="12" t="s">
        <v>31</v>
      </c>
      <c r="B984" s="9">
        <v>46186</v>
      </c>
      <c r="C984" s="8" t="s">
        <v>1552</v>
      </c>
      <c r="D984" s="10" t="s">
        <v>1553</v>
      </c>
      <c r="E984" s="10" t="s">
        <v>51</v>
      </c>
      <c r="F984" s="10" t="s">
        <v>35</v>
      </c>
      <c r="G984" s="10" t="s">
        <v>3146</v>
      </c>
      <c r="H984" s="8" t="s">
        <v>36</v>
      </c>
      <c r="I984" s="11">
        <v>67.046000000000006</v>
      </c>
      <c r="J984" s="6">
        <v>61.481181999999997</v>
      </c>
      <c r="K984" s="6">
        <v>0.91699999999999982</v>
      </c>
      <c r="L984" s="6">
        <v>61.545999999999999</v>
      </c>
      <c r="M984" s="11">
        <v>56.437682000000002</v>
      </c>
      <c r="N984" s="11">
        <f t="shared" si="60"/>
        <v>56.437999999999995</v>
      </c>
      <c r="O984" s="6">
        <v>0.91700000000000004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5.5</v>
      </c>
      <c r="Z984" s="6">
        <v>5.0434999999999999</v>
      </c>
      <c r="AA984" s="6">
        <v>0.91699999999999993</v>
      </c>
      <c r="AB984" s="6">
        <v>-5.5000000000000071</v>
      </c>
      <c r="AC984" s="6">
        <v>5.5000000000000071</v>
      </c>
      <c r="AD984" s="22" t="s">
        <v>3140</v>
      </c>
      <c r="AE984" s="23">
        <f t="shared" si="61"/>
        <v>56.437999999999995</v>
      </c>
      <c r="AF984" s="24">
        <f t="shared" si="62"/>
        <v>0</v>
      </c>
      <c r="AG984" s="23">
        <f t="shared" si="63"/>
        <v>1</v>
      </c>
    </row>
    <row r="985" spans="1:33" ht="12.5" hidden="1" customHeight="1" x14ac:dyDescent="0.25">
      <c r="A985" s="12" t="s">
        <v>31</v>
      </c>
      <c r="B985" s="9">
        <v>46186</v>
      </c>
      <c r="C985" s="12" t="s">
        <v>1552</v>
      </c>
      <c r="D985" s="10" t="s">
        <v>1554</v>
      </c>
      <c r="E985" s="10" t="s">
        <v>51</v>
      </c>
      <c r="F985" s="10" t="s">
        <v>35</v>
      </c>
      <c r="G985" s="10" t="s">
        <v>3145</v>
      </c>
      <c r="H985" s="8" t="s">
        <v>48</v>
      </c>
      <c r="I985" s="11">
        <v>56.84</v>
      </c>
      <c r="J985" s="6">
        <v>42.63</v>
      </c>
      <c r="K985" s="6">
        <v>0.75</v>
      </c>
      <c r="L985" s="6">
        <v>54.7</v>
      </c>
      <c r="M985" s="11">
        <v>41.024999999999999</v>
      </c>
      <c r="N985" s="11">
        <f t="shared" si="60"/>
        <v>41.024999999999999</v>
      </c>
      <c r="O985" s="6">
        <v>0.74999999999999989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2.14</v>
      </c>
      <c r="Z985" s="6">
        <v>1.605</v>
      </c>
      <c r="AA985" s="6">
        <v>0.75</v>
      </c>
      <c r="AB985" s="6">
        <v>-2.1400000000000006</v>
      </c>
      <c r="AC985" s="6">
        <v>2.1400000000000006</v>
      </c>
      <c r="AD985" s="22" t="s">
        <v>3140</v>
      </c>
      <c r="AE985" s="23">
        <f t="shared" si="61"/>
        <v>41.024999999999999</v>
      </c>
      <c r="AF985" s="24">
        <f t="shared" si="62"/>
        <v>0</v>
      </c>
      <c r="AG985" s="23">
        <f t="shared" si="63"/>
        <v>1</v>
      </c>
    </row>
    <row r="986" spans="1:33" ht="12.5" hidden="1" customHeight="1" x14ac:dyDescent="0.25">
      <c r="A986" s="12" t="s">
        <v>31</v>
      </c>
      <c r="B986" s="9">
        <v>46186</v>
      </c>
      <c r="C986" s="12" t="s">
        <v>1552</v>
      </c>
      <c r="D986" s="10" t="s">
        <v>1555</v>
      </c>
      <c r="E986" s="10" t="s">
        <v>51</v>
      </c>
      <c r="F986" s="10" t="s">
        <v>35</v>
      </c>
      <c r="G986" s="10" t="s">
        <v>3145</v>
      </c>
      <c r="H986" s="8" t="s">
        <v>48</v>
      </c>
      <c r="I986" s="11">
        <v>52.26</v>
      </c>
      <c r="J986" s="6">
        <v>39.195</v>
      </c>
      <c r="K986" s="6">
        <v>0.75</v>
      </c>
      <c r="L986" s="6">
        <v>46.5</v>
      </c>
      <c r="M986" s="11">
        <v>34.875</v>
      </c>
      <c r="N986" s="11">
        <f t="shared" si="60"/>
        <v>34.875</v>
      </c>
      <c r="O986" s="6">
        <v>0.75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5.76</v>
      </c>
      <c r="Z986" s="6">
        <v>4.32</v>
      </c>
      <c r="AA986" s="6">
        <v>0.75000000000000011</v>
      </c>
      <c r="AB986" s="6">
        <v>-5.759999999999998</v>
      </c>
      <c r="AC986" s="6">
        <v>5.759999999999998</v>
      </c>
      <c r="AD986" s="22" t="s">
        <v>3140</v>
      </c>
      <c r="AE986" s="23">
        <f t="shared" si="61"/>
        <v>34.875</v>
      </c>
      <c r="AF986" s="24">
        <f t="shared" si="62"/>
        <v>0</v>
      </c>
      <c r="AG986" s="23">
        <f t="shared" si="63"/>
        <v>1</v>
      </c>
    </row>
    <row r="987" spans="1:33" ht="12.5" customHeight="1" x14ac:dyDescent="0.25">
      <c r="A987" s="12" t="s">
        <v>31</v>
      </c>
      <c r="B987" s="9">
        <v>46186</v>
      </c>
      <c r="C987" s="13" t="s">
        <v>1552</v>
      </c>
      <c r="D987" s="10" t="s">
        <v>1556</v>
      </c>
      <c r="E987" s="10" t="s">
        <v>51</v>
      </c>
      <c r="F987" s="10" t="s">
        <v>35</v>
      </c>
      <c r="G987" s="10" t="s">
        <v>3146</v>
      </c>
      <c r="H987" s="8" t="s">
        <v>36</v>
      </c>
      <c r="I987" s="11">
        <v>123.07</v>
      </c>
      <c r="J987" s="6">
        <v>112.85518999999999</v>
      </c>
      <c r="K987" s="6">
        <v>0.91700000000000004</v>
      </c>
      <c r="L987" s="6">
        <v>114.42</v>
      </c>
      <c r="M987" s="11">
        <v>104.92314</v>
      </c>
      <c r="N987" s="11">
        <f t="shared" si="60"/>
        <v>104.92400000000001</v>
      </c>
      <c r="O987" s="6">
        <v>0.91700000000000004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8.65</v>
      </c>
      <c r="Z987" s="6">
        <v>7.9320500000000003</v>
      </c>
      <c r="AA987" s="6">
        <v>0.91700000000000004</v>
      </c>
      <c r="AB987" s="6">
        <v>-8.6499999999999915</v>
      </c>
      <c r="AC987" s="6">
        <v>8.6499999999999915</v>
      </c>
      <c r="AD987" s="22" t="s">
        <v>3140</v>
      </c>
      <c r="AE987" s="23">
        <f t="shared" si="61"/>
        <v>104.92400000000001</v>
      </c>
      <c r="AF987" s="24">
        <f t="shared" si="62"/>
        <v>0</v>
      </c>
      <c r="AG987" s="23">
        <f t="shared" si="63"/>
        <v>1</v>
      </c>
    </row>
    <row r="988" spans="1:33" ht="20" hidden="1" customHeight="1" x14ac:dyDescent="0.25">
      <c r="A988" s="12" t="s">
        <v>31</v>
      </c>
      <c r="B988" s="9">
        <v>46186</v>
      </c>
      <c r="C988" s="10" t="s">
        <v>1557</v>
      </c>
      <c r="D988" s="10" t="s">
        <v>1558</v>
      </c>
      <c r="E988" s="10" t="s">
        <v>51</v>
      </c>
      <c r="F988" s="10" t="s">
        <v>35</v>
      </c>
      <c r="G988" s="10" t="s">
        <v>3145</v>
      </c>
      <c r="H988" s="8" t="s">
        <v>48</v>
      </c>
      <c r="I988" s="11">
        <v>31.22</v>
      </c>
      <c r="J988" s="6">
        <v>23.414999999999999</v>
      </c>
      <c r="K988" s="6">
        <v>0.75</v>
      </c>
      <c r="L988" s="6">
        <v>28.72</v>
      </c>
      <c r="M988" s="11">
        <v>21.54</v>
      </c>
      <c r="N988" s="11">
        <f t="shared" si="60"/>
        <v>21.54</v>
      </c>
      <c r="O988" s="6">
        <v>0.75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2.5</v>
      </c>
      <c r="Z988" s="6">
        <v>1.875</v>
      </c>
      <c r="AA988" s="6">
        <v>0.75</v>
      </c>
      <c r="AB988" s="6">
        <v>-2.5</v>
      </c>
      <c r="AC988" s="6">
        <v>2.5</v>
      </c>
      <c r="AD988" s="23" t="s">
        <v>3143</v>
      </c>
      <c r="AE988" s="23">
        <f t="shared" si="61"/>
        <v>21.495000000000001</v>
      </c>
      <c r="AF988" s="24">
        <f t="shared" si="62"/>
        <v>4.4999999999998153E-2</v>
      </c>
      <c r="AG988" s="23">
        <f t="shared" si="63"/>
        <v>2</v>
      </c>
    </row>
    <row r="989" spans="1:33" x14ac:dyDescent="0.25">
      <c r="A989" s="12" t="s">
        <v>31</v>
      </c>
      <c r="B989" s="9">
        <v>46186</v>
      </c>
      <c r="C989" s="10" t="s">
        <v>1559</v>
      </c>
      <c r="D989" s="10" t="s">
        <v>1459</v>
      </c>
      <c r="E989" s="10" t="s">
        <v>51</v>
      </c>
      <c r="F989" s="10" t="s">
        <v>35</v>
      </c>
      <c r="G989" s="10" t="s">
        <v>3146</v>
      </c>
      <c r="H989" s="8" t="s">
        <v>36</v>
      </c>
      <c r="I989" s="11">
        <v>70.010000000000005</v>
      </c>
      <c r="J989" s="6">
        <v>64.199169999999995</v>
      </c>
      <c r="K989" s="6">
        <v>0.91699999999999982</v>
      </c>
      <c r="L989" s="6">
        <v>70.010000000000005</v>
      </c>
      <c r="M989" s="11">
        <v>64.199169999999995</v>
      </c>
      <c r="N989" s="11">
        <f t="shared" si="60"/>
        <v>64.2</v>
      </c>
      <c r="O989" s="6">
        <v>0.91699999999999982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22" t="s">
        <v>3140</v>
      </c>
      <c r="AE989" s="23">
        <f t="shared" si="61"/>
        <v>64.2</v>
      </c>
      <c r="AF989" s="24">
        <f t="shared" si="62"/>
        <v>0</v>
      </c>
      <c r="AG989" s="23">
        <f t="shared" si="63"/>
        <v>2</v>
      </c>
    </row>
    <row r="990" spans="1:33" ht="12.5" customHeight="1" x14ac:dyDescent="0.25">
      <c r="A990" s="12" t="s">
        <v>31</v>
      </c>
      <c r="B990" s="9">
        <v>46186</v>
      </c>
      <c r="C990" s="8" t="s">
        <v>1560</v>
      </c>
      <c r="D990" s="10" t="s">
        <v>1561</v>
      </c>
      <c r="E990" s="10" t="s">
        <v>51</v>
      </c>
      <c r="F990" s="10" t="s">
        <v>35</v>
      </c>
      <c r="G990" s="10" t="s">
        <v>3146</v>
      </c>
      <c r="H990" s="8" t="s">
        <v>36</v>
      </c>
      <c r="I990" s="11">
        <v>49.93</v>
      </c>
      <c r="J990" s="6">
        <v>45.785809999999998</v>
      </c>
      <c r="K990" s="6">
        <v>0.91699999999999993</v>
      </c>
      <c r="L990" s="6">
        <v>44</v>
      </c>
      <c r="M990" s="11">
        <v>40.347999999999999</v>
      </c>
      <c r="N990" s="11">
        <f t="shared" si="60"/>
        <v>40.347999999999999</v>
      </c>
      <c r="O990" s="6">
        <v>0.91699999999999993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5.93</v>
      </c>
      <c r="Z990" s="6">
        <v>5.4378099999999998</v>
      </c>
      <c r="AA990" s="6">
        <v>0.91700000000000004</v>
      </c>
      <c r="AB990" s="6">
        <v>-5.93</v>
      </c>
      <c r="AC990" s="6">
        <v>5.93</v>
      </c>
      <c r="AD990" s="23" t="s">
        <v>3143</v>
      </c>
      <c r="AE990" s="23">
        <f t="shared" si="61"/>
        <v>40.119</v>
      </c>
      <c r="AF990" s="24">
        <f t="shared" si="62"/>
        <v>0.2289999999999992</v>
      </c>
      <c r="AG990" s="23">
        <f t="shared" si="63"/>
        <v>2</v>
      </c>
    </row>
    <row r="991" spans="1:33" ht="12.5" hidden="1" customHeight="1" x14ac:dyDescent="0.25">
      <c r="A991" s="12" t="s">
        <v>31</v>
      </c>
      <c r="B991" s="9">
        <v>46186</v>
      </c>
      <c r="C991" s="13" t="s">
        <v>1560</v>
      </c>
      <c r="D991" s="10" t="s">
        <v>1562</v>
      </c>
      <c r="E991" s="10" t="s">
        <v>51</v>
      </c>
      <c r="F991" s="10" t="s">
        <v>35</v>
      </c>
      <c r="G991" s="10" t="s">
        <v>3145</v>
      </c>
      <c r="H991" s="8" t="s">
        <v>41</v>
      </c>
      <c r="I991" s="11">
        <v>29.07</v>
      </c>
      <c r="J991" s="6">
        <v>21.802499999999998</v>
      </c>
      <c r="K991" s="6">
        <v>0.74999999999999989</v>
      </c>
      <c r="L991" s="6">
        <v>26.21</v>
      </c>
      <c r="M991" s="11">
        <v>19.657499999999999</v>
      </c>
      <c r="N991" s="11">
        <f t="shared" si="60"/>
        <v>19.658000000000001</v>
      </c>
      <c r="O991" s="6">
        <v>0.74999999999999989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2.86</v>
      </c>
      <c r="Z991" s="6">
        <v>2.145</v>
      </c>
      <c r="AA991" s="6">
        <v>0.75</v>
      </c>
      <c r="AB991" s="6">
        <v>-2.8599999999999994</v>
      </c>
      <c r="AC991" s="6">
        <v>2.8599999999999994</v>
      </c>
      <c r="AD991" s="22" t="s">
        <v>3140</v>
      </c>
      <c r="AE991" s="23">
        <f t="shared" si="61"/>
        <v>19.658000000000001</v>
      </c>
      <c r="AF991" s="24">
        <f t="shared" si="62"/>
        <v>0</v>
      </c>
      <c r="AG991" s="23">
        <f t="shared" si="63"/>
        <v>1</v>
      </c>
    </row>
    <row r="992" spans="1:33" x14ac:dyDescent="0.25">
      <c r="A992" s="12" t="s">
        <v>31</v>
      </c>
      <c r="B992" s="9">
        <v>46186</v>
      </c>
      <c r="C992" s="10" t="s">
        <v>1563</v>
      </c>
      <c r="D992" s="10" t="s">
        <v>1564</v>
      </c>
      <c r="E992" s="10" t="s">
        <v>51</v>
      </c>
      <c r="F992" s="10" t="s">
        <v>35</v>
      </c>
      <c r="G992" s="10" t="s">
        <v>3146</v>
      </c>
      <c r="H992" s="8" t="s">
        <v>36</v>
      </c>
      <c r="I992" s="11">
        <v>8.19</v>
      </c>
      <c r="J992" s="6">
        <v>7.51023</v>
      </c>
      <c r="K992" s="6">
        <v>0.91700000000000004</v>
      </c>
      <c r="L992" s="6">
        <v>7.88</v>
      </c>
      <c r="M992" s="11">
        <v>7.2259599999999997</v>
      </c>
      <c r="N992" s="11">
        <f t="shared" si="60"/>
        <v>7.226</v>
      </c>
      <c r="O992" s="6">
        <v>0.91699999999999993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0.31</v>
      </c>
      <c r="Z992" s="6">
        <v>0.28427000000000002</v>
      </c>
      <c r="AA992" s="6">
        <v>0.91700000000000004</v>
      </c>
      <c r="AB992" s="6">
        <v>-0.30999999999999961</v>
      </c>
      <c r="AC992" s="6">
        <v>0.30999999999999961</v>
      </c>
      <c r="AD992" s="22" t="s">
        <v>3140</v>
      </c>
      <c r="AE992" s="23">
        <f t="shared" si="61"/>
        <v>7.226</v>
      </c>
      <c r="AF992" s="24">
        <f t="shared" si="62"/>
        <v>0</v>
      </c>
      <c r="AG992" s="23">
        <f t="shared" si="63"/>
        <v>1</v>
      </c>
    </row>
    <row r="993" spans="1:33" x14ac:dyDescent="0.25">
      <c r="A993" s="12" t="s">
        <v>31</v>
      </c>
      <c r="B993" s="9">
        <v>46186</v>
      </c>
      <c r="C993" s="10" t="s">
        <v>1565</v>
      </c>
      <c r="D993" s="10" t="s">
        <v>1566</v>
      </c>
      <c r="E993" s="10" t="s">
        <v>51</v>
      </c>
      <c r="F993" s="10" t="s">
        <v>35</v>
      </c>
      <c r="G993" s="10" t="s">
        <v>3146</v>
      </c>
      <c r="H993" s="8" t="s">
        <v>36</v>
      </c>
      <c r="I993" s="11">
        <v>44.53</v>
      </c>
      <c r="J993" s="6">
        <v>40.834009999999999</v>
      </c>
      <c r="K993" s="6">
        <v>0.91699999999999993</v>
      </c>
      <c r="L993" s="6">
        <v>43.01</v>
      </c>
      <c r="M993" s="11">
        <v>39.440170000000002</v>
      </c>
      <c r="N993" s="11">
        <f t="shared" si="60"/>
        <v>39.440999999999995</v>
      </c>
      <c r="O993" s="6">
        <v>0.91700000000000004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1.52</v>
      </c>
      <c r="Z993" s="6">
        <v>1.39384</v>
      </c>
      <c r="AA993" s="6">
        <v>0.91699999999999993</v>
      </c>
      <c r="AB993" s="6">
        <v>-1.5200000000000031</v>
      </c>
      <c r="AC993" s="6">
        <v>1.5200000000000031</v>
      </c>
      <c r="AD993" s="22" t="s">
        <v>3140</v>
      </c>
      <c r="AE993" s="23">
        <f t="shared" si="61"/>
        <v>39.440999999999995</v>
      </c>
      <c r="AF993" s="24">
        <f t="shared" si="62"/>
        <v>0</v>
      </c>
      <c r="AG993" s="23">
        <f t="shared" si="63"/>
        <v>1</v>
      </c>
    </row>
    <row r="994" spans="1:33" ht="12.5" hidden="1" customHeight="1" x14ac:dyDescent="0.25">
      <c r="A994" s="12" t="s">
        <v>31</v>
      </c>
      <c r="B994" s="9">
        <v>46186</v>
      </c>
      <c r="C994" s="8" t="s">
        <v>1567</v>
      </c>
      <c r="D994" s="10" t="s">
        <v>1568</v>
      </c>
      <c r="E994" s="10" t="s">
        <v>51</v>
      </c>
      <c r="F994" s="10" t="s">
        <v>35</v>
      </c>
      <c r="G994" s="10" t="s">
        <v>3145</v>
      </c>
      <c r="H994" s="8" t="s">
        <v>48</v>
      </c>
      <c r="I994" s="11">
        <v>4.96</v>
      </c>
      <c r="J994" s="6">
        <v>3.72</v>
      </c>
      <c r="K994" s="6">
        <v>0.75</v>
      </c>
      <c r="L994" s="6">
        <v>4.79</v>
      </c>
      <c r="M994" s="11">
        <v>3.5924999999999998</v>
      </c>
      <c r="N994" s="11">
        <f t="shared" si="60"/>
        <v>3.593</v>
      </c>
      <c r="O994" s="6">
        <v>0.75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0.17</v>
      </c>
      <c r="Z994" s="6">
        <v>0.1275</v>
      </c>
      <c r="AA994" s="6">
        <v>0.75</v>
      </c>
      <c r="AB994" s="6">
        <v>-0.16999999999999993</v>
      </c>
      <c r="AC994" s="6">
        <v>0.16999999999999993</v>
      </c>
      <c r="AD994" s="22" t="s">
        <v>3140</v>
      </c>
      <c r="AE994" s="23">
        <f t="shared" si="61"/>
        <v>3.593</v>
      </c>
      <c r="AF994" s="24">
        <f t="shared" si="62"/>
        <v>0</v>
      </c>
      <c r="AG994" s="23">
        <f t="shared" si="63"/>
        <v>1</v>
      </c>
    </row>
    <row r="995" spans="1:33" ht="12.5" hidden="1" customHeight="1" x14ac:dyDescent="0.25">
      <c r="A995" s="12" t="s">
        <v>31</v>
      </c>
      <c r="B995" s="9">
        <v>46186</v>
      </c>
      <c r="C995" s="12" t="s">
        <v>1567</v>
      </c>
      <c r="D995" s="10" t="s">
        <v>1569</v>
      </c>
      <c r="E995" s="10" t="s">
        <v>51</v>
      </c>
      <c r="F995" s="10" t="s">
        <v>35</v>
      </c>
      <c r="G995" s="10" t="s">
        <v>3145</v>
      </c>
      <c r="H995" s="8" t="s">
        <v>48</v>
      </c>
      <c r="I995" s="11">
        <v>3.54</v>
      </c>
      <c r="J995" s="6">
        <v>2.6549999999999998</v>
      </c>
      <c r="K995" s="6">
        <v>0.74999999999999989</v>
      </c>
      <c r="L995" s="6">
        <v>3.33</v>
      </c>
      <c r="M995" s="11">
        <v>2.4975000000000001</v>
      </c>
      <c r="N995" s="11">
        <f t="shared" si="60"/>
        <v>2.4979999999999998</v>
      </c>
      <c r="O995" s="6">
        <v>0.75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0.21</v>
      </c>
      <c r="Z995" s="6">
        <v>0.1575</v>
      </c>
      <c r="AA995" s="6">
        <v>0.75</v>
      </c>
      <c r="AB995" s="6">
        <v>-0.20999999999999996</v>
      </c>
      <c r="AC995" s="6">
        <v>0.20999999999999996</v>
      </c>
      <c r="AD995" s="22" t="s">
        <v>3140</v>
      </c>
      <c r="AE995" s="23">
        <f t="shared" si="61"/>
        <v>2.4979999999999998</v>
      </c>
      <c r="AF995" s="24">
        <f t="shared" si="62"/>
        <v>0</v>
      </c>
      <c r="AG995" s="23">
        <f t="shared" si="63"/>
        <v>1</v>
      </c>
    </row>
    <row r="996" spans="1:33" ht="12.5" hidden="1" customHeight="1" x14ac:dyDescent="0.25">
      <c r="A996" s="12" t="s">
        <v>31</v>
      </c>
      <c r="B996" s="9">
        <v>46186</v>
      </c>
      <c r="C996" s="13" t="s">
        <v>1567</v>
      </c>
      <c r="D996" s="10" t="s">
        <v>1570</v>
      </c>
      <c r="E996" s="10" t="s">
        <v>51</v>
      </c>
      <c r="F996" s="10" t="s">
        <v>35</v>
      </c>
      <c r="G996" s="10" t="s">
        <v>3145</v>
      </c>
      <c r="H996" s="8" t="s">
        <v>48</v>
      </c>
      <c r="I996" s="11">
        <v>6.1</v>
      </c>
      <c r="J996" s="6">
        <v>4.5750000000000002</v>
      </c>
      <c r="K996" s="6">
        <v>0.75000000000000011</v>
      </c>
      <c r="L996" s="6">
        <v>5.78</v>
      </c>
      <c r="M996" s="11">
        <v>4.335</v>
      </c>
      <c r="N996" s="11">
        <f t="shared" si="60"/>
        <v>4.335</v>
      </c>
      <c r="O996" s="6">
        <v>0.75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0.32</v>
      </c>
      <c r="Z996" s="6">
        <v>0.24</v>
      </c>
      <c r="AA996" s="6">
        <v>0.75</v>
      </c>
      <c r="AB996" s="6">
        <v>-0.3199999999999994</v>
      </c>
      <c r="AC996" s="6">
        <v>0.3199999999999994</v>
      </c>
      <c r="AD996" s="22" t="s">
        <v>3140</v>
      </c>
      <c r="AE996" s="23">
        <f t="shared" si="61"/>
        <v>4.335</v>
      </c>
      <c r="AF996" s="24">
        <f t="shared" si="62"/>
        <v>0</v>
      </c>
      <c r="AG996" s="23">
        <f t="shared" si="63"/>
        <v>1</v>
      </c>
    </row>
    <row r="997" spans="1:33" ht="12.5" customHeight="1" x14ac:dyDescent="0.25">
      <c r="A997" s="12" t="s">
        <v>31</v>
      </c>
      <c r="B997" s="9">
        <v>46186</v>
      </c>
      <c r="C997" s="8" t="s">
        <v>1571</v>
      </c>
      <c r="D997" s="10" t="s">
        <v>1572</v>
      </c>
      <c r="E997" s="10" t="s">
        <v>51</v>
      </c>
      <c r="F997" s="10" t="s">
        <v>35</v>
      </c>
      <c r="G997" s="10" t="s">
        <v>3146</v>
      </c>
      <c r="H997" s="8" t="s">
        <v>36</v>
      </c>
      <c r="I997" s="11">
        <v>32.97</v>
      </c>
      <c r="J997" s="6">
        <v>30.23349</v>
      </c>
      <c r="K997" s="6">
        <v>0.91700000000000004</v>
      </c>
      <c r="L997" s="6">
        <v>31.86</v>
      </c>
      <c r="M997" s="11">
        <v>29.215620000000001</v>
      </c>
      <c r="N997" s="11">
        <f t="shared" si="60"/>
        <v>29.216000000000001</v>
      </c>
      <c r="O997" s="6">
        <v>0.91700000000000004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1.1100000000000001</v>
      </c>
      <c r="Z997" s="6">
        <v>1.0178700000000001</v>
      </c>
      <c r="AA997" s="6">
        <v>0.91699999999999993</v>
      </c>
      <c r="AB997" s="6">
        <v>-1.1099999999999994</v>
      </c>
      <c r="AC997" s="6">
        <v>1.1099999999999994</v>
      </c>
      <c r="AD997" s="22" t="s">
        <v>3140</v>
      </c>
      <c r="AE997" s="23">
        <f t="shared" si="61"/>
        <v>29.216000000000001</v>
      </c>
      <c r="AF997" s="24">
        <f t="shared" si="62"/>
        <v>0</v>
      </c>
      <c r="AG997" s="23">
        <f t="shared" si="63"/>
        <v>1</v>
      </c>
    </row>
    <row r="998" spans="1:33" ht="12.5" customHeight="1" x14ac:dyDescent="0.25">
      <c r="A998" s="12" t="s">
        <v>31</v>
      </c>
      <c r="B998" s="9">
        <v>46186</v>
      </c>
      <c r="C998" s="12" t="s">
        <v>1571</v>
      </c>
      <c r="D998" s="10" t="s">
        <v>1573</v>
      </c>
      <c r="E998" s="10" t="s">
        <v>51</v>
      </c>
      <c r="F998" s="10" t="s">
        <v>35</v>
      </c>
      <c r="G998" s="10" t="s">
        <v>3146</v>
      </c>
      <c r="H998" s="8" t="s">
        <v>36</v>
      </c>
      <c r="I998" s="11">
        <v>43.4</v>
      </c>
      <c r="J998" s="6">
        <v>39.797800000000002</v>
      </c>
      <c r="K998" s="6">
        <v>0.91700000000000004</v>
      </c>
      <c r="L998" s="6">
        <v>42.2</v>
      </c>
      <c r="M998" s="11">
        <v>38.697400000000002</v>
      </c>
      <c r="N998" s="11">
        <f t="shared" si="60"/>
        <v>38.698</v>
      </c>
      <c r="O998" s="6">
        <v>0.91699999999999993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1.2</v>
      </c>
      <c r="Z998" s="6">
        <v>1.1004</v>
      </c>
      <c r="AA998" s="6">
        <v>0.91700000000000004</v>
      </c>
      <c r="AB998" s="6">
        <v>-1.1999999999999957</v>
      </c>
      <c r="AC998" s="6">
        <v>1.1999999999999957</v>
      </c>
      <c r="AD998" s="22" t="s">
        <v>3140</v>
      </c>
      <c r="AE998" s="23">
        <f t="shared" si="61"/>
        <v>38.698</v>
      </c>
      <c r="AF998" s="24">
        <f t="shared" si="62"/>
        <v>0</v>
      </c>
      <c r="AG998" s="23">
        <f t="shared" si="63"/>
        <v>1</v>
      </c>
    </row>
    <row r="999" spans="1:33" ht="12.5" customHeight="1" x14ac:dyDescent="0.25">
      <c r="A999" s="12" t="s">
        <v>31</v>
      </c>
      <c r="B999" s="9">
        <v>46186</v>
      </c>
      <c r="C999" s="13" t="s">
        <v>1571</v>
      </c>
      <c r="D999" s="10" t="s">
        <v>1574</v>
      </c>
      <c r="E999" s="10" t="s">
        <v>51</v>
      </c>
      <c r="F999" s="10" t="s">
        <v>35</v>
      </c>
      <c r="G999" s="10" t="s">
        <v>3146</v>
      </c>
      <c r="H999" s="8" t="s">
        <v>36</v>
      </c>
      <c r="I999" s="11">
        <v>25.16</v>
      </c>
      <c r="J999" s="6">
        <v>23.071719999999999</v>
      </c>
      <c r="K999" s="6">
        <v>0.91699999999999993</v>
      </c>
      <c r="L999" s="6">
        <v>24.16</v>
      </c>
      <c r="M999" s="11">
        <v>22.154720000000001</v>
      </c>
      <c r="N999" s="11">
        <f t="shared" si="60"/>
        <v>22.155000000000001</v>
      </c>
      <c r="O999" s="6">
        <v>0.91700000000000004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1</v>
      </c>
      <c r="Z999" s="6">
        <v>0.91700000000000004</v>
      </c>
      <c r="AA999" s="6">
        <v>0.91700000000000004</v>
      </c>
      <c r="AB999" s="6">
        <v>-1</v>
      </c>
      <c r="AC999" s="6">
        <v>1</v>
      </c>
      <c r="AD999" s="22" t="s">
        <v>3140</v>
      </c>
      <c r="AE999" s="23">
        <f t="shared" si="61"/>
        <v>22.155000000000001</v>
      </c>
      <c r="AF999" s="24">
        <f t="shared" si="62"/>
        <v>0</v>
      </c>
      <c r="AG999" s="23">
        <f t="shared" si="63"/>
        <v>1</v>
      </c>
    </row>
    <row r="1000" spans="1:33" x14ac:dyDescent="0.25">
      <c r="A1000" s="12" t="s">
        <v>31</v>
      </c>
      <c r="B1000" s="9">
        <v>46186</v>
      </c>
      <c r="C1000" s="10" t="s">
        <v>1575</v>
      </c>
      <c r="D1000" s="10" t="s">
        <v>1576</v>
      </c>
      <c r="E1000" s="10" t="s">
        <v>51</v>
      </c>
      <c r="F1000" s="10" t="s">
        <v>35</v>
      </c>
      <c r="G1000" s="10" t="s">
        <v>3146</v>
      </c>
      <c r="H1000" s="8" t="s">
        <v>36</v>
      </c>
      <c r="I1000" s="11">
        <v>120.9</v>
      </c>
      <c r="J1000" s="6">
        <v>110.8653</v>
      </c>
      <c r="K1000" s="6">
        <v>0.91700000000000004</v>
      </c>
      <c r="L1000" s="6">
        <v>114.83</v>
      </c>
      <c r="M1000" s="11">
        <v>105.29911</v>
      </c>
      <c r="N1000" s="11">
        <f t="shared" si="60"/>
        <v>105.30000000000001</v>
      </c>
      <c r="O1000" s="6">
        <v>0.91700000000000004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6.07</v>
      </c>
      <c r="Z1000" s="6">
        <v>5.5661899999999997</v>
      </c>
      <c r="AA1000" s="6">
        <v>0.91699999999999993</v>
      </c>
      <c r="AB1000" s="6">
        <v>-6.0700000000000074</v>
      </c>
      <c r="AC1000" s="6">
        <v>6.0700000000000074</v>
      </c>
      <c r="AD1000" s="22" t="s">
        <v>3140</v>
      </c>
      <c r="AE1000" s="23">
        <f t="shared" si="61"/>
        <v>105.30000000000001</v>
      </c>
      <c r="AF1000" s="24">
        <f t="shared" si="62"/>
        <v>0</v>
      </c>
      <c r="AG1000" s="23">
        <f t="shared" si="63"/>
        <v>1</v>
      </c>
    </row>
    <row r="1001" spans="1:33" x14ac:dyDescent="0.25">
      <c r="A1001" s="12" t="s">
        <v>31</v>
      </c>
      <c r="B1001" s="9">
        <v>46186</v>
      </c>
      <c r="C1001" s="10" t="s">
        <v>1577</v>
      </c>
      <c r="D1001" s="10" t="s">
        <v>1464</v>
      </c>
      <c r="E1001" s="10" t="s">
        <v>51</v>
      </c>
      <c r="F1001" s="10" t="s">
        <v>35</v>
      </c>
      <c r="G1001" s="10" t="s">
        <v>3146</v>
      </c>
      <c r="H1001" s="8" t="s">
        <v>36</v>
      </c>
      <c r="I1001" s="11">
        <v>37.450000000000003</v>
      </c>
      <c r="J1001" s="6">
        <v>34.341650000000001</v>
      </c>
      <c r="K1001" s="6">
        <v>0.91699999999999993</v>
      </c>
      <c r="L1001" s="6">
        <v>36.700000000000003</v>
      </c>
      <c r="M1001" s="11">
        <v>33.6539</v>
      </c>
      <c r="N1001" s="11">
        <f t="shared" si="60"/>
        <v>33.653999999999996</v>
      </c>
      <c r="O1001" s="6">
        <v>0.91699999999999993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0.75</v>
      </c>
      <c r="Z1001" s="6">
        <v>0.68774999999999997</v>
      </c>
      <c r="AA1001" s="6">
        <v>0.91699999999999993</v>
      </c>
      <c r="AB1001" s="6">
        <v>-0.75</v>
      </c>
      <c r="AC1001" s="6">
        <v>0.75</v>
      </c>
      <c r="AD1001" s="23" t="s">
        <v>3143</v>
      </c>
      <c r="AE1001" s="23">
        <f t="shared" si="61"/>
        <v>30.399000000000001</v>
      </c>
      <c r="AF1001" s="24">
        <f t="shared" si="62"/>
        <v>3.2549999999999955</v>
      </c>
      <c r="AG1001" s="23">
        <f t="shared" si="63"/>
        <v>2</v>
      </c>
    </row>
    <row r="1002" spans="1:33" hidden="1" x14ac:dyDescent="0.25">
      <c r="A1002" s="12" t="s">
        <v>31</v>
      </c>
      <c r="B1002" s="9">
        <v>46186</v>
      </c>
      <c r="C1002" s="10" t="s">
        <v>1578</v>
      </c>
      <c r="D1002" s="10" t="s">
        <v>1421</v>
      </c>
      <c r="E1002" s="10" t="s">
        <v>51</v>
      </c>
      <c r="F1002" s="10" t="s">
        <v>35</v>
      </c>
      <c r="G1002" s="10" t="s">
        <v>3145</v>
      </c>
      <c r="H1002" s="8" t="s">
        <v>41</v>
      </c>
      <c r="I1002" s="11">
        <v>313.91000000000003</v>
      </c>
      <c r="J1002" s="6">
        <v>235.4325</v>
      </c>
      <c r="K1002" s="6">
        <v>0.75</v>
      </c>
      <c r="L1002" s="6">
        <v>306.69</v>
      </c>
      <c r="M1002" s="11">
        <v>230.01750000000001</v>
      </c>
      <c r="N1002" s="11">
        <f t="shared" si="60"/>
        <v>230.018</v>
      </c>
      <c r="O1002" s="6">
        <v>0.75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7.22</v>
      </c>
      <c r="Z1002" s="6">
        <v>5.415</v>
      </c>
      <c r="AA1002" s="6">
        <v>0.75</v>
      </c>
      <c r="AB1002" s="6">
        <v>-7.2200000000000273</v>
      </c>
      <c r="AC1002" s="6">
        <v>7.2200000000000273</v>
      </c>
      <c r="AD1002" s="22" t="s">
        <v>3140</v>
      </c>
      <c r="AE1002" s="23">
        <f t="shared" si="61"/>
        <v>230.018</v>
      </c>
      <c r="AF1002" s="24">
        <f t="shared" si="62"/>
        <v>0</v>
      </c>
      <c r="AG1002" s="23">
        <f t="shared" si="63"/>
        <v>3</v>
      </c>
    </row>
    <row r="1003" spans="1:33" ht="20" hidden="1" customHeight="1" x14ac:dyDescent="0.25">
      <c r="A1003" s="12" t="s">
        <v>31</v>
      </c>
      <c r="B1003" s="9">
        <v>46186</v>
      </c>
      <c r="C1003" s="10" t="s">
        <v>1579</v>
      </c>
      <c r="D1003" s="10" t="s">
        <v>1580</v>
      </c>
      <c r="E1003" s="10" t="s">
        <v>51</v>
      </c>
      <c r="F1003" s="10" t="s">
        <v>35</v>
      </c>
      <c r="G1003" s="10" t="s">
        <v>3145</v>
      </c>
      <c r="H1003" s="8" t="s">
        <v>48</v>
      </c>
      <c r="I1003" s="11">
        <v>20.18</v>
      </c>
      <c r="J1003" s="6">
        <v>15.135</v>
      </c>
      <c r="K1003" s="6">
        <v>0.75</v>
      </c>
      <c r="L1003" s="6">
        <v>19.43</v>
      </c>
      <c r="M1003" s="11">
        <v>14.5725</v>
      </c>
      <c r="N1003" s="11">
        <f t="shared" si="60"/>
        <v>14.572999999999999</v>
      </c>
      <c r="O1003" s="6">
        <v>0.75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0.75</v>
      </c>
      <c r="Z1003" s="6">
        <v>0.5625</v>
      </c>
      <c r="AA1003" s="6">
        <v>0.75</v>
      </c>
      <c r="AB1003" s="6">
        <v>-0.75</v>
      </c>
      <c r="AC1003" s="6">
        <v>0.75</v>
      </c>
      <c r="AD1003" s="22" t="s">
        <v>3140</v>
      </c>
      <c r="AE1003" s="23">
        <f t="shared" si="61"/>
        <v>14.572999999999999</v>
      </c>
      <c r="AF1003" s="24">
        <f t="shared" si="62"/>
        <v>0</v>
      </c>
      <c r="AG1003" s="23">
        <f t="shared" si="63"/>
        <v>1</v>
      </c>
    </row>
    <row r="1004" spans="1:33" x14ac:dyDescent="0.25">
      <c r="A1004" s="12" t="s">
        <v>31</v>
      </c>
      <c r="B1004" s="9">
        <v>46186</v>
      </c>
      <c r="C1004" s="10" t="s">
        <v>1581</v>
      </c>
      <c r="D1004" s="10" t="s">
        <v>1582</v>
      </c>
      <c r="E1004" s="10" t="s">
        <v>51</v>
      </c>
      <c r="F1004" s="10" t="s">
        <v>35</v>
      </c>
      <c r="G1004" s="10" t="s">
        <v>3146</v>
      </c>
      <c r="H1004" s="8" t="s">
        <v>36</v>
      </c>
      <c r="I1004" s="11">
        <v>428.97</v>
      </c>
      <c r="J1004" s="6">
        <v>393.36549000000002</v>
      </c>
      <c r="K1004" s="6">
        <v>0.91700000000000004</v>
      </c>
      <c r="L1004" s="6">
        <v>402.5</v>
      </c>
      <c r="M1004" s="11">
        <v>369.09249999999997</v>
      </c>
      <c r="N1004" s="11">
        <f t="shared" si="60"/>
        <v>369.09299999999996</v>
      </c>
      <c r="O1004" s="6">
        <v>0.91699999999999993</v>
      </c>
      <c r="P1004" s="6">
        <v>4.54</v>
      </c>
      <c r="Q1004" s="6">
        <v>4.1631799999999997</v>
      </c>
      <c r="R1004" s="6">
        <v>0.91699999999999993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21.93</v>
      </c>
      <c r="Z1004" s="6">
        <v>20.10981</v>
      </c>
      <c r="AA1004" s="6">
        <v>0.91700000000000004</v>
      </c>
      <c r="AB1004" s="6">
        <v>-31.010000000000026</v>
      </c>
      <c r="AC1004" s="6">
        <v>21.930000000000028</v>
      </c>
      <c r="AD1004" s="22" t="s">
        <v>3140</v>
      </c>
      <c r="AE1004" s="23">
        <f t="shared" si="61"/>
        <v>369.09299999999996</v>
      </c>
      <c r="AF1004" s="24">
        <f t="shared" si="62"/>
        <v>0</v>
      </c>
      <c r="AG1004" s="23">
        <f t="shared" si="63"/>
        <v>1</v>
      </c>
    </row>
    <row r="1005" spans="1:33" ht="20" hidden="1" customHeight="1" x14ac:dyDescent="0.25">
      <c r="A1005" s="12" t="s">
        <v>31</v>
      </c>
      <c r="B1005" s="9">
        <v>46186</v>
      </c>
      <c r="C1005" s="10" t="s">
        <v>1583</v>
      </c>
      <c r="D1005" s="10" t="s">
        <v>1584</v>
      </c>
      <c r="E1005" s="10" t="s">
        <v>51</v>
      </c>
      <c r="F1005" s="10" t="s">
        <v>35</v>
      </c>
      <c r="G1005" s="10" t="s">
        <v>3145</v>
      </c>
      <c r="H1005" s="8" t="s">
        <v>48</v>
      </c>
      <c r="I1005" s="11">
        <v>10.039999999999999</v>
      </c>
      <c r="J1005" s="6">
        <v>7.53</v>
      </c>
      <c r="K1005" s="6">
        <v>0.75000000000000011</v>
      </c>
      <c r="L1005" s="6">
        <v>9.2799999999999994</v>
      </c>
      <c r="M1005" s="11">
        <v>6.96</v>
      </c>
      <c r="N1005" s="11">
        <f t="shared" si="60"/>
        <v>6.96</v>
      </c>
      <c r="O1005" s="6">
        <v>0.75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0.76</v>
      </c>
      <c r="Z1005" s="6">
        <v>0.56999999999999995</v>
      </c>
      <c r="AA1005" s="6">
        <v>0.74999999999999989</v>
      </c>
      <c r="AB1005" s="6">
        <v>-0.75999999999999979</v>
      </c>
      <c r="AC1005" s="6">
        <v>0.75999999999999979</v>
      </c>
      <c r="AD1005" s="22" t="s">
        <v>3140</v>
      </c>
      <c r="AE1005" s="23">
        <f t="shared" si="61"/>
        <v>6.96</v>
      </c>
      <c r="AF1005" s="24">
        <f t="shared" si="62"/>
        <v>0</v>
      </c>
      <c r="AG1005" s="23">
        <f t="shared" si="63"/>
        <v>1</v>
      </c>
    </row>
    <row r="1006" spans="1:33" ht="20" hidden="1" customHeight="1" x14ac:dyDescent="0.25">
      <c r="A1006" s="12" t="s">
        <v>31</v>
      </c>
      <c r="B1006" s="9">
        <v>46186</v>
      </c>
      <c r="C1006" s="10" t="s">
        <v>1585</v>
      </c>
      <c r="D1006" s="10" t="s">
        <v>1586</v>
      </c>
      <c r="E1006" s="10" t="s">
        <v>51</v>
      </c>
      <c r="F1006" s="10" t="s">
        <v>35</v>
      </c>
      <c r="G1006" s="10" t="s">
        <v>3145</v>
      </c>
      <c r="H1006" s="8" t="s">
        <v>48</v>
      </c>
      <c r="I1006" s="11">
        <v>3.3</v>
      </c>
      <c r="J1006" s="6">
        <v>2.4750000000000001</v>
      </c>
      <c r="K1006" s="6">
        <v>0.75000000000000011</v>
      </c>
      <c r="L1006" s="6">
        <v>3.08</v>
      </c>
      <c r="M1006" s="11">
        <v>2.31</v>
      </c>
      <c r="N1006" s="11">
        <f t="shared" si="60"/>
        <v>2.31</v>
      </c>
      <c r="O1006" s="6">
        <v>0.75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0.22</v>
      </c>
      <c r="Z1006" s="6">
        <v>0.16500000000000001</v>
      </c>
      <c r="AA1006" s="6">
        <v>0.75</v>
      </c>
      <c r="AB1006" s="6">
        <v>-0.21999999999999975</v>
      </c>
      <c r="AC1006" s="6">
        <v>0.21999999999999975</v>
      </c>
      <c r="AD1006" s="22" t="s">
        <v>3140</v>
      </c>
      <c r="AE1006" s="23">
        <f t="shared" si="61"/>
        <v>2.31</v>
      </c>
      <c r="AF1006" s="24">
        <f t="shared" si="62"/>
        <v>0</v>
      </c>
      <c r="AG1006" s="23">
        <f t="shared" si="63"/>
        <v>1</v>
      </c>
    </row>
    <row r="1007" spans="1:33" ht="20" hidden="1" customHeight="1" x14ac:dyDescent="0.25">
      <c r="A1007" s="12" t="s">
        <v>31</v>
      </c>
      <c r="B1007" s="9">
        <v>46186</v>
      </c>
      <c r="C1007" s="10" t="s">
        <v>1587</v>
      </c>
      <c r="D1007" s="10" t="s">
        <v>1588</v>
      </c>
      <c r="E1007" s="10" t="s">
        <v>51</v>
      </c>
      <c r="F1007" s="10" t="s">
        <v>35</v>
      </c>
      <c r="G1007" s="10" t="s">
        <v>3145</v>
      </c>
      <c r="H1007" s="8" t="s">
        <v>48</v>
      </c>
      <c r="I1007" s="11">
        <v>60.11</v>
      </c>
      <c r="J1007" s="6">
        <v>45.082500000000003</v>
      </c>
      <c r="K1007" s="6">
        <v>0.75000000000000011</v>
      </c>
      <c r="L1007" s="6">
        <v>57.62</v>
      </c>
      <c r="M1007" s="11">
        <v>43.215000000000003</v>
      </c>
      <c r="N1007" s="11">
        <f t="shared" si="60"/>
        <v>43.215000000000003</v>
      </c>
      <c r="O1007" s="6">
        <v>0.75000000000000011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2.4900000000000002</v>
      </c>
      <c r="Z1007" s="6">
        <v>1.8674999999999999</v>
      </c>
      <c r="AA1007" s="6">
        <v>0.74999999999999989</v>
      </c>
      <c r="AB1007" s="6">
        <v>-2.490000000000002</v>
      </c>
      <c r="AC1007" s="6">
        <v>2.490000000000002</v>
      </c>
      <c r="AD1007" s="22" t="s">
        <v>3140</v>
      </c>
      <c r="AE1007" s="23">
        <f t="shared" si="61"/>
        <v>43.215000000000003</v>
      </c>
      <c r="AF1007" s="24">
        <f t="shared" si="62"/>
        <v>0</v>
      </c>
      <c r="AG1007" s="23">
        <f t="shared" si="63"/>
        <v>1</v>
      </c>
    </row>
    <row r="1008" spans="1:33" x14ac:dyDescent="0.25">
      <c r="A1008" s="12" t="s">
        <v>31</v>
      </c>
      <c r="B1008" s="9">
        <v>46186</v>
      </c>
      <c r="C1008" s="10" t="s">
        <v>1589</v>
      </c>
      <c r="D1008" s="10" t="s">
        <v>1590</v>
      </c>
      <c r="E1008" s="10" t="s">
        <v>51</v>
      </c>
      <c r="F1008" s="10" t="s">
        <v>35</v>
      </c>
      <c r="G1008" s="10" t="s">
        <v>3146</v>
      </c>
      <c r="H1008" s="8" t="s">
        <v>36</v>
      </c>
      <c r="I1008" s="11">
        <v>48.58</v>
      </c>
      <c r="J1008" s="6">
        <v>44.54786</v>
      </c>
      <c r="K1008" s="6">
        <v>0.91700000000000004</v>
      </c>
      <c r="L1008" s="6">
        <v>46.06</v>
      </c>
      <c r="M1008" s="11">
        <v>42.237020000000001</v>
      </c>
      <c r="N1008" s="11">
        <f t="shared" si="60"/>
        <v>42.238</v>
      </c>
      <c r="O1008" s="6">
        <v>0.91699999999999993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2.52</v>
      </c>
      <c r="Z1008" s="6">
        <v>2.3108399999999998</v>
      </c>
      <c r="AA1008" s="6">
        <v>0.91699999999999993</v>
      </c>
      <c r="AB1008" s="6">
        <v>-2.519999999999996</v>
      </c>
      <c r="AC1008" s="6">
        <v>2.519999999999996</v>
      </c>
      <c r="AD1008" s="22" t="s">
        <v>3140</v>
      </c>
      <c r="AE1008" s="23">
        <f t="shared" si="61"/>
        <v>42.238</v>
      </c>
      <c r="AF1008" s="24">
        <f t="shared" si="62"/>
        <v>0</v>
      </c>
      <c r="AG1008" s="23">
        <f t="shared" si="63"/>
        <v>1</v>
      </c>
    </row>
    <row r="1009" spans="1:33" x14ac:dyDescent="0.25">
      <c r="A1009" s="12" t="s">
        <v>31</v>
      </c>
      <c r="B1009" s="9">
        <v>46186</v>
      </c>
      <c r="C1009" s="10" t="s">
        <v>1591</v>
      </c>
      <c r="D1009" s="10" t="s">
        <v>1592</v>
      </c>
      <c r="E1009" s="10" t="s">
        <v>51</v>
      </c>
      <c r="F1009" s="10" t="s">
        <v>35</v>
      </c>
      <c r="G1009" s="10" t="s">
        <v>3146</v>
      </c>
      <c r="H1009" s="8" t="s">
        <v>36</v>
      </c>
      <c r="I1009" s="11">
        <v>31.08</v>
      </c>
      <c r="J1009" s="6">
        <v>28.500360000000001</v>
      </c>
      <c r="K1009" s="6">
        <v>0.91700000000000004</v>
      </c>
      <c r="L1009" s="6">
        <v>28.69</v>
      </c>
      <c r="M1009" s="11">
        <v>26.308730000000001</v>
      </c>
      <c r="N1009" s="11">
        <f t="shared" si="60"/>
        <v>26.309000000000001</v>
      </c>
      <c r="O1009" s="6">
        <v>0.91699999999999993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2.39</v>
      </c>
      <c r="Z1009" s="6">
        <v>2.19163</v>
      </c>
      <c r="AA1009" s="6">
        <v>0.91699999999999993</v>
      </c>
      <c r="AB1009" s="6">
        <v>-2.389999999999997</v>
      </c>
      <c r="AC1009" s="6">
        <v>2.389999999999997</v>
      </c>
      <c r="AD1009" s="22" t="s">
        <v>3140</v>
      </c>
      <c r="AE1009" s="23">
        <f t="shared" si="61"/>
        <v>26.309000000000001</v>
      </c>
      <c r="AF1009" s="24">
        <f t="shared" si="62"/>
        <v>0</v>
      </c>
      <c r="AG1009" s="23">
        <f t="shared" si="63"/>
        <v>1</v>
      </c>
    </row>
    <row r="1010" spans="1:33" x14ac:dyDescent="0.25">
      <c r="A1010" s="12" t="s">
        <v>31</v>
      </c>
      <c r="B1010" s="9">
        <v>46186</v>
      </c>
      <c r="C1010" s="10" t="s">
        <v>1593</v>
      </c>
      <c r="D1010" s="10" t="s">
        <v>1594</v>
      </c>
      <c r="E1010" s="10" t="s">
        <v>51</v>
      </c>
      <c r="F1010" s="10" t="s">
        <v>35</v>
      </c>
      <c r="G1010" s="10" t="s">
        <v>3146</v>
      </c>
      <c r="H1010" s="8" t="s">
        <v>36</v>
      </c>
      <c r="I1010" s="11">
        <v>17.309999999999999</v>
      </c>
      <c r="J1010" s="6">
        <v>15.87327</v>
      </c>
      <c r="K1010" s="6">
        <v>0.91700000000000004</v>
      </c>
      <c r="L1010" s="6">
        <v>16.22</v>
      </c>
      <c r="M1010" s="11">
        <v>14.87374</v>
      </c>
      <c r="N1010" s="11">
        <f t="shared" si="60"/>
        <v>14.873999999999999</v>
      </c>
      <c r="O1010" s="6">
        <v>0.91700000000000004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1.0900000000000001</v>
      </c>
      <c r="Z1010" s="6">
        <v>0.99953000000000003</v>
      </c>
      <c r="AA1010" s="6">
        <v>0.91699999999999993</v>
      </c>
      <c r="AB1010" s="6">
        <v>-1.0899999999999999</v>
      </c>
      <c r="AC1010" s="6">
        <v>1.0899999999999999</v>
      </c>
      <c r="AD1010" s="22" t="s">
        <v>3140</v>
      </c>
      <c r="AE1010" s="23">
        <f t="shared" si="61"/>
        <v>14.873999999999999</v>
      </c>
      <c r="AF1010" s="24">
        <f t="shared" si="62"/>
        <v>0</v>
      </c>
      <c r="AG1010" s="23">
        <f t="shared" si="63"/>
        <v>1</v>
      </c>
    </row>
    <row r="1011" spans="1:33" x14ac:dyDescent="0.25">
      <c r="A1011" s="12" t="s">
        <v>31</v>
      </c>
      <c r="B1011" s="9">
        <v>46186</v>
      </c>
      <c r="C1011" s="10" t="s">
        <v>1595</v>
      </c>
      <c r="D1011" s="10" t="s">
        <v>1596</v>
      </c>
      <c r="E1011" s="10" t="s">
        <v>51</v>
      </c>
      <c r="F1011" s="10" t="s">
        <v>35</v>
      </c>
      <c r="G1011" s="10" t="s">
        <v>3146</v>
      </c>
      <c r="H1011" s="8" t="s">
        <v>36</v>
      </c>
      <c r="I1011" s="11">
        <v>24.26</v>
      </c>
      <c r="J1011" s="6">
        <v>22.246420000000001</v>
      </c>
      <c r="K1011" s="6">
        <v>0.91699999999999993</v>
      </c>
      <c r="L1011" s="6">
        <v>22.28</v>
      </c>
      <c r="M1011" s="11">
        <v>20.430759999999999</v>
      </c>
      <c r="N1011" s="11">
        <f t="shared" si="60"/>
        <v>20.431000000000001</v>
      </c>
      <c r="O1011" s="6">
        <v>0.91699999999999993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1.98</v>
      </c>
      <c r="Z1011" s="6">
        <v>1.8156600000000001</v>
      </c>
      <c r="AA1011" s="6">
        <v>0.91700000000000004</v>
      </c>
      <c r="AB1011" s="6">
        <v>-1.9800000000000004</v>
      </c>
      <c r="AC1011" s="6">
        <v>1.9800000000000004</v>
      </c>
      <c r="AD1011" s="22" t="s">
        <v>3140</v>
      </c>
      <c r="AE1011" s="23">
        <f t="shared" si="61"/>
        <v>20.431000000000001</v>
      </c>
      <c r="AF1011" s="24">
        <f t="shared" si="62"/>
        <v>0</v>
      </c>
      <c r="AG1011" s="23">
        <f t="shared" si="63"/>
        <v>1</v>
      </c>
    </row>
    <row r="1012" spans="1:33" x14ac:dyDescent="0.25">
      <c r="A1012" s="12" t="s">
        <v>31</v>
      </c>
      <c r="B1012" s="9">
        <v>46186</v>
      </c>
      <c r="C1012" s="10" t="s">
        <v>1597</v>
      </c>
      <c r="D1012" s="10" t="s">
        <v>1561</v>
      </c>
      <c r="E1012" s="10" t="s">
        <v>51</v>
      </c>
      <c r="F1012" s="10" t="s">
        <v>35</v>
      </c>
      <c r="G1012" s="10" t="s">
        <v>3146</v>
      </c>
      <c r="H1012" s="8" t="s">
        <v>36</v>
      </c>
      <c r="I1012" s="11">
        <v>43.82</v>
      </c>
      <c r="J1012" s="6">
        <v>40.182940000000002</v>
      </c>
      <c r="K1012" s="6">
        <v>0.91700000000000004</v>
      </c>
      <c r="L1012" s="6">
        <v>43.75</v>
      </c>
      <c r="M1012" s="11">
        <v>40.118749999999999</v>
      </c>
      <c r="N1012" s="11">
        <f t="shared" si="60"/>
        <v>40.119</v>
      </c>
      <c r="O1012" s="6">
        <v>0.91699999999999993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7.0000000000000007E-2</v>
      </c>
      <c r="Z1012" s="6">
        <v>6.4189999999999997E-2</v>
      </c>
      <c r="AA1012" s="6">
        <v>0.91699999999999982</v>
      </c>
      <c r="AB1012" s="6">
        <v>-7.0000000000000284E-2</v>
      </c>
      <c r="AC1012" s="6">
        <v>7.0000000000000284E-2</v>
      </c>
      <c r="AD1012" s="22" t="s">
        <v>3140</v>
      </c>
      <c r="AE1012" s="23">
        <f t="shared" si="61"/>
        <v>40.119</v>
      </c>
      <c r="AF1012" s="24">
        <f t="shared" si="62"/>
        <v>0</v>
      </c>
      <c r="AG1012" s="23">
        <f t="shared" si="63"/>
        <v>2</v>
      </c>
    </row>
    <row r="1013" spans="1:33" x14ac:dyDescent="0.25">
      <c r="A1013" s="12" t="s">
        <v>31</v>
      </c>
      <c r="B1013" s="9">
        <v>46186</v>
      </c>
      <c r="C1013" s="10" t="s">
        <v>1598</v>
      </c>
      <c r="D1013" s="10" t="s">
        <v>1502</v>
      </c>
      <c r="E1013" s="10" t="s">
        <v>51</v>
      </c>
      <c r="F1013" s="10" t="s">
        <v>35</v>
      </c>
      <c r="G1013" s="10" t="s">
        <v>3146</v>
      </c>
      <c r="H1013" s="8" t="s">
        <v>36</v>
      </c>
      <c r="I1013" s="11">
        <v>88.78</v>
      </c>
      <c r="J1013" s="6">
        <v>81.411259999999999</v>
      </c>
      <c r="K1013" s="6">
        <v>0.91699999999999993</v>
      </c>
      <c r="L1013" s="6">
        <v>88.13</v>
      </c>
      <c r="M1013" s="11">
        <v>80.815209999999993</v>
      </c>
      <c r="N1013" s="11">
        <f t="shared" si="60"/>
        <v>80.816000000000003</v>
      </c>
      <c r="O1013" s="6">
        <v>0.91699999999999993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0.65</v>
      </c>
      <c r="Z1013" s="6">
        <v>0.59604999999999997</v>
      </c>
      <c r="AA1013" s="6">
        <v>0.91699999999999993</v>
      </c>
      <c r="AB1013" s="6">
        <v>-0.65000000000000568</v>
      </c>
      <c r="AC1013" s="6">
        <v>0.65000000000000568</v>
      </c>
      <c r="AD1013" s="23" t="s">
        <v>3143</v>
      </c>
      <c r="AE1013" s="23">
        <f t="shared" si="61"/>
        <v>69.362000000000009</v>
      </c>
      <c r="AF1013" s="24">
        <f t="shared" si="62"/>
        <v>11.453999999999994</v>
      </c>
      <c r="AG1013" s="23">
        <f t="shared" si="63"/>
        <v>2</v>
      </c>
    </row>
    <row r="1014" spans="1:33" hidden="1" x14ac:dyDescent="0.25">
      <c r="A1014" s="12" t="s">
        <v>31</v>
      </c>
      <c r="B1014" s="9">
        <v>46186</v>
      </c>
      <c r="C1014" s="10" t="s">
        <v>1599</v>
      </c>
      <c r="D1014" s="10" t="s">
        <v>1600</v>
      </c>
      <c r="E1014" s="10" t="s">
        <v>51</v>
      </c>
      <c r="F1014" s="10" t="s">
        <v>35</v>
      </c>
      <c r="G1014" s="10" t="s">
        <v>3145</v>
      </c>
      <c r="H1014" s="8" t="s">
        <v>41</v>
      </c>
      <c r="I1014" s="11">
        <v>10.119999999999999</v>
      </c>
      <c r="J1014" s="6">
        <v>7.59</v>
      </c>
      <c r="K1014" s="6">
        <v>0.75</v>
      </c>
      <c r="L1014" s="6">
        <v>9.5399999999999991</v>
      </c>
      <c r="M1014" s="11">
        <v>7.1550000000000002</v>
      </c>
      <c r="N1014" s="11">
        <f t="shared" si="60"/>
        <v>7.1550000000000002</v>
      </c>
      <c r="O1014" s="6">
        <v>0.75000000000000011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0.57999999999999996</v>
      </c>
      <c r="Z1014" s="6">
        <v>0.435</v>
      </c>
      <c r="AA1014" s="6">
        <v>0.75</v>
      </c>
      <c r="AB1014" s="6">
        <v>-0.58000000000000007</v>
      </c>
      <c r="AC1014" s="6">
        <v>0.58000000000000007</v>
      </c>
      <c r="AD1014" s="22" t="s">
        <v>3140</v>
      </c>
      <c r="AE1014" s="23">
        <f t="shared" si="61"/>
        <v>7.1550000000000002</v>
      </c>
      <c r="AF1014" s="24">
        <f t="shared" si="62"/>
        <v>0</v>
      </c>
      <c r="AG1014" s="23">
        <f t="shared" si="63"/>
        <v>1</v>
      </c>
    </row>
    <row r="1015" spans="1:33" x14ac:dyDescent="0.25">
      <c r="A1015" s="12" t="s">
        <v>31</v>
      </c>
      <c r="B1015" s="9">
        <v>46186</v>
      </c>
      <c r="C1015" s="10" t="s">
        <v>1601</v>
      </c>
      <c r="D1015" s="10" t="s">
        <v>1602</v>
      </c>
      <c r="E1015" s="10" t="s">
        <v>51</v>
      </c>
      <c r="F1015" s="10" t="s">
        <v>35</v>
      </c>
      <c r="G1015" s="10" t="s">
        <v>3146</v>
      </c>
      <c r="H1015" s="8" t="s">
        <v>36</v>
      </c>
      <c r="I1015" s="11">
        <v>18.57</v>
      </c>
      <c r="J1015" s="6">
        <v>17.028690000000001</v>
      </c>
      <c r="K1015" s="6">
        <v>0.91700000000000004</v>
      </c>
      <c r="L1015" s="6">
        <v>17.3</v>
      </c>
      <c r="M1015" s="11">
        <v>15.864100000000001</v>
      </c>
      <c r="N1015" s="11">
        <f t="shared" si="60"/>
        <v>15.865</v>
      </c>
      <c r="O1015" s="6">
        <v>0.91700000000000004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1.27</v>
      </c>
      <c r="Z1015" s="6">
        <v>1.16459</v>
      </c>
      <c r="AA1015" s="6">
        <v>0.91700000000000004</v>
      </c>
      <c r="AB1015" s="6">
        <v>-1.2699999999999996</v>
      </c>
      <c r="AC1015" s="6">
        <v>1.2699999999999996</v>
      </c>
      <c r="AD1015" s="22" t="s">
        <v>3140</v>
      </c>
      <c r="AE1015" s="23">
        <f t="shared" si="61"/>
        <v>15.865</v>
      </c>
      <c r="AF1015" s="24">
        <f t="shared" si="62"/>
        <v>0</v>
      </c>
      <c r="AG1015" s="23">
        <f t="shared" si="63"/>
        <v>1</v>
      </c>
    </row>
    <row r="1016" spans="1:33" hidden="1" x14ac:dyDescent="0.25">
      <c r="A1016" s="12" t="s">
        <v>31</v>
      </c>
      <c r="B1016" s="9">
        <v>46186</v>
      </c>
      <c r="C1016" s="10" t="s">
        <v>1603</v>
      </c>
      <c r="D1016" s="10" t="s">
        <v>1604</v>
      </c>
      <c r="E1016" s="10" t="s">
        <v>51</v>
      </c>
      <c r="F1016" s="10" t="s">
        <v>35</v>
      </c>
      <c r="G1016" s="10" t="s">
        <v>3145</v>
      </c>
      <c r="H1016" s="8" t="s">
        <v>41</v>
      </c>
      <c r="I1016" s="11">
        <v>2.92</v>
      </c>
      <c r="J1016" s="6">
        <v>2.19</v>
      </c>
      <c r="K1016" s="6">
        <v>0.75</v>
      </c>
      <c r="L1016" s="6">
        <v>2.74</v>
      </c>
      <c r="M1016" s="11">
        <v>2.0550000000000002</v>
      </c>
      <c r="N1016" s="11">
        <f t="shared" si="60"/>
        <v>2.0550000000000002</v>
      </c>
      <c r="O1016" s="6">
        <v>0.75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0.18</v>
      </c>
      <c r="Z1016" s="6">
        <v>0.13500000000000001</v>
      </c>
      <c r="AA1016" s="6">
        <v>0.75000000000000011</v>
      </c>
      <c r="AB1016" s="6">
        <v>-0.17999999999999972</v>
      </c>
      <c r="AC1016" s="6">
        <v>0.17999999999999972</v>
      </c>
      <c r="AD1016" s="22" t="s">
        <v>3140</v>
      </c>
      <c r="AE1016" s="23">
        <f t="shared" si="61"/>
        <v>2.0550000000000002</v>
      </c>
      <c r="AF1016" s="24">
        <f t="shared" si="62"/>
        <v>0</v>
      </c>
      <c r="AG1016" s="23">
        <f t="shared" si="63"/>
        <v>1</v>
      </c>
    </row>
    <row r="1017" spans="1:33" ht="20" hidden="1" customHeight="1" x14ac:dyDescent="0.25">
      <c r="A1017" s="12" t="s">
        <v>31</v>
      </c>
      <c r="B1017" s="9">
        <v>46186</v>
      </c>
      <c r="C1017" s="10" t="s">
        <v>1605</v>
      </c>
      <c r="D1017" s="10" t="s">
        <v>1606</v>
      </c>
      <c r="E1017" s="10" t="s">
        <v>51</v>
      </c>
      <c r="F1017" s="10" t="s">
        <v>35</v>
      </c>
      <c r="G1017" s="10" t="s">
        <v>3145</v>
      </c>
      <c r="H1017" s="8" t="s">
        <v>48</v>
      </c>
      <c r="I1017" s="11">
        <v>44.34</v>
      </c>
      <c r="J1017" s="6">
        <v>33.255000000000003</v>
      </c>
      <c r="K1017" s="6">
        <v>0.75</v>
      </c>
      <c r="L1017" s="6">
        <v>41.57</v>
      </c>
      <c r="M1017" s="11">
        <v>31.177499999999998</v>
      </c>
      <c r="N1017" s="11">
        <f t="shared" si="60"/>
        <v>31.178000000000001</v>
      </c>
      <c r="O1017" s="6">
        <v>0.75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2.77</v>
      </c>
      <c r="Z1017" s="6">
        <v>2.0775000000000001</v>
      </c>
      <c r="AA1017" s="6">
        <v>0.75</v>
      </c>
      <c r="AB1017" s="6">
        <v>-2.7700000000000031</v>
      </c>
      <c r="AC1017" s="6">
        <v>2.7700000000000031</v>
      </c>
      <c r="AD1017" s="22" t="s">
        <v>3140</v>
      </c>
      <c r="AE1017" s="23">
        <f t="shared" si="61"/>
        <v>31.178000000000001</v>
      </c>
      <c r="AF1017" s="24">
        <f t="shared" si="62"/>
        <v>0</v>
      </c>
      <c r="AG1017" s="23">
        <f t="shared" si="63"/>
        <v>1</v>
      </c>
    </row>
    <row r="1018" spans="1:33" ht="20" hidden="1" customHeight="1" x14ac:dyDescent="0.25">
      <c r="A1018" s="12" t="s">
        <v>31</v>
      </c>
      <c r="B1018" s="9">
        <v>46186</v>
      </c>
      <c r="C1018" s="10" t="s">
        <v>1607</v>
      </c>
      <c r="D1018" s="10" t="s">
        <v>1608</v>
      </c>
      <c r="E1018" s="10" t="s">
        <v>51</v>
      </c>
      <c r="F1018" s="10" t="s">
        <v>35</v>
      </c>
      <c r="G1018" s="10" t="s">
        <v>3145</v>
      </c>
      <c r="H1018" s="8" t="s">
        <v>48</v>
      </c>
      <c r="I1018" s="11">
        <v>13.087999999999999</v>
      </c>
      <c r="J1018" s="6">
        <v>9.8160000000000007</v>
      </c>
      <c r="K1018" s="6">
        <v>0.75000000000000011</v>
      </c>
      <c r="L1018" s="6">
        <v>12.458</v>
      </c>
      <c r="M1018" s="11">
        <v>9.3435000000000006</v>
      </c>
      <c r="N1018" s="11">
        <f t="shared" si="60"/>
        <v>9.3439999999999994</v>
      </c>
      <c r="O1018" s="6">
        <v>0.75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0.63</v>
      </c>
      <c r="Z1018" s="6">
        <v>0.47249999999999998</v>
      </c>
      <c r="AA1018" s="6">
        <v>0.75</v>
      </c>
      <c r="AB1018" s="6">
        <v>-0.62999999999999901</v>
      </c>
      <c r="AC1018" s="6">
        <v>0.62999999999999901</v>
      </c>
      <c r="AD1018" s="22" t="s">
        <v>3140</v>
      </c>
      <c r="AE1018" s="23">
        <f t="shared" si="61"/>
        <v>9.3439999999999994</v>
      </c>
      <c r="AF1018" s="24">
        <f t="shared" si="62"/>
        <v>0</v>
      </c>
      <c r="AG1018" s="23">
        <f t="shared" si="63"/>
        <v>1</v>
      </c>
    </row>
    <row r="1019" spans="1:33" x14ac:dyDescent="0.25">
      <c r="A1019" s="12" t="s">
        <v>31</v>
      </c>
      <c r="B1019" s="9">
        <v>46186</v>
      </c>
      <c r="C1019" s="10" t="s">
        <v>1609</v>
      </c>
      <c r="D1019" s="10" t="s">
        <v>1610</v>
      </c>
      <c r="E1019" s="10" t="s">
        <v>51</v>
      </c>
      <c r="F1019" s="10" t="s">
        <v>35</v>
      </c>
      <c r="G1019" s="10" t="s">
        <v>3146</v>
      </c>
      <c r="H1019" s="8" t="s">
        <v>36</v>
      </c>
      <c r="I1019" s="11">
        <v>53.2</v>
      </c>
      <c r="J1019" s="6">
        <v>48.784399999999998</v>
      </c>
      <c r="K1019" s="6">
        <v>0.91699999999999993</v>
      </c>
      <c r="L1019" s="6">
        <v>48.42</v>
      </c>
      <c r="M1019" s="11">
        <v>44.401139999999998</v>
      </c>
      <c r="N1019" s="11">
        <f t="shared" si="60"/>
        <v>44.402000000000001</v>
      </c>
      <c r="O1019" s="6">
        <v>0.91699999999999993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4.78</v>
      </c>
      <c r="Z1019" s="6">
        <v>4.3832599999999999</v>
      </c>
      <c r="AA1019" s="6">
        <v>0.91699999999999993</v>
      </c>
      <c r="AB1019" s="6">
        <v>-4.7800000000000011</v>
      </c>
      <c r="AC1019" s="6">
        <v>4.7800000000000011</v>
      </c>
      <c r="AD1019" s="22" t="s">
        <v>3140</v>
      </c>
      <c r="AE1019" s="23">
        <f t="shared" si="61"/>
        <v>44.402000000000001</v>
      </c>
      <c r="AF1019" s="24">
        <f t="shared" si="62"/>
        <v>0</v>
      </c>
      <c r="AG1019" s="23">
        <f t="shared" si="63"/>
        <v>1</v>
      </c>
    </row>
    <row r="1020" spans="1:33" ht="20" hidden="1" customHeight="1" x14ac:dyDescent="0.25">
      <c r="A1020" s="12" t="s">
        <v>31</v>
      </c>
      <c r="B1020" s="9">
        <v>46186</v>
      </c>
      <c r="C1020" s="10" t="s">
        <v>1611</v>
      </c>
      <c r="D1020" s="10" t="s">
        <v>1612</v>
      </c>
      <c r="E1020" s="10" t="s">
        <v>51</v>
      </c>
      <c r="F1020" s="10" t="s">
        <v>35</v>
      </c>
      <c r="G1020" s="10" t="s">
        <v>3145</v>
      </c>
      <c r="H1020" s="8" t="s">
        <v>48</v>
      </c>
      <c r="I1020" s="11">
        <v>27.27</v>
      </c>
      <c r="J1020" s="6">
        <v>20.452500000000001</v>
      </c>
      <c r="K1020" s="6">
        <v>0.75</v>
      </c>
      <c r="L1020" s="6">
        <v>24.73</v>
      </c>
      <c r="M1020" s="11">
        <v>18.547499999999999</v>
      </c>
      <c r="N1020" s="11">
        <f t="shared" si="60"/>
        <v>18.548000000000002</v>
      </c>
      <c r="O1020" s="6">
        <v>0.75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2.54</v>
      </c>
      <c r="Z1020" s="6">
        <v>1.905</v>
      </c>
      <c r="AA1020" s="6">
        <v>0.75</v>
      </c>
      <c r="AB1020" s="6">
        <v>-2.5399999999999991</v>
      </c>
      <c r="AC1020" s="6">
        <v>2.5399999999999991</v>
      </c>
      <c r="AD1020" s="22" t="s">
        <v>3140</v>
      </c>
      <c r="AE1020" s="23">
        <f t="shared" si="61"/>
        <v>18.548000000000002</v>
      </c>
      <c r="AF1020" s="24">
        <f t="shared" si="62"/>
        <v>0</v>
      </c>
      <c r="AG1020" s="23">
        <f t="shared" si="63"/>
        <v>2</v>
      </c>
    </row>
    <row r="1021" spans="1:33" x14ac:dyDescent="0.25">
      <c r="A1021" s="12" t="s">
        <v>31</v>
      </c>
      <c r="B1021" s="9">
        <v>46186</v>
      </c>
      <c r="C1021" s="10" t="s">
        <v>1613</v>
      </c>
      <c r="D1021" s="10" t="s">
        <v>1614</v>
      </c>
      <c r="E1021" s="10" t="s">
        <v>51</v>
      </c>
      <c r="F1021" s="10" t="s">
        <v>35</v>
      </c>
      <c r="G1021" s="10" t="s">
        <v>3146</v>
      </c>
      <c r="H1021" s="8" t="s">
        <v>36</v>
      </c>
      <c r="I1021" s="11">
        <v>3.17</v>
      </c>
      <c r="J1021" s="6">
        <v>2.9068900000000002</v>
      </c>
      <c r="K1021" s="6">
        <v>0.91700000000000004</v>
      </c>
      <c r="L1021" s="6">
        <v>3.07</v>
      </c>
      <c r="M1021" s="11">
        <v>2.8151899999999999</v>
      </c>
      <c r="N1021" s="11">
        <f t="shared" si="60"/>
        <v>2.8159999999999998</v>
      </c>
      <c r="O1021" s="6">
        <v>0.91700000000000004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0.1</v>
      </c>
      <c r="Z1021" s="6">
        <v>9.1700000000000004E-2</v>
      </c>
      <c r="AA1021" s="6">
        <v>0.91700000000000004</v>
      </c>
      <c r="AB1021" s="6">
        <v>-0.10000000000000009</v>
      </c>
      <c r="AC1021" s="6">
        <v>0.10000000000000009</v>
      </c>
      <c r="AD1021" s="22" t="s">
        <v>3140</v>
      </c>
      <c r="AE1021" s="23">
        <f t="shared" si="61"/>
        <v>2.8159999999999998</v>
      </c>
      <c r="AF1021" s="24">
        <f t="shared" si="62"/>
        <v>0</v>
      </c>
      <c r="AG1021" s="23">
        <f t="shared" si="63"/>
        <v>1</v>
      </c>
    </row>
    <row r="1022" spans="1:33" ht="12.5" hidden="1" customHeight="1" x14ac:dyDescent="0.25">
      <c r="A1022" s="12" t="s">
        <v>31</v>
      </c>
      <c r="B1022" s="9">
        <v>46188</v>
      </c>
      <c r="C1022" s="10" t="s">
        <v>1615</v>
      </c>
      <c r="D1022" s="10" t="s">
        <v>1616</v>
      </c>
      <c r="E1022" s="10" t="s">
        <v>34</v>
      </c>
      <c r="F1022" s="10" t="s">
        <v>35</v>
      </c>
      <c r="G1022" s="10" t="s">
        <v>3145</v>
      </c>
      <c r="H1022" s="8" t="s">
        <v>48</v>
      </c>
      <c r="I1022" s="11">
        <v>4.8899999999999997</v>
      </c>
      <c r="J1022" s="6">
        <v>3.6675</v>
      </c>
      <c r="K1022" s="6">
        <v>0.75</v>
      </c>
      <c r="L1022" s="6">
        <v>4.5999999999999996</v>
      </c>
      <c r="M1022" s="11">
        <v>3.45</v>
      </c>
      <c r="N1022" s="11">
        <f t="shared" si="60"/>
        <v>3.45</v>
      </c>
      <c r="O1022" s="6">
        <v>0.75000000000000011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0.28999999999999998</v>
      </c>
      <c r="Z1022" s="6">
        <v>0.2175</v>
      </c>
      <c r="AA1022" s="6">
        <v>0.75</v>
      </c>
      <c r="AB1022" s="6">
        <v>-0.29000000000000004</v>
      </c>
      <c r="AC1022" s="6">
        <v>0.29000000000000004</v>
      </c>
      <c r="AD1022" s="22" t="s">
        <v>3140</v>
      </c>
      <c r="AE1022" s="23">
        <f t="shared" si="61"/>
        <v>3.45</v>
      </c>
      <c r="AF1022" s="24">
        <f t="shared" si="62"/>
        <v>0</v>
      </c>
      <c r="AG1022" s="23">
        <f t="shared" si="63"/>
        <v>1</v>
      </c>
    </row>
    <row r="1023" spans="1:33" ht="12.5" customHeight="1" x14ac:dyDescent="0.25">
      <c r="A1023" s="12" t="s">
        <v>31</v>
      </c>
      <c r="B1023" s="9">
        <v>46188</v>
      </c>
      <c r="C1023" s="10" t="s">
        <v>1617</v>
      </c>
      <c r="D1023" s="10" t="s">
        <v>1618</v>
      </c>
      <c r="E1023" s="10" t="s">
        <v>34</v>
      </c>
      <c r="F1023" s="10" t="s">
        <v>35</v>
      </c>
      <c r="G1023" s="10" t="s">
        <v>3146</v>
      </c>
      <c r="H1023" s="8" t="s">
        <v>36</v>
      </c>
      <c r="I1023" s="11">
        <v>212.7</v>
      </c>
      <c r="J1023" s="6">
        <v>195.04589999999999</v>
      </c>
      <c r="K1023" s="6">
        <v>0.91700000000000004</v>
      </c>
      <c r="L1023" s="6">
        <v>194.89</v>
      </c>
      <c r="M1023" s="11">
        <v>178.71413000000001</v>
      </c>
      <c r="N1023" s="11">
        <f t="shared" si="60"/>
        <v>178.715</v>
      </c>
      <c r="O1023" s="6">
        <v>0.91700000000000015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17.809999999999999</v>
      </c>
      <c r="Z1023" s="6">
        <v>16.331769999999999</v>
      </c>
      <c r="AA1023" s="6">
        <v>0.91700000000000004</v>
      </c>
      <c r="AB1023" s="6">
        <v>-17.810000000000002</v>
      </c>
      <c r="AC1023" s="6">
        <v>17.810000000000002</v>
      </c>
      <c r="AD1023" s="23" t="s">
        <v>3143</v>
      </c>
      <c r="AE1023" s="23">
        <f t="shared" si="61"/>
        <v>177.715</v>
      </c>
      <c r="AF1023" s="24">
        <f t="shared" si="62"/>
        <v>1</v>
      </c>
      <c r="AG1023" s="23">
        <f t="shared" si="63"/>
        <v>2</v>
      </c>
    </row>
    <row r="1024" spans="1:33" x14ac:dyDescent="0.25">
      <c r="A1024" s="12" t="s">
        <v>31</v>
      </c>
      <c r="B1024" s="9">
        <v>46188</v>
      </c>
      <c r="C1024" s="10" t="s">
        <v>1619</v>
      </c>
      <c r="D1024" s="10" t="s">
        <v>1515</v>
      </c>
      <c r="E1024" s="10" t="s">
        <v>51</v>
      </c>
      <c r="F1024" s="10" t="s">
        <v>35</v>
      </c>
      <c r="G1024" s="10" t="s">
        <v>3146</v>
      </c>
      <c r="H1024" s="8" t="s">
        <v>36</v>
      </c>
      <c r="I1024" s="11">
        <v>248.02</v>
      </c>
      <c r="J1024" s="6">
        <v>227.43433999999999</v>
      </c>
      <c r="K1024" s="6">
        <v>0.91699999999999993</v>
      </c>
      <c r="L1024" s="6">
        <v>247.42</v>
      </c>
      <c r="M1024" s="11">
        <v>226.88414</v>
      </c>
      <c r="N1024" s="11">
        <f t="shared" si="60"/>
        <v>226.88499999999999</v>
      </c>
      <c r="O1024" s="6">
        <v>0.91700000000000004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0.6</v>
      </c>
      <c r="Z1024" s="6">
        <v>0.55020000000000002</v>
      </c>
      <c r="AA1024" s="6">
        <v>0.91700000000000004</v>
      </c>
      <c r="AB1024" s="6">
        <v>-0.60000000000002274</v>
      </c>
      <c r="AC1024" s="6">
        <v>0.60000000000002274</v>
      </c>
      <c r="AD1024" s="23" t="s">
        <v>3143</v>
      </c>
      <c r="AE1024" s="23">
        <f t="shared" si="61"/>
        <v>79.320999999999998</v>
      </c>
      <c r="AF1024" s="24">
        <f t="shared" si="62"/>
        <v>147.56399999999999</v>
      </c>
      <c r="AG1024" s="23">
        <f t="shared" si="63"/>
        <v>5</v>
      </c>
    </row>
    <row r="1025" spans="1:33" ht="20" hidden="1" customHeight="1" x14ac:dyDescent="0.25">
      <c r="A1025" s="12" t="s">
        <v>31</v>
      </c>
      <c r="B1025" s="9">
        <v>46188</v>
      </c>
      <c r="C1025" s="10" t="s">
        <v>1620</v>
      </c>
      <c r="D1025" s="10" t="s">
        <v>1621</v>
      </c>
      <c r="E1025" s="10" t="s">
        <v>51</v>
      </c>
      <c r="F1025" s="10" t="s">
        <v>35</v>
      </c>
      <c r="G1025" s="10" t="s">
        <v>3145</v>
      </c>
      <c r="H1025" s="8" t="s">
        <v>48</v>
      </c>
      <c r="I1025" s="11">
        <v>40.74</v>
      </c>
      <c r="J1025" s="6">
        <v>30.555</v>
      </c>
      <c r="K1025" s="6">
        <v>0.75</v>
      </c>
      <c r="L1025" s="6">
        <v>36.880000000000003</v>
      </c>
      <c r="M1025" s="11">
        <v>27.66</v>
      </c>
      <c r="N1025" s="11">
        <f t="shared" si="60"/>
        <v>27.66</v>
      </c>
      <c r="O1025" s="6">
        <v>0.75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3.86</v>
      </c>
      <c r="Z1025" s="6">
        <v>2.895</v>
      </c>
      <c r="AA1025" s="6">
        <v>0.75</v>
      </c>
      <c r="AB1025" s="6">
        <v>-3.8599999999999994</v>
      </c>
      <c r="AC1025" s="6">
        <v>3.8599999999999994</v>
      </c>
      <c r="AD1025" s="23" t="s">
        <v>3143</v>
      </c>
      <c r="AE1025" s="23">
        <f t="shared" si="61"/>
        <v>27.113</v>
      </c>
      <c r="AF1025" s="24">
        <f t="shared" si="62"/>
        <v>0.5470000000000006</v>
      </c>
      <c r="AG1025" s="23">
        <f t="shared" si="63"/>
        <v>2</v>
      </c>
    </row>
    <row r="1026" spans="1:33" hidden="1" x14ac:dyDescent="0.25">
      <c r="A1026" s="12" t="s">
        <v>31</v>
      </c>
      <c r="B1026" s="9">
        <v>46188</v>
      </c>
      <c r="C1026" s="10" t="s">
        <v>1622</v>
      </c>
      <c r="D1026" s="10" t="s">
        <v>1623</v>
      </c>
      <c r="E1026" s="10" t="s">
        <v>51</v>
      </c>
      <c r="F1026" s="10" t="s">
        <v>35</v>
      </c>
      <c r="G1026" s="10" t="s">
        <v>3145</v>
      </c>
      <c r="H1026" s="8" t="s">
        <v>41</v>
      </c>
      <c r="I1026" s="11">
        <v>17.41</v>
      </c>
      <c r="J1026" s="6">
        <v>13.057499999999999</v>
      </c>
      <c r="K1026" s="6">
        <v>0.75</v>
      </c>
      <c r="L1026" s="6">
        <v>17</v>
      </c>
      <c r="M1026" s="11">
        <v>12.75</v>
      </c>
      <c r="N1026" s="11">
        <f t="shared" si="60"/>
        <v>12.75</v>
      </c>
      <c r="O1026" s="6">
        <v>0.75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0.41</v>
      </c>
      <c r="Z1026" s="6">
        <v>0.3075</v>
      </c>
      <c r="AA1026" s="6">
        <v>0.75</v>
      </c>
      <c r="AB1026" s="6">
        <v>-0.41000000000000014</v>
      </c>
      <c r="AC1026" s="6">
        <v>0.41000000000000014</v>
      </c>
      <c r="AD1026" s="22" t="s">
        <v>3140</v>
      </c>
      <c r="AE1026" s="23">
        <f t="shared" si="61"/>
        <v>12.75</v>
      </c>
      <c r="AF1026" s="24">
        <f t="shared" si="62"/>
        <v>0</v>
      </c>
      <c r="AG1026" s="23">
        <f t="shared" si="63"/>
        <v>1</v>
      </c>
    </row>
    <row r="1027" spans="1:33" ht="12.5" customHeight="1" x14ac:dyDescent="0.25">
      <c r="A1027" s="12" t="s">
        <v>31</v>
      </c>
      <c r="B1027" s="9">
        <v>46188</v>
      </c>
      <c r="C1027" s="8" t="s">
        <v>1624</v>
      </c>
      <c r="D1027" s="10" t="s">
        <v>1472</v>
      </c>
      <c r="E1027" s="10" t="s">
        <v>51</v>
      </c>
      <c r="F1027" s="10" t="s">
        <v>35</v>
      </c>
      <c r="G1027" s="10" t="s">
        <v>3146</v>
      </c>
      <c r="H1027" s="8" t="s">
        <v>36</v>
      </c>
      <c r="I1027" s="11">
        <v>32.22</v>
      </c>
      <c r="J1027" s="6">
        <v>29.545739999999999</v>
      </c>
      <c r="K1027" s="6">
        <v>0.91700000000000004</v>
      </c>
      <c r="L1027" s="6">
        <v>29.45</v>
      </c>
      <c r="M1027" s="11">
        <v>27.005649999999999</v>
      </c>
      <c r="N1027" s="11">
        <f t="shared" ref="N1027:N1090" si="64">ROUNDUP(M1027,3)</f>
        <v>27.006</v>
      </c>
      <c r="O1027" s="6">
        <v>0.91700000000000004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2.77</v>
      </c>
      <c r="Z1027" s="6">
        <v>2.5400900000000002</v>
      </c>
      <c r="AA1027" s="6">
        <v>0.91700000000000004</v>
      </c>
      <c r="AB1027" s="6">
        <v>-2.7699999999999996</v>
      </c>
      <c r="AC1027" s="6">
        <v>2.7699999999999996</v>
      </c>
      <c r="AD1027" s="23" t="s">
        <v>3143</v>
      </c>
      <c r="AE1027" s="23">
        <f t="shared" ref="AE1027:AE1090" si="65">_xlfn.MINIFS(N:N,D:D,D1027)</f>
        <v>25.053000000000001</v>
      </c>
      <c r="AF1027" s="24">
        <f t="shared" ref="AF1027:AF1090" si="66">N1027-AE1027</f>
        <v>1.9529999999999994</v>
      </c>
      <c r="AG1027" s="23">
        <f t="shared" ref="AG1027:AG1090" si="67">COUNTIF(D:D,D1027)</f>
        <v>3</v>
      </c>
    </row>
    <row r="1028" spans="1:33" ht="12.5" hidden="1" customHeight="1" x14ac:dyDescent="0.25">
      <c r="A1028" s="12" t="s">
        <v>31</v>
      </c>
      <c r="B1028" s="9">
        <v>46188</v>
      </c>
      <c r="C1028" s="12" t="s">
        <v>1624</v>
      </c>
      <c r="D1028" s="10" t="s">
        <v>1625</v>
      </c>
      <c r="E1028" s="10" t="s">
        <v>51</v>
      </c>
      <c r="F1028" s="10" t="s">
        <v>35</v>
      </c>
      <c r="G1028" s="10" t="s">
        <v>3145</v>
      </c>
      <c r="H1028" s="8" t="s">
        <v>48</v>
      </c>
      <c r="I1028" s="11">
        <v>62.03</v>
      </c>
      <c r="J1028" s="6">
        <v>46.522500000000001</v>
      </c>
      <c r="K1028" s="6">
        <v>0.75</v>
      </c>
      <c r="L1028" s="6">
        <v>56.06</v>
      </c>
      <c r="M1028" s="11">
        <v>42.045000000000002</v>
      </c>
      <c r="N1028" s="11">
        <f t="shared" si="64"/>
        <v>42.045000000000002</v>
      </c>
      <c r="O1028" s="6">
        <v>0.75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5.97</v>
      </c>
      <c r="Z1028" s="6">
        <v>4.4775</v>
      </c>
      <c r="AA1028" s="6">
        <v>0.75</v>
      </c>
      <c r="AB1028" s="6">
        <v>-5.9699999999999989</v>
      </c>
      <c r="AC1028" s="6">
        <v>5.9699999999999989</v>
      </c>
      <c r="AD1028" s="22" t="s">
        <v>3140</v>
      </c>
      <c r="AE1028" s="23">
        <f t="shared" si="65"/>
        <v>42.045000000000002</v>
      </c>
      <c r="AF1028" s="24">
        <f t="shared" si="66"/>
        <v>0</v>
      </c>
      <c r="AG1028" s="23">
        <f t="shared" si="67"/>
        <v>1</v>
      </c>
    </row>
    <row r="1029" spans="1:33" ht="12.5" hidden="1" customHeight="1" x14ac:dyDescent="0.25">
      <c r="A1029" s="12" t="s">
        <v>31</v>
      </c>
      <c r="B1029" s="9">
        <v>46188</v>
      </c>
      <c r="C1029" s="13" t="s">
        <v>1624</v>
      </c>
      <c r="D1029" s="10" t="s">
        <v>1626</v>
      </c>
      <c r="E1029" s="10" t="s">
        <v>51</v>
      </c>
      <c r="F1029" s="10" t="s">
        <v>35</v>
      </c>
      <c r="G1029" s="10" t="s">
        <v>3145</v>
      </c>
      <c r="H1029" s="8" t="s">
        <v>41</v>
      </c>
      <c r="I1029" s="11">
        <v>31.75</v>
      </c>
      <c r="J1029" s="6">
        <v>23.8125</v>
      </c>
      <c r="K1029" s="6">
        <v>0.75</v>
      </c>
      <c r="L1029" s="6">
        <v>27.69</v>
      </c>
      <c r="M1029" s="11">
        <v>20.767499999999998</v>
      </c>
      <c r="N1029" s="11">
        <f t="shared" si="64"/>
        <v>20.768000000000001</v>
      </c>
      <c r="O1029" s="6">
        <v>0.74999999999999989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4.0599999999999996</v>
      </c>
      <c r="Z1029" s="6">
        <v>3.0449999999999999</v>
      </c>
      <c r="AA1029" s="6">
        <v>0.75</v>
      </c>
      <c r="AB1029" s="6">
        <v>-4.0599999999999987</v>
      </c>
      <c r="AC1029" s="6">
        <v>4.0599999999999987</v>
      </c>
      <c r="AD1029" s="22" t="s">
        <v>3140</v>
      </c>
      <c r="AE1029" s="23">
        <f t="shared" si="65"/>
        <v>20.768000000000001</v>
      </c>
      <c r="AF1029" s="24">
        <f t="shared" si="66"/>
        <v>0</v>
      </c>
      <c r="AG1029" s="23">
        <f t="shared" si="67"/>
        <v>1</v>
      </c>
    </row>
    <row r="1030" spans="1:33" x14ac:dyDescent="0.25">
      <c r="A1030" s="12" t="s">
        <v>31</v>
      </c>
      <c r="B1030" s="9">
        <v>46188</v>
      </c>
      <c r="C1030" s="10" t="s">
        <v>1627</v>
      </c>
      <c r="D1030" s="10" t="s">
        <v>1628</v>
      </c>
      <c r="E1030" s="10" t="s">
        <v>51</v>
      </c>
      <c r="F1030" s="10" t="s">
        <v>35</v>
      </c>
      <c r="G1030" s="10" t="s">
        <v>3146</v>
      </c>
      <c r="H1030" s="8" t="s">
        <v>36</v>
      </c>
      <c r="I1030" s="11">
        <v>46.71</v>
      </c>
      <c r="J1030" s="6">
        <v>42.833069999999999</v>
      </c>
      <c r="K1030" s="6">
        <v>0.91699999999999993</v>
      </c>
      <c r="L1030" s="6">
        <v>43.92</v>
      </c>
      <c r="M1030" s="11">
        <v>40.274639999999998</v>
      </c>
      <c r="N1030" s="11">
        <f t="shared" si="64"/>
        <v>40.274999999999999</v>
      </c>
      <c r="O1030" s="6">
        <v>0.91699999999999993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2.79</v>
      </c>
      <c r="Z1030" s="6">
        <v>2.55843</v>
      </c>
      <c r="AA1030" s="6">
        <v>0.91700000000000004</v>
      </c>
      <c r="AB1030" s="6">
        <v>-2.7899999999999991</v>
      </c>
      <c r="AC1030" s="6">
        <v>2.7899999999999991</v>
      </c>
      <c r="AD1030" s="22" t="s">
        <v>3140</v>
      </c>
      <c r="AE1030" s="23">
        <f t="shared" si="65"/>
        <v>40.274999999999999</v>
      </c>
      <c r="AF1030" s="24">
        <f t="shared" si="66"/>
        <v>0</v>
      </c>
      <c r="AG1030" s="23">
        <f t="shared" si="67"/>
        <v>1</v>
      </c>
    </row>
    <row r="1031" spans="1:33" hidden="1" x14ac:dyDescent="0.25">
      <c r="A1031" s="12" t="s">
        <v>31</v>
      </c>
      <c r="B1031" s="9">
        <v>46188</v>
      </c>
      <c r="C1031" s="10" t="s">
        <v>1629</v>
      </c>
      <c r="D1031" s="10" t="s">
        <v>1630</v>
      </c>
      <c r="E1031" s="10" t="s">
        <v>51</v>
      </c>
      <c r="F1031" s="10" t="s">
        <v>35</v>
      </c>
      <c r="G1031" s="10" t="s">
        <v>3145</v>
      </c>
      <c r="H1031" s="8" t="s">
        <v>41</v>
      </c>
      <c r="I1031" s="11">
        <v>22.9</v>
      </c>
      <c r="J1031" s="6">
        <v>17.175000000000001</v>
      </c>
      <c r="K1031" s="6">
        <v>0.75000000000000011</v>
      </c>
      <c r="L1031" s="6">
        <v>22.42</v>
      </c>
      <c r="M1031" s="11">
        <v>16.815000000000001</v>
      </c>
      <c r="N1031" s="11">
        <f t="shared" si="64"/>
        <v>16.815000000000001</v>
      </c>
      <c r="O1031" s="6">
        <v>0.75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0.48</v>
      </c>
      <c r="Z1031" s="6">
        <v>0.36</v>
      </c>
      <c r="AA1031" s="6">
        <v>0.75</v>
      </c>
      <c r="AB1031" s="6">
        <v>-0.47999999999999687</v>
      </c>
      <c r="AC1031" s="6">
        <v>0.47999999999999687</v>
      </c>
      <c r="AD1031" s="22" t="s">
        <v>3140</v>
      </c>
      <c r="AE1031" s="23">
        <f t="shared" si="65"/>
        <v>16.815000000000001</v>
      </c>
      <c r="AF1031" s="24">
        <f t="shared" si="66"/>
        <v>0</v>
      </c>
      <c r="AG1031" s="23">
        <f t="shared" si="67"/>
        <v>1</v>
      </c>
    </row>
    <row r="1032" spans="1:33" ht="12.5" hidden="1" customHeight="1" x14ac:dyDescent="0.25">
      <c r="A1032" s="12" t="s">
        <v>31</v>
      </c>
      <c r="B1032" s="9">
        <v>46188</v>
      </c>
      <c r="C1032" s="8" t="s">
        <v>1631</v>
      </c>
      <c r="D1032" s="10" t="s">
        <v>1632</v>
      </c>
      <c r="E1032" s="10" t="s">
        <v>51</v>
      </c>
      <c r="F1032" s="10" t="s">
        <v>35</v>
      </c>
      <c r="G1032" s="10" t="s">
        <v>3145</v>
      </c>
      <c r="H1032" s="8" t="s">
        <v>48</v>
      </c>
      <c r="I1032" s="11">
        <v>34.32</v>
      </c>
      <c r="J1032" s="6">
        <v>25.74</v>
      </c>
      <c r="K1032" s="6">
        <v>0.75</v>
      </c>
      <c r="L1032" s="6">
        <v>32.869999999999997</v>
      </c>
      <c r="M1032" s="11">
        <v>24.6525</v>
      </c>
      <c r="N1032" s="11">
        <f t="shared" si="64"/>
        <v>24.653000000000002</v>
      </c>
      <c r="O1032" s="6">
        <v>0.75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1.45</v>
      </c>
      <c r="Z1032" s="6">
        <v>1.0874999999999999</v>
      </c>
      <c r="AA1032" s="6">
        <v>0.75</v>
      </c>
      <c r="AB1032" s="6">
        <v>-1.4500000000000028</v>
      </c>
      <c r="AC1032" s="6">
        <v>1.4500000000000028</v>
      </c>
      <c r="AD1032" s="22" t="s">
        <v>3140</v>
      </c>
      <c r="AE1032" s="23">
        <f t="shared" si="65"/>
        <v>24.653000000000002</v>
      </c>
      <c r="AF1032" s="24">
        <f t="shared" si="66"/>
        <v>0</v>
      </c>
      <c r="AG1032" s="23">
        <f t="shared" si="67"/>
        <v>1</v>
      </c>
    </row>
    <row r="1033" spans="1:33" ht="12.5" hidden="1" customHeight="1" x14ac:dyDescent="0.25">
      <c r="A1033" s="12" t="s">
        <v>31</v>
      </c>
      <c r="B1033" s="9">
        <v>46188</v>
      </c>
      <c r="C1033" s="13" t="s">
        <v>1631</v>
      </c>
      <c r="D1033" s="10" t="s">
        <v>1633</v>
      </c>
      <c r="E1033" s="10" t="s">
        <v>51</v>
      </c>
      <c r="F1033" s="10" t="s">
        <v>35</v>
      </c>
      <c r="G1033" s="10" t="s">
        <v>3145</v>
      </c>
      <c r="H1033" s="8" t="s">
        <v>41</v>
      </c>
      <c r="I1033" s="11">
        <v>19.34</v>
      </c>
      <c r="J1033" s="6">
        <v>14.505000000000001</v>
      </c>
      <c r="K1033" s="6">
        <v>0.75</v>
      </c>
      <c r="L1033" s="6">
        <v>18.68</v>
      </c>
      <c r="M1033" s="11">
        <v>14.01</v>
      </c>
      <c r="N1033" s="11">
        <f t="shared" si="64"/>
        <v>14.01</v>
      </c>
      <c r="O1033" s="6">
        <v>0.75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0.66</v>
      </c>
      <c r="Z1033" s="6">
        <v>0.495</v>
      </c>
      <c r="AA1033" s="6">
        <v>0.75</v>
      </c>
      <c r="AB1033" s="6">
        <v>-0.66000000000000014</v>
      </c>
      <c r="AC1033" s="6">
        <v>0.66000000000000014</v>
      </c>
      <c r="AD1033" s="22" t="s">
        <v>3140</v>
      </c>
      <c r="AE1033" s="23">
        <f t="shared" si="65"/>
        <v>14.01</v>
      </c>
      <c r="AF1033" s="24">
        <f t="shared" si="66"/>
        <v>0</v>
      </c>
      <c r="AG1033" s="23">
        <f t="shared" si="67"/>
        <v>1</v>
      </c>
    </row>
    <row r="1034" spans="1:33" hidden="1" x14ac:dyDescent="0.25">
      <c r="A1034" s="12" t="s">
        <v>31</v>
      </c>
      <c r="B1034" s="9">
        <v>46188</v>
      </c>
      <c r="C1034" s="10" t="s">
        <v>1634</v>
      </c>
      <c r="D1034" s="10" t="s">
        <v>1635</v>
      </c>
      <c r="E1034" s="10" t="s">
        <v>51</v>
      </c>
      <c r="F1034" s="10" t="s">
        <v>35</v>
      </c>
      <c r="G1034" s="10" t="s">
        <v>3145</v>
      </c>
      <c r="H1034" s="8" t="s">
        <v>41</v>
      </c>
      <c r="I1034" s="11">
        <v>27.11</v>
      </c>
      <c r="J1034" s="6">
        <v>20.3325</v>
      </c>
      <c r="K1034" s="6">
        <v>0.75</v>
      </c>
      <c r="L1034" s="6">
        <v>25.42</v>
      </c>
      <c r="M1034" s="11">
        <v>19.065000000000001</v>
      </c>
      <c r="N1034" s="11">
        <f t="shared" si="64"/>
        <v>19.065000000000001</v>
      </c>
      <c r="O1034" s="6">
        <v>0.75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1.69</v>
      </c>
      <c r="Z1034" s="6">
        <v>1.2675000000000001</v>
      </c>
      <c r="AA1034" s="6">
        <v>0.75000000000000011</v>
      </c>
      <c r="AB1034" s="6">
        <v>-1.6899999999999977</v>
      </c>
      <c r="AC1034" s="6">
        <v>1.6899999999999977</v>
      </c>
      <c r="AD1034" s="22" t="s">
        <v>3140</v>
      </c>
      <c r="AE1034" s="23">
        <f t="shared" si="65"/>
        <v>19.065000000000001</v>
      </c>
      <c r="AF1034" s="24">
        <f t="shared" si="66"/>
        <v>0</v>
      </c>
      <c r="AG1034" s="23">
        <f t="shared" si="67"/>
        <v>2</v>
      </c>
    </row>
    <row r="1035" spans="1:33" ht="20" hidden="1" customHeight="1" x14ac:dyDescent="0.25">
      <c r="A1035" s="12" t="s">
        <v>31</v>
      </c>
      <c r="B1035" s="9">
        <v>46188</v>
      </c>
      <c r="C1035" s="10" t="s">
        <v>1636</v>
      </c>
      <c r="D1035" s="10" t="s">
        <v>1637</v>
      </c>
      <c r="E1035" s="10" t="s">
        <v>51</v>
      </c>
      <c r="F1035" s="10" t="s">
        <v>35</v>
      </c>
      <c r="G1035" s="10" t="s">
        <v>3145</v>
      </c>
      <c r="H1035" s="8" t="s">
        <v>48</v>
      </c>
      <c r="I1035" s="11">
        <v>14.71</v>
      </c>
      <c r="J1035" s="6">
        <v>11.032500000000001</v>
      </c>
      <c r="K1035" s="6">
        <v>0.75</v>
      </c>
      <c r="L1035" s="6">
        <v>13.25</v>
      </c>
      <c r="M1035" s="11">
        <v>9.9375</v>
      </c>
      <c r="N1035" s="11">
        <f t="shared" si="64"/>
        <v>9.9379999999999988</v>
      </c>
      <c r="O1035" s="6">
        <v>0.75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1.46</v>
      </c>
      <c r="Z1035" s="6">
        <v>1.095</v>
      </c>
      <c r="AA1035" s="6">
        <v>0.75</v>
      </c>
      <c r="AB1035" s="6">
        <v>-1.4600000000000009</v>
      </c>
      <c r="AC1035" s="6">
        <v>1.4600000000000009</v>
      </c>
      <c r="AD1035" s="22" t="s">
        <v>3140</v>
      </c>
      <c r="AE1035" s="23">
        <f t="shared" si="65"/>
        <v>9.9379999999999988</v>
      </c>
      <c r="AF1035" s="24">
        <f t="shared" si="66"/>
        <v>0</v>
      </c>
      <c r="AG1035" s="23">
        <f t="shared" si="67"/>
        <v>2</v>
      </c>
    </row>
    <row r="1036" spans="1:33" x14ac:dyDescent="0.25">
      <c r="A1036" s="12" t="s">
        <v>31</v>
      </c>
      <c r="B1036" s="9">
        <v>46188</v>
      </c>
      <c r="C1036" s="10" t="s">
        <v>1638</v>
      </c>
      <c r="D1036" s="10" t="s">
        <v>1639</v>
      </c>
      <c r="E1036" s="10" t="s">
        <v>51</v>
      </c>
      <c r="F1036" s="10" t="s">
        <v>35</v>
      </c>
      <c r="G1036" s="10" t="s">
        <v>3146</v>
      </c>
      <c r="H1036" s="8" t="s">
        <v>36</v>
      </c>
      <c r="I1036" s="11">
        <v>165.95</v>
      </c>
      <c r="J1036" s="6">
        <v>152.17615000000001</v>
      </c>
      <c r="K1036" s="6">
        <v>0.91700000000000015</v>
      </c>
      <c r="L1036" s="6">
        <v>157.27000000000001</v>
      </c>
      <c r="M1036" s="11">
        <v>144.21659</v>
      </c>
      <c r="N1036" s="11">
        <f t="shared" si="64"/>
        <v>144.21700000000001</v>
      </c>
      <c r="O1036" s="6">
        <v>0.91699999999999993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8.68</v>
      </c>
      <c r="Z1036" s="6">
        <v>7.9595599999999997</v>
      </c>
      <c r="AA1036" s="6">
        <v>0.91700000000000004</v>
      </c>
      <c r="AB1036" s="6">
        <v>-8.6799999999999784</v>
      </c>
      <c r="AC1036" s="6">
        <v>8.6799999999999784</v>
      </c>
      <c r="AD1036" s="22" t="s">
        <v>3140</v>
      </c>
      <c r="AE1036" s="23">
        <f t="shared" si="65"/>
        <v>144.21700000000001</v>
      </c>
      <c r="AF1036" s="24">
        <f t="shared" si="66"/>
        <v>0</v>
      </c>
      <c r="AG1036" s="23">
        <f t="shared" si="67"/>
        <v>1</v>
      </c>
    </row>
    <row r="1037" spans="1:33" x14ac:dyDescent="0.25">
      <c r="A1037" s="12" t="s">
        <v>31</v>
      </c>
      <c r="B1037" s="9">
        <v>46188</v>
      </c>
      <c r="C1037" s="10" t="s">
        <v>1640</v>
      </c>
      <c r="D1037" s="10" t="s">
        <v>1641</v>
      </c>
      <c r="E1037" s="10" t="s">
        <v>51</v>
      </c>
      <c r="F1037" s="10" t="s">
        <v>35</v>
      </c>
      <c r="G1037" s="10" t="s">
        <v>3146</v>
      </c>
      <c r="H1037" s="8" t="s">
        <v>36</v>
      </c>
      <c r="I1037" s="11">
        <v>76.84</v>
      </c>
      <c r="J1037" s="6">
        <v>70.462280000000007</v>
      </c>
      <c r="K1037" s="6">
        <v>0.91700000000000004</v>
      </c>
      <c r="L1037" s="6">
        <v>73.23</v>
      </c>
      <c r="M1037" s="11">
        <v>67.151910000000001</v>
      </c>
      <c r="N1037" s="11">
        <f t="shared" si="64"/>
        <v>67.152000000000001</v>
      </c>
      <c r="O1037" s="6">
        <v>0.91699999999999993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3.61</v>
      </c>
      <c r="Z1037" s="6">
        <v>3.3103699999999998</v>
      </c>
      <c r="AA1037" s="6">
        <v>0.91699999999999993</v>
      </c>
      <c r="AB1037" s="6">
        <v>-3.6099999999999994</v>
      </c>
      <c r="AC1037" s="6">
        <v>3.6099999999999994</v>
      </c>
      <c r="AD1037" s="22" t="s">
        <v>3140</v>
      </c>
      <c r="AE1037" s="23">
        <f t="shared" si="65"/>
        <v>67.152000000000001</v>
      </c>
      <c r="AF1037" s="24">
        <f t="shared" si="66"/>
        <v>0</v>
      </c>
      <c r="AG1037" s="23">
        <f t="shared" si="67"/>
        <v>1</v>
      </c>
    </row>
    <row r="1038" spans="1:33" x14ac:dyDescent="0.25">
      <c r="A1038" s="12" t="s">
        <v>31</v>
      </c>
      <c r="B1038" s="9">
        <v>46188</v>
      </c>
      <c r="C1038" s="10" t="s">
        <v>1642</v>
      </c>
      <c r="D1038" s="10" t="s">
        <v>1643</v>
      </c>
      <c r="E1038" s="10" t="s">
        <v>51</v>
      </c>
      <c r="F1038" s="10" t="s">
        <v>35</v>
      </c>
      <c r="G1038" s="10" t="s">
        <v>3146</v>
      </c>
      <c r="H1038" s="8" t="s">
        <v>36</v>
      </c>
      <c r="I1038" s="11">
        <v>52.4</v>
      </c>
      <c r="J1038" s="6">
        <v>48.050800000000002</v>
      </c>
      <c r="K1038" s="6">
        <v>0.91700000000000004</v>
      </c>
      <c r="L1038" s="6">
        <v>50.3</v>
      </c>
      <c r="M1038" s="11">
        <v>46.125100000000003</v>
      </c>
      <c r="N1038" s="11">
        <f t="shared" si="64"/>
        <v>46.125999999999998</v>
      </c>
      <c r="O1038" s="6">
        <v>0.91700000000000015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2.1</v>
      </c>
      <c r="Z1038" s="6">
        <v>1.9257</v>
      </c>
      <c r="AA1038" s="6">
        <v>0.91699999999999993</v>
      </c>
      <c r="AB1038" s="6">
        <v>-2.1000000000000014</v>
      </c>
      <c r="AC1038" s="6">
        <v>2.1000000000000014</v>
      </c>
      <c r="AD1038" s="22" t="s">
        <v>3140</v>
      </c>
      <c r="AE1038" s="23">
        <f t="shared" si="65"/>
        <v>46.125999999999998</v>
      </c>
      <c r="AF1038" s="24">
        <f t="shared" si="66"/>
        <v>0</v>
      </c>
      <c r="AG1038" s="23">
        <f t="shared" si="67"/>
        <v>2</v>
      </c>
    </row>
    <row r="1039" spans="1:33" ht="12.5" hidden="1" customHeight="1" x14ac:dyDescent="0.25">
      <c r="A1039" s="12" t="s">
        <v>31</v>
      </c>
      <c r="B1039" s="9">
        <v>46188</v>
      </c>
      <c r="C1039" s="8" t="s">
        <v>1644</v>
      </c>
      <c r="D1039" s="10" t="s">
        <v>1558</v>
      </c>
      <c r="E1039" s="10" t="s">
        <v>51</v>
      </c>
      <c r="F1039" s="10" t="s">
        <v>35</v>
      </c>
      <c r="G1039" s="10" t="s">
        <v>3145</v>
      </c>
      <c r="H1039" s="8" t="s">
        <v>48</v>
      </c>
      <c r="I1039" s="11">
        <v>28.7</v>
      </c>
      <c r="J1039" s="6">
        <v>21.524999999999999</v>
      </c>
      <c r="K1039" s="6">
        <v>0.75</v>
      </c>
      <c r="L1039" s="6">
        <v>28.66</v>
      </c>
      <c r="M1039" s="11">
        <v>21.495000000000001</v>
      </c>
      <c r="N1039" s="11">
        <f t="shared" si="64"/>
        <v>21.495000000000001</v>
      </c>
      <c r="O1039" s="6">
        <v>0.75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0.04</v>
      </c>
      <c r="Z1039" s="6">
        <v>0.03</v>
      </c>
      <c r="AA1039" s="6">
        <v>0.75</v>
      </c>
      <c r="AB1039" s="6">
        <v>-3.9999999999999147E-2</v>
      </c>
      <c r="AC1039" s="6">
        <v>3.9999999999999147E-2</v>
      </c>
      <c r="AD1039" s="22" t="s">
        <v>3140</v>
      </c>
      <c r="AE1039" s="23">
        <f t="shared" si="65"/>
        <v>21.495000000000001</v>
      </c>
      <c r="AF1039" s="24">
        <f t="shared" si="66"/>
        <v>0</v>
      </c>
      <c r="AG1039" s="23">
        <f t="shared" si="67"/>
        <v>2</v>
      </c>
    </row>
    <row r="1040" spans="1:33" ht="12.5" hidden="1" customHeight="1" x14ac:dyDescent="0.25">
      <c r="A1040" s="12" t="s">
        <v>31</v>
      </c>
      <c r="B1040" s="9">
        <v>46188</v>
      </c>
      <c r="C1040" s="13" t="s">
        <v>1644</v>
      </c>
      <c r="D1040" s="10" t="s">
        <v>1645</v>
      </c>
      <c r="E1040" s="10" t="s">
        <v>51</v>
      </c>
      <c r="F1040" s="10" t="s">
        <v>35</v>
      </c>
      <c r="G1040" s="10" t="s">
        <v>3145</v>
      </c>
      <c r="H1040" s="8" t="s">
        <v>48</v>
      </c>
      <c r="I1040" s="11">
        <v>11.2</v>
      </c>
      <c r="J1040" s="6">
        <v>8.4</v>
      </c>
      <c r="K1040" s="6">
        <v>0.75000000000000011</v>
      </c>
      <c r="L1040" s="6">
        <v>10.48</v>
      </c>
      <c r="M1040" s="11">
        <v>7.86</v>
      </c>
      <c r="N1040" s="11">
        <f t="shared" si="64"/>
        <v>7.86</v>
      </c>
      <c r="O1040" s="6">
        <v>0.75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0.72</v>
      </c>
      <c r="Z1040" s="6">
        <v>0.54</v>
      </c>
      <c r="AA1040" s="6">
        <v>0.75000000000000011</v>
      </c>
      <c r="AB1040" s="6">
        <v>-0.71999999999999886</v>
      </c>
      <c r="AC1040" s="6">
        <v>0.71999999999999886</v>
      </c>
      <c r="AD1040" s="22" t="s">
        <v>3140</v>
      </c>
      <c r="AE1040" s="23">
        <f t="shared" si="65"/>
        <v>7.86</v>
      </c>
      <c r="AF1040" s="24">
        <f t="shared" si="66"/>
        <v>0</v>
      </c>
      <c r="AG1040" s="23">
        <f t="shared" si="67"/>
        <v>1</v>
      </c>
    </row>
    <row r="1041" spans="1:33" x14ac:dyDescent="0.25">
      <c r="A1041" s="12" t="s">
        <v>31</v>
      </c>
      <c r="B1041" s="9">
        <v>46188</v>
      </c>
      <c r="C1041" s="10" t="s">
        <v>1646</v>
      </c>
      <c r="D1041" s="10" t="s">
        <v>1647</v>
      </c>
      <c r="E1041" s="10" t="s">
        <v>51</v>
      </c>
      <c r="F1041" s="10" t="s">
        <v>35</v>
      </c>
      <c r="G1041" s="10" t="s">
        <v>3146</v>
      </c>
      <c r="H1041" s="8" t="s">
        <v>36</v>
      </c>
      <c r="I1041" s="11">
        <v>26</v>
      </c>
      <c r="J1041" s="6">
        <v>23.841999999999999</v>
      </c>
      <c r="K1041" s="6">
        <v>0.91699999999999993</v>
      </c>
      <c r="L1041" s="6">
        <v>23.56</v>
      </c>
      <c r="M1041" s="11">
        <v>21.604520000000001</v>
      </c>
      <c r="N1041" s="11">
        <f t="shared" si="64"/>
        <v>21.605</v>
      </c>
      <c r="O1041" s="6">
        <v>0.91700000000000004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2.44</v>
      </c>
      <c r="Z1041" s="6">
        <v>2.2374800000000001</v>
      </c>
      <c r="AA1041" s="6">
        <v>0.91700000000000004</v>
      </c>
      <c r="AB1041" s="6">
        <v>-2.4400000000000013</v>
      </c>
      <c r="AC1041" s="6">
        <v>2.4400000000000013</v>
      </c>
      <c r="AD1041" s="22" t="s">
        <v>3140</v>
      </c>
      <c r="AE1041" s="23">
        <f t="shared" si="65"/>
        <v>21.605</v>
      </c>
      <c r="AF1041" s="24">
        <f t="shared" si="66"/>
        <v>0</v>
      </c>
      <c r="AG1041" s="23">
        <f t="shared" si="67"/>
        <v>1</v>
      </c>
    </row>
    <row r="1042" spans="1:33" ht="12.5" hidden="1" customHeight="1" x14ac:dyDescent="0.25">
      <c r="A1042" s="12" t="s">
        <v>31</v>
      </c>
      <c r="B1042" s="9">
        <v>46188</v>
      </c>
      <c r="C1042" s="8" t="s">
        <v>1648</v>
      </c>
      <c r="D1042" s="10" t="s">
        <v>1447</v>
      </c>
      <c r="E1042" s="10" t="s">
        <v>51</v>
      </c>
      <c r="F1042" s="10" t="s">
        <v>35</v>
      </c>
      <c r="G1042" s="10" t="s">
        <v>3145</v>
      </c>
      <c r="H1042" s="8" t="s">
        <v>48</v>
      </c>
      <c r="I1042" s="11">
        <v>21.12</v>
      </c>
      <c r="J1042" s="6">
        <v>15.84</v>
      </c>
      <c r="K1042" s="6">
        <v>0.75</v>
      </c>
      <c r="L1042" s="6">
        <v>20.89</v>
      </c>
      <c r="M1042" s="11">
        <v>15.6675</v>
      </c>
      <c r="N1042" s="11">
        <f t="shared" si="64"/>
        <v>15.667999999999999</v>
      </c>
      <c r="O1042" s="6">
        <v>0.75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0.23</v>
      </c>
      <c r="Z1042" s="6">
        <v>0.17249999999999999</v>
      </c>
      <c r="AA1042" s="6">
        <v>0.74999999999999989</v>
      </c>
      <c r="AB1042" s="6">
        <v>-0.23000000000000043</v>
      </c>
      <c r="AC1042" s="6">
        <v>0.23000000000000043</v>
      </c>
      <c r="AD1042" s="23" t="s">
        <v>3143</v>
      </c>
      <c r="AE1042" s="23">
        <f t="shared" si="65"/>
        <v>15.15</v>
      </c>
      <c r="AF1042" s="24">
        <f t="shared" si="66"/>
        <v>0.51799999999999891</v>
      </c>
      <c r="AG1042" s="23">
        <f t="shared" si="67"/>
        <v>2</v>
      </c>
    </row>
    <row r="1043" spans="1:33" ht="12.5" hidden="1" customHeight="1" x14ac:dyDescent="0.25">
      <c r="A1043" s="12" t="s">
        <v>31</v>
      </c>
      <c r="B1043" s="9">
        <v>46188</v>
      </c>
      <c r="C1043" s="13" t="s">
        <v>1648</v>
      </c>
      <c r="D1043" s="10" t="s">
        <v>1612</v>
      </c>
      <c r="E1043" s="10" t="s">
        <v>51</v>
      </c>
      <c r="F1043" s="10" t="s">
        <v>35</v>
      </c>
      <c r="G1043" s="10" t="s">
        <v>3145</v>
      </c>
      <c r="H1043" s="8" t="s">
        <v>48</v>
      </c>
      <c r="I1043" s="11">
        <v>25.62</v>
      </c>
      <c r="J1043" s="6">
        <v>19.215</v>
      </c>
      <c r="K1043" s="6">
        <v>0.75</v>
      </c>
      <c r="L1043" s="6">
        <v>25.51</v>
      </c>
      <c r="M1043" s="11">
        <v>19.1325</v>
      </c>
      <c r="N1043" s="11">
        <f t="shared" si="64"/>
        <v>19.133000000000003</v>
      </c>
      <c r="O1043" s="6">
        <v>0.75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0.11</v>
      </c>
      <c r="Z1043" s="6">
        <v>8.2500000000000004E-2</v>
      </c>
      <c r="AA1043" s="6">
        <v>0.75</v>
      </c>
      <c r="AB1043" s="6">
        <v>-0.10999999999999943</v>
      </c>
      <c r="AC1043" s="6">
        <v>0.10999999999999943</v>
      </c>
      <c r="AD1043" s="23" t="s">
        <v>3143</v>
      </c>
      <c r="AE1043" s="23">
        <f t="shared" si="65"/>
        <v>18.548000000000002</v>
      </c>
      <c r="AF1043" s="24">
        <f t="shared" si="66"/>
        <v>0.58500000000000085</v>
      </c>
      <c r="AG1043" s="23">
        <f t="shared" si="67"/>
        <v>2</v>
      </c>
    </row>
    <row r="1044" spans="1:33" ht="12.5" customHeight="1" x14ac:dyDescent="0.25">
      <c r="A1044" s="12" t="s">
        <v>31</v>
      </c>
      <c r="B1044" s="9">
        <v>46188</v>
      </c>
      <c r="C1044" s="8" t="s">
        <v>1649</v>
      </c>
      <c r="D1044" s="10" t="s">
        <v>1650</v>
      </c>
      <c r="E1044" s="10" t="s">
        <v>51</v>
      </c>
      <c r="F1044" s="10" t="s">
        <v>35</v>
      </c>
      <c r="G1044" s="10" t="s">
        <v>3146</v>
      </c>
      <c r="H1044" s="8" t="s">
        <v>36</v>
      </c>
      <c r="I1044" s="11">
        <v>1.57</v>
      </c>
      <c r="J1044" s="6">
        <v>1.4396899999999999</v>
      </c>
      <c r="K1044" s="6">
        <v>0.91699999999999993</v>
      </c>
      <c r="L1044" s="6">
        <v>1.42</v>
      </c>
      <c r="M1044" s="11">
        <v>1.3021400000000001</v>
      </c>
      <c r="N1044" s="11">
        <f t="shared" si="64"/>
        <v>1.3029999999999999</v>
      </c>
      <c r="O1044" s="6">
        <v>0.91700000000000015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0.15</v>
      </c>
      <c r="Z1044" s="6">
        <v>0.13755000000000001</v>
      </c>
      <c r="AA1044" s="6">
        <v>0.91700000000000004</v>
      </c>
      <c r="AB1044" s="6">
        <v>-0.15000000000000013</v>
      </c>
      <c r="AC1044" s="6">
        <v>0.15000000000000013</v>
      </c>
      <c r="AD1044" s="22" t="s">
        <v>3140</v>
      </c>
      <c r="AE1044" s="23">
        <f t="shared" si="65"/>
        <v>1.3029999999999999</v>
      </c>
      <c r="AF1044" s="24">
        <f t="shared" si="66"/>
        <v>0</v>
      </c>
      <c r="AG1044" s="23">
        <f t="shared" si="67"/>
        <v>1</v>
      </c>
    </row>
    <row r="1045" spans="1:33" ht="12.5" customHeight="1" x14ac:dyDescent="0.25">
      <c r="A1045" s="12" t="s">
        <v>31</v>
      </c>
      <c r="B1045" s="9">
        <v>46188</v>
      </c>
      <c r="C1045" s="13" t="s">
        <v>1649</v>
      </c>
      <c r="D1045" s="10" t="s">
        <v>1651</v>
      </c>
      <c r="E1045" s="10" t="s">
        <v>51</v>
      </c>
      <c r="F1045" s="10" t="s">
        <v>35</v>
      </c>
      <c r="G1045" s="10" t="s">
        <v>3146</v>
      </c>
      <c r="H1045" s="8" t="s">
        <v>36</v>
      </c>
      <c r="I1045" s="11">
        <v>1.51</v>
      </c>
      <c r="J1045" s="6">
        <v>1.3846700000000001</v>
      </c>
      <c r="K1045" s="6">
        <v>0.91700000000000004</v>
      </c>
      <c r="L1045" s="6">
        <v>1.43</v>
      </c>
      <c r="M1045" s="11">
        <v>1.31131</v>
      </c>
      <c r="N1045" s="11">
        <f t="shared" si="64"/>
        <v>1.3119999999999998</v>
      </c>
      <c r="O1045" s="6">
        <v>0.91700000000000004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0.08</v>
      </c>
      <c r="Z1045" s="6">
        <v>7.3359999999999995E-2</v>
      </c>
      <c r="AA1045" s="6">
        <v>0.91699999999999993</v>
      </c>
      <c r="AB1045" s="6">
        <v>-8.0000000000000071E-2</v>
      </c>
      <c r="AC1045" s="6">
        <v>8.0000000000000071E-2</v>
      </c>
      <c r="AD1045" s="22" t="s">
        <v>3140</v>
      </c>
      <c r="AE1045" s="23">
        <f t="shared" si="65"/>
        <v>1.3119999999999998</v>
      </c>
      <c r="AF1045" s="24">
        <f t="shared" si="66"/>
        <v>0</v>
      </c>
      <c r="AG1045" s="23">
        <f t="shared" si="67"/>
        <v>1</v>
      </c>
    </row>
    <row r="1046" spans="1:33" x14ac:dyDescent="0.25">
      <c r="A1046" s="12" t="s">
        <v>31</v>
      </c>
      <c r="B1046" s="9">
        <v>46188</v>
      </c>
      <c r="C1046" s="10" t="s">
        <v>1652</v>
      </c>
      <c r="D1046" s="10" t="s">
        <v>1472</v>
      </c>
      <c r="E1046" s="10" t="s">
        <v>51</v>
      </c>
      <c r="F1046" s="10" t="s">
        <v>35</v>
      </c>
      <c r="G1046" s="10" t="s">
        <v>3146</v>
      </c>
      <c r="H1046" s="8" t="s">
        <v>36</v>
      </c>
      <c r="I1046" s="11">
        <v>29.45</v>
      </c>
      <c r="J1046" s="6">
        <v>27.005649999999999</v>
      </c>
      <c r="K1046" s="6">
        <v>0.91700000000000004</v>
      </c>
      <c r="L1046" s="6">
        <v>29.35</v>
      </c>
      <c r="M1046" s="11">
        <v>26.91395</v>
      </c>
      <c r="N1046" s="11">
        <f t="shared" si="64"/>
        <v>26.914000000000001</v>
      </c>
      <c r="O1046" s="6">
        <v>0.91699999999999993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0.1</v>
      </c>
      <c r="Z1046" s="6">
        <v>9.1700000000000004E-2</v>
      </c>
      <c r="AA1046" s="6">
        <v>0.91700000000000004</v>
      </c>
      <c r="AB1046" s="6">
        <v>-9.9999999999997868E-2</v>
      </c>
      <c r="AC1046" s="6">
        <v>9.9999999999997868E-2</v>
      </c>
      <c r="AD1046" s="23" t="s">
        <v>3143</v>
      </c>
      <c r="AE1046" s="23">
        <f t="shared" si="65"/>
        <v>25.053000000000001</v>
      </c>
      <c r="AF1046" s="24">
        <f t="shared" si="66"/>
        <v>1.8610000000000007</v>
      </c>
      <c r="AG1046" s="23">
        <f t="shared" si="67"/>
        <v>3</v>
      </c>
    </row>
    <row r="1047" spans="1:33" ht="12.5" customHeight="1" x14ac:dyDescent="0.25">
      <c r="A1047" s="12" t="s">
        <v>31</v>
      </c>
      <c r="B1047" s="9">
        <v>46188</v>
      </c>
      <c r="C1047" s="8" t="s">
        <v>1653</v>
      </c>
      <c r="D1047" s="10" t="s">
        <v>1654</v>
      </c>
      <c r="E1047" s="10" t="s">
        <v>51</v>
      </c>
      <c r="F1047" s="10" t="s">
        <v>35</v>
      </c>
      <c r="G1047" s="10" t="s">
        <v>3146</v>
      </c>
      <c r="H1047" s="8" t="s">
        <v>36</v>
      </c>
      <c r="I1047" s="11">
        <v>39.89</v>
      </c>
      <c r="J1047" s="6">
        <v>36.579129999999999</v>
      </c>
      <c r="K1047" s="6">
        <v>0.91699999999999993</v>
      </c>
      <c r="L1047" s="6">
        <v>37.19</v>
      </c>
      <c r="M1047" s="11">
        <v>34.103230000000003</v>
      </c>
      <c r="N1047" s="11">
        <f t="shared" si="64"/>
        <v>34.103999999999999</v>
      </c>
      <c r="O1047" s="6">
        <v>0.91700000000000015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2.7</v>
      </c>
      <c r="Z1047" s="6">
        <v>2.4759000000000002</v>
      </c>
      <c r="AA1047" s="6">
        <v>0.91700000000000004</v>
      </c>
      <c r="AB1047" s="6">
        <v>-2.7000000000000028</v>
      </c>
      <c r="AC1047" s="6">
        <v>2.7000000000000028</v>
      </c>
      <c r="AD1047" s="23" t="s">
        <v>3143</v>
      </c>
      <c r="AE1047" s="23">
        <f t="shared" si="65"/>
        <v>15.148999999999999</v>
      </c>
      <c r="AF1047" s="24">
        <f t="shared" si="66"/>
        <v>18.954999999999998</v>
      </c>
      <c r="AG1047" s="23">
        <f t="shared" si="67"/>
        <v>2</v>
      </c>
    </row>
    <row r="1048" spans="1:33" ht="12.5" customHeight="1" x14ac:dyDescent="0.25">
      <c r="A1048" s="12" t="s">
        <v>31</v>
      </c>
      <c r="B1048" s="9">
        <v>46188</v>
      </c>
      <c r="C1048" s="13" t="s">
        <v>1653</v>
      </c>
      <c r="D1048" s="10" t="s">
        <v>1655</v>
      </c>
      <c r="E1048" s="10" t="s">
        <v>51</v>
      </c>
      <c r="F1048" s="10" t="s">
        <v>35</v>
      </c>
      <c r="G1048" s="10" t="s">
        <v>3146</v>
      </c>
      <c r="H1048" s="8" t="s">
        <v>36</v>
      </c>
      <c r="I1048" s="11">
        <v>73.66</v>
      </c>
      <c r="J1048" s="6">
        <v>67.546220000000005</v>
      </c>
      <c r="K1048" s="6">
        <v>0.91700000000000015</v>
      </c>
      <c r="L1048" s="6">
        <v>67.48</v>
      </c>
      <c r="M1048" s="11">
        <v>61.879159999999999</v>
      </c>
      <c r="N1048" s="11">
        <f t="shared" si="64"/>
        <v>61.879999999999995</v>
      </c>
      <c r="O1048" s="6">
        <v>0.91699999999999993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6.18</v>
      </c>
      <c r="Z1048" s="6">
        <v>5.6670600000000002</v>
      </c>
      <c r="AA1048" s="6">
        <v>0.91700000000000004</v>
      </c>
      <c r="AB1048" s="6">
        <v>-6.1799999999999926</v>
      </c>
      <c r="AC1048" s="6">
        <v>6.1799999999999926</v>
      </c>
      <c r="AD1048" s="22" t="s">
        <v>3140</v>
      </c>
      <c r="AE1048" s="23">
        <f t="shared" si="65"/>
        <v>61.879999999999995</v>
      </c>
      <c r="AF1048" s="24">
        <f t="shared" si="66"/>
        <v>0</v>
      </c>
      <c r="AG1048" s="23">
        <f t="shared" si="67"/>
        <v>1</v>
      </c>
    </row>
    <row r="1049" spans="1:33" hidden="1" x14ac:dyDescent="0.25">
      <c r="A1049" s="12" t="s">
        <v>31</v>
      </c>
      <c r="B1049" s="9">
        <v>46188</v>
      </c>
      <c r="C1049" s="10" t="s">
        <v>1656</v>
      </c>
      <c r="D1049" s="10" t="s">
        <v>1657</v>
      </c>
      <c r="E1049" s="10" t="s">
        <v>51</v>
      </c>
      <c r="F1049" s="10" t="s">
        <v>35</v>
      </c>
      <c r="G1049" s="10" t="s">
        <v>3145</v>
      </c>
      <c r="H1049" s="8" t="s">
        <v>41</v>
      </c>
      <c r="I1049" s="11">
        <v>20.48</v>
      </c>
      <c r="J1049" s="6">
        <v>15.36</v>
      </c>
      <c r="K1049" s="6">
        <v>0.75</v>
      </c>
      <c r="L1049" s="6">
        <v>19.2</v>
      </c>
      <c r="M1049" s="11">
        <v>14.4</v>
      </c>
      <c r="N1049" s="11">
        <f t="shared" si="64"/>
        <v>14.4</v>
      </c>
      <c r="O1049" s="6">
        <v>0.75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1.28</v>
      </c>
      <c r="Z1049" s="6">
        <v>0.96</v>
      </c>
      <c r="AA1049" s="6">
        <v>0.75</v>
      </c>
      <c r="AB1049" s="6">
        <v>-1.2800000000000011</v>
      </c>
      <c r="AC1049" s="6">
        <v>1.2800000000000011</v>
      </c>
      <c r="AD1049" s="22" t="s">
        <v>3140</v>
      </c>
      <c r="AE1049" s="23">
        <f t="shared" si="65"/>
        <v>14.4</v>
      </c>
      <c r="AF1049" s="24">
        <f t="shared" si="66"/>
        <v>0</v>
      </c>
      <c r="AG1049" s="23">
        <f t="shared" si="67"/>
        <v>1</v>
      </c>
    </row>
    <row r="1050" spans="1:33" x14ac:dyDescent="0.25">
      <c r="A1050" s="12" t="s">
        <v>31</v>
      </c>
      <c r="B1050" s="9">
        <v>46188</v>
      </c>
      <c r="C1050" s="10" t="s">
        <v>1658</v>
      </c>
      <c r="D1050" s="10" t="s">
        <v>1659</v>
      </c>
      <c r="E1050" s="10" t="s">
        <v>51</v>
      </c>
      <c r="F1050" s="10" t="s">
        <v>35</v>
      </c>
      <c r="G1050" s="10" t="s">
        <v>3146</v>
      </c>
      <c r="H1050" s="8" t="s">
        <v>36</v>
      </c>
      <c r="I1050" s="11">
        <v>5.2</v>
      </c>
      <c r="J1050" s="6">
        <v>4.7683999999999997</v>
      </c>
      <c r="K1050" s="6">
        <v>0.91699999999999993</v>
      </c>
      <c r="L1050" s="6">
        <v>4.76</v>
      </c>
      <c r="M1050" s="11">
        <v>4.3649199999999997</v>
      </c>
      <c r="N1050" s="11">
        <f t="shared" si="64"/>
        <v>4.3650000000000002</v>
      </c>
      <c r="O1050" s="6">
        <v>0.91699999999999993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0.44</v>
      </c>
      <c r="Z1050" s="6">
        <v>0.40348000000000001</v>
      </c>
      <c r="AA1050" s="6">
        <v>0.91700000000000004</v>
      </c>
      <c r="AB1050" s="6">
        <v>-0.44000000000000039</v>
      </c>
      <c r="AC1050" s="6">
        <v>0.44000000000000039</v>
      </c>
      <c r="AD1050" s="22" t="s">
        <v>3140</v>
      </c>
      <c r="AE1050" s="23">
        <f t="shared" si="65"/>
        <v>4.3650000000000002</v>
      </c>
      <c r="AF1050" s="24">
        <f t="shared" si="66"/>
        <v>0</v>
      </c>
      <c r="AG1050" s="23">
        <f t="shared" si="67"/>
        <v>1</v>
      </c>
    </row>
    <row r="1051" spans="1:33" x14ac:dyDescent="0.25">
      <c r="A1051" s="12" t="s">
        <v>31</v>
      </c>
      <c r="B1051" s="9">
        <v>46188</v>
      </c>
      <c r="C1051" s="10" t="s">
        <v>1660</v>
      </c>
      <c r="D1051" s="10" t="s">
        <v>1661</v>
      </c>
      <c r="E1051" s="10" t="s">
        <v>51</v>
      </c>
      <c r="F1051" s="10" t="s">
        <v>35</v>
      </c>
      <c r="G1051" s="10" t="s">
        <v>3146</v>
      </c>
      <c r="H1051" s="8" t="s">
        <v>36</v>
      </c>
      <c r="I1051" s="11">
        <v>467.35</v>
      </c>
      <c r="J1051" s="6">
        <v>428.55995000000001</v>
      </c>
      <c r="K1051" s="6">
        <v>0.91700000000000004</v>
      </c>
      <c r="L1051" s="6">
        <v>440.54</v>
      </c>
      <c r="M1051" s="11">
        <v>403.97518000000002</v>
      </c>
      <c r="N1051" s="11">
        <f t="shared" si="64"/>
        <v>403.976</v>
      </c>
      <c r="O1051" s="6">
        <v>0.91700000000000004</v>
      </c>
      <c r="P1051" s="6">
        <v>4.88</v>
      </c>
      <c r="Q1051" s="6">
        <v>4.4749600000000003</v>
      </c>
      <c r="R1051" s="6">
        <v>0.91700000000000004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21.93</v>
      </c>
      <c r="Z1051" s="6">
        <v>20.10981</v>
      </c>
      <c r="AA1051" s="6">
        <v>0.91700000000000004</v>
      </c>
      <c r="AB1051" s="6">
        <v>-31.69</v>
      </c>
      <c r="AC1051" s="6">
        <v>21.930000000000003</v>
      </c>
      <c r="AD1051" s="22" t="s">
        <v>3140</v>
      </c>
      <c r="AE1051" s="23">
        <f t="shared" si="65"/>
        <v>403.976</v>
      </c>
      <c r="AF1051" s="24">
        <f t="shared" si="66"/>
        <v>0</v>
      </c>
      <c r="AG1051" s="23">
        <f t="shared" si="67"/>
        <v>1</v>
      </c>
    </row>
    <row r="1052" spans="1:33" hidden="1" x14ac:dyDescent="0.25">
      <c r="A1052" s="12" t="s">
        <v>31</v>
      </c>
      <c r="B1052" s="9">
        <v>46188</v>
      </c>
      <c r="C1052" s="10" t="s">
        <v>1662</v>
      </c>
      <c r="D1052" s="10" t="s">
        <v>1663</v>
      </c>
      <c r="E1052" s="10" t="s">
        <v>51</v>
      </c>
      <c r="F1052" s="10" t="s">
        <v>35</v>
      </c>
      <c r="G1052" s="10" t="s">
        <v>3145</v>
      </c>
      <c r="H1052" s="8" t="s">
        <v>41</v>
      </c>
      <c r="I1052" s="11">
        <v>34.97</v>
      </c>
      <c r="J1052" s="6">
        <v>26.227499999999999</v>
      </c>
      <c r="K1052" s="6">
        <v>0.75</v>
      </c>
      <c r="L1052" s="6">
        <v>32.54</v>
      </c>
      <c r="M1052" s="11">
        <v>24.405000000000001</v>
      </c>
      <c r="N1052" s="11">
        <f t="shared" si="64"/>
        <v>24.405000000000001</v>
      </c>
      <c r="O1052" s="6">
        <v>0.75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2.4300000000000002</v>
      </c>
      <c r="Z1052" s="6">
        <v>1.8225</v>
      </c>
      <c r="AA1052" s="6">
        <v>0.75</v>
      </c>
      <c r="AB1052" s="6">
        <v>-2.4299999999999997</v>
      </c>
      <c r="AC1052" s="6">
        <v>2.4299999999999997</v>
      </c>
      <c r="AD1052" s="22" t="s">
        <v>3140</v>
      </c>
      <c r="AE1052" s="23">
        <f t="shared" si="65"/>
        <v>24.405000000000001</v>
      </c>
      <c r="AF1052" s="24">
        <f t="shared" si="66"/>
        <v>0</v>
      </c>
      <c r="AG1052" s="23">
        <f t="shared" si="67"/>
        <v>1</v>
      </c>
    </row>
    <row r="1053" spans="1:33" x14ac:dyDescent="0.25">
      <c r="A1053" s="12" t="s">
        <v>31</v>
      </c>
      <c r="B1053" s="9">
        <v>46188</v>
      </c>
      <c r="C1053" s="10" t="s">
        <v>1664</v>
      </c>
      <c r="D1053" s="10" t="s">
        <v>1490</v>
      </c>
      <c r="E1053" s="10" t="s">
        <v>51</v>
      </c>
      <c r="F1053" s="10" t="s">
        <v>35</v>
      </c>
      <c r="G1053" s="10" t="s">
        <v>3146</v>
      </c>
      <c r="H1053" s="8" t="s">
        <v>36</v>
      </c>
      <c r="I1053" s="11">
        <v>34.39</v>
      </c>
      <c r="J1053" s="6">
        <v>31.535630000000001</v>
      </c>
      <c r="K1053" s="6">
        <v>0.91700000000000004</v>
      </c>
      <c r="L1053" s="6">
        <v>34.24</v>
      </c>
      <c r="M1053" s="11">
        <v>31.39808</v>
      </c>
      <c r="N1053" s="11">
        <f t="shared" si="64"/>
        <v>31.399000000000001</v>
      </c>
      <c r="O1053" s="6">
        <v>0.91699999999999993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0.15</v>
      </c>
      <c r="Z1053" s="6">
        <v>0.13755000000000001</v>
      </c>
      <c r="AA1053" s="6">
        <v>0.91700000000000004</v>
      </c>
      <c r="AB1053" s="6">
        <v>-0.14999999999999858</v>
      </c>
      <c r="AC1053" s="6">
        <v>0.14999999999999858</v>
      </c>
      <c r="AD1053" s="23" t="s">
        <v>3143</v>
      </c>
      <c r="AE1053" s="23">
        <f t="shared" si="65"/>
        <v>31.215</v>
      </c>
      <c r="AF1053" s="24">
        <f t="shared" si="66"/>
        <v>0.18400000000000105</v>
      </c>
      <c r="AG1053" s="23">
        <f t="shared" si="67"/>
        <v>4</v>
      </c>
    </row>
    <row r="1054" spans="1:33" hidden="1" x14ac:dyDescent="0.25">
      <c r="A1054" s="12" t="s">
        <v>31</v>
      </c>
      <c r="B1054" s="9">
        <v>46188</v>
      </c>
      <c r="C1054" s="10" t="s">
        <v>1665</v>
      </c>
      <c r="D1054" s="10" t="s">
        <v>1666</v>
      </c>
      <c r="E1054" s="10" t="s">
        <v>51</v>
      </c>
      <c r="F1054" s="10" t="s">
        <v>35</v>
      </c>
      <c r="G1054" s="10" t="s">
        <v>3145</v>
      </c>
      <c r="H1054" s="8" t="s">
        <v>41</v>
      </c>
      <c r="I1054" s="11">
        <v>22.48</v>
      </c>
      <c r="J1054" s="6">
        <v>16.86</v>
      </c>
      <c r="K1054" s="6">
        <v>0.75</v>
      </c>
      <c r="L1054" s="6">
        <v>21.03</v>
      </c>
      <c r="M1054" s="11">
        <v>15.772500000000001</v>
      </c>
      <c r="N1054" s="11">
        <f t="shared" si="64"/>
        <v>15.773</v>
      </c>
      <c r="O1054" s="6">
        <v>0.75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1.45</v>
      </c>
      <c r="Z1054" s="6">
        <v>1.0874999999999999</v>
      </c>
      <c r="AA1054" s="6">
        <v>0.75</v>
      </c>
      <c r="AB1054" s="6">
        <v>-1.4499999999999993</v>
      </c>
      <c r="AC1054" s="6">
        <v>1.4499999999999993</v>
      </c>
      <c r="AD1054" s="22" t="s">
        <v>3140</v>
      </c>
      <c r="AE1054" s="23">
        <f t="shared" si="65"/>
        <v>15.773</v>
      </c>
      <c r="AF1054" s="24">
        <f t="shared" si="66"/>
        <v>0</v>
      </c>
      <c r="AG1054" s="23">
        <f t="shared" si="67"/>
        <v>1</v>
      </c>
    </row>
    <row r="1055" spans="1:33" ht="20" hidden="1" customHeight="1" x14ac:dyDescent="0.25">
      <c r="A1055" s="12" t="s">
        <v>31</v>
      </c>
      <c r="B1055" s="9">
        <v>46188</v>
      </c>
      <c r="C1055" s="10" t="s">
        <v>1667</v>
      </c>
      <c r="D1055" s="10" t="s">
        <v>1668</v>
      </c>
      <c r="E1055" s="10" t="s">
        <v>51</v>
      </c>
      <c r="F1055" s="10" t="s">
        <v>35</v>
      </c>
      <c r="G1055" s="10" t="s">
        <v>3145</v>
      </c>
      <c r="H1055" s="8" t="s">
        <v>481</v>
      </c>
      <c r="I1055" s="11">
        <v>41.62</v>
      </c>
      <c r="J1055" s="6">
        <v>31.215</v>
      </c>
      <c r="K1055" s="6">
        <v>0.75</v>
      </c>
      <c r="L1055" s="6">
        <v>37.090000000000003</v>
      </c>
      <c r="M1055" s="11">
        <v>27.817499999999999</v>
      </c>
      <c r="N1055" s="11">
        <f t="shared" si="64"/>
        <v>27.818000000000001</v>
      </c>
      <c r="O1055" s="6">
        <v>0.74999999999999989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4.53</v>
      </c>
      <c r="Z1055" s="6">
        <v>3.3975</v>
      </c>
      <c r="AA1055" s="6">
        <v>0.75</v>
      </c>
      <c r="AB1055" s="6">
        <v>-4.529999999999994</v>
      </c>
      <c r="AC1055" s="6">
        <v>4.529999999999994</v>
      </c>
      <c r="AD1055" s="22" t="s">
        <v>3140</v>
      </c>
      <c r="AE1055" s="23">
        <f t="shared" si="65"/>
        <v>27.818000000000001</v>
      </c>
      <c r="AF1055" s="24">
        <f t="shared" si="66"/>
        <v>0</v>
      </c>
      <c r="AG1055" s="23">
        <f t="shared" si="67"/>
        <v>1</v>
      </c>
    </row>
    <row r="1056" spans="1:33" x14ac:dyDescent="0.25">
      <c r="A1056" s="12" t="s">
        <v>31</v>
      </c>
      <c r="B1056" s="9">
        <v>46188</v>
      </c>
      <c r="C1056" s="10" t="s">
        <v>1669</v>
      </c>
      <c r="D1056" s="10" t="s">
        <v>1670</v>
      </c>
      <c r="E1056" s="10" t="s">
        <v>51</v>
      </c>
      <c r="F1056" s="10" t="s">
        <v>35</v>
      </c>
      <c r="G1056" s="10" t="s">
        <v>3146</v>
      </c>
      <c r="H1056" s="8" t="s">
        <v>36</v>
      </c>
      <c r="I1056" s="11">
        <v>22.32</v>
      </c>
      <c r="J1056" s="6">
        <v>20.46744</v>
      </c>
      <c r="K1056" s="6">
        <v>0.91700000000000004</v>
      </c>
      <c r="L1056" s="6">
        <v>21.32</v>
      </c>
      <c r="M1056" s="11">
        <v>19.550439999999998</v>
      </c>
      <c r="N1056" s="11">
        <f t="shared" si="64"/>
        <v>19.551000000000002</v>
      </c>
      <c r="O1056" s="6">
        <v>0.91699999999999993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1</v>
      </c>
      <c r="Z1056" s="6">
        <v>0.91700000000000004</v>
      </c>
      <c r="AA1056" s="6">
        <v>0.91700000000000004</v>
      </c>
      <c r="AB1056" s="6">
        <v>-1</v>
      </c>
      <c r="AC1056" s="6">
        <v>1</v>
      </c>
      <c r="AD1056" s="23" t="s">
        <v>3143</v>
      </c>
      <c r="AE1056" s="23">
        <f t="shared" si="65"/>
        <v>19.047000000000001</v>
      </c>
      <c r="AF1056" s="24">
        <f t="shared" si="66"/>
        <v>0.50400000000000134</v>
      </c>
      <c r="AG1056" s="23">
        <f t="shared" si="67"/>
        <v>2</v>
      </c>
    </row>
    <row r="1057" spans="1:33" hidden="1" x14ac:dyDescent="0.25">
      <c r="A1057" s="12" t="s">
        <v>31</v>
      </c>
      <c r="B1057" s="9">
        <v>46188</v>
      </c>
      <c r="C1057" s="10" t="s">
        <v>1671</v>
      </c>
      <c r="D1057" s="10" t="s">
        <v>1672</v>
      </c>
      <c r="E1057" s="10" t="s">
        <v>51</v>
      </c>
      <c r="F1057" s="10" t="s">
        <v>35</v>
      </c>
      <c r="G1057" s="10" t="s">
        <v>3145</v>
      </c>
      <c r="H1057" s="8" t="s">
        <v>41</v>
      </c>
      <c r="I1057" s="11">
        <v>494.46</v>
      </c>
      <c r="J1057" s="6">
        <v>370.84500000000003</v>
      </c>
      <c r="K1057" s="6">
        <v>0.75000000000000011</v>
      </c>
      <c r="L1057" s="6">
        <v>447.89</v>
      </c>
      <c r="M1057" s="11">
        <v>335.91750000000002</v>
      </c>
      <c r="N1057" s="11">
        <f t="shared" si="64"/>
        <v>335.91799999999995</v>
      </c>
      <c r="O1057" s="6">
        <v>0.75000000000000011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46.57</v>
      </c>
      <c r="Z1057" s="6">
        <v>34.927500000000002</v>
      </c>
      <c r="AA1057" s="6">
        <v>0.75</v>
      </c>
      <c r="AB1057" s="6">
        <v>-46.569999999999993</v>
      </c>
      <c r="AC1057" s="6">
        <v>46.569999999999993</v>
      </c>
      <c r="AD1057" s="22" t="s">
        <v>3140</v>
      </c>
      <c r="AE1057" s="23">
        <f t="shared" si="65"/>
        <v>335.91799999999995</v>
      </c>
      <c r="AF1057" s="24">
        <f t="shared" si="66"/>
        <v>0</v>
      </c>
      <c r="AG1057" s="23">
        <f t="shared" si="67"/>
        <v>3</v>
      </c>
    </row>
    <row r="1058" spans="1:33" ht="12.5" hidden="1" customHeight="1" x14ac:dyDescent="0.25">
      <c r="A1058" s="12" t="s">
        <v>31</v>
      </c>
      <c r="B1058" s="9">
        <v>46188</v>
      </c>
      <c r="C1058" s="8" t="s">
        <v>1673</v>
      </c>
      <c r="D1058" s="10" t="s">
        <v>1674</v>
      </c>
      <c r="E1058" s="10" t="s">
        <v>51</v>
      </c>
      <c r="F1058" s="10" t="s">
        <v>35</v>
      </c>
      <c r="G1058" s="10" t="s">
        <v>3145</v>
      </c>
      <c r="H1058" s="8" t="s">
        <v>41</v>
      </c>
      <c r="I1058" s="11">
        <v>21.09</v>
      </c>
      <c r="J1058" s="6">
        <v>15.817500000000001</v>
      </c>
      <c r="K1058" s="6">
        <v>0.75</v>
      </c>
      <c r="L1058" s="6">
        <v>21.09</v>
      </c>
      <c r="M1058" s="11">
        <v>15.817500000000001</v>
      </c>
      <c r="N1058" s="11">
        <f t="shared" si="64"/>
        <v>15.818</v>
      </c>
      <c r="O1058" s="6">
        <v>0.75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23" t="s">
        <v>3143</v>
      </c>
      <c r="AE1058" s="23">
        <f t="shared" si="65"/>
        <v>14.753</v>
      </c>
      <c r="AF1058" s="24">
        <f t="shared" si="66"/>
        <v>1.0649999999999995</v>
      </c>
      <c r="AG1058" s="23">
        <f t="shared" si="67"/>
        <v>2</v>
      </c>
    </row>
    <row r="1059" spans="1:33" ht="12.5" hidden="1" customHeight="1" x14ac:dyDescent="0.25">
      <c r="A1059" s="12" t="s">
        <v>31</v>
      </c>
      <c r="B1059" s="9">
        <v>46188</v>
      </c>
      <c r="C1059" s="13" t="s">
        <v>1673</v>
      </c>
      <c r="D1059" s="10" t="s">
        <v>1675</v>
      </c>
      <c r="E1059" s="10" t="s">
        <v>51</v>
      </c>
      <c r="F1059" s="10" t="s">
        <v>35</v>
      </c>
      <c r="G1059" s="10" t="s">
        <v>3145</v>
      </c>
      <c r="H1059" s="8" t="s">
        <v>41</v>
      </c>
      <c r="I1059" s="11">
        <v>21.07</v>
      </c>
      <c r="J1059" s="6">
        <v>15.8025</v>
      </c>
      <c r="K1059" s="6">
        <v>0.75</v>
      </c>
      <c r="L1059" s="6">
        <v>21.07</v>
      </c>
      <c r="M1059" s="11">
        <v>15.8025</v>
      </c>
      <c r="N1059" s="11">
        <f t="shared" si="64"/>
        <v>15.802999999999999</v>
      </c>
      <c r="O1059" s="6">
        <v>0.75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23" t="s">
        <v>3143</v>
      </c>
      <c r="AE1059" s="23">
        <f t="shared" si="65"/>
        <v>14.88</v>
      </c>
      <c r="AF1059" s="24">
        <f t="shared" si="66"/>
        <v>0.92299999999999827</v>
      </c>
      <c r="AG1059" s="23">
        <f t="shared" si="67"/>
        <v>2</v>
      </c>
    </row>
    <row r="1060" spans="1:33" x14ac:dyDescent="0.25">
      <c r="A1060" s="12" t="s">
        <v>31</v>
      </c>
      <c r="B1060" s="9">
        <v>46188</v>
      </c>
      <c r="C1060" s="10" t="s">
        <v>1676</v>
      </c>
      <c r="D1060" s="10" t="s">
        <v>1677</v>
      </c>
      <c r="E1060" s="10" t="s">
        <v>51</v>
      </c>
      <c r="F1060" s="10" t="s">
        <v>35</v>
      </c>
      <c r="G1060" s="10" t="s">
        <v>3146</v>
      </c>
      <c r="H1060" s="8" t="s">
        <v>36</v>
      </c>
      <c r="I1060" s="11">
        <v>28.17</v>
      </c>
      <c r="J1060" s="6">
        <v>25.831890000000001</v>
      </c>
      <c r="K1060" s="6">
        <v>0.91700000000000004</v>
      </c>
      <c r="L1060" s="6">
        <v>27.88</v>
      </c>
      <c r="M1060" s="11">
        <v>25.56596</v>
      </c>
      <c r="N1060" s="11">
        <f t="shared" si="64"/>
        <v>25.566000000000003</v>
      </c>
      <c r="O1060" s="6">
        <v>0.91700000000000004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0.28999999999999998</v>
      </c>
      <c r="Z1060" s="6">
        <v>0.26593</v>
      </c>
      <c r="AA1060" s="6">
        <v>0.91700000000000004</v>
      </c>
      <c r="AB1060" s="6">
        <v>-0.2900000000000027</v>
      </c>
      <c r="AC1060" s="6">
        <v>0.2900000000000027</v>
      </c>
      <c r="AD1060" s="22" t="s">
        <v>3140</v>
      </c>
      <c r="AE1060" s="23">
        <f t="shared" si="65"/>
        <v>25.566000000000003</v>
      </c>
      <c r="AF1060" s="24">
        <f t="shared" si="66"/>
        <v>0</v>
      </c>
      <c r="AG1060" s="23">
        <f t="shared" si="67"/>
        <v>1</v>
      </c>
    </row>
    <row r="1061" spans="1:33" ht="12.5" hidden="1" customHeight="1" x14ac:dyDescent="0.25">
      <c r="A1061" s="12" t="s">
        <v>31</v>
      </c>
      <c r="B1061" s="9">
        <v>46188</v>
      </c>
      <c r="C1061" s="8" t="s">
        <v>1678</v>
      </c>
      <c r="D1061" s="10" t="s">
        <v>1679</v>
      </c>
      <c r="E1061" s="10" t="s">
        <v>51</v>
      </c>
      <c r="F1061" s="10" t="s">
        <v>35</v>
      </c>
      <c r="G1061" s="10" t="s">
        <v>3145</v>
      </c>
      <c r="H1061" s="8" t="s">
        <v>48</v>
      </c>
      <c r="I1061" s="11">
        <v>40.81</v>
      </c>
      <c r="J1061" s="6">
        <v>30.607500000000002</v>
      </c>
      <c r="K1061" s="6">
        <v>0.75</v>
      </c>
      <c r="L1061" s="6">
        <v>35.659999999999997</v>
      </c>
      <c r="M1061" s="11">
        <v>26.745000000000001</v>
      </c>
      <c r="N1061" s="11">
        <f t="shared" si="64"/>
        <v>26.745000000000001</v>
      </c>
      <c r="O1061" s="6">
        <v>0.75000000000000011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5.15</v>
      </c>
      <c r="Z1061" s="6">
        <v>3.8624999999999998</v>
      </c>
      <c r="AA1061" s="6">
        <v>0.74999999999999989</v>
      </c>
      <c r="AB1061" s="6">
        <v>-5.1500000000000057</v>
      </c>
      <c r="AC1061" s="6">
        <v>5.1500000000000057</v>
      </c>
      <c r="AD1061" s="22" t="s">
        <v>3140</v>
      </c>
      <c r="AE1061" s="23">
        <f t="shared" si="65"/>
        <v>26.745000000000001</v>
      </c>
      <c r="AF1061" s="24">
        <f t="shared" si="66"/>
        <v>0</v>
      </c>
      <c r="AG1061" s="23">
        <f t="shared" si="67"/>
        <v>1</v>
      </c>
    </row>
    <row r="1062" spans="1:33" ht="12.5" customHeight="1" x14ac:dyDescent="0.25">
      <c r="A1062" s="12" t="s">
        <v>31</v>
      </c>
      <c r="B1062" s="9">
        <v>46188</v>
      </c>
      <c r="C1062" s="12" t="s">
        <v>1678</v>
      </c>
      <c r="D1062" s="10" t="s">
        <v>1680</v>
      </c>
      <c r="E1062" s="10" t="s">
        <v>51</v>
      </c>
      <c r="F1062" s="10" t="s">
        <v>35</v>
      </c>
      <c r="G1062" s="10" t="s">
        <v>3146</v>
      </c>
      <c r="H1062" s="8" t="s">
        <v>36</v>
      </c>
      <c r="I1062" s="11">
        <v>82.15</v>
      </c>
      <c r="J1062" s="6">
        <v>75.331549999999993</v>
      </c>
      <c r="K1062" s="6">
        <v>0.91699999999999982</v>
      </c>
      <c r="L1062" s="6">
        <v>77.13</v>
      </c>
      <c r="M1062" s="11">
        <v>70.728210000000004</v>
      </c>
      <c r="N1062" s="11">
        <f t="shared" si="64"/>
        <v>70.728999999999999</v>
      </c>
      <c r="O1062" s="6">
        <v>0.91700000000000015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5.0199999999999996</v>
      </c>
      <c r="Z1062" s="6">
        <v>4.6033400000000002</v>
      </c>
      <c r="AA1062" s="6">
        <v>0.91700000000000015</v>
      </c>
      <c r="AB1062" s="6">
        <v>-5.0200000000000102</v>
      </c>
      <c r="AC1062" s="6">
        <v>5.0200000000000102</v>
      </c>
      <c r="AD1062" s="22" t="s">
        <v>3140</v>
      </c>
      <c r="AE1062" s="23">
        <f t="shared" si="65"/>
        <v>70.728999999999999</v>
      </c>
      <c r="AF1062" s="24">
        <f t="shared" si="66"/>
        <v>0</v>
      </c>
      <c r="AG1062" s="23">
        <f t="shared" si="67"/>
        <v>1</v>
      </c>
    </row>
    <row r="1063" spans="1:33" ht="12.5" customHeight="1" x14ac:dyDescent="0.25">
      <c r="A1063" s="12" t="s">
        <v>31</v>
      </c>
      <c r="B1063" s="9">
        <v>46188</v>
      </c>
      <c r="C1063" s="13" t="s">
        <v>1678</v>
      </c>
      <c r="D1063" s="10" t="s">
        <v>1681</v>
      </c>
      <c r="E1063" s="10" t="s">
        <v>51</v>
      </c>
      <c r="F1063" s="10" t="s">
        <v>35</v>
      </c>
      <c r="G1063" s="10" t="s">
        <v>3146</v>
      </c>
      <c r="H1063" s="8" t="s">
        <v>36</v>
      </c>
      <c r="I1063" s="11">
        <v>73.97</v>
      </c>
      <c r="J1063" s="6">
        <v>67.830489999999998</v>
      </c>
      <c r="K1063" s="6">
        <v>0.91699999999999993</v>
      </c>
      <c r="L1063" s="6">
        <v>68.83</v>
      </c>
      <c r="M1063" s="11">
        <v>63.117109999999997</v>
      </c>
      <c r="N1063" s="11">
        <f t="shared" si="64"/>
        <v>63.117999999999995</v>
      </c>
      <c r="O1063" s="6">
        <v>0.91699999999999993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5.14</v>
      </c>
      <c r="Z1063" s="6">
        <v>4.7133799999999999</v>
      </c>
      <c r="AA1063" s="6">
        <v>0.91700000000000004</v>
      </c>
      <c r="AB1063" s="6">
        <v>-5.14</v>
      </c>
      <c r="AC1063" s="6">
        <v>5.14</v>
      </c>
      <c r="AD1063" s="22" t="s">
        <v>3140</v>
      </c>
      <c r="AE1063" s="23">
        <f t="shared" si="65"/>
        <v>63.117999999999995</v>
      </c>
      <c r="AF1063" s="24">
        <f t="shared" si="66"/>
        <v>0</v>
      </c>
      <c r="AG1063" s="23">
        <f t="shared" si="67"/>
        <v>1</v>
      </c>
    </row>
    <row r="1064" spans="1:33" x14ac:dyDescent="0.25">
      <c r="A1064" s="12" t="s">
        <v>31</v>
      </c>
      <c r="B1064" s="9">
        <v>46188</v>
      </c>
      <c r="C1064" s="10" t="s">
        <v>1682</v>
      </c>
      <c r="D1064" s="10" t="s">
        <v>1683</v>
      </c>
      <c r="E1064" s="10" t="s">
        <v>51</v>
      </c>
      <c r="F1064" s="10" t="s">
        <v>35</v>
      </c>
      <c r="G1064" s="10" t="s">
        <v>3146</v>
      </c>
      <c r="H1064" s="8" t="s">
        <v>36</v>
      </c>
      <c r="I1064" s="11">
        <v>43.93</v>
      </c>
      <c r="J1064" s="6">
        <v>40.283810000000003</v>
      </c>
      <c r="K1064" s="6">
        <v>0.91700000000000004</v>
      </c>
      <c r="L1064" s="6">
        <v>41.87</v>
      </c>
      <c r="M1064" s="11">
        <v>38.39479</v>
      </c>
      <c r="N1064" s="11">
        <f t="shared" si="64"/>
        <v>38.394999999999996</v>
      </c>
      <c r="O1064" s="6">
        <v>0.91700000000000004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2.06</v>
      </c>
      <c r="Z1064" s="6">
        <v>1.8890199999999999</v>
      </c>
      <c r="AA1064" s="6">
        <v>0.91699999999999993</v>
      </c>
      <c r="AB1064" s="6">
        <v>-2.0600000000000023</v>
      </c>
      <c r="AC1064" s="6">
        <v>2.0600000000000023</v>
      </c>
      <c r="AD1064" s="22" t="s">
        <v>3140</v>
      </c>
      <c r="AE1064" s="23">
        <f t="shared" si="65"/>
        <v>38.394999999999996</v>
      </c>
      <c r="AF1064" s="24">
        <f t="shared" si="66"/>
        <v>0</v>
      </c>
      <c r="AG1064" s="23">
        <f t="shared" si="67"/>
        <v>1</v>
      </c>
    </row>
    <row r="1065" spans="1:33" x14ac:dyDescent="0.25">
      <c r="A1065" s="12" t="s">
        <v>31</v>
      </c>
      <c r="B1065" s="9">
        <v>46188</v>
      </c>
      <c r="C1065" s="10" t="s">
        <v>1684</v>
      </c>
      <c r="D1065" s="10" t="s">
        <v>1490</v>
      </c>
      <c r="E1065" s="10" t="s">
        <v>51</v>
      </c>
      <c r="F1065" s="10" t="s">
        <v>35</v>
      </c>
      <c r="G1065" s="10" t="s">
        <v>3146</v>
      </c>
      <c r="H1065" s="8" t="s">
        <v>36</v>
      </c>
      <c r="I1065" s="11">
        <v>34.04</v>
      </c>
      <c r="J1065" s="6">
        <v>31.214680000000001</v>
      </c>
      <c r="K1065" s="6">
        <v>0.91700000000000004</v>
      </c>
      <c r="L1065" s="6">
        <v>34.04</v>
      </c>
      <c r="M1065" s="11">
        <v>31.214680000000001</v>
      </c>
      <c r="N1065" s="11">
        <f t="shared" si="64"/>
        <v>31.215</v>
      </c>
      <c r="O1065" s="6">
        <v>0.91700000000000004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22" t="s">
        <v>3140</v>
      </c>
      <c r="AE1065" s="23">
        <f t="shared" si="65"/>
        <v>31.215</v>
      </c>
      <c r="AF1065" s="24">
        <f t="shared" si="66"/>
        <v>0</v>
      </c>
      <c r="AG1065" s="23">
        <f t="shared" si="67"/>
        <v>4</v>
      </c>
    </row>
    <row r="1066" spans="1:33" x14ac:dyDescent="0.25">
      <c r="A1066" s="12" t="s">
        <v>31</v>
      </c>
      <c r="B1066" s="9">
        <v>46188</v>
      </c>
      <c r="C1066" s="10" t="s">
        <v>1685</v>
      </c>
      <c r="D1066" s="10" t="s">
        <v>1490</v>
      </c>
      <c r="E1066" s="10" t="s">
        <v>51</v>
      </c>
      <c r="F1066" s="10" t="s">
        <v>35</v>
      </c>
      <c r="G1066" s="10" t="s">
        <v>3146</v>
      </c>
      <c r="H1066" s="8" t="s">
        <v>36</v>
      </c>
      <c r="I1066" s="11">
        <v>34.06</v>
      </c>
      <c r="J1066" s="6">
        <v>31.23302</v>
      </c>
      <c r="K1066" s="6">
        <v>0.91699999999999993</v>
      </c>
      <c r="L1066" s="6">
        <v>34.06</v>
      </c>
      <c r="M1066" s="11">
        <v>31.23302</v>
      </c>
      <c r="N1066" s="11">
        <f t="shared" si="64"/>
        <v>31.234000000000002</v>
      </c>
      <c r="O1066" s="6">
        <v>0.91699999999999993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23" t="s">
        <v>3143</v>
      </c>
      <c r="AE1066" s="23">
        <f t="shared" si="65"/>
        <v>31.215</v>
      </c>
      <c r="AF1066" s="24">
        <f t="shared" si="66"/>
        <v>1.9000000000001904E-2</v>
      </c>
      <c r="AG1066" s="23">
        <f t="shared" si="67"/>
        <v>4</v>
      </c>
    </row>
    <row r="1067" spans="1:33" ht="20" hidden="1" customHeight="1" x14ac:dyDescent="0.25">
      <c r="A1067" s="12" t="s">
        <v>31</v>
      </c>
      <c r="B1067" s="9">
        <v>46188</v>
      </c>
      <c r="C1067" s="10" t="s">
        <v>1686</v>
      </c>
      <c r="D1067" s="10" t="s">
        <v>1621</v>
      </c>
      <c r="E1067" s="10" t="s">
        <v>51</v>
      </c>
      <c r="F1067" s="10" t="s">
        <v>35</v>
      </c>
      <c r="G1067" s="10" t="s">
        <v>3145</v>
      </c>
      <c r="H1067" s="8" t="s">
        <v>48</v>
      </c>
      <c r="I1067" s="11">
        <v>36.58</v>
      </c>
      <c r="J1067" s="6">
        <v>27.434999999999999</v>
      </c>
      <c r="K1067" s="6">
        <v>0.75</v>
      </c>
      <c r="L1067" s="6">
        <v>36.15</v>
      </c>
      <c r="M1067" s="11">
        <v>27.112500000000001</v>
      </c>
      <c r="N1067" s="11">
        <f t="shared" si="64"/>
        <v>27.113</v>
      </c>
      <c r="O1067" s="6">
        <v>0.75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0.43</v>
      </c>
      <c r="Z1067" s="6">
        <v>0.32250000000000001</v>
      </c>
      <c r="AA1067" s="6">
        <v>0.75</v>
      </c>
      <c r="AB1067" s="6">
        <v>-0.42999999999999972</v>
      </c>
      <c r="AC1067" s="6">
        <v>0.42999999999999972</v>
      </c>
      <c r="AD1067" s="22" t="s">
        <v>3140</v>
      </c>
      <c r="AE1067" s="23">
        <f t="shared" si="65"/>
        <v>27.113</v>
      </c>
      <c r="AF1067" s="24">
        <f t="shared" si="66"/>
        <v>0</v>
      </c>
      <c r="AG1067" s="23">
        <f t="shared" si="67"/>
        <v>2</v>
      </c>
    </row>
    <row r="1068" spans="1:33" hidden="1" x14ac:dyDescent="0.25">
      <c r="A1068" s="12" t="s">
        <v>31</v>
      </c>
      <c r="B1068" s="9">
        <v>46188</v>
      </c>
      <c r="C1068" s="10" t="s">
        <v>1687</v>
      </c>
      <c r="D1068" s="10" t="s">
        <v>1688</v>
      </c>
      <c r="E1068" s="10" t="s">
        <v>51</v>
      </c>
      <c r="F1068" s="10" t="s">
        <v>35</v>
      </c>
      <c r="G1068" s="10" t="s">
        <v>3145</v>
      </c>
      <c r="H1068" s="8" t="s">
        <v>41</v>
      </c>
      <c r="I1068" s="11">
        <v>33.75</v>
      </c>
      <c r="J1068" s="6">
        <v>25.3125</v>
      </c>
      <c r="K1068" s="6">
        <v>0.75</v>
      </c>
      <c r="L1068" s="6">
        <v>31.34</v>
      </c>
      <c r="M1068" s="11">
        <v>23.504999999999999</v>
      </c>
      <c r="N1068" s="11">
        <f t="shared" si="64"/>
        <v>23.504999999999999</v>
      </c>
      <c r="O1068" s="6">
        <v>0.75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2.41</v>
      </c>
      <c r="Z1068" s="6">
        <v>1.8075000000000001</v>
      </c>
      <c r="AA1068" s="6">
        <v>0.75</v>
      </c>
      <c r="AB1068" s="6">
        <v>-2.41</v>
      </c>
      <c r="AC1068" s="6">
        <v>2.41</v>
      </c>
      <c r="AD1068" s="22" t="s">
        <v>3140</v>
      </c>
      <c r="AE1068" s="23">
        <f t="shared" si="65"/>
        <v>23.504999999999999</v>
      </c>
      <c r="AF1068" s="24">
        <f t="shared" si="66"/>
        <v>0</v>
      </c>
      <c r="AG1068" s="23">
        <f t="shared" si="67"/>
        <v>1</v>
      </c>
    </row>
    <row r="1069" spans="1:33" x14ac:dyDescent="0.25">
      <c r="A1069" s="12" t="s">
        <v>31</v>
      </c>
      <c r="B1069" s="9">
        <v>46188</v>
      </c>
      <c r="C1069" s="10" t="s">
        <v>1689</v>
      </c>
      <c r="D1069" s="10" t="s">
        <v>1690</v>
      </c>
      <c r="E1069" s="10" t="s">
        <v>51</v>
      </c>
      <c r="F1069" s="10" t="s">
        <v>35</v>
      </c>
      <c r="G1069" s="10" t="s">
        <v>3146</v>
      </c>
      <c r="H1069" s="8" t="s">
        <v>36</v>
      </c>
      <c r="I1069" s="11">
        <v>590.16999999999996</v>
      </c>
      <c r="J1069" s="6">
        <v>541.18588999999997</v>
      </c>
      <c r="K1069" s="6">
        <v>0.91700000000000004</v>
      </c>
      <c r="L1069" s="6">
        <v>561.4</v>
      </c>
      <c r="M1069" s="11">
        <v>514.80380000000002</v>
      </c>
      <c r="N1069" s="11">
        <f t="shared" si="64"/>
        <v>514.80399999999997</v>
      </c>
      <c r="O1069" s="6">
        <v>0.91700000000000004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28.77</v>
      </c>
      <c r="Z1069" s="6">
        <v>26.382090000000002</v>
      </c>
      <c r="AA1069" s="6">
        <v>0.91700000000000004</v>
      </c>
      <c r="AB1069" s="6">
        <v>-28.769999999999982</v>
      </c>
      <c r="AC1069" s="6">
        <v>28.769999999999982</v>
      </c>
      <c r="AD1069" s="22" t="s">
        <v>3140</v>
      </c>
      <c r="AE1069" s="23">
        <f t="shared" si="65"/>
        <v>514.80399999999997</v>
      </c>
      <c r="AF1069" s="24">
        <f t="shared" si="66"/>
        <v>0</v>
      </c>
      <c r="AG1069" s="23">
        <f t="shared" si="67"/>
        <v>1</v>
      </c>
    </row>
    <row r="1070" spans="1:33" ht="12.5" customHeight="1" x14ac:dyDescent="0.25">
      <c r="A1070" s="12" t="s">
        <v>31</v>
      </c>
      <c r="B1070" s="9">
        <v>46189</v>
      </c>
      <c r="C1070" s="10" t="s">
        <v>1691</v>
      </c>
      <c r="D1070" s="10" t="s">
        <v>1618</v>
      </c>
      <c r="E1070" s="10" t="s">
        <v>34</v>
      </c>
      <c r="F1070" s="10" t="s">
        <v>35</v>
      </c>
      <c r="G1070" s="10" t="s">
        <v>3146</v>
      </c>
      <c r="H1070" s="8" t="s">
        <v>36</v>
      </c>
      <c r="I1070" s="11">
        <v>194.06</v>
      </c>
      <c r="J1070" s="6">
        <v>177.95302000000001</v>
      </c>
      <c r="K1070" s="6">
        <v>0.91700000000000004</v>
      </c>
      <c r="L1070" s="6">
        <v>193.8</v>
      </c>
      <c r="M1070" s="11">
        <v>177.71459999999999</v>
      </c>
      <c r="N1070" s="11">
        <f t="shared" si="64"/>
        <v>177.715</v>
      </c>
      <c r="O1070" s="6">
        <v>0.91699999999999993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0.26</v>
      </c>
      <c r="Z1070" s="6">
        <v>0.23841999999999999</v>
      </c>
      <c r="AA1070" s="6">
        <v>0.91699999999999993</v>
      </c>
      <c r="AB1070" s="6">
        <v>-0.25999999999999091</v>
      </c>
      <c r="AC1070" s="6">
        <v>0.25999999999999091</v>
      </c>
      <c r="AD1070" s="22" t="s">
        <v>3140</v>
      </c>
      <c r="AE1070" s="23">
        <f t="shared" si="65"/>
        <v>177.715</v>
      </c>
      <c r="AF1070" s="24">
        <f t="shared" si="66"/>
        <v>0</v>
      </c>
      <c r="AG1070" s="23">
        <f t="shared" si="67"/>
        <v>2</v>
      </c>
    </row>
    <row r="1071" spans="1:33" ht="12.5" hidden="1" customHeight="1" x14ac:dyDescent="0.25">
      <c r="A1071" s="12" t="s">
        <v>31</v>
      </c>
      <c r="B1071" s="9">
        <v>46189</v>
      </c>
      <c r="C1071" s="8" t="s">
        <v>1692</v>
      </c>
      <c r="D1071" s="10" t="s">
        <v>1693</v>
      </c>
      <c r="E1071" s="10" t="s">
        <v>51</v>
      </c>
      <c r="F1071" s="10" t="s">
        <v>35</v>
      </c>
      <c r="G1071" s="10" t="s">
        <v>3145</v>
      </c>
      <c r="H1071" s="8" t="s">
        <v>48</v>
      </c>
      <c r="I1071" s="11">
        <v>82.13</v>
      </c>
      <c r="J1071" s="6">
        <v>61.597499999999997</v>
      </c>
      <c r="K1071" s="6">
        <v>0.75</v>
      </c>
      <c r="L1071" s="6">
        <v>71.040000000000006</v>
      </c>
      <c r="M1071" s="11">
        <v>53.28</v>
      </c>
      <c r="N1071" s="11">
        <f t="shared" si="64"/>
        <v>53.28</v>
      </c>
      <c r="O1071" s="6">
        <v>0.75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11.09</v>
      </c>
      <c r="Z1071" s="6">
        <v>8.3175000000000008</v>
      </c>
      <c r="AA1071" s="6">
        <v>0.75000000000000011</v>
      </c>
      <c r="AB1071" s="6">
        <v>-11.089999999999989</v>
      </c>
      <c r="AC1071" s="6">
        <v>11.089999999999989</v>
      </c>
      <c r="AD1071" s="22" t="s">
        <v>3140</v>
      </c>
      <c r="AE1071" s="23">
        <f t="shared" si="65"/>
        <v>53.28</v>
      </c>
      <c r="AF1071" s="24">
        <f t="shared" si="66"/>
        <v>0</v>
      </c>
      <c r="AG1071" s="23">
        <f t="shared" si="67"/>
        <v>1</v>
      </c>
    </row>
    <row r="1072" spans="1:33" ht="12.5" hidden="1" customHeight="1" x14ac:dyDescent="0.25">
      <c r="A1072" s="12" t="s">
        <v>31</v>
      </c>
      <c r="B1072" s="9">
        <v>46189</v>
      </c>
      <c r="C1072" s="12" t="s">
        <v>1692</v>
      </c>
      <c r="D1072" s="10" t="s">
        <v>1694</v>
      </c>
      <c r="E1072" s="10" t="s">
        <v>51</v>
      </c>
      <c r="F1072" s="10" t="s">
        <v>35</v>
      </c>
      <c r="G1072" s="10" t="s">
        <v>3145</v>
      </c>
      <c r="H1072" s="8" t="s">
        <v>41</v>
      </c>
      <c r="I1072" s="11">
        <v>34.44</v>
      </c>
      <c r="J1072" s="6">
        <v>25.83</v>
      </c>
      <c r="K1072" s="6">
        <v>0.75</v>
      </c>
      <c r="L1072" s="6">
        <v>30.29</v>
      </c>
      <c r="M1072" s="11">
        <v>22.717500000000001</v>
      </c>
      <c r="N1072" s="11">
        <f t="shared" si="64"/>
        <v>22.718</v>
      </c>
      <c r="O1072" s="6">
        <v>0.75000000000000011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4.1500000000000004</v>
      </c>
      <c r="Z1072" s="6">
        <v>3.1124999999999998</v>
      </c>
      <c r="AA1072" s="6">
        <v>0.74999999999999989</v>
      </c>
      <c r="AB1072" s="6">
        <v>-4.1499999999999986</v>
      </c>
      <c r="AC1072" s="6">
        <v>4.1499999999999986</v>
      </c>
      <c r="AD1072" s="22" t="s">
        <v>3140</v>
      </c>
      <c r="AE1072" s="23">
        <f t="shared" si="65"/>
        <v>22.718</v>
      </c>
      <c r="AF1072" s="24">
        <f t="shared" si="66"/>
        <v>0</v>
      </c>
      <c r="AG1072" s="23">
        <f t="shared" si="67"/>
        <v>1</v>
      </c>
    </row>
    <row r="1073" spans="1:33" ht="12.5" hidden="1" customHeight="1" x14ac:dyDescent="0.25">
      <c r="A1073" s="12" t="s">
        <v>31</v>
      </c>
      <c r="B1073" s="9">
        <v>46189</v>
      </c>
      <c r="C1073" s="12" t="s">
        <v>1692</v>
      </c>
      <c r="D1073" s="10" t="s">
        <v>1635</v>
      </c>
      <c r="E1073" s="10" t="s">
        <v>51</v>
      </c>
      <c r="F1073" s="10" t="s">
        <v>35</v>
      </c>
      <c r="G1073" s="10" t="s">
        <v>3145</v>
      </c>
      <c r="H1073" s="8" t="s">
        <v>41</v>
      </c>
      <c r="I1073" s="11">
        <v>26.16</v>
      </c>
      <c r="J1073" s="6">
        <v>19.62</v>
      </c>
      <c r="K1073" s="6">
        <v>0.75</v>
      </c>
      <c r="L1073" s="6">
        <v>25.9</v>
      </c>
      <c r="M1073" s="11">
        <v>19.425000000000001</v>
      </c>
      <c r="N1073" s="11">
        <f t="shared" si="64"/>
        <v>19.425000000000001</v>
      </c>
      <c r="O1073" s="6">
        <v>0.75000000000000011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0.26</v>
      </c>
      <c r="Z1073" s="6">
        <v>0.19500000000000001</v>
      </c>
      <c r="AA1073" s="6">
        <v>0.75</v>
      </c>
      <c r="AB1073" s="6">
        <v>-0.26000000000000156</v>
      </c>
      <c r="AC1073" s="6">
        <v>0.26000000000000156</v>
      </c>
      <c r="AD1073" s="23" t="s">
        <v>3143</v>
      </c>
      <c r="AE1073" s="23">
        <f t="shared" si="65"/>
        <v>19.065000000000001</v>
      </c>
      <c r="AF1073" s="24">
        <f t="shared" si="66"/>
        <v>0.35999999999999943</v>
      </c>
      <c r="AG1073" s="23">
        <f t="shared" si="67"/>
        <v>2</v>
      </c>
    </row>
    <row r="1074" spans="1:33" ht="12.5" hidden="1" customHeight="1" x14ac:dyDescent="0.25">
      <c r="A1074" s="12" t="s">
        <v>31</v>
      </c>
      <c r="B1074" s="9">
        <v>46189</v>
      </c>
      <c r="C1074" s="12" t="s">
        <v>1692</v>
      </c>
      <c r="D1074" s="10" t="s">
        <v>1695</v>
      </c>
      <c r="E1074" s="10" t="s">
        <v>51</v>
      </c>
      <c r="F1074" s="10" t="s">
        <v>35</v>
      </c>
      <c r="G1074" s="10" t="s">
        <v>3145</v>
      </c>
      <c r="H1074" s="8" t="s">
        <v>41</v>
      </c>
      <c r="I1074" s="11">
        <v>28.78</v>
      </c>
      <c r="J1074" s="6">
        <v>21.585000000000001</v>
      </c>
      <c r="K1074" s="6">
        <v>0.75</v>
      </c>
      <c r="L1074" s="6">
        <v>26.06</v>
      </c>
      <c r="M1074" s="11">
        <v>19.545000000000002</v>
      </c>
      <c r="N1074" s="11">
        <f t="shared" si="64"/>
        <v>19.545000000000002</v>
      </c>
      <c r="O1074" s="6">
        <v>0.75000000000000011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2.72</v>
      </c>
      <c r="Z1074" s="6">
        <v>2.04</v>
      </c>
      <c r="AA1074" s="6">
        <v>0.75</v>
      </c>
      <c r="AB1074" s="6">
        <v>-2.7200000000000024</v>
      </c>
      <c r="AC1074" s="6">
        <v>2.7200000000000024</v>
      </c>
      <c r="AD1074" s="22" t="s">
        <v>3140</v>
      </c>
      <c r="AE1074" s="23">
        <f t="shared" si="65"/>
        <v>19.545000000000002</v>
      </c>
      <c r="AF1074" s="24">
        <f t="shared" si="66"/>
        <v>0</v>
      </c>
      <c r="AG1074" s="23">
        <f t="shared" si="67"/>
        <v>1</v>
      </c>
    </row>
    <row r="1075" spans="1:33" ht="12.5" hidden="1" customHeight="1" x14ac:dyDescent="0.25">
      <c r="A1075" s="12" t="s">
        <v>31</v>
      </c>
      <c r="B1075" s="9">
        <v>46189</v>
      </c>
      <c r="C1075" s="12" t="s">
        <v>1692</v>
      </c>
      <c r="D1075" s="10" t="s">
        <v>1696</v>
      </c>
      <c r="E1075" s="10" t="s">
        <v>51</v>
      </c>
      <c r="F1075" s="10" t="s">
        <v>35</v>
      </c>
      <c r="G1075" s="10" t="s">
        <v>3145</v>
      </c>
      <c r="H1075" s="8" t="s">
        <v>48</v>
      </c>
      <c r="I1075" s="11">
        <v>28.02</v>
      </c>
      <c r="J1075" s="6">
        <v>21.015000000000001</v>
      </c>
      <c r="K1075" s="6">
        <v>0.75</v>
      </c>
      <c r="L1075" s="6">
        <v>25.17</v>
      </c>
      <c r="M1075" s="11">
        <v>18.877500000000001</v>
      </c>
      <c r="N1075" s="11">
        <f t="shared" si="64"/>
        <v>18.878</v>
      </c>
      <c r="O1075" s="6">
        <v>0.75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2.85</v>
      </c>
      <c r="Z1075" s="6">
        <v>2.1375000000000002</v>
      </c>
      <c r="AA1075" s="6">
        <v>0.75</v>
      </c>
      <c r="AB1075" s="6">
        <v>-2.8499999999999979</v>
      </c>
      <c r="AC1075" s="6">
        <v>2.8499999999999979</v>
      </c>
      <c r="AD1075" s="22" t="s">
        <v>3140</v>
      </c>
      <c r="AE1075" s="23">
        <f t="shared" si="65"/>
        <v>18.878</v>
      </c>
      <c r="AF1075" s="24">
        <f t="shared" si="66"/>
        <v>0</v>
      </c>
      <c r="AG1075" s="23">
        <f t="shared" si="67"/>
        <v>1</v>
      </c>
    </row>
    <row r="1076" spans="1:33" ht="12.5" hidden="1" customHeight="1" x14ac:dyDescent="0.25">
      <c r="A1076" s="12" t="s">
        <v>31</v>
      </c>
      <c r="B1076" s="9">
        <v>46189</v>
      </c>
      <c r="C1076" s="13" t="s">
        <v>1692</v>
      </c>
      <c r="D1076" s="10" t="s">
        <v>1697</v>
      </c>
      <c r="E1076" s="10" t="s">
        <v>51</v>
      </c>
      <c r="F1076" s="10" t="s">
        <v>35</v>
      </c>
      <c r="G1076" s="10" t="s">
        <v>3145</v>
      </c>
      <c r="H1076" s="8" t="s">
        <v>48</v>
      </c>
      <c r="I1076" s="11">
        <v>21.65</v>
      </c>
      <c r="J1076" s="6">
        <v>16.237500000000001</v>
      </c>
      <c r="K1076" s="6">
        <v>0.75000000000000011</v>
      </c>
      <c r="L1076" s="6">
        <v>19.350000000000001</v>
      </c>
      <c r="M1076" s="11">
        <v>14.512499999999999</v>
      </c>
      <c r="N1076" s="11">
        <f t="shared" si="64"/>
        <v>14.513</v>
      </c>
      <c r="O1076" s="6">
        <v>0.74999999999999989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2.2999999999999998</v>
      </c>
      <c r="Z1076" s="6">
        <v>1.7250000000000001</v>
      </c>
      <c r="AA1076" s="6">
        <v>0.75000000000000011</v>
      </c>
      <c r="AB1076" s="6">
        <v>-2.2999999999999972</v>
      </c>
      <c r="AC1076" s="6">
        <v>2.2999999999999972</v>
      </c>
      <c r="AD1076" s="22" t="s">
        <v>3140</v>
      </c>
      <c r="AE1076" s="23">
        <f t="shared" si="65"/>
        <v>14.513</v>
      </c>
      <c r="AF1076" s="24">
        <f t="shared" si="66"/>
        <v>0</v>
      </c>
      <c r="AG1076" s="23">
        <f t="shared" si="67"/>
        <v>1</v>
      </c>
    </row>
    <row r="1077" spans="1:33" hidden="1" x14ac:dyDescent="0.25">
      <c r="A1077" s="12" t="s">
        <v>31</v>
      </c>
      <c r="B1077" s="9">
        <v>46189</v>
      </c>
      <c r="C1077" s="10" t="s">
        <v>1698</v>
      </c>
      <c r="D1077" s="10" t="s">
        <v>1699</v>
      </c>
      <c r="E1077" s="10" t="s">
        <v>51</v>
      </c>
      <c r="F1077" s="10" t="s">
        <v>35</v>
      </c>
      <c r="G1077" s="10" t="s">
        <v>3145</v>
      </c>
      <c r="H1077" s="8" t="s">
        <v>41</v>
      </c>
      <c r="I1077" s="11">
        <v>9.2100000000000009</v>
      </c>
      <c r="J1077" s="6">
        <v>6.9074999999999998</v>
      </c>
      <c r="K1077" s="6">
        <v>0.74999999999999989</v>
      </c>
      <c r="L1077" s="6">
        <v>8.58</v>
      </c>
      <c r="M1077" s="11">
        <v>6.4349999999999996</v>
      </c>
      <c r="N1077" s="11">
        <f t="shared" si="64"/>
        <v>6.4349999999999996</v>
      </c>
      <c r="O1077" s="6">
        <v>0.75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0.63</v>
      </c>
      <c r="Z1077" s="6">
        <v>0.47249999999999998</v>
      </c>
      <c r="AA1077" s="6">
        <v>0.75</v>
      </c>
      <c r="AB1077" s="6">
        <v>-0.63000000000000078</v>
      </c>
      <c r="AC1077" s="6">
        <v>0.63000000000000078</v>
      </c>
      <c r="AD1077" s="22" t="s">
        <v>3140</v>
      </c>
      <c r="AE1077" s="23">
        <f t="shared" si="65"/>
        <v>6.4349999999999996</v>
      </c>
      <c r="AF1077" s="24">
        <f t="shared" si="66"/>
        <v>0</v>
      </c>
      <c r="AG1077" s="23">
        <f t="shared" si="67"/>
        <v>1</v>
      </c>
    </row>
    <row r="1078" spans="1:33" hidden="1" x14ac:dyDescent="0.25">
      <c r="A1078" s="12" t="s">
        <v>31</v>
      </c>
      <c r="B1078" s="9">
        <v>46189</v>
      </c>
      <c r="C1078" s="10" t="s">
        <v>1700</v>
      </c>
      <c r="D1078" s="10" t="s">
        <v>1672</v>
      </c>
      <c r="E1078" s="10" t="s">
        <v>51</v>
      </c>
      <c r="F1078" s="10" t="s">
        <v>35</v>
      </c>
      <c r="G1078" s="10" t="s">
        <v>3145</v>
      </c>
      <c r="H1078" s="8" t="s">
        <v>41</v>
      </c>
      <c r="I1078" s="11">
        <v>474.04</v>
      </c>
      <c r="J1078" s="6">
        <v>355.53</v>
      </c>
      <c r="K1078" s="6">
        <v>0.74999999999999989</v>
      </c>
      <c r="L1078" s="6">
        <v>471.77</v>
      </c>
      <c r="M1078" s="11">
        <v>353.82749999999999</v>
      </c>
      <c r="N1078" s="11">
        <f t="shared" si="64"/>
        <v>353.82799999999997</v>
      </c>
      <c r="O1078" s="6">
        <v>0.75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2.27</v>
      </c>
      <c r="Z1078" s="6">
        <v>1.7024999999999999</v>
      </c>
      <c r="AA1078" s="6">
        <v>0.75</v>
      </c>
      <c r="AB1078" s="6">
        <v>-2.2700000000000387</v>
      </c>
      <c r="AC1078" s="6">
        <v>2.2700000000000387</v>
      </c>
      <c r="AD1078" s="23" t="s">
        <v>3143</v>
      </c>
      <c r="AE1078" s="23">
        <f t="shared" si="65"/>
        <v>335.91799999999995</v>
      </c>
      <c r="AF1078" s="24">
        <f t="shared" si="66"/>
        <v>17.910000000000025</v>
      </c>
      <c r="AG1078" s="23">
        <f t="shared" si="67"/>
        <v>3</v>
      </c>
    </row>
    <row r="1079" spans="1:33" hidden="1" x14ac:dyDescent="0.25">
      <c r="A1079" s="12" t="s">
        <v>31</v>
      </c>
      <c r="B1079" s="9">
        <v>46189</v>
      </c>
      <c r="C1079" s="10" t="s">
        <v>1701</v>
      </c>
      <c r="D1079" s="10" t="s">
        <v>1672</v>
      </c>
      <c r="E1079" s="10" t="s">
        <v>51</v>
      </c>
      <c r="F1079" s="10" t="s">
        <v>35</v>
      </c>
      <c r="G1079" s="10" t="s">
        <v>3145</v>
      </c>
      <c r="H1079" s="8" t="s">
        <v>41</v>
      </c>
      <c r="I1079" s="11">
        <v>471.77</v>
      </c>
      <c r="J1079" s="6">
        <v>353.82749999999999</v>
      </c>
      <c r="K1079" s="6">
        <v>0.75</v>
      </c>
      <c r="L1079" s="6">
        <v>471.77</v>
      </c>
      <c r="M1079" s="11">
        <v>353.82749999999999</v>
      </c>
      <c r="N1079" s="11">
        <f t="shared" si="64"/>
        <v>353.82799999999997</v>
      </c>
      <c r="O1079" s="6">
        <v>0.75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23" t="s">
        <v>3143</v>
      </c>
      <c r="AE1079" s="23">
        <f t="shared" si="65"/>
        <v>335.91799999999995</v>
      </c>
      <c r="AF1079" s="24">
        <f t="shared" si="66"/>
        <v>17.910000000000025</v>
      </c>
      <c r="AG1079" s="23">
        <f t="shared" si="67"/>
        <v>3</v>
      </c>
    </row>
    <row r="1080" spans="1:33" hidden="1" x14ac:dyDescent="0.25">
      <c r="A1080" s="12" t="s">
        <v>31</v>
      </c>
      <c r="B1080" s="9">
        <v>46189</v>
      </c>
      <c r="C1080" s="10" t="s">
        <v>1702</v>
      </c>
      <c r="D1080" s="10" t="s">
        <v>1675</v>
      </c>
      <c r="E1080" s="10" t="s">
        <v>51</v>
      </c>
      <c r="F1080" s="10" t="s">
        <v>35</v>
      </c>
      <c r="G1080" s="10" t="s">
        <v>3145</v>
      </c>
      <c r="H1080" s="8" t="s">
        <v>41</v>
      </c>
      <c r="I1080" s="11">
        <v>21.05</v>
      </c>
      <c r="J1080" s="6">
        <v>15.7875</v>
      </c>
      <c r="K1080" s="6">
        <v>0.75</v>
      </c>
      <c r="L1080" s="6">
        <v>19.84</v>
      </c>
      <c r="M1080" s="11">
        <v>14.88</v>
      </c>
      <c r="N1080" s="11">
        <f t="shared" si="64"/>
        <v>14.88</v>
      </c>
      <c r="O1080" s="6">
        <v>0.75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1.21</v>
      </c>
      <c r="Z1080" s="6">
        <v>0.90749999999999997</v>
      </c>
      <c r="AA1080" s="6">
        <v>0.75</v>
      </c>
      <c r="AB1080" s="6">
        <v>-1.2100000000000009</v>
      </c>
      <c r="AC1080" s="6">
        <v>1.2100000000000009</v>
      </c>
      <c r="AD1080" s="22" t="s">
        <v>3140</v>
      </c>
      <c r="AE1080" s="23">
        <f t="shared" si="65"/>
        <v>14.88</v>
      </c>
      <c r="AF1080" s="24">
        <f t="shared" si="66"/>
        <v>0</v>
      </c>
      <c r="AG1080" s="23">
        <f t="shared" si="67"/>
        <v>2</v>
      </c>
    </row>
    <row r="1081" spans="1:33" ht="20" hidden="1" customHeight="1" x14ac:dyDescent="0.25">
      <c r="A1081" s="12" t="s">
        <v>31</v>
      </c>
      <c r="B1081" s="9">
        <v>46189</v>
      </c>
      <c r="C1081" s="10" t="s">
        <v>1703</v>
      </c>
      <c r="D1081" s="10" t="s">
        <v>1704</v>
      </c>
      <c r="E1081" s="10" t="s">
        <v>51</v>
      </c>
      <c r="F1081" s="10" t="s">
        <v>35</v>
      </c>
      <c r="G1081" s="10" t="s">
        <v>3145</v>
      </c>
      <c r="H1081" s="8" t="s">
        <v>48</v>
      </c>
      <c r="I1081" s="11">
        <v>29.11</v>
      </c>
      <c r="J1081" s="6">
        <v>21.8325</v>
      </c>
      <c r="K1081" s="6">
        <v>0.75</v>
      </c>
      <c r="L1081" s="6">
        <v>25.25</v>
      </c>
      <c r="M1081" s="11">
        <v>18.9375</v>
      </c>
      <c r="N1081" s="11">
        <f t="shared" si="64"/>
        <v>18.938000000000002</v>
      </c>
      <c r="O1081" s="6">
        <v>0.75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3.86</v>
      </c>
      <c r="Z1081" s="6">
        <v>2.895</v>
      </c>
      <c r="AA1081" s="6">
        <v>0.75</v>
      </c>
      <c r="AB1081" s="6">
        <v>-3.8599999999999994</v>
      </c>
      <c r="AC1081" s="6">
        <v>3.8599999999999994</v>
      </c>
      <c r="AD1081" s="22" t="s">
        <v>3140</v>
      </c>
      <c r="AE1081" s="23">
        <f t="shared" si="65"/>
        <v>18.938000000000002</v>
      </c>
      <c r="AF1081" s="24">
        <f t="shared" si="66"/>
        <v>0</v>
      </c>
      <c r="AG1081" s="23">
        <f t="shared" si="67"/>
        <v>1</v>
      </c>
    </row>
    <row r="1082" spans="1:33" x14ac:dyDescent="0.25">
      <c r="A1082" s="12" t="s">
        <v>31</v>
      </c>
      <c r="B1082" s="9">
        <v>46189</v>
      </c>
      <c r="C1082" s="10" t="s">
        <v>1705</v>
      </c>
      <c r="D1082" s="10" t="s">
        <v>1513</v>
      </c>
      <c r="E1082" s="10" t="s">
        <v>51</v>
      </c>
      <c r="F1082" s="10" t="s">
        <v>35</v>
      </c>
      <c r="G1082" s="10" t="s">
        <v>3146</v>
      </c>
      <c r="H1082" s="8" t="s">
        <v>36</v>
      </c>
      <c r="I1082" s="11">
        <v>37.08</v>
      </c>
      <c r="J1082" s="6">
        <v>34.002360000000003</v>
      </c>
      <c r="K1082" s="6">
        <v>0.91700000000000015</v>
      </c>
      <c r="L1082" s="6">
        <v>37.08</v>
      </c>
      <c r="M1082" s="11">
        <v>34.002360000000003</v>
      </c>
      <c r="N1082" s="11">
        <f t="shared" si="64"/>
        <v>34.003</v>
      </c>
      <c r="O1082" s="6">
        <v>0.91700000000000015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23" t="s">
        <v>3143</v>
      </c>
      <c r="AE1082" s="23">
        <f t="shared" si="65"/>
        <v>30.014000000000003</v>
      </c>
      <c r="AF1082" s="24">
        <f t="shared" si="66"/>
        <v>3.9889999999999972</v>
      </c>
      <c r="AG1082" s="23">
        <f t="shared" si="67"/>
        <v>4</v>
      </c>
    </row>
    <row r="1083" spans="1:33" x14ac:dyDescent="0.25">
      <c r="A1083" s="12" t="s">
        <v>31</v>
      </c>
      <c r="B1083" s="9">
        <v>46189</v>
      </c>
      <c r="C1083" s="10" t="s">
        <v>1706</v>
      </c>
      <c r="D1083" s="10" t="s">
        <v>1522</v>
      </c>
      <c r="E1083" s="10" t="s">
        <v>51</v>
      </c>
      <c r="F1083" s="10" t="s">
        <v>35</v>
      </c>
      <c r="G1083" s="10" t="s">
        <v>3146</v>
      </c>
      <c r="H1083" s="8" t="s">
        <v>36</v>
      </c>
      <c r="I1083" s="11">
        <v>42.35</v>
      </c>
      <c r="J1083" s="6">
        <v>38.834949999999999</v>
      </c>
      <c r="K1083" s="6">
        <v>0.91699999999999993</v>
      </c>
      <c r="L1083" s="6">
        <v>41.36</v>
      </c>
      <c r="M1083" s="11">
        <v>37.927120000000002</v>
      </c>
      <c r="N1083" s="11">
        <f t="shared" si="64"/>
        <v>37.927999999999997</v>
      </c>
      <c r="O1083" s="6">
        <v>0.91700000000000004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0.99</v>
      </c>
      <c r="Z1083" s="6">
        <v>0.90783000000000003</v>
      </c>
      <c r="AA1083" s="6">
        <v>0.91700000000000004</v>
      </c>
      <c r="AB1083" s="6">
        <v>-0.99000000000000199</v>
      </c>
      <c r="AC1083" s="6">
        <v>0.99000000000000199</v>
      </c>
      <c r="AD1083" s="23" t="s">
        <v>3143</v>
      </c>
      <c r="AE1083" s="23">
        <f t="shared" si="65"/>
        <v>34.845999999999997</v>
      </c>
      <c r="AF1083" s="24">
        <f t="shared" si="66"/>
        <v>3.0820000000000007</v>
      </c>
      <c r="AG1083" s="23">
        <f t="shared" si="67"/>
        <v>2</v>
      </c>
    </row>
    <row r="1084" spans="1:33" x14ac:dyDescent="0.25">
      <c r="A1084" s="12" t="s">
        <v>31</v>
      </c>
      <c r="B1084" s="9">
        <v>46189</v>
      </c>
      <c r="C1084" s="10" t="s">
        <v>1707</v>
      </c>
      <c r="D1084" s="10" t="s">
        <v>1708</v>
      </c>
      <c r="E1084" s="10" t="s">
        <v>51</v>
      </c>
      <c r="F1084" s="10" t="s">
        <v>35</v>
      </c>
      <c r="G1084" s="10" t="s">
        <v>3146</v>
      </c>
      <c r="H1084" s="8" t="s">
        <v>36</v>
      </c>
      <c r="I1084" s="11">
        <v>55.13</v>
      </c>
      <c r="J1084" s="6">
        <v>50.554209999999998</v>
      </c>
      <c r="K1084" s="6">
        <v>0.91699999999999993</v>
      </c>
      <c r="L1084" s="6">
        <v>53.84</v>
      </c>
      <c r="M1084" s="11">
        <v>49.371279999999999</v>
      </c>
      <c r="N1084" s="11">
        <f t="shared" si="64"/>
        <v>49.372</v>
      </c>
      <c r="O1084" s="6">
        <v>0.91699999999999993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1.29</v>
      </c>
      <c r="Z1084" s="6">
        <v>1.18293</v>
      </c>
      <c r="AA1084" s="6">
        <v>0.91700000000000004</v>
      </c>
      <c r="AB1084" s="6">
        <v>-1.2899999999999991</v>
      </c>
      <c r="AC1084" s="6">
        <v>1.2899999999999991</v>
      </c>
      <c r="AD1084" s="22" t="s">
        <v>3140</v>
      </c>
      <c r="AE1084" s="23">
        <f t="shared" si="65"/>
        <v>49.372</v>
      </c>
      <c r="AF1084" s="24">
        <f t="shared" si="66"/>
        <v>0</v>
      </c>
      <c r="AG1084" s="23">
        <f t="shared" si="67"/>
        <v>2</v>
      </c>
    </row>
    <row r="1085" spans="1:33" x14ac:dyDescent="0.25">
      <c r="A1085" s="12" t="s">
        <v>31</v>
      </c>
      <c r="B1085" s="9">
        <v>46189</v>
      </c>
      <c r="C1085" s="10" t="s">
        <v>1709</v>
      </c>
      <c r="D1085" s="10" t="s">
        <v>1710</v>
      </c>
      <c r="E1085" s="10" t="s">
        <v>51</v>
      </c>
      <c r="F1085" s="10" t="s">
        <v>35</v>
      </c>
      <c r="G1085" s="10" t="s">
        <v>3146</v>
      </c>
      <c r="H1085" s="8" t="s">
        <v>36</v>
      </c>
      <c r="I1085" s="11">
        <v>74.77</v>
      </c>
      <c r="J1085" s="6">
        <v>68.564089999999993</v>
      </c>
      <c r="K1085" s="6">
        <v>0.91699999999999993</v>
      </c>
      <c r="L1085" s="6">
        <v>68.77</v>
      </c>
      <c r="M1085" s="11">
        <v>63.062089999999998</v>
      </c>
      <c r="N1085" s="11">
        <f t="shared" si="64"/>
        <v>63.062999999999995</v>
      </c>
      <c r="O1085" s="6">
        <v>0.91700000000000004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6</v>
      </c>
      <c r="Z1085" s="6">
        <v>5.5019999999999998</v>
      </c>
      <c r="AA1085" s="6">
        <v>0.91699999999999993</v>
      </c>
      <c r="AB1085" s="6">
        <v>-6</v>
      </c>
      <c r="AC1085" s="6">
        <v>6</v>
      </c>
      <c r="AD1085" s="23" t="s">
        <v>3143</v>
      </c>
      <c r="AE1085" s="23">
        <f t="shared" si="65"/>
        <v>58.293999999999997</v>
      </c>
      <c r="AF1085" s="24">
        <f t="shared" si="66"/>
        <v>4.7689999999999984</v>
      </c>
      <c r="AG1085" s="23">
        <f t="shared" si="67"/>
        <v>2</v>
      </c>
    </row>
    <row r="1086" spans="1:33" hidden="1" x14ac:dyDescent="0.25">
      <c r="A1086" s="12" t="s">
        <v>31</v>
      </c>
      <c r="B1086" s="9">
        <v>46189</v>
      </c>
      <c r="C1086" s="10" t="s">
        <v>1711</v>
      </c>
      <c r="D1086" s="10" t="s">
        <v>1674</v>
      </c>
      <c r="E1086" s="10" t="s">
        <v>51</v>
      </c>
      <c r="F1086" s="10" t="s">
        <v>35</v>
      </c>
      <c r="G1086" s="10" t="s">
        <v>3145</v>
      </c>
      <c r="H1086" s="8" t="s">
        <v>41</v>
      </c>
      <c r="I1086" s="11">
        <v>21.08</v>
      </c>
      <c r="J1086" s="6">
        <v>15.81</v>
      </c>
      <c r="K1086" s="6">
        <v>0.75000000000000011</v>
      </c>
      <c r="L1086" s="6">
        <v>19.670000000000002</v>
      </c>
      <c r="M1086" s="11">
        <v>14.7525</v>
      </c>
      <c r="N1086" s="11">
        <f t="shared" si="64"/>
        <v>14.753</v>
      </c>
      <c r="O1086" s="6">
        <v>0.74999999999999989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1.41</v>
      </c>
      <c r="Z1086" s="6">
        <v>1.0575000000000001</v>
      </c>
      <c r="AA1086" s="6">
        <v>0.75000000000000011</v>
      </c>
      <c r="AB1086" s="6">
        <v>-1.4099999999999966</v>
      </c>
      <c r="AC1086" s="6">
        <v>1.4099999999999966</v>
      </c>
      <c r="AD1086" s="22" t="s">
        <v>3140</v>
      </c>
      <c r="AE1086" s="23">
        <f t="shared" si="65"/>
        <v>14.753</v>
      </c>
      <c r="AF1086" s="24">
        <f t="shared" si="66"/>
        <v>0</v>
      </c>
      <c r="AG1086" s="23">
        <f t="shared" si="67"/>
        <v>2</v>
      </c>
    </row>
    <row r="1087" spans="1:33" x14ac:dyDescent="0.25">
      <c r="A1087" s="12" t="s">
        <v>31</v>
      </c>
      <c r="B1087" s="9">
        <v>46189</v>
      </c>
      <c r="C1087" s="10" t="s">
        <v>1712</v>
      </c>
      <c r="D1087" s="10" t="s">
        <v>1513</v>
      </c>
      <c r="E1087" s="10" t="s">
        <v>51</v>
      </c>
      <c r="F1087" s="10" t="s">
        <v>35</v>
      </c>
      <c r="G1087" s="10" t="s">
        <v>3146</v>
      </c>
      <c r="H1087" s="8" t="s">
        <v>36</v>
      </c>
      <c r="I1087" s="11">
        <v>37.08</v>
      </c>
      <c r="J1087" s="6">
        <v>34.002360000000003</v>
      </c>
      <c r="K1087" s="6">
        <v>0.91700000000000015</v>
      </c>
      <c r="L1087" s="6">
        <v>37.08</v>
      </c>
      <c r="M1087" s="11">
        <v>34.002360000000003</v>
      </c>
      <c r="N1087" s="11">
        <f t="shared" si="64"/>
        <v>34.003</v>
      </c>
      <c r="O1087" s="6">
        <v>0.91700000000000015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23" t="s">
        <v>3143</v>
      </c>
      <c r="AE1087" s="23">
        <f t="shared" si="65"/>
        <v>30.014000000000003</v>
      </c>
      <c r="AF1087" s="24">
        <f t="shared" si="66"/>
        <v>3.9889999999999972</v>
      </c>
      <c r="AG1087" s="23">
        <f t="shared" si="67"/>
        <v>4</v>
      </c>
    </row>
    <row r="1088" spans="1:33" ht="12.5" customHeight="1" x14ac:dyDescent="0.25">
      <c r="A1088" s="12" t="s">
        <v>31</v>
      </c>
      <c r="B1088" s="9">
        <v>46189</v>
      </c>
      <c r="C1088" s="8" t="s">
        <v>1713</v>
      </c>
      <c r="D1088" s="10" t="s">
        <v>1714</v>
      </c>
      <c r="E1088" s="10" t="s">
        <v>51</v>
      </c>
      <c r="F1088" s="10" t="s">
        <v>35</v>
      </c>
      <c r="G1088" s="10" t="s">
        <v>3146</v>
      </c>
      <c r="H1088" s="8" t="s">
        <v>36</v>
      </c>
      <c r="I1088" s="11">
        <v>98.21</v>
      </c>
      <c r="J1088" s="6">
        <v>90.058570000000003</v>
      </c>
      <c r="K1088" s="6">
        <v>0.91700000000000004</v>
      </c>
      <c r="L1088" s="6">
        <v>90.1</v>
      </c>
      <c r="M1088" s="11">
        <v>82.621700000000004</v>
      </c>
      <c r="N1088" s="11">
        <f t="shared" si="64"/>
        <v>82.622</v>
      </c>
      <c r="O1088" s="6">
        <v>0.91700000000000015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8.11</v>
      </c>
      <c r="Z1088" s="6">
        <v>7.4368699999999999</v>
      </c>
      <c r="AA1088" s="6">
        <v>0.91700000000000004</v>
      </c>
      <c r="AB1088" s="6">
        <v>-8.11</v>
      </c>
      <c r="AC1088" s="6">
        <v>8.11</v>
      </c>
      <c r="AD1088" s="22" t="s">
        <v>3140</v>
      </c>
      <c r="AE1088" s="23">
        <f t="shared" si="65"/>
        <v>82.622</v>
      </c>
      <c r="AF1088" s="24">
        <f t="shared" si="66"/>
        <v>0</v>
      </c>
      <c r="AG1088" s="23">
        <f t="shared" si="67"/>
        <v>1</v>
      </c>
    </row>
    <row r="1089" spans="1:33" ht="12.5" customHeight="1" x14ac:dyDescent="0.25">
      <c r="A1089" s="12" t="s">
        <v>31</v>
      </c>
      <c r="B1089" s="9">
        <v>46189</v>
      </c>
      <c r="C1089" s="13" t="s">
        <v>1713</v>
      </c>
      <c r="D1089" s="10" t="s">
        <v>1715</v>
      </c>
      <c r="E1089" s="10" t="s">
        <v>51</v>
      </c>
      <c r="F1089" s="10" t="s">
        <v>35</v>
      </c>
      <c r="G1089" s="10" t="s">
        <v>3146</v>
      </c>
      <c r="H1089" s="8" t="s">
        <v>36</v>
      </c>
      <c r="I1089" s="11">
        <v>102.62</v>
      </c>
      <c r="J1089" s="6">
        <v>94.102540000000005</v>
      </c>
      <c r="K1089" s="6">
        <v>0.91700000000000004</v>
      </c>
      <c r="L1089" s="6">
        <v>102.62</v>
      </c>
      <c r="M1089" s="11">
        <v>94.102540000000005</v>
      </c>
      <c r="N1089" s="11">
        <f t="shared" si="64"/>
        <v>94.103000000000009</v>
      </c>
      <c r="O1089" s="6">
        <v>0.91700000000000004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23" t="s">
        <v>3143</v>
      </c>
      <c r="AE1089" s="23">
        <f t="shared" si="65"/>
        <v>88.739000000000004</v>
      </c>
      <c r="AF1089" s="24">
        <f t="shared" si="66"/>
        <v>5.3640000000000043</v>
      </c>
      <c r="AG1089" s="23">
        <f t="shared" si="67"/>
        <v>2</v>
      </c>
    </row>
    <row r="1090" spans="1:33" hidden="1" x14ac:dyDescent="0.25">
      <c r="A1090" s="12" t="s">
        <v>31</v>
      </c>
      <c r="B1090" s="9">
        <v>46189</v>
      </c>
      <c r="C1090" s="10" t="s">
        <v>1716</v>
      </c>
      <c r="D1090" s="10" t="s">
        <v>1717</v>
      </c>
      <c r="E1090" s="10" t="s">
        <v>51</v>
      </c>
      <c r="F1090" s="10" t="s">
        <v>35</v>
      </c>
      <c r="G1090" s="10" t="s">
        <v>3145</v>
      </c>
      <c r="H1090" s="8" t="s">
        <v>41</v>
      </c>
      <c r="I1090" s="11">
        <v>21.32</v>
      </c>
      <c r="J1090" s="6">
        <v>15.99</v>
      </c>
      <c r="K1090" s="6">
        <v>0.75</v>
      </c>
      <c r="L1090" s="6">
        <v>19.29</v>
      </c>
      <c r="M1090" s="11">
        <v>14.467499999999999</v>
      </c>
      <c r="N1090" s="11">
        <f t="shared" si="64"/>
        <v>14.468</v>
      </c>
      <c r="O1090" s="6">
        <v>0.75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2.0299999999999998</v>
      </c>
      <c r="Z1090" s="6">
        <v>1.5225</v>
      </c>
      <c r="AA1090" s="6">
        <v>0.75</v>
      </c>
      <c r="AB1090" s="6">
        <v>-2.0300000000000011</v>
      </c>
      <c r="AC1090" s="6">
        <v>2.0300000000000011</v>
      </c>
      <c r="AD1090" s="22" t="s">
        <v>3140</v>
      </c>
      <c r="AE1090" s="23">
        <f t="shared" si="65"/>
        <v>14.468</v>
      </c>
      <c r="AF1090" s="24">
        <f t="shared" si="66"/>
        <v>0</v>
      </c>
      <c r="AG1090" s="23">
        <f t="shared" si="67"/>
        <v>1</v>
      </c>
    </row>
    <row r="1091" spans="1:33" x14ac:dyDescent="0.25">
      <c r="A1091" s="12" t="s">
        <v>31</v>
      </c>
      <c r="B1091" s="9">
        <v>46189</v>
      </c>
      <c r="C1091" s="10" t="s">
        <v>1718</v>
      </c>
      <c r="D1091" s="10" t="s">
        <v>1719</v>
      </c>
      <c r="E1091" s="10" t="s">
        <v>51</v>
      </c>
      <c r="F1091" s="10" t="s">
        <v>35</v>
      </c>
      <c r="G1091" s="10" t="s">
        <v>3146</v>
      </c>
      <c r="H1091" s="8" t="s">
        <v>36</v>
      </c>
      <c r="I1091" s="11">
        <v>140.81</v>
      </c>
      <c r="J1091" s="6">
        <v>129.12277</v>
      </c>
      <c r="K1091" s="6">
        <v>0.91700000000000004</v>
      </c>
      <c r="L1091" s="6">
        <v>140.81</v>
      </c>
      <c r="M1091" s="11">
        <v>129.12277</v>
      </c>
      <c r="N1091" s="11">
        <f t="shared" ref="N1091:N1154" si="68">ROUNDUP(M1091,3)</f>
        <v>129.12300000000002</v>
      </c>
      <c r="O1091" s="6">
        <v>0.91700000000000004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23" t="s">
        <v>3143</v>
      </c>
      <c r="AE1091" s="23">
        <f t="shared" ref="AE1091:AE1154" si="69">_xlfn.MINIFS(N:N,D:D,D1091)</f>
        <v>122.649</v>
      </c>
      <c r="AF1091" s="24">
        <f t="shared" ref="AF1091:AF1154" si="70">N1091-AE1091</f>
        <v>6.474000000000018</v>
      </c>
      <c r="AG1091" s="23">
        <f t="shared" ref="AG1091:AG1154" si="71">COUNTIF(D:D,D1091)</f>
        <v>2</v>
      </c>
    </row>
    <row r="1092" spans="1:33" hidden="1" x14ac:dyDescent="0.25">
      <c r="A1092" s="12" t="s">
        <v>31</v>
      </c>
      <c r="B1092" s="9">
        <v>46189</v>
      </c>
      <c r="C1092" s="10" t="s">
        <v>1720</v>
      </c>
      <c r="D1092" s="10" t="s">
        <v>1721</v>
      </c>
      <c r="E1092" s="10" t="s">
        <v>51</v>
      </c>
      <c r="F1092" s="10" t="s">
        <v>35</v>
      </c>
      <c r="G1092" s="10" t="s">
        <v>3145</v>
      </c>
      <c r="H1092" s="8" t="s">
        <v>41</v>
      </c>
      <c r="I1092" s="11">
        <v>23.43</v>
      </c>
      <c r="J1092" s="6">
        <v>17.572500000000002</v>
      </c>
      <c r="K1092" s="6">
        <v>0.75000000000000011</v>
      </c>
      <c r="L1092" s="6">
        <v>21.55</v>
      </c>
      <c r="M1092" s="11">
        <v>16.162500000000001</v>
      </c>
      <c r="N1092" s="11">
        <f t="shared" si="68"/>
        <v>16.163</v>
      </c>
      <c r="O1092" s="6">
        <v>0.75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1.88</v>
      </c>
      <c r="Z1092" s="6">
        <v>1.41</v>
      </c>
      <c r="AA1092" s="6">
        <v>0.75</v>
      </c>
      <c r="AB1092" s="6">
        <v>-1.879999999999999</v>
      </c>
      <c r="AC1092" s="6">
        <v>1.879999999999999</v>
      </c>
      <c r="AD1092" s="22" t="s">
        <v>3140</v>
      </c>
      <c r="AE1092" s="23">
        <f t="shared" si="69"/>
        <v>16.163</v>
      </c>
      <c r="AF1092" s="24">
        <f t="shared" si="70"/>
        <v>0</v>
      </c>
      <c r="AG1092" s="23">
        <f t="shared" si="71"/>
        <v>1</v>
      </c>
    </row>
    <row r="1093" spans="1:33" ht="12.5" customHeight="1" x14ac:dyDescent="0.25">
      <c r="A1093" s="12" t="s">
        <v>31</v>
      </c>
      <c r="B1093" s="9">
        <v>46189</v>
      </c>
      <c r="C1093" s="8" t="s">
        <v>1722</v>
      </c>
      <c r="D1093" s="10" t="s">
        <v>1670</v>
      </c>
      <c r="E1093" s="10" t="s">
        <v>51</v>
      </c>
      <c r="F1093" s="10" t="s">
        <v>35</v>
      </c>
      <c r="G1093" s="10" t="s">
        <v>3146</v>
      </c>
      <c r="H1093" s="8" t="s">
        <v>36</v>
      </c>
      <c r="I1093" s="11">
        <v>20.95</v>
      </c>
      <c r="J1093" s="6">
        <v>19.21115</v>
      </c>
      <c r="K1093" s="6">
        <v>0.91700000000000004</v>
      </c>
      <c r="L1093" s="6">
        <v>20.77</v>
      </c>
      <c r="M1093" s="11">
        <v>19.04609</v>
      </c>
      <c r="N1093" s="11">
        <f t="shared" si="68"/>
        <v>19.047000000000001</v>
      </c>
      <c r="O1093" s="6">
        <v>0.91700000000000004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0.18</v>
      </c>
      <c r="Z1093" s="6">
        <v>0.16506000000000001</v>
      </c>
      <c r="AA1093" s="6">
        <v>0.91700000000000015</v>
      </c>
      <c r="AB1093" s="6">
        <v>-0.17999999999999972</v>
      </c>
      <c r="AC1093" s="6">
        <v>0.17999999999999972</v>
      </c>
      <c r="AD1093" s="22" t="s">
        <v>3140</v>
      </c>
      <c r="AE1093" s="23">
        <f t="shared" si="69"/>
        <v>19.047000000000001</v>
      </c>
      <c r="AF1093" s="24">
        <f t="shared" si="70"/>
        <v>0</v>
      </c>
      <c r="AG1093" s="23">
        <f t="shared" si="71"/>
        <v>2</v>
      </c>
    </row>
    <row r="1094" spans="1:33" ht="12.5" hidden="1" customHeight="1" x14ac:dyDescent="0.25">
      <c r="A1094" s="12" t="s">
        <v>31</v>
      </c>
      <c r="B1094" s="9">
        <v>46189</v>
      </c>
      <c r="C1094" s="13" t="s">
        <v>1722</v>
      </c>
      <c r="D1094" s="10" t="s">
        <v>1723</v>
      </c>
      <c r="E1094" s="10" t="s">
        <v>51</v>
      </c>
      <c r="F1094" s="10" t="s">
        <v>35</v>
      </c>
      <c r="G1094" s="10" t="s">
        <v>3145</v>
      </c>
      <c r="H1094" s="8" t="s">
        <v>41</v>
      </c>
      <c r="I1094" s="11">
        <v>28.91</v>
      </c>
      <c r="J1094" s="6">
        <v>21.682500000000001</v>
      </c>
      <c r="K1094" s="6">
        <v>0.75</v>
      </c>
      <c r="L1094" s="6">
        <v>28.75</v>
      </c>
      <c r="M1094" s="11">
        <v>21.5625</v>
      </c>
      <c r="N1094" s="11">
        <f t="shared" si="68"/>
        <v>21.563000000000002</v>
      </c>
      <c r="O1094" s="6">
        <v>0.75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0.16</v>
      </c>
      <c r="Z1094" s="6">
        <v>0.12</v>
      </c>
      <c r="AA1094" s="6">
        <v>0.75</v>
      </c>
      <c r="AB1094" s="6">
        <v>-0.16000000000000014</v>
      </c>
      <c r="AC1094" s="6">
        <v>0.16000000000000014</v>
      </c>
      <c r="AD1094" s="22" t="s">
        <v>3140</v>
      </c>
      <c r="AE1094" s="23">
        <f t="shared" si="69"/>
        <v>21.563000000000002</v>
      </c>
      <c r="AF1094" s="24">
        <f t="shared" si="70"/>
        <v>0</v>
      </c>
      <c r="AG1094" s="23">
        <f t="shared" si="71"/>
        <v>1</v>
      </c>
    </row>
    <row r="1095" spans="1:33" x14ac:dyDescent="0.25">
      <c r="A1095" s="12" t="s">
        <v>31</v>
      </c>
      <c r="B1095" s="9">
        <v>46189</v>
      </c>
      <c r="C1095" s="10" t="s">
        <v>1724</v>
      </c>
      <c r="D1095" s="10" t="s">
        <v>1725</v>
      </c>
      <c r="E1095" s="10" t="s">
        <v>51</v>
      </c>
      <c r="F1095" s="10" t="s">
        <v>35</v>
      </c>
      <c r="G1095" s="10" t="s">
        <v>3146</v>
      </c>
      <c r="H1095" s="8" t="s">
        <v>36</v>
      </c>
      <c r="I1095" s="11">
        <v>38.14</v>
      </c>
      <c r="J1095" s="6">
        <v>34.974379999999996</v>
      </c>
      <c r="K1095" s="6">
        <v>0.91699999999999993</v>
      </c>
      <c r="L1095" s="6">
        <v>36.409999999999997</v>
      </c>
      <c r="M1095" s="11">
        <v>33.387970000000003</v>
      </c>
      <c r="N1095" s="11">
        <f t="shared" si="68"/>
        <v>33.387999999999998</v>
      </c>
      <c r="O1095" s="6">
        <v>0.91700000000000015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1.73</v>
      </c>
      <c r="Z1095" s="6">
        <v>1.5864100000000001</v>
      </c>
      <c r="AA1095" s="6">
        <v>0.91700000000000004</v>
      </c>
      <c r="AB1095" s="6">
        <v>-1.730000000000004</v>
      </c>
      <c r="AC1095" s="6">
        <v>1.730000000000004</v>
      </c>
      <c r="AD1095" s="22" t="s">
        <v>3140</v>
      </c>
      <c r="AE1095" s="23">
        <f t="shared" si="69"/>
        <v>33.387999999999998</v>
      </c>
      <c r="AF1095" s="24">
        <f t="shared" si="70"/>
        <v>0</v>
      </c>
      <c r="AG1095" s="23">
        <f t="shared" si="71"/>
        <v>2</v>
      </c>
    </row>
    <row r="1096" spans="1:33" ht="12.5" hidden="1" customHeight="1" x14ac:dyDescent="0.25">
      <c r="A1096" s="12" t="s">
        <v>31</v>
      </c>
      <c r="B1096" s="9">
        <v>46189</v>
      </c>
      <c r="C1096" s="8" t="s">
        <v>1726</v>
      </c>
      <c r="D1096" s="10" t="s">
        <v>1727</v>
      </c>
      <c r="E1096" s="10" t="s">
        <v>51</v>
      </c>
      <c r="F1096" s="10" t="s">
        <v>35</v>
      </c>
      <c r="G1096" s="10" t="s">
        <v>3145</v>
      </c>
      <c r="H1096" s="8" t="s">
        <v>41</v>
      </c>
      <c r="I1096" s="11">
        <v>34.5</v>
      </c>
      <c r="J1096" s="6">
        <v>25.875</v>
      </c>
      <c r="K1096" s="6">
        <v>0.75</v>
      </c>
      <c r="L1096" s="6">
        <v>31.74</v>
      </c>
      <c r="M1096" s="11">
        <v>23.805</v>
      </c>
      <c r="N1096" s="11">
        <f t="shared" si="68"/>
        <v>23.805</v>
      </c>
      <c r="O1096" s="6">
        <v>0.75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2.76</v>
      </c>
      <c r="Z1096" s="6">
        <v>2.0699999999999998</v>
      </c>
      <c r="AA1096" s="6">
        <v>0.75</v>
      </c>
      <c r="AB1096" s="6">
        <v>-2.7600000000000016</v>
      </c>
      <c r="AC1096" s="6">
        <v>2.7600000000000016</v>
      </c>
      <c r="AD1096" s="22" t="s">
        <v>3140</v>
      </c>
      <c r="AE1096" s="23">
        <f t="shared" si="69"/>
        <v>23.805</v>
      </c>
      <c r="AF1096" s="24">
        <f t="shared" si="70"/>
        <v>0</v>
      </c>
      <c r="AG1096" s="23">
        <f t="shared" si="71"/>
        <v>1</v>
      </c>
    </row>
    <row r="1097" spans="1:33" ht="12.5" customHeight="1" x14ac:dyDescent="0.25">
      <c r="A1097" s="12" t="s">
        <v>31</v>
      </c>
      <c r="B1097" s="9">
        <v>46189</v>
      </c>
      <c r="C1097" s="13" t="s">
        <v>1726</v>
      </c>
      <c r="D1097" s="10" t="s">
        <v>1728</v>
      </c>
      <c r="E1097" s="10" t="s">
        <v>51</v>
      </c>
      <c r="F1097" s="10" t="s">
        <v>35</v>
      </c>
      <c r="G1097" s="10" t="s">
        <v>3146</v>
      </c>
      <c r="H1097" s="8" t="s">
        <v>36</v>
      </c>
      <c r="I1097" s="11">
        <v>100.12</v>
      </c>
      <c r="J1097" s="6">
        <v>91.810040000000001</v>
      </c>
      <c r="K1097" s="6">
        <v>0.91699999999999993</v>
      </c>
      <c r="L1097" s="6">
        <v>100.12</v>
      </c>
      <c r="M1097" s="11">
        <v>91.810040000000001</v>
      </c>
      <c r="N1097" s="11">
        <f t="shared" si="68"/>
        <v>91.811000000000007</v>
      </c>
      <c r="O1097" s="6">
        <v>0.91699999999999993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23" t="s">
        <v>3143</v>
      </c>
      <c r="AE1097" s="23">
        <f t="shared" si="69"/>
        <v>88.849000000000004</v>
      </c>
      <c r="AF1097" s="24">
        <f t="shared" si="70"/>
        <v>2.9620000000000033</v>
      </c>
      <c r="AG1097" s="23">
        <f t="shared" si="71"/>
        <v>2</v>
      </c>
    </row>
    <row r="1098" spans="1:33" ht="12.5" customHeight="1" x14ac:dyDescent="0.25">
      <c r="A1098" s="12" t="s">
        <v>31</v>
      </c>
      <c r="B1098" s="9">
        <v>46189</v>
      </c>
      <c r="C1098" s="8" t="s">
        <v>1729</v>
      </c>
      <c r="D1098" s="10" t="s">
        <v>1730</v>
      </c>
      <c r="E1098" s="10" t="s">
        <v>51</v>
      </c>
      <c r="F1098" s="10" t="s">
        <v>35</v>
      </c>
      <c r="G1098" s="10" t="s">
        <v>3146</v>
      </c>
      <c r="H1098" s="8" t="s">
        <v>36</v>
      </c>
      <c r="I1098" s="11">
        <v>45.67</v>
      </c>
      <c r="J1098" s="6">
        <v>41.879390000000001</v>
      </c>
      <c r="K1098" s="6">
        <v>0.91700000000000004</v>
      </c>
      <c r="L1098" s="6">
        <v>43.19</v>
      </c>
      <c r="M1098" s="11">
        <v>39.605229999999999</v>
      </c>
      <c r="N1098" s="11">
        <f t="shared" si="68"/>
        <v>39.605999999999995</v>
      </c>
      <c r="O1098" s="6">
        <v>0.91700000000000004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2.48</v>
      </c>
      <c r="Z1098" s="6">
        <v>2.2741600000000002</v>
      </c>
      <c r="AA1098" s="6">
        <v>0.91700000000000004</v>
      </c>
      <c r="AB1098" s="6">
        <v>-2.480000000000004</v>
      </c>
      <c r="AC1098" s="6">
        <v>2.480000000000004</v>
      </c>
      <c r="AD1098" s="22" t="s">
        <v>3140</v>
      </c>
      <c r="AE1098" s="23">
        <f t="shared" si="69"/>
        <v>39.605999999999995</v>
      </c>
      <c r="AF1098" s="24">
        <f t="shared" si="70"/>
        <v>0</v>
      </c>
      <c r="AG1098" s="23">
        <f t="shared" si="71"/>
        <v>1</v>
      </c>
    </row>
    <row r="1099" spans="1:33" ht="12.5" customHeight="1" x14ac:dyDescent="0.25">
      <c r="A1099" s="12" t="s">
        <v>31</v>
      </c>
      <c r="B1099" s="9">
        <v>46189</v>
      </c>
      <c r="C1099" s="13" t="s">
        <v>1729</v>
      </c>
      <c r="D1099" s="10" t="s">
        <v>1731</v>
      </c>
      <c r="E1099" s="10" t="s">
        <v>51</v>
      </c>
      <c r="F1099" s="10" t="s">
        <v>35</v>
      </c>
      <c r="G1099" s="10" t="s">
        <v>3146</v>
      </c>
      <c r="H1099" s="8" t="s">
        <v>36</v>
      </c>
      <c r="I1099" s="11">
        <v>52.78</v>
      </c>
      <c r="J1099" s="6">
        <v>48.399259999999998</v>
      </c>
      <c r="K1099" s="6">
        <v>0.91699999999999993</v>
      </c>
      <c r="L1099" s="6">
        <v>50.12</v>
      </c>
      <c r="M1099" s="11">
        <v>45.960039999999999</v>
      </c>
      <c r="N1099" s="11">
        <f t="shared" si="68"/>
        <v>45.960999999999999</v>
      </c>
      <c r="O1099" s="6">
        <v>0.91700000000000004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2.66</v>
      </c>
      <c r="Z1099" s="6">
        <v>2.4392200000000002</v>
      </c>
      <c r="AA1099" s="6">
        <v>0.91700000000000004</v>
      </c>
      <c r="AB1099" s="6">
        <v>-2.6600000000000037</v>
      </c>
      <c r="AC1099" s="6">
        <v>2.6600000000000037</v>
      </c>
      <c r="AD1099" s="22" t="s">
        <v>3140</v>
      </c>
      <c r="AE1099" s="23">
        <f t="shared" si="69"/>
        <v>45.960999999999999</v>
      </c>
      <c r="AF1099" s="24">
        <f t="shared" si="70"/>
        <v>0</v>
      </c>
      <c r="AG1099" s="23">
        <f t="shared" si="71"/>
        <v>1</v>
      </c>
    </row>
    <row r="1100" spans="1:33" ht="12.5" customHeight="1" x14ac:dyDescent="0.25">
      <c r="A1100" s="12" t="s">
        <v>31</v>
      </c>
      <c r="B1100" s="9">
        <v>46189</v>
      </c>
      <c r="C1100" s="8" t="s">
        <v>1732</v>
      </c>
      <c r="D1100" s="10" t="s">
        <v>1654</v>
      </c>
      <c r="E1100" s="10" t="s">
        <v>51</v>
      </c>
      <c r="F1100" s="10" t="s">
        <v>35</v>
      </c>
      <c r="G1100" s="10" t="s">
        <v>3146</v>
      </c>
      <c r="H1100" s="8" t="s">
        <v>36</v>
      </c>
      <c r="I1100" s="11">
        <v>16.600000000000001</v>
      </c>
      <c r="J1100" s="6">
        <v>15.222200000000001</v>
      </c>
      <c r="K1100" s="6">
        <v>0.91699999999999993</v>
      </c>
      <c r="L1100" s="6">
        <v>16.52</v>
      </c>
      <c r="M1100" s="11">
        <v>15.14884</v>
      </c>
      <c r="N1100" s="11">
        <f t="shared" si="68"/>
        <v>15.148999999999999</v>
      </c>
      <c r="O1100" s="6">
        <v>0.91700000000000004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0.08</v>
      </c>
      <c r="Z1100" s="6">
        <v>7.3359999999999995E-2</v>
      </c>
      <c r="AA1100" s="6">
        <v>0.91699999999999993</v>
      </c>
      <c r="AB1100" s="6">
        <v>-8.0000000000001847E-2</v>
      </c>
      <c r="AC1100" s="6">
        <v>8.0000000000001847E-2</v>
      </c>
      <c r="AD1100" s="22" t="s">
        <v>3140</v>
      </c>
      <c r="AE1100" s="23">
        <f t="shared" si="69"/>
        <v>15.148999999999999</v>
      </c>
      <c r="AF1100" s="24">
        <f t="shared" si="70"/>
        <v>0</v>
      </c>
      <c r="AG1100" s="23">
        <f t="shared" si="71"/>
        <v>2</v>
      </c>
    </row>
    <row r="1101" spans="1:33" ht="12.5" customHeight="1" x14ac:dyDescent="0.25">
      <c r="A1101" s="12" t="s">
        <v>31</v>
      </c>
      <c r="B1101" s="9">
        <v>46189</v>
      </c>
      <c r="C1101" s="13" t="s">
        <v>1732</v>
      </c>
      <c r="D1101" s="10" t="s">
        <v>1733</v>
      </c>
      <c r="E1101" s="10" t="s">
        <v>51</v>
      </c>
      <c r="F1101" s="10" t="s">
        <v>35</v>
      </c>
      <c r="G1101" s="10" t="s">
        <v>3146</v>
      </c>
      <c r="H1101" s="8" t="s">
        <v>36</v>
      </c>
      <c r="I1101" s="11">
        <v>35.04</v>
      </c>
      <c r="J1101" s="6">
        <v>32.131680000000003</v>
      </c>
      <c r="K1101" s="6">
        <v>0.91700000000000015</v>
      </c>
      <c r="L1101" s="6">
        <v>34.700000000000003</v>
      </c>
      <c r="M1101" s="11">
        <v>31.819900000000001</v>
      </c>
      <c r="N1101" s="11">
        <f t="shared" si="68"/>
        <v>31.82</v>
      </c>
      <c r="O1101" s="6">
        <v>0.91699999999999993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0.34</v>
      </c>
      <c r="Z1101" s="6">
        <v>0.31178</v>
      </c>
      <c r="AA1101" s="6">
        <v>0.91699999999999993</v>
      </c>
      <c r="AB1101" s="6">
        <v>-0.33999999999999631</v>
      </c>
      <c r="AC1101" s="6">
        <v>0.33999999999999631</v>
      </c>
      <c r="AD1101" s="22" t="s">
        <v>3140</v>
      </c>
      <c r="AE1101" s="23">
        <f t="shared" si="69"/>
        <v>31.82</v>
      </c>
      <c r="AF1101" s="24">
        <f t="shared" si="70"/>
        <v>0</v>
      </c>
      <c r="AG1101" s="23">
        <f t="shared" si="71"/>
        <v>1</v>
      </c>
    </row>
    <row r="1102" spans="1:33" x14ac:dyDescent="0.25">
      <c r="A1102" s="12" t="s">
        <v>31</v>
      </c>
      <c r="B1102" s="9">
        <v>46189</v>
      </c>
      <c r="C1102" s="10" t="s">
        <v>1734</v>
      </c>
      <c r="D1102" s="10" t="s">
        <v>1735</v>
      </c>
      <c r="E1102" s="10" t="s">
        <v>51</v>
      </c>
      <c r="F1102" s="10" t="s">
        <v>35</v>
      </c>
      <c r="G1102" s="10" t="s">
        <v>3146</v>
      </c>
      <c r="H1102" s="8" t="s">
        <v>36</v>
      </c>
      <c r="I1102" s="11">
        <v>68.180000000000007</v>
      </c>
      <c r="J1102" s="6">
        <v>62.521059999999999</v>
      </c>
      <c r="K1102" s="6">
        <v>0.91699999999999993</v>
      </c>
      <c r="L1102" s="6">
        <v>65.38</v>
      </c>
      <c r="M1102" s="11">
        <v>59.95346</v>
      </c>
      <c r="N1102" s="11">
        <f t="shared" si="68"/>
        <v>59.954000000000001</v>
      </c>
      <c r="O1102" s="6">
        <v>0.91700000000000004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2.8</v>
      </c>
      <c r="Z1102" s="6">
        <v>2.5676000000000001</v>
      </c>
      <c r="AA1102" s="6">
        <v>0.91700000000000015</v>
      </c>
      <c r="AB1102" s="6">
        <v>-2.8000000000000114</v>
      </c>
      <c r="AC1102" s="6">
        <v>2.8000000000000114</v>
      </c>
      <c r="AD1102" s="22" t="s">
        <v>3140</v>
      </c>
      <c r="AE1102" s="23">
        <f t="shared" si="69"/>
        <v>59.954000000000001</v>
      </c>
      <c r="AF1102" s="24">
        <f t="shared" si="70"/>
        <v>0</v>
      </c>
      <c r="AG1102" s="23">
        <f t="shared" si="71"/>
        <v>1</v>
      </c>
    </row>
    <row r="1103" spans="1:33" hidden="1" x14ac:dyDescent="0.25">
      <c r="A1103" s="12" t="s">
        <v>31</v>
      </c>
      <c r="B1103" s="9">
        <v>46189</v>
      </c>
      <c r="C1103" s="10" t="s">
        <v>1736</v>
      </c>
      <c r="D1103" s="10" t="s">
        <v>1737</v>
      </c>
      <c r="E1103" s="10" t="s">
        <v>51</v>
      </c>
      <c r="F1103" s="10" t="s">
        <v>35</v>
      </c>
      <c r="G1103" s="10" t="s">
        <v>3145</v>
      </c>
      <c r="H1103" s="8" t="s">
        <v>41</v>
      </c>
      <c r="I1103" s="11">
        <v>31.82</v>
      </c>
      <c r="J1103" s="6">
        <v>23.864999999999998</v>
      </c>
      <c r="K1103" s="6">
        <v>0.74999999999999989</v>
      </c>
      <c r="L1103" s="6">
        <v>28.07</v>
      </c>
      <c r="M1103" s="11">
        <v>21.052499999999998</v>
      </c>
      <c r="N1103" s="11">
        <f t="shared" si="68"/>
        <v>21.053000000000001</v>
      </c>
      <c r="O1103" s="6">
        <v>0.74999999999999989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3.75</v>
      </c>
      <c r="Z1103" s="6">
        <v>2.8125</v>
      </c>
      <c r="AA1103" s="6">
        <v>0.75</v>
      </c>
      <c r="AB1103" s="6">
        <v>-3.75</v>
      </c>
      <c r="AC1103" s="6">
        <v>3.75</v>
      </c>
      <c r="AD1103" s="22" t="s">
        <v>3140</v>
      </c>
      <c r="AE1103" s="23">
        <f t="shared" si="69"/>
        <v>21.053000000000001</v>
      </c>
      <c r="AF1103" s="24">
        <f t="shared" si="70"/>
        <v>0</v>
      </c>
      <c r="AG1103" s="23">
        <f t="shared" si="71"/>
        <v>1</v>
      </c>
    </row>
    <row r="1104" spans="1:33" ht="20" hidden="1" customHeight="1" x14ac:dyDescent="0.25">
      <c r="A1104" s="12" t="s">
        <v>31</v>
      </c>
      <c r="B1104" s="9">
        <v>46189</v>
      </c>
      <c r="C1104" s="10" t="s">
        <v>1738</v>
      </c>
      <c r="D1104" s="10" t="s">
        <v>1637</v>
      </c>
      <c r="E1104" s="10" t="s">
        <v>51</v>
      </c>
      <c r="F1104" s="10" t="s">
        <v>35</v>
      </c>
      <c r="G1104" s="10" t="s">
        <v>3145</v>
      </c>
      <c r="H1104" s="8" t="s">
        <v>48</v>
      </c>
      <c r="I1104" s="11">
        <v>17.260000000000002</v>
      </c>
      <c r="J1104" s="6">
        <v>12.945</v>
      </c>
      <c r="K1104" s="6">
        <v>0.75</v>
      </c>
      <c r="L1104" s="6">
        <v>16.95</v>
      </c>
      <c r="M1104" s="11">
        <v>12.7125</v>
      </c>
      <c r="N1104" s="11">
        <f t="shared" si="68"/>
        <v>12.712999999999999</v>
      </c>
      <c r="O1104" s="6">
        <v>0.75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0.31</v>
      </c>
      <c r="Z1104" s="6">
        <v>0.23250000000000001</v>
      </c>
      <c r="AA1104" s="6">
        <v>0.75</v>
      </c>
      <c r="AB1104" s="6">
        <v>-0.31000000000000227</v>
      </c>
      <c r="AC1104" s="6">
        <v>0.31000000000000227</v>
      </c>
      <c r="AD1104" s="23" t="s">
        <v>3143</v>
      </c>
      <c r="AE1104" s="23">
        <f t="shared" si="69"/>
        <v>9.9379999999999988</v>
      </c>
      <c r="AF1104" s="24">
        <f t="shared" si="70"/>
        <v>2.7750000000000004</v>
      </c>
      <c r="AG1104" s="23">
        <f t="shared" si="71"/>
        <v>2</v>
      </c>
    </row>
    <row r="1105" spans="1:33" x14ac:dyDescent="0.25">
      <c r="A1105" s="12" t="s">
        <v>31</v>
      </c>
      <c r="B1105" s="9">
        <v>46189</v>
      </c>
      <c r="C1105" s="10" t="s">
        <v>1739</v>
      </c>
      <c r="D1105" s="10" t="s">
        <v>1543</v>
      </c>
      <c r="E1105" s="10" t="s">
        <v>51</v>
      </c>
      <c r="F1105" s="10" t="s">
        <v>35</v>
      </c>
      <c r="G1105" s="10" t="s">
        <v>3146</v>
      </c>
      <c r="H1105" s="8" t="s">
        <v>36</v>
      </c>
      <c r="I1105" s="11">
        <v>44.53</v>
      </c>
      <c r="J1105" s="6">
        <v>40.834009999999999</v>
      </c>
      <c r="K1105" s="6">
        <v>0.91699999999999993</v>
      </c>
      <c r="L1105" s="6">
        <v>43.63</v>
      </c>
      <c r="M1105" s="11">
        <v>40.008710000000001</v>
      </c>
      <c r="N1105" s="11">
        <f t="shared" si="68"/>
        <v>40.009</v>
      </c>
      <c r="O1105" s="6">
        <v>0.91699999999999993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0.9</v>
      </c>
      <c r="Z1105" s="6">
        <v>0.82530000000000003</v>
      </c>
      <c r="AA1105" s="6">
        <v>0.91700000000000004</v>
      </c>
      <c r="AB1105" s="6">
        <v>-0.89999999999999858</v>
      </c>
      <c r="AC1105" s="6">
        <v>0.89999999999999858</v>
      </c>
      <c r="AD1105" s="23" t="s">
        <v>3143</v>
      </c>
      <c r="AE1105" s="23">
        <f t="shared" si="69"/>
        <v>36.716999999999999</v>
      </c>
      <c r="AF1105" s="24">
        <f t="shared" si="70"/>
        <v>3.2920000000000016</v>
      </c>
      <c r="AG1105" s="23">
        <f t="shared" si="71"/>
        <v>2</v>
      </c>
    </row>
    <row r="1106" spans="1:33" hidden="1" x14ac:dyDescent="0.25">
      <c r="A1106" s="12" t="s">
        <v>31</v>
      </c>
      <c r="B1106" s="9">
        <v>46189</v>
      </c>
      <c r="C1106" s="10" t="s">
        <v>1740</v>
      </c>
      <c r="D1106" s="10" t="s">
        <v>1741</v>
      </c>
      <c r="E1106" s="10" t="s">
        <v>51</v>
      </c>
      <c r="F1106" s="10" t="s">
        <v>35</v>
      </c>
      <c r="G1106" s="10" t="s">
        <v>3145</v>
      </c>
      <c r="H1106" s="8" t="s">
        <v>41</v>
      </c>
      <c r="I1106" s="11">
        <v>28.52</v>
      </c>
      <c r="J1106" s="6">
        <v>21.39</v>
      </c>
      <c r="K1106" s="6">
        <v>0.75</v>
      </c>
      <c r="L1106" s="6">
        <v>26.25</v>
      </c>
      <c r="M1106" s="11">
        <v>19.6875</v>
      </c>
      <c r="N1106" s="11">
        <f t="shared" si="68"/>
        <v>19.688000000000002</v>
      </c>
      <c r="O1106" s="6">
        <v>0.75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2.27</v>
      </c>
      <c r="Z1106" s="6">
        <v>1.7024999999999999</v>
      </c>
      <c r="AA1106" s="6">
        <v>0.75</v>
      </c>
      <c r="AB1106" s="6">
        <v>-2.2699999999999996</v>
      </c>
      <c r="AC1106" s="6">
        <v>2.2699999999999996</v>
      </c>
      <c r="AD1106" s="22" t="s">
        <v>3140</v>
      </c>
      <c r="AE1106" s="23">
        <f t="shared" si="69"/>
        <v>19.688000000000002</v>
      </c>
      <c r="AF1106" s="24">
        <f t="shared" si="70"/>
        <v>0</v>
      </c>
      <c r="AG1106" s="23">
        <f t="shared" si="71"/>
        <v>1</v>
      </c>
    </row>
    <row r="1107" spans="1:33" ht="12.5" customHeight="1" x14ac:dyDescent="0.25">
      <c r="A1107" s="12" t="s">
        <v>31</v>
      </c>
      <c r="B1107" s="9">
        <v>46189</v>
      </c>
      <c r="C1107" s="8" t="s">
        <v>1742</v>
      </c>
      <c r="D1107" s="10" t="s">
        <v>1743</v>
      </c>
      <c r="E1107" s="10" t="s">
        <v>51</v>
      </c>
      <c r="F1107" s="10" t="s">
        <v>35</v>
      </c>
      <c r="G1107" s="10" t="s">
        <v>3146</v>
      </c>
      <c r="H1107" s="8" t="s">
        <v>36</v>
      </c>
      <c r="I1107" s="11">
        <v>115.16</v>
      </c>
      <c r="J1107" s="6">
        <v>105.60172</v>
      </c>
      <c r="K1107" s="6">
        <v>0.91700000000000004</v>
      </c>
      <c r="L1107" s="6">
        <v>108.68</v>
      </c>
      <c r="M1107" s="11">
        <v>99.659559999999999</v>
      </c>
      <c r="N1107" s="11">
        <f t="shared" si="68"/>
        <v>99.660000000000011</v>
      </c>
      <c r="O1107" s="6">
        <v>0.91699999999999993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6.48</v>
      </c>
      <c r="Z1107" s="6">
        <v>5.9421600000000003</v>
      </c>
      <c r="AA1107" s="6">
        <v>0.91700000000000004</v>
      </c>
      <c r="AB1107" s="6">
        <v>-6.4799999999999898</v>
      </c>
      <c r="AC1107" s="6">
        <v>6.4799999999999898</v>
      </c>
      <c r="AD1107" s="22" t="s">
        <v>3140</v>
      </c>
      <c r="AE1107" s="23">
        <f t="shared" si="69"/>
        <v>99.660000000000011</v>
      </c>
      <c r="AF1107" s="24">
        <f t="shared" si="70"/>
        <v>0</v>
      </c>
      <c r="AG1107" s="23">
        <f t="shared" si="71"/>
        <v>1</v>
      </c>
    </row>
    <row r="1108" spans="1:33" ht="12.5" customHeight="1" x14ac:dyDescent="0.25">
      <c r="A1108" s="12" t="s">
        <v>31</v>
      </c>
      <c r="B1108" s="9">
        <v>46189</v>
      </c>
      <c r="C1108" s="13" t="s">
        <v>1742</v>
      </c>
      <c r="D1108" s="10" t="s">
        <v>1744</v>
      </c>
      <c r="E1108" s="10" t="s">
        <v>51</v>
      </c>
      <c r="F1108" s="10" t="s">
        <v>35</v>
      </c>
      <c r="G1108" s="10" t="s">
        <v>3146</v>
      </c>
      <c r="H1108" s="8" t="s">
        <v>36</v>
      </c>
      <c r="I1108" s="11">
        <v>32.82</v>
      </c>
      <c r="J1108" s="6">
        <v>30.095939999999999</v>
      </c>
      <c r="K1108" s="6">
        <v>0.91699999999999993</v>
      </c>
      <c r="L1108" s="6">
        <v>30.71</v>
      </c>
      <c r="M1108" s="11">
        <v>28.161069999999999</v>
      </c>
      <c r="N1108" s="11">
        <f t="shared" si="68"/>
        <v>28.162000000000003</v>
      </c>
      <c r="O1108" s="6">
        <v>0.91699999999999993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2.11</v>
      </c>
      <c r="Z1108" s="6">
        <v>1.9348700000000001</v>
      </c>
      <c r="AA1108" s="6">
        <v>0.91700000000000015</v>
      </c>
      <c r="AB1108" s="6">
        <v>-2.1099999999999994</v>
      </c>
      <c r="AC1108" s="6">
        <v>2.1099999999999994</v>
      </c>
      <c r="AD1108" s="22" t="s">
        <v>3140</v>
      </c>
      <c r="AE1108" s="23">
        <f t="shared" si="69"/>
        <v>28.162000000000003</v>
      </c>
      <c r="AF1108" s="24">
        <f t="shared" si="70"/>
        <v>0</v>
      </c>
      <c r="AG1108" s="23">
        <f t="shared" si="71"/>
        <v>1</v>
      </c>
    </row>
    <row r="1109" spans="1:33" x14ac:dyDescent="0.25">
      <c r="A1109" s="12" t="s">
        <v>31</v>
      </c>
      <c r="B1109" s="9">
        <v>46189</v>
      </c>
      <c r="C1109" s="10" t="s">
        <v>1745</v>
      </c>
      <c r="D1109" s="10" t="s">
        <v>1746</v>
      </c>
      <c r="E1109" s="10" t="s">
        <v>51</v>
      </c>
      <c r="F1109" s="10" t="s">
        <v>35</v>
      </c>
      <c r="G1109" s="10" t="s">
        <v>3146</v>
      </c>
      <c r="H1109" s="8" t="s">
        <v>36</v>
      </c>
      <c r="I1109" s="11">
        <v>27.58</v>
      </c>
      <c r="J1109" s="6">
        <v>25.290859999999999</v>
      </c>
      <c r="K1109" s="6">
        <v>0.91700000000000004</v>
      </c>
      <c r="L1109" s="6">
        <v>25.12</v>
      </c>
      <c r="M1109" s="11">
        <v>23.035039999999999</v>
      </c>
      <c r="N1109" s="11">
        <f t="shared" si="68"/>
        <v>23.036000000000001</v>
      </c>
      <c r="O1109" s="6">
        <v>0.91699999999999993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2.46</v>
      </c>
      <c r="Z1109" s="6">
        <v>2.2558199999999999</v>
      </c>
      <c r="AA1109" s="6">
        <v>0.91700000000000004</v>
      </c>
      <c r="AB1109" s="6">
        <v>-2.4599999999999973</v>
      </c>
      <c r="AC1109" s="6">
        <v>2.4599999999999973</v>
      </c>
      <c r="AD1109" s="22" t="s">
        <v>3140</v>
      </c>
      <c r="AE1109" s="23">
        <f t="shared" si="69"/>
        <v>23.036000000000001</v>
      </c>
      <c r="AF1109" s="24">
        <f t="shared" si="70"/>
        <v>0</v>
      </c>
      <c r="AG1109" s="23">
        <f t="shared" si="71"/>
        <v>1</v>
      </c>
    </row>
    <row r="1110" spans="1:33" x14ac:dyDescent="0.25">
      <c r="A1110" s="12" t="s">
        <v>31</v>
      </c>
      <c r="B1110" s="9">
        <v>46189</v>
      </c>
      <c r="C1110" s="10" t="s">
        <v>1747</v>
      </c>
      <c r="D1110" s="10" t="s">
        <v>1748</v>
      </c>
      <c r="E1110" s="10" t="s">
        <v>51</v>
      </c>
      <c r="F1110" s="10" t="s">
        <v>35</v>
      </c>
      <c r="G1110" s="10" t="s">
        <v>3146</v>
      </c>
      <c r="H1110" s="8" t="s">
        <v>36</v>
      </c>
      <c r="I1110" s="11">
        <v>463.41</v>
      </c>
      <c r="J1110" s="6">
        <v>424.94697000000002</v>
      </c>
      <c r="K1110" s="6">
        <v>0.91700000000000004</v>
      </c>
      <c r="L1110" s="6">
        <v>434.86</v>
      </c>
      <c r="M1110" s="11">
        <v>398.76661999999999</v>
      </c>
      <c r="N1110" s="11">
        <f t="shared" si="68"/>
        <v>398.767</v>
      </c>
      <c r="O1110" s="6">
        <v>0.91699999999999993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28.55</v>
      </c>
      <c r="Z1110" s="6">
        <v>26.180350000000001</v>
      </c>
      <c r="AA1110" s="6">
        <v>0.91700000000000004</v>
      </c>
      <c r="AB1110" s="6">
        <v>-28.550000000000011</v>
      </c>
      <c r="AC1110" s="6">
        <v>28.550000000000011</v>
      </c>
      <c r="AD1110" s="23" t="s">
        <v>3143</v>
      </c>
      <c r="AE1110" s="23">
        <f t="shared" si="69"/>
        <v>398.64799999999997</v>
      </c>
      <c r="AF1110" s="24">
        <f t="shared" si="70"/>
        <v>0.11900000000002819</v>
      </c>
      <c r="AG1110" s="23">
        <f t="shared" si="71"/>
        <v>3</v>
      </c>
    </row>
    <row r="1111" spans="1:33" ht="12.5" hidden="1" customHeight="1" x14ac:dyDescent="0.25">
      <c r="A1111" s="12" t="s">
        <v>31</v>
      </c>
      <c r="B1111" s="9">
        <v>46189</v>
      </c>
      <c r="C1111" s="8" t="s">
        <v>1749</v>
      </c>
      <c r="D1111" s="8" t="s">
        <v>338</v>
      </c>
      <c r="E1111" s="8" t="s">
        <v>51</v>
      </c>
      <c r="F1111" s="8" t="s">
        <v>35</v>
      </c>
      <c r="G1111" s="10" t="s">
        <v>3145</v>
      </c>
      <c r="H1111" s="8" t="s">
        <v>48</v>
      </c>
      <c r="I1111" s="11">
        <v>12.4</v>
      </c>
      <c r="J1111" s="6">
        <v>9.3000000000000007</v>
      </c>
      <c r="K1111" s="6">
        <v>0.75</v>
      </c>
      <c r="L1111" s="6">
        <v>12.04</v>
      </c>
      <c r="M1111" s="11">
        <v>9.0299999999999994</v>
      </c>
      <c r="N1111" s="11">
        <f t="shared" si="68"/>
        <v>9.0299999999999994</v>
      </c>
      <c r="O1111" s="6">
        <v>0.75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0.36</v>
      </c>
      <c r="Z1111" s="6">
        <v>0.27</v>
      </c>
      <c r="AA1111" s="6">
        <v>0.75000000000000011</v>
      </c>
      <c r="AB1111" s="6">
        <v>-0.36000000000000121</v>
      </c>
      <c r="AC1111" s="6">
        <v>0.36000000000000121</v>
      </c>
      <c r="AD1111" s="23" t="s">
        <v>3143</v>
      </c>
      <c r="AE1111" s="23">
        <f t="shared" si="69"/>
        <v>0</v>
      </c>
      <c r="AF1111" s="24">
        <f t="shared" si="70"/>
        <v>9.0299999999999994</v>
      </c>
      <c r="AG1111" s="23">
        <f t="shared" si="71"/>
        <v>67</v>
      </c>
    </row>
    <row r="1112" spans="1:33" ht="12.5" hidden="1" customHeight="1" x14ac:dyDescent="0.25">
      <c r="A1112" s="12" t="s">
        <v>31</v>
      </c>
      <c r="B1112" s="9">
        <v>46189</v>
      </c>
      <c r="C1112" s="12" t="s">
        <v>1749</v>
      </c>
      <c r="D1112" s="12" t="s">
        <v>338</v>
      </c>
      <c r="E1112" s="12" t="s">
        <v>51</v>
      </c>
      <c r="F1112" s="12" t="s">
        <v>35</v>
      </c>
      <c r="G1112" s="10" t="s">
        <v>3145</v>
      </c>
      <c r="H1112" s="8" t="s">
        <v>481</v>
      </c>
      <c r="I1112" s="11">
        <v>3.64</v>
      </c>
      <c r="J1112" s="6">
        <v>2.73</v>
      </c>
      <c r="K1112" s="6">
        <v>0.75</v>
      </c>
      <c r="L1112" s="6">
        <v>3.61</v>
      </c>
      <c r="M1112" s="11">
        <v>2.7075</v>
      </c>
      <c r="N1112" s="11">
        <f t="shared" si="68"/>
        <v>2.7079999999999997</v>
      </c>
      <c r="O1112" s="6">
        <v>0.75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0.03</v>
      </c>
      <c r="Z1112" s="6">
        <v>2.2499999999999999E-2</v>
      </c>
      <c r="AA1112" s="6">
        <v>0.75</v>
      </c>
      <c r="AB1112" s="6">
        <v>-3.0000000000000249E-2</v>
      </c>
      <c r="AC1112" s="6">
        <v>3.0000000000000249E-2</v>
      </c>
      <c r="AD1112" s="23" t="s">
        <v>3143</v>
      </c>
      <c r="AE1112" s="23">
        <f t="shared" si="69"/>
        <v>0</v>
      </c>
      <c r="AF1112" s="24">
        <f t="shared" si="70"/>
        <v>2.7079999999999997</v>
      </c>
      <c r="AG1112" s="23">
        <f t="shared" si="71"/>
        <v>67</v>
      </c>
    </row>
    <row r="1113" spans="1:33" ht="12.5" hidden="1" customHeight="1" x14ac:dyDescent="0.25">
      <c r="A1113" s="12" t="s">
        <v>31</v>
      </c>
      <c r="B1113" s="9">
        <v>46189</v>
      </c>
      <c r="C1113" s="13" t="s">
        <v>1749</v>
      </c>
      <c r="D1113" s="13" t="s">
        <v>338</v>
      </c>
      <c r="E1113" s="13" t="s">
        <v>51</v>
      </c>
      <c r="F1113" s="13" t="s">
        <v>35</v>
      </c>
      <c r="G1113" s="10" t="s">
        <v>3145</v>
      </c>
      <c r="H1113" s="8" t="s">
        <v>41</v>
      </c>
      <c r="I1113" s="11">
        <v>6.88</v>
      </c>
      <c r="J1113" s="6">
        <v>5.16</v>
      </c>
      <c r="K1113" s="6">
        <v>0.75</v>
      </c>
      <c r="L1113" s="6">
        <v>6.07</v>
      </c>
      <c r="M1113" s="11">
        <v>4.5525000000000002</v>
      </c>
      <c r="N1113" s="11">
        <f t="shared" si="68"/>
        <v>4.5529999999999999</v>
      </c>
      <c r="O1113" s="6">
        <v>0.75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0.81</v>
      </c>
      <c r="Z1113" s="6">
        <v>0.60750000000000004</v>
      </c>
      <c r="AA1113" s="6">
        <v>0.75</v>
      </c>
      <c r="AB1113" s="6">
        <v>-0.80999999999999961</v>
      </c>
      <c r="AC1113" s="6">
        <v>0.80999999999999961</v>
      </c>
      <c r="AD1113" s="23" t="s">
        <v>3143</v>
      </c>
      <c r="AE1113" s="23">
        <f t="shared" si="69"/>
        <v>0</v>
      </c>
      <c r="AF1113" s="24">
        <f t="shared" si="70"/>
        <v>4.5529999999999999</v>
      </c>
      <c r="AG1113" s="23">
        <f t="shared" si="71"/>
        <v>67</v>
      </c>
    </row>
    <row r="1114" spans="1:33" x14ac:dyDescent="0.25">
      <c r="A1114" s="12" t="s">
        <v>31</v>
      </c>
      <c r="B1114" s="9">
        <v>46189</v>
      </c>
      <c r="C1114" s="10" t="s">
        <v>1750</v>
      </c>
      <c r="D1114" s="10" t="s">
        <v>338</v>
      </c>
      <c r="E1114" s="10" t="s">
        <v>51</v>
      </c>
      <c r="F1114" s="10" t="s">
        <v>35</v>
      </c>
      <c r="G1114" s="10" t="s">
        <v>3146</v>
      </c>
      <c r="H1114" s="8" t="s">
        <v>36</v>
      </c>
      <c r="I1114" s="11">
        <v>28.84</v>
      </c>
      <c r="J1114" s="6">
        <v>26.446280000000002</v>
      </c>
      <c r="K1114" s="6">
        <v>0.91700000000000004</v>
      </c>
      <c r="L1114" s="6">
        <v>17.600000000000001</v>
      </c>
      <c r="M1114" s="11">
        <v>16.139199999999999</v>
      </c>
      <c r="N1114" s="11">
        <f t="shared" si="68"/>
        <v>16.14</v>
      </c>
      <c r="O1114" s="6">
        <v>0.91699999999999982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11.24</v>
      </c>
      <c r="Z1114" s="6">
        <v>10.307079999999999</v>
      </c>
      <c r="AA1114" s="6">
        <v>0.91699999999999993</v>
      </c>
      <c r="AB1114" s="6">
        <v>-11.239999999999998</v>
      </c>
      <c r="AC1114" s="6">
        <v>11.239999999999998</v>
      </c>
      <c r="AD1114" s="23" t="s">
        <v>3143</v>
      </c>
      <c r="AE1114" s="23">
        <f t="shared" si="69"/>
        <v>0</v>
      </c>
      <c r="AF1114" s="24">
        <f t="shared" si="70"/>
        <v>16.14</v>
      </c>
      <c r="AG1114" s="23">
        <f t="shared" si="71"/>
        <v>67</v>
      </c>
    </row>
    <row r="1115" spans="1:33" ht="12.5" customHeight="1" x14ac:dyDescent="0.25">
      <c r="A1115" s="12" t="s">
        <v>31</v>
      </c>
      <c r="B1115" s="9">
        <v>46190</v>
      </c>
      <c r="C1115" s="10" t="s">
        <v>1751</v>
      </c>
      <c r="D1115" s="10" t="s">
        <v>1752</v>
      </c>
      <c r="E1115" s="10" t="s">
        <v>34</v>
      </c>
      <c r="F1115" s="10" t="s">
        <v>35</v>
      </c>
      <c r="G1115" s="10" t="s">
        <v>3146</v>
      </c>
      <c r="H1115" s="8" t="s">
        <v>36</v>
      </c>
      <c r="I1115" s="11">
        <v>72.02</v>
      </c>
      <c r="J1115" s="6">
        <v>66.042339999999996</v>
      </c>
      <c r="K1115" s="6">
        <v>0.91700000000000004</v>
      </c>
      <c r="L1115" s="6">
        <v>67.23</v>
      </c>
      <c r="M1115" s="11">
        <v>61.649909999999998</v>
      </c>
      <c r="N1115" s="11">
        <f t="shared" si="68"/>
        <v>61.65</v>
      </c>
      <c r="O1115" s="6">
        <v>0.91699999999999993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4.79</v>
      </c>
      <c r="Z1115" s="6">
        <v>4.3924300000000001</v>
      </c>
      <c r="AA1115" s="6">
        <v>0.91700000000000004</v>
      </c>
      <c r="AB1115" s="6">
        <v>-4.789999999999992</v>
      </c>
      <c r="AC1115" s="6">
        <v>4.789999999999992</v>
      </c>
      <c r="AD1115" s="22" t="s">
        <v>3140</v>
      </c>
      <c r="AE1115" s="23">
        <f t="shared" si="69"/>
        <v>61.65</v>
      </c>
      <c r="AF1115" s="24">
        <f t="shared" si="70"/>
        <v>0</v>
      </c>
      <c r="AG1115" s="23">
        <f t="shared" si="71"/>
        <v>1</v>
      </c>
    </row>
    <row r="1116" spans="1:33" ht="12.5" customHeight="1" x14ac:dyDescent="0.25">
      <c r="A1116" s="12" t="s">
        <v>31</v>
      </c>
      <c r="B1116" s="9">
        <v>46190</v>
      </c>
      <c r="C1116" s="10" t="s">
        <v>1753</v>
      </c>
      <c r="D1116" s="10" t="s">
        <v>1754</v>
      </c>
      <c r="E1116" s="10" t="s">
        <v>34</v>
      </c>
      <c r="F1116" s="10" t="s">
        <v>35</v>
      </c>
      <c r="G1116" s="10" t="s">
        <v>3146</v>
      </c>
      <c r="H1116" s="8" t="s">
        <v>36</v>
      </c>
      <c r="I1116" s="11">
        <v>302.27</v>
      </c>
      <c r="J1116" s="6">
        <v>277.18159000000003</v>
      </c>
      <c r="K1116" s="6">
        <v>0.91700000000000015</v>
      </c>
      <c r="L1116" s="6">
        <v>285.99</v>
      </c>
      <c r="M1116" s="11">
        <v>262.25283000000002</v>
      </c>
      <c r="N1116" s="11">
        <f t="shared" si="68"/>
        <v>262.25299999999999</v>
      </c>
      <c r="O1116" s="6">
        <v>0.91700000000000004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16.28</v>
      </c>
      <c r="Z1116" s="6">
        <v>14.92876</v>
      </c>
      <c r="AA1116" s="6">
        <v>0.91699999999999993</v>
      </c>
      <c r="AB1116" s="6">
        <v>-16.279999999999973</v>
      </c>
      <c r="AC1116" s="6">
        <v>16.279999999999973</v>
      </c>
      <c r="AD1116" s="22" t="s">
        <v>3140</v>
      </c>
      <c r="AE1116" s="23">
        <f t="shared" si="69"/>
        <v>262.25299999999999</v>
      </c>
      <c r="AF1116" s="24">
        <f t="shared" si="70"/>
        <v>0</v>
      </c>
      <c r="AG1116" s="23">
        <f t="shared" si="71"/>
        <v>1</v>
      </c>
    </row>
    <row r="1117" spans="1:33" hidden="1" x14ac:dyDescent="0.25">
      <c r="A1117" s="12" t="s">
        <v>31</v>
      </c>
      <c r="B1117" s="9">
        <v>46190</v>
      </c>
      <c r="C1117" s="10" t="s">
        <v>1755</v>
      </c>
      <c r="D1117" s="10" t="s">
        <v>1756</v>
      </c>
      <c r="E1117" s="10" t="s">
        <v>51</v>
      </c>
      <c r="F1117" s="10" t="s">
        <v>35</v>
      </c>
      <c r="G1117" s="10" t="s">
        <v>3145</v>
      </c>
      <c r="H1117" s="8" t="s">
        <v>41</v>
      </c>
      <c r="I1117" s="11">
        <v>38.340000000000003</v>
      </c>
      <c r="J1117" s="6">
        <v>28.754999999999999</v>
      </c>
      <c r="K1117" s="6">
        <v>0.74999999999999989</v>
      </c>
      <c r="L1117" s="6">
        <v>34.450000000000003</v>
      </c>
      <c r="M1117" s="11">
        <v>25.837499999999999</v>
      </c>
      <c r="N1117" s="11">
        <f t="shared" si="68"/>
        <v>25.838000000000001</v>
      </c>
      <c r="O1117" s="6">
        <v>0.74999999999999989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3.89</v>
      </c>
      <c r="Z1117" s="6">
        <v>2.9175</v>
      </c>
      <c r="AA1117" s="6">
        <v>0.75</v>
      </c>
      <c r="AB1117" s="6">
        <v>-3.8900000000000006</v>
      </c>
      <c r="AC1117" s="6">
        <v>3.8900000000000006</v>
      </c>
      <c r="AD1117" s="22" t="s">
        <v>3140</v>
      </c>
      <c r="AE1117" s="23">
        <f t="shared" si="69"/>
        <v>25.838000000000001</v>
      </c>
      <c r="AF1117" s="24">
        <f t="shared" si="70"/>
        <v>0</v>
      </c>
      <c r="AG1117" s="23">
        <f t="shared" si="71"/>
        <v>1</v>
      </c>
    </row>
    <row r="1118" spans="1:33" x14ac:dyDescent="0.25">
      <c r="A1118" s="12" t="s">
        <v>31</v>
      </c>
      <c r="B1118" s="9">
        <v>46190</v>
      </c>
      <c r="C1118" s="10" t="s">
        <v>1757</v>
      </c>
      <c r="D1118" s="10" t="s">
        <v>1758</v>
      </c>
      <c r="E1118" s="10" t="s">
        <v>51</v>
      </c>
      <c r="F1118" s="10" t="s">
        <v>35</v>
      </c>
      <c r="G1118" s="10" t="s">
        <v>3146</v>
      </c>
      <c r="H1118" s="8" t="s">
        <v>36</v>
      </c>
      <c r="I1118" s="11">
        <v>10.58</v>
      </c>
      <c r="J1118" s="6">
        <v>9.7018599999999999</v>
      </c>
      <c r="K1118" s="6">
        <v>0.91700000000000004</v>
      </c>
      <c r="L1118" s="6">
        <v>10.119999999999999</v>
      </c>
      <c r="M1118" s="11">
        <v>9.2800399999999996</v>
      </c>
      <c r="N1118" s="11">
        <f t="shared" si="68"/>
        <v>9.2809999999999988</v>
      </c>
      <c r="O1118" s="6">
        <v>0.91700000000000004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0.46</v>
      </c>
      <c r="Z1118" s="6">
        <v>0.42181999999999997</v>
      </c>
      <c r="AA1118" s="6">
        <v>0.91699999999999993</v>
      </c>
      <c r="AB1118" s="6">
        <v>-0.46000000000000085</v>
      </c>
      <c r="AC1118" s="6">
        <v>0.46000000000000085</v>
      </c>
      <c r="AD1118" s="23" t="s">
        <v>3143</v>
      </c>
      <c r="AE1118" s="23">
        <f t="shared" si="69"/>
        <v>8.0329999999999995</v>
      </c>
      <c r="AF1118" s="24">
        <f t="shared" si="70"/>
        <v>1.2479999999999993</v>
      </c>
      <c r="AG1118" s="23">
        <f t="shared" si="71"/>
        <v>2</v>
      </c>
    </row>
    <row r="1119" spans="1:33" x14ac:dyDescent="0.25">
      <c r="A1119" s="12" t="s">
        <v>31</v>
      </c>
      <c r="B1119" s="9">
        <v>46190</v>
      </c>
      <c r="C1119" s="10" t="s">
        <v>1759</v>
      </c>
      <c r="D1119" s="10" t="s">
        <v>1643</v>
      </c>
      <c r="E1119" s="10" t="s">
        <v>51</v>
      </c>
      <c r="F1119" s="10" t="s">
        <v>35</v>
      </c>
      <c r="G1119" s="10" t="s">
        <v>3146</v>
      </c>
      <c r="H1119" s="8" t="s">
        <v>36</v>
      </c>
      <c r="I1119" s="11">
        <v>54.74</v>
      </c>
      <c r="J1119" s="6">
        <v>50.196579999999997</v>
      </c>
      <c r="K1119" s="6">
        <v>0.91699999999999993</v>
      </c>
      <c r="L1119" s="6">
        <v>54</v>
      </c>
      <c r="M1119" s="11">
        <v>49.518000000000001</v>
      </c>
      <c r="N1119" s="11">
        <f t="shared" si="68"/>
        <v>49.518000000000001</v>
      </c>
      <c r="O1119" s="6">
        <v>0.91700000000000004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0.74</v>
      </c>
      <c r="Z1119" s="6">
        <v>0.67857999999999996</v>
      </c>
      <c r="AA1119" s="6">
        <v>0.91699999999999993</v>
      </c>
      <c r="AB1119" s="6">
        <v>-0.74000000000000199</v>
      </c>
      <c r="AC1119" s="6">
        <v>0.74000000000000199</v>
      </c>
      <c r="AD1119" s="23" t="s">
        <v>3143</v>
      </c>
      <c r="AE1119" s="23">
        <f t="shared" si="69"/>
        <v>46.125999999999998</v>
      </c>
      <c r="AF1119" s="24">
        <f t="shared" si="70"/>
        <v>3.392000000000003</v>
      </c>
      <c r="AG1119" s="23">
        <f t="shared" si="71"/>
        <v>2</v>
      </c>
    </row>
    <row r="1120" spans="1:33" x14ac:dyDescent="0.25">
      <c r="A1120" s="12" t="s">
        <v>31</v>
      </c>
      <c r="B1120" s="9">
        <v>46190</v>
      </c>
      <c r="C1120" s="10" t="s">
        <v>1760</v>
      </c>
      <c r="D1120" s="10" t="s">
        <v>1761</v>
      </c>
      <c r="E1120" s="10" t="s">
        <v>51</v>
      </c>
      <c r="F1120" s="10" t="s">
        <v>35</v>
      </c>
      <c r="G1120" s="10" t="s">
        <v>3146</v>
      </c>
      <c r="H1120" s="8" t="s">
        <v>36</v>
      </c>
      <c r="I1120" s="11">
        <v>89.9</v>
      </c>
      <c r="J1120" s="6">
        <v>82.438299999999998</v>
      </c>
      <c r="K1120" s="6">
        <v>0.91699999999999993</v>
      </c>
      <c r="L1120" s="6">
        <v>84.05</v>
      </c>
      <c r="M1120" s="11">
        <v>77.073849999999993</v>
      </c>
      <c r="N1120" s="11">
        <f t="shared" si="68"/>
        <v>77.073999999999998</v>
      </c>
      <c r="O1120" s="6">
        <v>0.91699999999999993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5.85</v>
      </c>
      <c r="Z1120" s="6">
        <v>5.3644499999999997</v>
      </c>
      <c r="AA1120" s="6">
        <v>0.91700000000000004</v>
      </c>
      <c r="AB1120" s="6">
        <v>-5.8500000000000085</v>
      </c>
      <c r="AC1120" s="6">
        <v>5.8500000000000085</v>
      </c>
      <c r="AD1120" s="22" t="s">
        <v>3140</v>
      </c>
      <c r="AE1120" s="23">
        <f t="shared" si="69"/>
        <v>77.073999999999998</v>
      </c>
      <c r="AF1120" s="24">
        <f t="shared" si="70"/>
        <v>0</v>
      </c>
      <c r="AG1120" s="23">
        <f t="shared" si="71"/>
        <v>1</v>
      </c>
    </row>
    <row r="1121" spans="1:33" x14ac:dyDescent="0.25">
      <c r="A1121" s="12" t="s">
        <v>31</v>
      </c>
      <c r="B1121" s="9">
        <v>46190</v>
      </c>
      <c r="C1121" s="10" t="s">
        <v>1762</v>
      </c>
      <c r="D1121" s="10" t="s">
        <v>1763</v>
      </c>
      <c r="E1121" s="10" t="s">
        <v>51</v>
      </c>
      <c r="F1121" s="10" t="s">
        <v>35</v>
      </c>
      <c r="G1121" s="10" t="s">
        <v>3146</v>
      </c>
      <c r="H1121" s="8" t="s">
        <v>36</v>
      </c>
      <c r="I1121" s="11">
        <v>80</v>
      </c>
      <c r="J1121" s="6">
        <v>73.36</v>
      </c>
      <c r="K1121" s="6">
        <v>0.91700000000000004</v>
      </c>
      <c r="L1121" s="6">
        <v>74.77</v>
      </c>
      <c r="M1121" s="11">
        <v>68.564089999999993</v>
      </c>
      <c r="N1121" s="11">
        <f t="shared" si="68"/>
        <v>68.564999999999998</v>
      </c>
      <c r="O1121" s="6">
        <v>0.91699999999999993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5.23</v>
      </c>
      <c r="Z1121" s="6">
        <v>4.7959100000000001</v>
      </c>
      <c r="AA1121" s="6">
        <v>0.91699999999999993</v>
      </c>
      <c r="AB1121" s="6">
        <v>-5.230000000000004</v>
      </c>
      <c r="AC1121" s="6">
        <v>5.230000000000004</v>
      </c>
      <c r="AD1121" s="22" t="s">
        <v>3140</v>
      </c>
      <c r="AE1121" s="23">
        <f t="shared" si="69"/>
        <v>68.564999999999998</v>
      </c>
      <c r="AF1121" s="24">
        <f t="shared" si="70"/>
        <v>0</v>
      </c>
      <c r="AG1121" s="23">
        <f t="shared" si="71"/>
        <v>1</v>
      </c>
    </row>
    <row r="1122" spans="1:33" x14ac:dyDescent="0.25">
      <c r="A1122" s="12" t="s">
        <v>31</v>
      </c>
      <c r="B1122" s="9">
        <v>46190</v>
      </c>
      <c r="C1122" s="10" t="s">
        <v>1764</v>
      </c>
      <c r="D1122" s="10" t="s">
        <v>1765</v>
      </c>
      <c r="E1122" s="10" t="s">
        <v>51</v>
      </c>
      <c r="F1122" s="10" t="s">
        <v>35</v>
      </c>
      <c r="G1122" s="10" t="s">
        <v>3146</v>
      </c>
      <c r="H1122" s="8" t="s">
        <v>36</v>
      </c>
      <c r="I1122" s="11">
        <v>64.13</v>
      </c>
      <c r="J1122" s="6">
        <v>58.807209999999998</v>
      </c>
      <c r="K1122" s="6">
        <v>0.91700000000000004</v>
      </c>
      <c r="L1122" s="6">
        <v>63.97</v>
      </c>
      <c r="M1122" s="11">
        <v>58.660490000000003</v>
      </c>
      <c r="N1122" s="11">
        <f t="shared" si="68"/>
        <v>58.660999999999994</v>
      </c>
      <c r="O1122" s="6">
        <v>0.91700000000000004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0.16</v>
      </c>
      <c r="Z1122" s="6">
        <v>0.14671999999999999</v>
      </c>
      <c r="AA1122" s="6">
        <v>0.91699999999999993</v>
      </c>
      <c r="AB1122" s="6">
        <v>-0.15999999999999659</v>
      </c>
      <c r="AC1122" s="6">
        <v>0.15999999999999659</v>
      </c>
      <c r="AD1122" s="22" t="s">
        <v>3140</v>
      </c>
      <c r="AE1122" s="23">
        <f t="shared" si="69"/>
        <v>58.660999999999994</v>
      </c>
      <c r="AF1122" s="24">
        <f t="shared" si="70"/>
        <v>0</v>
      </c>
      <c r="AG1122" s="23">
        <f t="shared" si="71"/>
        <v>1</v>
      </c>
    </row>
    <row r="1123" spans="1:33" x14ac:dyDescent="0.25">
      <c r="A1123" s="12" t="s">
        <v>31</v>
      </c>
      <c r="B1123" s="9">
        <v>46190</v>
      </c>
      <c r="C1123" s="10" t="s">
        <v>1766</v>
      </c>
      <c r="D1123" s="10" t="s">
        <v>1767</v>
      </c>
      <c r="E1123" s="10" t="s">
        <v>51</v>
      </c>
      <c r="F1123" s="10" t="s">
        <v>35</v>
      </c>
      <c r="G1123" s="10" t="s">
        <v>3146</v>
      </c>
      <c r="H1123" s="8" t="s">
        <v>36</v>
      </c>
      <c r="I1123" s="11">
        <v>50.04</v>
      </c>
      <c r="J1123" s="6">
        <v>45.886679999999998</v>
      </c>
      <c r="K1123" s="6">
        <v>0.91700000000000004</v>
      </c>
      <c r="L1123" s="6">
        <v>49.79</v>
      </c>
      <c r="M1123" s="11">
        <v>45.657429999999998</v>
      </c>
      <c r="N1123" s="11">
        <f t="shared" si="68"/>
        <v>45.657999999999994</v>
      </c>
      <c r="O1123" s="6">
        <v>0.91699999999999993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0.25</v>
      </c>
      <c r="Z1123" s="6">
        <v>0.22925000000000001</v>
      </c>
      <c r="AA1123" s="6">
        <v>0.91700000000000004</v>
      </c>
      <c r="AB1123" s="6">
        <v>-0.25</v>
      </c>
      <c r="AC1123" s="6">
        <v>0.25</v>
      </c>
      <c r="AD1123" s="22" t="s">
        <v>3140</v>
      </c>
      <c r="AE1123" s="23">
        <f t="shared" si="69"/>
        <v>45.657999999999994</v>
      </c>
      <c r="AF1123" s="24">
        <f t="shared" si="70"/>
        <v>0</v>
      </c>
      <c r="AG1123" s="23">
        <f t="shared" si="71"/>
        <v>1</v>
      </c>
    </row>
    <row r="1124" spans="1:33" hidden="1" x14ac:dyDescent="0.25">
      <c r="A1124" s="12" t="s">
        <v>31</v>
      </c>
      <c r="B1124" s="9">
        <v>46190</v>
      </c>
      <c r="C1124" s="10" t="s">
        <v>1768</v>
      </c>
      <c r="D1124" s="10" t="s">
        <v>1769</v>
      </c>
      <c r="E1124" s="10" t="s">
        <v>51</v>
      </c>
      <c r="F1124" s="10" t="s">
        <v>35</v>
      </c>
      <c r="G1124" s="10" t="s">
        <v>3145</v>
      </c>
      <c r="H1124" s="8" t="s">
        <v>41</v>
      </c>
      <c r="I1124" s="11">
        <v>54.22</v>
      </c>
      <c r="J1124" s="6">
        <v>40.664999999999999</v>
      </c>
      <c r="K1124" s="6">
        <v>0.75</v>
      </c>
      <c r="L1124" s="6">
        <v>51.5</v>
      </c>
      <c r="M1124" s="11">
        <v>38.625</v>
      </c>
      <c r="N1124" s="11">
        <f t="shared" si="68"/>
        <v>38.625</v>
      </c>
      <c r="O1124" s="6">
        <v>0.75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2.72</v>
      </c>
      <c r="Z1124" s="6">
        <v>2.04</v>
      </c>
      <c r="AA1124" s="6">
        <v>0.75</v>
      </c>
      <c r="AB1124" s="6">
        <v>-2.7199999999999989</v>
      </c>
      <c r="AC1124" s="6">
        <v>2.7199999999999989</v>
      </c>
      <c r="AD1124" s="22" t="s">
        <v>3140</v>
      </c>
      <c r="AE1124" s="23">
        <f t="shared" si="69"/>
        <v>38.625</v>
      </c>
      <c r="AF1124" s="24">
        <f t="shared" si="70"/>
        <v>0</v>
      </c>
      <c r="AG1124" s="23">
        <f t="shared" si="71"/>
        <v>1</v>
      </c>
    </row>
    <row r="1125" spans="1:33" x14ac:dyDescent="0.25">
      <c r="A1125" s="12" t="s">
        <v>31</v>
      </c>
      <c r="B1125" s="9">
        <v>46190</v>
      </c>
      <c r="C1125" s="10" t="s">
        <v>1770</v>
      </c>
      <c r="D1125" s="10" t="s">
        <v>1550</v>
      </c>
      <c r="E1125" s="10" t="s">
        <v>51</v>
      </c>
      <c r="F1125" s="10" t="s">
        <v>35</v>
      </c>
      <c r="G1125" s="10" t="s">
        <v>3146</v>
      </c>
      <c r="H1125" s="8" t="s">
        <v>36</v>
      </c>
      <c r="I1125" s="11">
        <v>52.25</v>
      </c>
      <c r="J1125" s="6">
        <v>47.913249999999998</v>
      </c>
      <c r="K1125" s="6">
        <v>0.91699999999999993</v>
      </c>
      <c r="L1125" s="6">
        <v>51.31</v>
      </c>
      <c r="M1125" s="11">
        <v>47.051270000000002</v>
      </c>
      <c r="N1125" s="11">
        <f t="shared" si="68"/>
        <v>47.052</v>
      </c>
      <c r="O1125" s="6">
        <v>0.91700000000000004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0.94</v>
      </c>
      <c r="Z1125" s="6">
        <v>0.86197999999999997</v>
      </c>
      <c r="AA1125" s="6">
        <v>0.91700000000000004</v>
      </c>
      <c r="AB1125" s="6">
        <v>-0.93999999999999773</v>
      </c>
      <c r="AC1125" s="6">
        <v>0.93999999999999773</v>
      </c>
      <c r="AD1125" s="23" t="s">
        <v>3143</v>
      </c>
      <c r="AE1125" s="23">
        <f t="shared" si="69"/>
        <v>43.878999999999998</v>
      </c>
      <c r="AF1125" s="24">
        <f t="shared" si="70"/>
        <v>3.1730000000000018</v>
      </c>
      <c r="AG1125" s="23">
        <f t="shared" si="71"/>
        <v>2</v>
      </c>
    </row>
    <row r="1126" spans="1:33" hidden="1" x14ac:dyDescent="0.25">
      <c r="A1126" s="12" t="s">
        <v>31</v>
      </c>
      <c r="B1126" s="9">
        <v>46190</v>
      </c>
      <c r="C1126" s="10" t="s">
        <v>1771</v>
      </c>
      <c r="D1126" s="10" t="s">
        <v>1772</v>
      </c>
      <c r="E1126" s="10" t="s">
        <v>51</v>
      </c>
      <c r="F1126" s="10" t="s">
        <v>35</v>
      </c>
      <c r="G1126" s="10" t="s">
        <v>3145</v>
      </c>
      <c r="H1126" s="8" t="s">
        <v>41</v>
      </c>
      <c r="I1126" s="11">
        <v>57.62</v>
      </c>
      <c r="J1126" s="6">
        <v>43.215000000000003</v>
      </c>
      <c r="K1126" s="6">
        <v>0.75000000000000011</v>
      </c>
      <c r="L1126" s="6">
        <v>54.71</v>
      </c>
      <c r="M1126" s="11">
        <v>41.032499999999999</v>
      </c>
      <c r="N1126" s="11">
        <f t="shared" si="68"/>
        <v>41.032999999999994</v>
      </c>
      <c r="O1126" s="6">
        <v>0.75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2.91</v>
      </c>
      <c r="Z1126" s="6">
        <v>2.1825000000000001</v>
      </c>
      <c r="AA1126" s="6">
        <v>0.75</v>
      </c>
      <c r="AB1126" s="6">
        <v>-2.9099999999999966</v>
      </c>
      <c r="AC1126" s="6">
        <v>2.9099999999999966</v>
      </c>
      <c r="AD1126" s="22" t="s">
        <v>3140</v>
      </c>
      <c r="AE1126" s="23">
        <f t="shared" si="69"/>
        <v>41.032999999999994</v>
      </c>
      <c r="AF1126" s="24">
        <f t="shared" si="70"/>
        <v>0</v>
      </c>
      <c r="AG1126" s="23">
        <f t="shared" si="71"/>
        <v>1</v>
      </c>
    </row>
    <row r="1127" spans="1:33" ht="12.5" hidden="1" customHeight="1" x14ac:dyDescent="0.25">
      <c r="A1127" s="12" t="s">
        <v>31</v>
      </c>
      <c r="B1127" s="9">
        <v>46190</v>
      </c>
      <c r="C1127" s="8" t="s">
        <v>1773</v>
      </c>
      <c r="D1127" s="10" t="s">
        <v>1774</v>
      </c>
      <c r="E1127" s="10" t="s">
        <v>51</v>
      </c>
      <c r="F1127" s="10" t="s">
        <v>35</v>
      </c>
      <c r="G1127" s="10" t="s">
        <v>3145</v>
      </c>
      <c r="H1127" s="8" t="s">
        <v>41</v>
      </c>
      <c r="I1127" s="11">
        <v>30</v>
      </c>
      <c r="J1127" s="6">
        <v>22.5</v>
      </c>
      <c r="K1127" s="6">
        <v>0.75</v>
      </c>
      <c r="L1127" s="6">
        <v>26.67</v>
      </c>
      <c r="M1127" s="11">
        <v>20.002500000000001</v>
      </c>
      <c r="N1127" s="11">
        <f t="shared" si="68"/>
        <v>20.003</v>
      </c>
      <c r="O1127" s="6">
        <v>0.75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3.33</v>
      </c>
      <c r="Z1127" s="6">
        <v>2.4975000000000001</v>
      </c>
      <c r="AA1127" s="6">
        <v>0.75</v>
      </c>
      <c r="AB1127" s="6">
        <v>-3.3299999999999983</v>
      </c>
      <c r="AC1127" s="6">
        <v>3.3299999999999983</v>
      </c>
      <c r="AD1127" s="22" t="s">
        <v>3140</v>
      </c>
      <c r="AE1127" s="23">
        <f t="shared" si="69"/>
        <v>20.003</v>
      </c>
      <c r="AF1127" s="24">
        <f t="shared" si="70"/>
        <v>0</v>
      </c>
      <c r="AG1127" s="23">
        <f t="shared" si="71"/>
        <v>1</v>
      </c>
    </row>
    <row r="1128" spans="1:33" ht="12.5" hidden="1" customHeight="1" x14ac:dyDescent="0.25">
      <c r="A1128" s="12" t="s">
        <v>31</v>
      </c>
      <c r="B1128" s="9">
        <v>46190</v>
      </c>
      <c r="C1128" s="13" t="s">
        <v>1773</v>
      </c>
      <c r="D1128" s="10" t="s">
        <v>1775</v>
      </c>
      <c r="E1128" s="10" t="s">
        <v>51</v>
      </c>
      <c r="F1128" s="10" t="s">
        <v>35</v>
      </c>
      <c r="G1128" s="10" t="s">
        <v>3145</v>
      </c>
      <c r="H1128" s="8" t="s">
        <v>41</v>
      </c>
      <c r="I1128" s="11">
        <v>27.02</v>
      </c>
      <c r="J1128" s="6">
        <v>20.265000000000001</v>
      </c>
      <c r="K1128" s="6">
        <v>0.75</v>
      </c>
      <c r="L1128" s="6">
        <v>24.52</v>
      </c>
      <c r="M1128" s="11">
        <v>18.39</v>
      </c>
      <c r="N1128" s="11">
        <f t="shared" si="68"/>
        <v>18.39</v>
      </c>
      <c r="O1128" s="6">
        <v>0.75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2.5</v>
      </c>
      <c r="Z1128" s="6">
        <v>1.875</v>
      </c>
      <c r="AA1128" s="6">
        <v>0.75</v>
      </c>
      <c r="AB1128" s="6">
        <v>-2.5</v>
      </c>
      <c r="AC1128" s="6">
        <v>2.5</v>
      </c>
      <c r="AD1128" s="22" t="s">
        <v>3140</v>
      </c>
      <c r="AE1128" s="23">
        <f t="shared" si="69"/>
        <v>18.39</v>
      </c>
      <c r="AF1128" s="24">
        <f t="shared" si="70"/>
        <v>0</v>
      </c>
      <c r="AG1128" s="23">
        <f t="shared" si="71"/>
        <v>1</v>
      </c>
    </row>
    <row r="1129" spans="1:33" x14ac:dyDescent="0.25">
      <c r="A1129" s="12" t="s">
        <v>31</v>
      </c>
      <c r="B1129" s="9">
        <v>46190</v>
      </c>
      <c r="C1129" s="10" t="s">
        <v>1776</v>
      </c>
      <c r="D1129" s="10" t="s">
        <v>1777</v>
      </c>
      <c r="E1129" s="10" t="s">
        <v>51</v>
      </c>
      <c r="F1129" s="10" t="s">
        <v>35</v>
      </c>
      <c r="G1129" s="10" t="s">
        <v>3146</v>
      </c>
      <c r="H1129" s="8" t="s">
        <v>36</v>
      </c>
      <c r="I1129" s="11">
        <v>41.53</v>
      </c>
      <c r="J1129" s="6">
        <v>38.083010000000002</v>
      </c>
      <c r="K1129" s="6">
        <v>0.91700000000000004</v>
      </c>
      <c r="L1129" s="6">
        <v>39.03</v>
      </c>
      <c r="M1129" s="11">
        <v>35.790509999999998</v>
      </c>
      <c r="N1129" s="11">
        <f t="shared" si="68"/>
        <v>35.790999999999997</v>
      </c>
      <c r="O1129" s="6">
        <v>0.91699999999999993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2.5</v>
      </c>
      <c r="Z1129" s="6">
        <v>2.2925</v>
      </c>
      <c r="AA1129" s="6">
        <v>0.91700000000000004</v>
      </c>
      <c r="AB1129" s="6">
        <v>-2.5</v>
      </c>
      <c r="AC1129" s="6">
        <v>2.5</v>
      </c>
      <c r="AD1129" s="22" t="s">
        <v>3140</v>
      </c>
      <c r="AE1129" s="23">
        <f t="shared" si="69"/>
        <v>35.790999999999997</v>
      </c>
      <c r="AF1129" s="24">
        <f t="shared" si="70"/>
        <v>0</v>
      </c>
      <c r="AG1129" s="23">
        <f t="shared" si="71"/>
        <v>1</v>
      </c>
    </row>
    <row r="1130" spans="1:33" x14ac:dyDescent="0.25">
      <c r="A1130" s="12" t="s">
        <v>31</v>
      </c>
      <c r="B1130" s="9">
        <v>46190</v>
      </c>
      <c r="C1130" s="10" t="s">
        <v>1778</v>
      </c>
      <c r="D1130" s="10" t="s">
        <v>1513</v>
      </c>
      <c r="E1130" s="10" t="s">
        <v>51</v>
      </c>
      <c r="F1130" s="10" t="s">
        <v>35</v>
      </c>
      <c r="G1130" s="10" t="s">
        <v>3146</v>
      </c>
      <c r="H1130" s="8" t="s">
        <v>36</v>
      </c>
      <c r="I1130" s="11">
        <v>37.19</v>
      </c>
      <c r="J1130" s="6">
        <v>34.103230000000003</v>
      </c>
      <c r="K1130" s="6">
        <v>0.91700000000000015</v>
      </c>
      <c r="L1130" s="6">
        <v>37.19</v>
      </c>
      <c r="M1130" s="11">
        <v>34.103230000000003</v>
      </c>
      <c r="N1130" s="11">
        <f t="shared" si="68"/>
        <v>34.103999999999999</v>
      </c>
      <c r="O1130" s="6">
        <v>0.91700000000000015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23" t="s">
        <v>3143</v>
      </c>
      <c r="AE1130" s="23">
        <f t="shared" si="69"/>
        <v>30.014000000000003</v>
      </c>
      <c r="AF1130" s="24">
        <f t="shared" si="70"/>
        <v>4.0899999999999963</v>
      </c>
      <c r="AG1130" s="23">
        <f t="shared" si="71"/>
        <v>4</v>
      </c>
    </row>
    <row r="1131" spans="1:33" x14ac:dyDescent="0.25">
      <c r="A1131" s="12" t="s">
        <v>31</v>
      </c>
      <c r="B1131" s="9">
        <v>46190</v>
      </c>
      <c r="C1131" s="10" t="s">
        <v>1779</v>
      </c>
      <c r="D1131" s="10" t="s">
        <v>1780</v>
      </c>
      <c r="E1131" s="10" t="s">
        <v>51</v>
      </c>
      <c r="F1131" s="10" t="s">
        <v>35</v>
      </c>
      <c r="G1131" s="10" t="s">
        <v>3146</v>
      </c>
      <c r="H1131" s="8" t="s">
        <v>36</v>
      </c>
      <c r="I1131" s="11">
        <v>112.16</v>
      </c>
      <c r="J1131" s="6">
        <v>102.85072</v>
      </c>
      <c r="K1131" s="6">
        <v>0.91700000000000004</v>
      </c>
      <c r="L1131" s="6">
        <v>106.64</v>
      </c>
      <c r="M1131" s="11">
        <v>97.788880000000006</v>
      </c>
      <c r="N1131" s="11">
        <f t="shared" si="68"/>
        <v>97.789000000000001</v>
      </c>
      <c r="O1131" s="6">
        <v>0.91700000000000004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5.52</v>
      </c>
      <c r="Z1131" s="6">
        <v>5.0618400000000001</v>
      </c>
      <c r="AA1131" s="6">
        <v>0.91700000000000004</v>
      </c>
      <c r="AB1131" s="6">
        <v>-5.519999999999996</v>
      </c>
      <c r="AC1131" s="6">
        <v>5.519999999999996</v>
      </c>
      <c r="AD1131" s="22" t="s">
        <v>3140</v>
      </c>
      <c r="AE1131" s="23">
        <f t="shared" si="69"/>
        <v>97.789000000000001</v>
      </c>
      <c r="AF1131" s="24">
        <f t="shared" si="70"/>
        <v>0</v>
      </c>
      <c r="AG1131" s="23">
        <f t="shared" si="71"/>
        <v>1</v>
      </c>
    </row>
    <row r="1132" spans="1:33" x14ac:dyDescent="0.25">
      <c r="A1132" s="12" t="s">
        <v>31</v>
      </c>
      <c r="B1132" s="9">
        <v>46190</v>
      </c>
      <c r="C1132" s="10" t="s">
        <v>1781</v>
      </c>
      <c r="D1132" s="10" t="s">
        <v>1715</v>
      </c>
      <c r="E1132" s="10" t="s">
        <v>51</v>
      </c>
      <c r="F1132" s="10" t="s">
        <v>35</v>
      </c>
      <c r="G1132" s="10" t="s">
        <v>3146</v>
      </c>
      <c r="H1132" s="8" t="s">
        <v>36</v>
      </c>
      <c r="I1132" s="11">
        <v>102.57</v>
      </c>
      <c r="J1132" s="6">
        <v>94.056690000000003</v>
      </c>
      <c r="K1132" s="6">
        <v>0.91700000000000004</v>
      </c>
      <c r="L1132" s="6">
        <v>96.77</v>
      </c>
      <c r="M1132" s="11">
        <v>88.73809</v>
      </c>
      <c r="N1132" s="11">
        <f t="shared" si="68"/>
        <v>88.739000000000004</v>
      </c>
      <c r="O1132" s="6">
        <v>0.91700000000000004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5.8</v>
      </c>
      <c r="Z1132" s="6">
        <v>5.3186</v>
      </c>
      <c r="AA1132" s="6">
        <v>0.91700000000000004</v>
      </c>
      <c r="AB1132" s="6">
        <v>-5.7999999999999972</v>
      </c>
      <c r="AC1132" s="6">
        <v>5.7999999999999972</v>
      </c>
      <c r="AD1132" s="22" t="s">
        <v>3140</v>
      </c>
      <c r="AE1132" s="23">
        <f t="shared" si="69"/>
        <v>88.739000000000004</v>
      </c>
      <c r="AF1132" s="24">
        <f t="shared" si="70"/>
        <v>0</v>
      </c>
      <c r="AG1132" s="23">
        <f t="shared" si="71"/>
        <v>2</v>
      </c>
    </row>
    <row r="1133" spans="1:33" ht="20" hidden="1" customHeight="1" x14ac:dyDescent="0.25">
      <c r="A1133" s="12" t="s">
        <v>31</v>
      </c>
      <c r="B1133" s="9">
        <v>46190</v>
      </c>
      <c r="C1133" s="10" t="s">
        <v>1782</v>
      </c>
      <c r="D1133" s="10" t="s">
        <v>1783</v>
      </c>
      <c r="E1133" s="10" t="s">
        <v>51</v>
      </c>
      <c r="F1133" s="10" t="s">
        <v>35</v>
      </c>
      <c r="G1133" s="10" t="s">
        <v>3145</v>
      </c>
      <c r="H1133" s="8" t="s">
        <v>48</v>
      </c>
      <c r="I1133" s="11">
        <v>39</v>
      </c>
      <c r="J1133" s="6">
        <v>29.25</v>
      </c>
      <c r="K1133" s="6">
        <v>0.75</v>
      </c>
      <c r="L1133" s="6">
        <v>36.61</v>
      </c>
      <c r="M1133" s="11">
        <v>27.4575</v>
      </c>
      <c r="N1133" s="11">
        <f t="shared" si="68"/>
        <v>27.458000000000002</v>
      </c>
      <c r="O1133" s="6">
        <v>0.75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2.39</v>
      </c>
      <c r="Z1133" s="6">
        <v>1.7925</v>
      </c>
      <c r="AA1133" s="6">
        <v>0.75</v>
      </c>
      <c r="AB1133" s="6">
        <v>-2.3900000000000006</v>
      </c>
      <c r="AC1133" s="6">
        <v>2.3900000000000006</v>
      </c>
      <c r="AD1133" s="22" t="s">
        <v>3140</v>
      </c>
      <c r="AE1133" s="23">
        <f t="shared" si="69"/>
        <v>27.458000000000002</v>
      </c>
      <c r="AF1133" s="24">
        <f t="shared" si="70"/>
        <v>0</v>
      </c>
      <c r="AG1133" s="23">
        <f t="shared" si="71"/>
        <v>1</v>
      </c>
    </row>
    <row r="1134" spans="1:33" hidden="1" x14ac:dyDescent="0.25">
      <c r="A1134" s="12" t="s">
        <v>31</v>
      </c>
      <c r="B1134" s="9">
        <v>46190</v>
      </c>
      <c r="C1134" s="10" t="s">
        <v>1784</v>
      </c>
      <c r="D1134" s="10" t="s">
        <v>1785</v>
      </c>
      <c r="E1134" s="10" t="s">
        <v>51</v>
      </c>
      <c r="F1134" s="10" t="s">
        <v>35</v>
      </c>
      <c r="G1134" s="10" t="s">
        <v>3145</v>
      </c>
      <c r="H1134" s="8" t="s">
        <v>41</v>
      </c>
      <c r="I1134" s="11">
        <v>22.06</v>
      </c>
      <c r="J1134" s="6">
        <v>16.545000000000002</v>
      </c>
      <c r="K1134" s="6">
        <v>0.75000000000000011</v>
      </c>
      <c r="L1134" s="6">
        <v>21.48</v>
      </c>
      <c r="M1134" s="11">
        <v>16.11</v>
      </c>
      <c r="N1134" s="11">
        <f t="shared" si="68"/>
        <v>16.11</v>
      </c>
      <c r="O1134" s="6">
        <v>0.75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0.57999999999999996</v>
      </c>
      <c r="Z1134" s="6">
        <v>0.435</v>
      </c>
      <c r="AA1134" s="6">
        <v>0.75</v>
      </c>
      <c r="AB1134" s="6">
        <v>-0.57999999999999829</v>
      </c>
      <c r="AC1134" s="6">
        <v>0.57999999999999829</v>
      </c>
      <c r="AD1134" s="22" t="s">
        <v>3140</v>
      </c>
      <c r="AE1134" s="23">
        <f t="shared" si="69"/>
        <v>16.11</v>
      </c>
      <c r="AF1134" s="24">
        <f t="shared" si="70"/>
        <v>0</v>
      </c>
      <c r="AG1134" s="23">
        <f t="shared" si="71"/>
        <v>1</v>
      </c>
    </row>
    <row r="1135" spans="1:33" x14ac:dyDescent="0.25">
      <c r="A1135" s="12" t="s">
        <v>31</v>
      </c>
      <c r="B1135" s="9">
        <v>46190</v>
      </c>
      <c r="C1135" s="10" t="s">
        <v>1786</v>
      </c>
      <c r="D1135" s="10" t="s">
        <v>1787</v>
      </c>
      <c r="E1135" s="10" t="s">
        <v>51</v>
      </c>
      <c r="F1135" s="10" t="s">
        <v>35</v>
      </c>
      <c r="G1135" s="10" t="s">
        <v>3146</v>
      </c>
      <c r="H1135" s="8" t="s">
        <v>36</v>
      </c>
      <c r="I1135" s="11">
        <v>70.84</v>
      </c>
      <c r="J1135" s="6">
        <v>64.960279999999997</v>
      </c>
      <c r="K1135" s="6">
        <v>0.91699999999999993</v>
      </c>
      <c r="L1135" s="6">
        <v>70.84</v>
      </c>
      <c r="M1135" s="11">
        <v>64.960279999999997</v>
      </c>
      <c r="N1135" s="11">
        <f t="shared" si="68"/>
        <v>64.960999999999999</v>
      </c>
      <c r="O1135" s="6">
        <v>0.91699999999999993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23" t="s">
        <v>3143</v>
      </c>
      <c r="AE1135" s="23">
        <f t="shared" si="69"/>
        <v>61.906999999999996</v>
      </c>
      <c r="AF1135" s="24">
        <f t="shared" si="70"/>
        <v>3.054000000000002</v>
      </c>
      <c r="AG1135" s="23">
        <f t="shared" si="71"/>
        <v>2</v>
      </c>
    </row>
    <row r="1136" spans="1:33" ht="20" hidden="1" customHeight="1" x14ac:dyDescent="0.25">
      <c r="A1136" s="12" t="s">
        <v>31</v>
      </c>
      <c r="B1136" s="9">
        <v>46190</v>
      </c>
      <c r="C1136" s="10" t="s">
        <v>1788</v>
      </c>
      <c r="D1136" s="10" t="s">
        <v>1789</v>
      </c>
      <c r="E1136" s="10" t="s">
        <v>51</v>
      </c>
      <c r="F1136" s="10" t="s">
        <v>35</v>
      </c>
      <c r="G1136" s="10" t="s">
        <v>3145</v>
      </c>
      <c r="H1136" s="8" t="s">
        <v>48</v>
      </c>
      <c r="I1136" s="11">
        <v>38.880000000000003</v>
      </c>
      <c r="J1136" s="6">
        <v>29.16</v>
      </c>
      <c r="K1136" s="6">
        <v>0.75</v>
      </c>
      <c r="L1136" s="6">
        <v>36.14</v>
      </c>
      <c r="M1136" s="11">
        <v>27.105</v>
      </c>
      <c r="N1136" s="11">
        <f t="shared" si="68"/>
        <v>27.105</v>
      </c>
      <c r="O1136" s="6">
        <v>0.75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2.74</v>
      </c>
      <c r="Z1136" s="6">
        <v>2.0550000000000002</v>
      </c>
      <c r="AA1136" s="6">
        <v>0.75</v>
      </c>
      <c r="AB1136" s="6">
        <v>-2.740000000000002</v>
      </c>
      <c r="AC1136" s="6">
        <v>2.740000000000002</v>
      </c>
      <c r="AD1136" s="22" t="s">
        <v>3140</v>
      </c>
      <c r="AE1136" s="23">
        <f t="shared" si="69"/>
        <v>27.105</v>
      </c>
      <c r="AF1136" s="24">
        <f t="shared" si="70"/>
        <v>0</v>
      </c>
      <c r="AG1136" s="23">
        <f t="shared" si="71"/>
        <v>1</v>
      </c>
    </row>
    <row r="1137" spans="1:33" x14ac:dyDescent="0.25">
      <c r="A1137" s="12" t="s">
        <v>31</v>
      </c>
      <c r="B1137" s="9">
        <v>46190</v>
      </c>
      <c r="C1137" s="10" t="s">
        <v>1790</v>
      </c>
      <c r="D1137" s="10" t="s">
        <v>1791</v>
      </c>
      <c r="E1137" s="10" t="s">
        <v>51</v>
      </c>
      <c r="F1137" s="10" t="s">
        <v>35</v>
      </c>
      <c r="G1137" s="10" t="s">
        <v>3146</v>
      </c>
      <c r="H1137" s="8" t="s">
        <v>36</v>
      </c>
      <c r="I1137" s="11">
        <v>60.48</v>
      </c>
      <c r="J1137" s="6">
        <v>55.460160000000002</v>
      </c>
      <c r="K1137" s="6">
        <v>0.91700000000000004</v>
      </c>
      <c r="L1137" s="6">
        <v>57.43</v>
      </c>
      <c r="M1137" s="11">
        <v>52.663310000000003</v>
      </c>
      <c r="N1137" s="11">
        <f t="shared" si="68"/>
        <v>52.663999999999994</v>
      </c>
      <c r="O1137" s="6">
        <v>0.91700000000000004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3.05</v>
      </c>
      <c r="Z1137" s="6">
        <v>2.7968500000000001</v>
      </c>
      <c r="AA1137" s="6">
        <v>0.91700000000000004</v>
      </c>
      <c r="AB1137" s="6">
        <v>-3.0499999999999972</v>
      </c>
      <c r="AC1137" s="6">
        <v>3.0499999999999972</v>
      </c>
      <c r="AD1137" s="22" t="s">
        <v>3140</v>
      </c>
      <c r="AE1137" s="23">
        <f t="shared" si="69"/>
        <v>52.663999999999994</v>
      </c>
      <c r="AF1137" s="24">
        <f t="shared" si="70"/>
        <v>0</v>
      </c>
      <c r="AG1137" s="23">
        <f t="shared" si="71"/>
        <v>1</v>
      </c>
    </row>
    <row r="1138" spans="1:33" ht="20" hidden="1" customHeight="1" x14ac:dyDescent="0.25">
      <c r="A1138" s="12" t="s">
        <v>31</v>
      </c>
      <c r="B1138" s="9">
        <v>46190</v>
      </c>
      <c r="C1138" s="10" t="s">
        <v>1792</v>
      </c>
      <c r="D1138" s="10" t="s">
        <v>1793</v>
      </c>
      <c r="E1138" s="10" t="s">
        <v>51</v>
      </c>
      <c r="F1138" s="10" t="s">
        <v>35</v>
      </c>
      <c r="G1138" s="10" t="s">
        <v>3145</v>
      </c>
      <c r="H1138" s="8" t="s">
        <v>48</v>
      </c>
      <c r="I1138" s="11">
        <v>18.16</v>
      </c>
      <c r="J1138" s="6">
        <v>13.62</v>
      </c>
      <c r="K1138" s="6">
        <v>0.75</v>
      </c>
      <c r="L1138" s="6">
        <v>17.18</v>
      </c>
      <c r="M1138" s="11">
        <v>12.885</v>
      </c>
      <c r="N1138" s="11">
        <f t="shared" si="68"/>
        <v>12.885</v>
      </c>
      <c r="O1138" s="6">
        <v>0.75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0.98</v>
      </c>
      <c r="Z1138" s="6">
        <v>0.73499999999999999</v>
      </c>
      <c r="AA1138" s="6">
        <v>0.75</v>
      </c>
      <c r="AB1138" s="6">
        <v>-0.98000000000000043</v>
      </c>
      <c r="AC1138" s="6">
        <v>0.98000000000000043</v>
      </c>
      <c r="AD1138" s="22" t="s">
        <v>3140</v>
      </c>
      <c r="AE1138" s="23">
        <f t="shared" si="69"/>
        <v>12.885</v>
      </c>
      <c r="AF1138" s="24">
        <f t="shared" si="70"/>
        <v>0</v>
      </c>
      <c r="AG1138" s="23">
        <f t="shared" si="71"/>
        <v>1</v>
      </c>
    </row>
    <row r="1139" spans="1:33" x14ac:dyDescent="0.25">
      <c r="A1139" s="12" t="s">
        <v>31</v>
      </c>
      <c r="B1139" s="9">
        <v>46190</v>
      </c>
      <c r="C1139" s="10" t="s">
        <v>1794</v>
      </c>
      <c r="D1139" s="10" t="s">
        <v>1515</v>
      </c>
      <c r="E1139" s="10" t="s">
        <v>51</v>
      </c>
      <c r="F1139" s="10" t="s">
        <v>35</v>
      </c>
      <c r="G1139" s="10" t="s">
        <v>3146</v>
      </c>
      <c r="H1139" s="8" t="s">
        <v>36</v>
      </c>
      <c r="I1139" s="11">
        <v>214.77</v>
      </c>
      <c r="J1139" s="6">
        <v>196.94408999999999</v>
      </c>
      <c r="K1139" s="6">
        <v>0.91699999999999993</v>
      </c>
      <c r="L1139" s="6">
        <v>214.72</v>
      </c>
      <c r="M1139" s="11">
        <v>196.89823999999999</v>
      </c>
      <c r="N1139" s="11">
        <f t="shared" si="68"/>
        <v>196.899</v>
      </c>
      <c r="O1139" s="6">
        <v>0.91699999999999993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0.05</v>
      </c>
      <c r="Z1139" s="6">
        <v>4.5850000000000002E-2</v>
      </c>
      <c r="AA1139" s="6">
        <v>0.91700000000000004</v>
      </c>
      <c r="AB1139" s="6">
        <v>-5.0000000000011369E-2</v>
      </c>
      <c r="AC1139" s="6">
        <v>5.0000000000011369E-2</v>
      </c>
      <c r="AD1139" s="23" t="s">
        <v>3143</v>
      </c>
      <c r="AE1139" s="23">
        <f t="shared" si="69"/>
        <v>79.320999999999998</v>
      </c>
      <c r="AF1139" s="24">
        <f t="shared" si="70"/>
        <v>117.578</v>
      </c>
      <c r="AG1139" s="23">
        <f t="shared" si="71"/>
        <v>5</v>
      </c>
    </row>
    <row r="1140" spans="1:33" x14ac:dyDescent="0.25">
      <c r="A1140" s="12" t="s">
        <v>31</v>
      </c>
      <c r="B1140" s="9">
        <v>46190</v>
      </c>
      <c r="C1140" s="10" t="s">
        <v>1795</v>
      </c>
      <c r="D1140" s="10" t="s">
        <v>1515</v>
      </c>
      <c r="E1140" s="10" t="s">
        <v>51</v>
      </c>
      <c r="F1140" s="10" t="s">
        <v>35</v>
      </c>
      <c r="G1140" s="10" t="s">
        <v>3146</v>
      </c>
      <c r="H1140" s="8" t="s">
        <v>36</v>
      </c>
      <c r="I1140" s="11">
        <v>214.72</v>
      </c>
      <c r="J1140" s="6">
        <v>196.89823999999999</v>
      </c>
      <c r="K1140" s="6">
        <v>0.91699999999999993</v>
      </c>
      <c r="L1140" s="6">
        <v>214.64</v>
      </c>
      <c r="M1140" s="11">
        <v>196.82488000000001</v>
      </c>
      <c r="N1140" s="11">
        <f t="shared" si="68"/>
        <v>196.82500000000002</v>
      </c>
      <c r="O1140" s="6">
        <v>0.91700000000000004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0.08</v>
      </c>
      <c r="Z1140" s="6">
        <v>7.3359999999999995E-2</v>
      </c>
      <c r="AA1140" s="6">
        <v>0.91699999999999993</v>
      </c>
      <c r="AB1140" s="6">
        <v>-8.0000000000012506E-2</v>
      </c>
      <c r="AC1140" s="6">
        <v>8.0000000000012506E-2</v>
      </c>
      <c r="AD1140" s="23" t="s">
        <v>3143</v>
      </c>
      <c r="AE1140" s="23">
        <f t="shared" si="69"/>
        <v>79.320999999999998</v>
      </c>
      <c r="AF1140" s="24">
        <f t="shared" si="70"/>
        <v>117.50400000000002</v>
      </c>
      <c r="AG1140" s="23">
        <f t="shared" si="71"/>
        <v>5</v>
      </c>
    </row>
    <row r="1141" spans="1:33" x14ac:dyDescent="0.25">
      <c r="A1141" s="12" t="s">
        <v>31</v>
      </c>
      <c r="B1141" s="9">
        <v>46190</v>
      </c>
      <c r="C1141" s="10" t="s">
        <v>1796</v>
      </c>
      <c r="D1141" s="10" t="s">
        <v>1748</v>
      </c>
      <c r="E1141" s="10" t="s">
        <v>51</v>
      </c>
      <c r="F1141" s="10" t="s">
        <v>35</v>
      </c>
      <c r="G1141" s="10" t="s">
        <v>3146</v>
      </c>
      <c r="H1141" s="8" t="s">
        <v>36</v>
      </c>
      <c r="I1141" s="11">
        <v>435</v>
      </c>
      <c r="J1141" s="6">
        <v>398.89499999999998</v>
      </c>
      <c r="K1141" s="6">
        <v>0.91699999999999993</v>
      </c>
      <c r="L1141" s="6">
        <v>434.78</v>
      </c>
      <c r="M1141" s="11">
        <v>398.69326000000001</v>
      </c>
      <c r="N1141" s="11">
        <f t="shared" si="68"/>
        <v>398.69399999999996</v>
      </c>
      <c r="O1141" s="6">
        <v>0.91700000000000004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0.22</v>
      </c>
      <c r="Z1141" s="6">
        <v>0.20174</v>
      </c>
      <c r="AA1141" s="6">
        <v>0.91700000000000004</v>
      </c>
      <c r="AB1141" s="6">
        <v>-0.22000000000002728</v>
      </c>
      <c r="AC1141" s="6">
        <v>0.22000000000002728</v>
      </c>
      <c r="AD1141" s="23" t="s">
        <v>3143</v>
      </c>
      <c r="AE1141" s="23">
        <f t="shared" si="69"/>
        <v>398.64799999999997</v>
      </c>
      <c r="AF1141" s="24">
        <f t="shared" si="70"/>
        <v>4.5999999999992269E-2</v>
      </c>
      <c r="AG1141" s="23">
        <f t="shared" si="71"/>
        <v>3</v>
      </c>
    </row>
    <row r="1142" spans="1:33" x14ac:dyDescent="0.25">
      <c r="A1142" s="12" t="s">
        <v>31</v>
      </c>
      <c r="B1142" s="9">
        <v>46190</v>
      </c>
      <c r="C1142" s="10" t="s">
        <v>1797</v>
      </c>
      <c r="D1142" s="10" t="s">
        <v>1798</v>
      </c>
      <c r="E1142" s="10" t="s">
        <v>51</v>
      </c>
      <c r="F1142" s="10" t="s">
        <v>35</v>
      </c>
      <c r="G1142" s="10" t="s">
        <v>3146</v>
      </c>
      <c r="H1142" s="8" t="s">
        <v>36</v>
      </c>
      <c r="I1142" s="11">
        <v>80.48</v>
      </c>
      <c r="J1142" s="6">
        <v>73.800160000000005</v>
      </c>
      <c r="K1142" s="6">
        <v>0.91700000000000004</v>
      </c>
      <c r="L1142" s="6">
        <v>80.48</v>
      </c>
      <c r="M1142" s="11">
        <v>73.800160000000005</v>
      </c>
      <c r="N1142" s="11">
        <f t="shared" si="68"/>
        <v>73.801000000000002</v>
      </c>
      <c r="O1142" s="6">
        <v>0.91700000000000004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23" t="s">
        <v>3143</v>
      </c>
      <c r="AE1142" s="23">
        <f t="shared" si="69"/>
        <v>70.838999999999999</v>
      </c>
      <c r="AF1142" s="24">
        <f t="shared" si="70"/>
        <v>2.9620000000000033</v>
      </c>
      <c r="AG1142" s="23">
        <f t="shared" si="71"/>
        <v>3</v>
      </c>
    </row>
    <row r="1143" spans="1:33" hidden="1" x14ac:dyDescent="0.25">
      <c r="A1143" s="12" t="s">
        <v>31</v>
      </c>
      <c r="B1143" s="9">
        <v>46190</v>
      </c>
      <c r="C1143" s="10" t="s">
        <v>1799</v>
      </c>
      <c r="D1143" s="10" t="s">
        <v>1800</v>
      </c>
      <c r="E1143" s="10" t="s">
        <v>51</v>
      </c>
      <c r="F1143" s="10" t="s">
        <v>35</v>
      </c>
      <c r="G1143" s="10" t="s">
        <v>3145</v>
      </c>
      <c r="H1143" s="8" t="s">
        <v>41</v>
      </c>
      <c r="I1143" s="11">
        <v>29.69</v>
      </c>
      <c r="J1143" s="6">
        <v>22.267499999999998</v>
      </c>
      <c r="K1143" s="6">
        <v>0.74999999999999989</v>
      </c>
      <c r="L1143" s="6">
        <v>28.07</v>
      </c>
      <c r="M1143" s="11">
        <v>21.052499999999998</v>
      </c>
      <c r="N1143" s="11">
        <f t="shared" si="68"/>
        <v>21.053000000000001</v>
      </c>
      <c r="O1143" s="6">
        <v>0.74999999999999989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1.62</v>
      </c>
      <c r="Z1143" s="6">
        <v>1.2150000000000001</v>
      </c>
      <c r="AA1143" s="6">
        <v>0.75</v>
      </c>
      <c r="AB1143" s="6">
        <v>-1.620000000000001</v>
      </c>
      <c r="AC1143" s="6">
        <v>1.620000000000001</v>
      </c>
      <c r="AD1143" s="22" t="s">
        <v>3140</v>
      </c>
      <c r="AE1143" s="23">
        <f t="shared" si="69"/>
        <v>21.053000000000001</v>
      </c>
      <c r="AF1143" s="24">
        <f t="shared" si="70"/>
        <v>0</v>
      </c>
      <c r="AG1143" s="23">
        <f t="shared" si="71"/>
        <v>1</v>
      </c>
    </row>
    <row r="1144" spans="1:33" x14ac:dyDescent="0.25">
      <c r="A1144" s="12" t="s">
        <v>31</v>
      </c>
      <c r="B1144" s="9">
        <v>46190</v>
      </c>
      <c r="C1144" s="10" t="s">
        <v>1801</v>
      </c>
      <c r="D1144" s="10" t="s">
        <v>1802</v>
      </c>
      <c r="E1144" s="10" t="s">
        <v>51</v>
      </c>
      <c r="F1144" s="10" t="s">
        <v>35</v>
      </c>
      <c r="G1144" s="10" t="s">
        <v>3146</v>
      </c>
      <c r="H1144" s="8" t="s">
        <v>36</v>
      </c>
      <c r="I1144" s="11">
        <v>36.36</v>
      </c>
      <c r="J1144" s="6">
        <v>33.342120000000001</v>
      </c>
      <c r="K1144" s="6">
        <v>0.91700000000000004</v>
      </c>
      <c r="L1144" s="6">
        <v>34.42</v>
      </c>
      <c r="M1144" s="11">
        <v>31.563140000000001</v>
      </c>
      <c r="N1144" s="11">
        <f t="shared" si="68"/>
        <v>31.564</v>
      </c>
      <c r="O1144" s="6">
        <v>0.91699999999999993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1.94</v>
      </c>
      <c r="Z1144" s="6">
        <v>1.77898</v>
      </c>
      <c r="AA1144" s="6">
        <v>0.91700000000000004</v>
      </c>
      <c r="AB1144" s="6">
        <v>-1.9399999999999977</v>
      </c>
      <c r="AC1144" s="6">
        <v>1.9399999999999977</v>
      </c>
      <c r="AD1144" s="22" t="s">
        <v>3140</v>
      </c>
      <c r="AE1144" s="23">
        <f t="shared" si="69"/>
        <v>31.564</v>
      </c>
      <c r="AF1144" s="24">
        <f t="shared" si="70"/>
        <v>0</v>
      </c>
      <c r="AG1144" s="23">
        <f t="shared" si="71"/>
        <v>2</v>
      </c>
    </row>
    <row r="1145" spans="1:33" x14ac:dyDescent="0.25">
      <c r="A1145" s="12" t="s">
        <v>31</v>
      </c>
      <c r="B1145" s="9">
        <v>46190</v>
      </c>
      <c r="C1145" s="10" t="s">
        <v>1803</v>
      </c>
      <c r="D1145" s="10" t="s">
        <v>1748</v>
      </c>
      <c r="E1145" s="10" t="s">
        <v>51</v>
      </c>
      <c r="F1145" s="10" t="s">
        <v>35</v>
      </c>
      <c r="G1145" s="10" t="s">
        <v>3146</v>
      </c>
      <c r="H1145" s="8" t="s">
        <v>36</v>
      </c>
      <c r="I1145" s="11">
        <v>434.78</v>
      </c>
      <c r="J1145" s="6">
        <v>398.69326000000001</v>
      </c>
      <c r="K1145" s="6">
        <v>0.91700000000000004</v>
      </c>
      <c r="L1145" s="6">
        <v>434.73</v>
      </c>
      <c r="M1145" s="11">
        <v>398.64740999999998</v>
      </c>
      <c r="N1145" s="11">
        <f t="shared" si="68"/>
        <v>398.64799999999997</v>
      </c>
      <c r="O1145" s="6">
        <v>0.91699999999999993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0.05</v>
      </c>
      <c r="Z1145" s="6">
        <v>4.5850000000000002E-2</v>
      </c>
      <c r="AA1145" s="6">
        <v>0.91700000000000004</v>
      </c>
      <c r="AB1145" s="6">
        <v>-4.9999999999954525E-2</v>
      </c>
      <c r="AC1145" s="6">
        <v>4.9999999999954525E-2</v>
      </c>
      <c r="AD1145" s="22" t="s">
        <v>3140</v>
      </c>
      <c r="AE1145" s="23">
        <f t="shared" si="69"/>
        <v>398.64799999999997</v>
      </c>
      <c r="AF1145" s="24">
        <f t="shared" si="70"/>
        <v>0</v>
      </c>
      <c r="AG1145" s="23">
        <f t="shared" si="71"/>
        <v>3</v>
      </c>
    </row>
    <row r="1146" spans="1:33" x14ac:dyDescent="0.25">
      <c r="A1146" s="12" t="s">
        <v>31</v>
      </c>
      <c r="B1146" s="9">
        <v>46190</v>
      </c>
      <c r="C1146" s="10" t="s">
        <v>1804</v>
      </c>
      <c r="D1146" s="10" t="s">
        <v>1805</v>
      </c>
      <c r="E1146" s="10" t="s">
        <v>51</v>
      </c>
      <c r="F1146" s="10" t="s">
        <v>35</v>
      </c>
      <c r="G1146" s="10" t="s">
        <v>3146</v>
      </c>
      <c r="H1146" s="8" t="s">
        <v>36</v>
      </c>
      <c r="I1146" s="11">
        <v>28.62</v>
      </c>
      <c r="J1146" s="6">
        <v>26.244540000000001</v>
      </c>
      <c r="K1146" s="6">
        <v>0.91700000000000004</v>
      </c>
      <c r="L1146" s="6">
        <v>25.95</v>
      </c>
      <c r="M1146" s="11">
        <v>23.796150000000001</v>
      </c>
      <c r="N1146" s="11">
        <f t="shared" si="68"/>
        <v>23.797000000000001</v>
      </c>
      <c r="O1146" s="6">
        <v>0.91700000000000004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2.67</v>
      </c>
      <c r="Z1146" s="6">
        <v>2.4483899999999998</v>
      </c>
      <c r="AA1146" s="6">
        <v>0.91699999999999993</v>
      </c>
      <c r="AB1146" s="6">
        <v>-2.6700000000000017</v>
      </c>
      <c r="AC1146" s="6">
        <v>2.6700000000000017</v>
      </c>
      <c r="AD1146" s="22" t="s">
        <v>3140</v>
      </c>
      <c r="AE1146" s="23">
        <f t="shared" si="69"/>
        <v>23.797000000000001</v>
      </c>
      <c r="AF1146" s="24">
        <f t="shared" si="70"/>
        <v>0</v>
      </c>
      <c r="AG1146" s="23">
        <f t="shared" si="71"/>
        <v>1</v>
      </c>
    </row>
    <row r="1147" spans="1:33" x14ac:dyDescent="0.25">
      <c r="A1147" s="12" t="s">
        <v>31</v>
      </c>
      <c r="B1147" s="9">
        <v>46190</v>
      </c>
      <c r="C1147" s="10" t="s">
        <v>1806</v>
      </c>
      <c r="D1147" s="10" t="s">
        <v>1807</v>
      </c>
      <c r="E1147" s="10" t="s">
        <v>51</v>
      </c>
      <c r="F1147" s="10" t="s">
        <v>35</v>
      </c>
      <c r="G1147" s="10" t="s">
        <v>3146</v>
      </c>
      <c r="H1147" s="8" t="s">
        <v>36</v>
      </c>
      <c r="I1147" s="11">
        <v>19.721</v>
      </c>
      <c r="J1147" s="6">
        <v>18.084157000000001</v>
      </c>
      <c r="K1147" s="6">
        <v>0.91700000000000004</v>
      </c>
      <c r="L1147" s="6">
        <v>18.640999999999998</v>
      </c>
      <c r="M1147" s="11">
        <v>17.093796999999999</v>
      </c>
      <c r="N1147" s="11">
        <f t="shared" si="68"/>
        <v>17.094000000000001</v>
      </c>
      <c r="O1147" s="6">
        <v>0.91700000000000004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1.08</v>
      </c>
      <c r="Z1147" s="6">
        <v>0.99036000000000002</v>
      </c>
      <c r="AA1147" s="6">
        <v>0.91699999999999993</v>
      </c>
      <c r="AB1147" s="6">
        <v>-1.0800000000000018</v>
      </c>
      <c r="AC1147" s="6">
        <v>1.0800000000000018</v>
      </c>
      <c r="AD1147" s="22" t="s">
        <v>3140</v>
      </c>
      <c r="AE1147" s="23">
        <f t="shared" si="69"/>
        <v>17.094000000000001</v>
      </c>
      <c r="AF1147" s="24">
        <f t="shared" si="70"/>
        <v>0</v>
      </c>
      <c r="AG1147" s="23">
        <f t="shared" si="71"/>
        <v>1</v>
      </c>
    </row>
    <row r="1148" spans="1:33" x14ac:dyDescent="0.25">
      <c r="A1148" s="12" t="s">
        <v>31</v>
      </c>
      <c r="B1148" s="9">
        <v>46190</v>
      </c>
      <c r="C1148" s="10" t="s">
        <v>1808</v>
      </c>
      <c r="D1148" s="10" t="s">
        <v>1809</v>
      </c>
      <c r="E1148" s="10" t="s">
        <v>51</v>
      </c>
      <c r="F1148" s="10" t="s">
        <v>35</v>
      </c>
      <c r="G1148" s="10" t="s">
        <v>3146</v>
      </c>
      <c r="H1148" s="8" t="s">
        <v>36</v>
      </c>
      <c r="I1148" s="11">
        <v>26.43</v>
      </c>
      <c r="J1148" s="6">
        <v>24.23631</v>
      </c>
      <c r="K1148" s="6">
        <v>0.91700000000000004</v>
      </c>
      <c r="L1148" s="6">
        <v>24.44</v>
      </c>
      <c r="M1148" s="11">
        <v>22.411480000000001</v>
      </c>
      <c r="N1148" s="11">
        <f t="shared" si="68"/>
        <v>22.412000000000003</v>
      </c>
      <c r="O1148" s="6">
        <v>0.91700000000000004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1.99</v>
      </c>
      <c r="Z1148" s="6">
        <v>1.82483</v>
      </c>
      <c r="AA1148" s="6">
        <v>0.91699999999999993</v>
      </c>
      <c r="AB1148" s="6">
        <v>-1.9899999999999984</v>
      </c>
      <c r="AC1148" s="6">
        <v>1.9899999999999984</v>
      </c>
      <c r="AD1148" s="22" t="s">
        <v>3140</v>
      </c>
      <c r="AE1148" s="23">
        <f t="shared" si="69"/>
        <v>22.412000000000003</v>
      </c>
      <c r="AF1148" s="24">
        <f t="shared" si="70"/>
        <v>0</v>
      </c>
      <c r="AG1148" s="23">
        <f t="shared" si="71"/>
        <v>1</v>
      </c>
    </row>
    <row r="1149" spans="1:33" x14ac:dyDescent="0.25">
      <c r="A1149" s="12" t="s">
        <v>31</v>
      </c>
      <c r="B1149" s="9">
        <v>46190</v>
      </c>
      <c r="C1149" s="10" t="s">
        <v>1810</v>
      </c>
      <c r="D1149" s="10" t="s">
        <v>1811</v>
      </c>
      <c r="E1149" s="10" t="s">
        <v>51</v>
      </c>
      <c r="F1149" s="10" t="s">
        <v>35</v>
      </c>
      <c r="G1149" s="10" t="s">
        <v>3146</v>
      </c>
      <c r="H1149" s="8" t="s">
        <v>36</v>
      </c>
      <c r="I1149" s="11">
        <v>108.15</v>
      </c>
      <c r="J1149" s="6">
        <v>99.173550000000006</v>
      </c>
      <c r="K1149" s="6">
        <v>0.91700000000000004</v>
      </c>
      <c r="L1149" s="6">
        <v>100.6</v>
      </c>
      <c r="M1149" s="11">
        <v>92.250200000000007</v>
      </c>
      <c r="N1149" s="11">
        <f t="shared" si="68"/>
        <v>92.251000000000005</v>
      </c>
      <c r="O1149" s="6">
        <v>0.91700000000000015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7.55</v>
      </c>
      <c r="Z1149" s="6">
        <v>6.9233500000000001</v>
      </c>
      <c r="AA1149" s="6">
        <v>0.91700000000000004</v>
      </c>
      <c r="AB1149" s="6">
        <v>-7.5500000000000114</v>
      </c>
      <c r="AC1149" s="6">
        <v>7.5500000000000114</v>
      </c>
      <c r="AD1149" s="22" t="s">
        <v>3140</v>
      </c>
      <c r="AE1149" s="23">
        <f t="shared" si="69"/>
        <v>92.251000000000005</v>
      </c>
      <c r="AF1149" s="24">
        <f t="shared" si="70"/>
        <v>0</v>
      </c>
      <c r="AG1149" s="23">
        <f t="shared" si="71"/>
        <v>1</v>
      </c>
    </row>
    <row r="1150" spans="1:33" x14ac:dyDescent="0.25">
      <c r="A1150" s="12" t="s">
        <v>31</v>
      </c>
      <c r="B1150" s="9">
        <v>46190</v>
      </c>
      <c r="C1150" s="10" t="s">
        <v>1812</v>
      </c>
      <c r="D1150" s="10" t="s">
        <v>1813</v>
      </c>
      <c r="E1150" s="10" t="s">
        <v>51</v>
      </c>
      <c r="F1150" s="10" t="s">
        <v>35</v>
      </c>
      <c r="G1150" s="10" t="s">
        <v>3146</v>
      </c>
      <c r="H1150" s="8" t="s">
        <v>36</v>
      </c>
      <c r="I1150" s="11">
        <v>13.88</v>
      </c>
      <c r="J1150" s="6">
        <v>12.727959999999999</v>
      </c>
      <c r="K1150" s="6">
        <v>0.91699999999999993</v>
      </c>
      <c r="L1150" s="6">
        <v>13.21</v>
      </c>
      <c r="M1150" s="11">
        <v>12.113569999999999</v>
      </c>
      <c r="N1150" s="11">
        <f t="shared" si="68"/>
        <v>12.113999999999999</v>
      </c>
      <c r="O1150" s="6">
        <v>0.91699999999999993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0.67</v>
      </c>
      <c r="Z1150" s="6">
        <v>0.61438999999999999</v>
      </c>
      <c r="AA1150" s="6">
        <v>0.91699999999999993</v>
      </c>
      <c r="AB1150" s="6">
        <v>-0.67</v>
      </c>
      <c r="AC1150" s="6">
        <v>0.67</v>
      </c>
      <c r="AD1150" s="22" t="s">
        <v>3140</v>
      </c>
      <c r="AE1150" s="23">
        <f t="shared" si="69"/>
        <v>12.113999999999999</v>
      </c>
      <c r="AF1150" s="24">
        <f t="shared" si="70"/>
        <v>0</v>
      </c>
      <c r="AG1150" s="23">
        <f t="shared" si="71"/>
        <v>1</v>
      </c>
    </row>
    <row r="1151" spans="1:33" x14ac:dyDescent="0.25">
      <c r="A1151" s="12" t="s">
        <v>31</v>
      </c>
      <c r="B1151" s="9">
        <v>46190</v>
      </c>
      <c r="C1151" s="10" t="s">
        <v>1814</v>
      </c>
      <c r="D1151" s="10" t="s">
        <v>1728</v>
      </c>
      <c r="E1151" s="10" t="s">
        <v>51</v>
      </c>
      <c r="F1151" s="10" t="s">
        <v>35</v>
      </c>
      <c r="G1151" s="10" t="s">
        <v>3146</v>
      </c>
      <c r="H1151" s="8" t="s">
        <v>36</v>
      </c>
      <c r="I1151" s="11">
        <v>100.06</v>
      </c>
      <c r="J1151" s="6">
        <v>91.755020000000002</v>
      </c>
      <c r="K1151" s="6">
        <v>0.91700000000000004</v>
      </c>
      <c r="L1151" s="6">
        <v>96.89</v>
      </c>
      <c r="M1151" s="11">
        <v>88.848129999999998</v>
      </c>
      <c r="N1151" s="11">
        <f t="shared" si="68"/>
        <v>88.849000000000004</v>
      </c>
      <c r="O1151" s="6">
        <v>0.91699999999999993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3.17</v>
      </c>
      <c r="Z1151" s="6">
        <v>2.9068900000000002</v>
      </c>
      <c r="AA1151" s="6">
        <v>0.91700000000000004</v>
      </c>
      <c r="AB1151" s="6">
        <v>-3.1700000000000017</v>
      </c>
      <c r="AC1151" s="6">
        <v>3.1700000000000017</v>
      </c>
      <c r="AD1151" s="22" t="s">
        <v>3140</v>
      </c>
      <c r="AE1151" s="23">
        <f t="shared" si="69"/>
        <v>88.849000000000004</v>
      </c>
      <c r="AF1151" s="24">
        <f t="shared" si="70"/>
        <v>0</v>
      </c>
      <c r="AG1151" s="23">
        <f t="shared" si="71"/>
        <v>2</v>
      </c>
    </row>
    <row r="1152" spans="1:33" x14ac:dyDescent="0.25">
      <c r="A1152" s="12" t="s">
        <v>31</v>
      </c>
      <c r="B1152" s="9">
        <v>46190</v>
      </c>
      <c r="C1152" s="10" t="s">
        <v>1815</v>
      </c>
      <c r="D1152" s="10" t="s">
        <v>1816</v>
      </c>
      <c r="E1152" s="10" t="s">
        <v>51</v>
      </c>
      <c r="F1152" s="10" t="s">
        <v>35</v>
      </c>
      <c r="G1152" s="10" t="s">
        <v>3146</v>
      </c>
      <c r="H1152" s="8" t="s">
        <v>36</v>
      </c>
      <c r="I1152" s="11">
        <v>105.42</v>
      </c>
      <c r="J1152" s="6">
        <v>96.670140000000004</v>
      </c>
      <c r="K1152" s="6">
        <v>0.91700000000000004</v>
      </c>
      <c r="L1152" s="6">
        <v>98.8</v>
      </c>
      <c r="M1152" s="11">
        <v>90.599599999999995</v>
      </c>
      <c r="N1152" s="11">
        <f t="shared" si="68"/>
        <v>90.600000000000009</v>
      </c>
      <c r="O1152" s="6">
        <v>0.91699999999999993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6.62</v>
      </c>
      <c r="Z1152" s="6">
        <v>6.0705400000000003</v>
      </c>
      <c r="AA1152" s="6">
        <v>0.91700000000000004</v>
      </c>
      <c r="AB1152" s="6">
        <v>-6.6200000000000045</v>
      </c>
      <c r="AC1152" s="6">
        <v>6.6200000000000045</v>
      </c>
      <c r="AD1152" s="22" t="s">
        <v>3140</v>
      </c>
      <c r="AE1152" s="23">
        <f t="shared" si="69"/>
        <v>90.600000000000009</v>
      </c>
      <c r="AF1152" s="24">
        <f t="shared" si="70"/>
        <v>0</v>
      </c>
      <c r="AG1152" s="23">
        <f t="shared" si="71"/>
        <v>1</v>
      </c>
    </row>
    <row r="1153" spans="1:33" ht="12.5" customHeight="1" x14ac:dyDescent="0.25">
      <c r="A1153" s="12" t="s">
        <v>31</v>
      </c>
      <c r="B1153" s="9">
        <v>46190</v>
      </c>
      <c r="C1153" s="8" t="s">
        <v>1817</v>
      </c>
      <c r="D1153" s="10" t="s">
        <v>1710</v>
      </c>
      <c r="E1153" s="10" t="s">
        <v>51</v>
      </c>
      <c r="F1153" s="10" t="s">
        <v>35</v>
      </c>
      <c r="G1153" s="10" t="s">
        <v>3146</v>
      </c>
      <c r="H1153" s="8" t="s">
        <v>36</v>
      </c>
      <c r="I1153" s="11">
        <v>68.28</v>
      </c>
      <c r="J1153" s="6">
        <v>62.612760000000002</v>
      </c>
      <c r="K1153" s="6">
        <v>0.91700000000000004</v>
      </c>
      <c r="L1153" s="6">
        <v>63.57</v>
      </c>
      <c r="M1153" s="11">
        <v>58.293689999999998</v>
      </c>
      <c r="N1153" s="11">
        <f t="shared" si="68"/>
        <v>58.293999999999997</v>
      </c>
      <c r="O1153" s="6">
        <v>0.91699999999999993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4.71</v>
      </c>
      <c r="Z1153" s="6">
        <v>4.31907</v>
      </c>
      <c r="AA1153" s="6">
        <v>0.91700000000000004</v>
      </c>
      <c r="AB1153" s="6">
        <v>-4.7100000000000009</v>
      </c>
      <c r="AC1153" s="6">
        <v>4.7100000000000009</v>
      </c>
      <c r="AD1153" s="22" t="s">
        <v>3140</v>
      </c>
      <c r="AE1153" s="23">
        <f t="shared" si="69"/>
        <v>58.293999999999997</v>
      </c>
      <c r="AF1153" s="24">
        <f t="shared" si="70"/>
        <v>0</v>
      </c>
      <c r="AG1153" s="23">
        <f t="shared" si="71"/>
        <v>2</v>
      </c>
    </row>
    <row r="1154" spans="1:33" ht="12.5" hidden="1" customHeight="1" x14ac:dyDescent="0.25">
      <c r="A1154" s="12" t="s">
        <v>31</v>
      </c>
      <c r="B1154" s="9">
        <v>46190</v>
      </c>
      <c r="C1154" s="12" t="s">
        <v>1817</v>
      </c>
      <c r="D1154" s="10" t="s">
        <v>1818</v>
      </c>
      <c r="E1154" s="10" t="s">
        <v>51</v>
      </c>
      <c r="F1154" s="10" t="s">
        <v>35</v>
      </c>
      <c r="G1154" s="10" t="s">
        <v>3145</v>
      </c>
      <c r="H1154" s="8" t="s">
        <v>41</v>
      </c>
      <c r="I1154" s="11">
        <v>32.76</v>
      </c>
      <c r="J1154" s="6">
        <v>24.57</v>
      </c>
      <c r="K1154" s="6">
        <v>0.75</v>
      </c>
      <c r="L1154" s="6">
        <v>30.21</v>
      </c>
      <c r="M1154" s="11">
        <v>22.657499999999999</v>
      </c>
      <c r="N1154" s="11">
        <f t="shared" si="68"/>
        <v>22.658000000000001</v>
      </c>
      <c r="O1154" s="6">
        <v>0.74999999999999989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2.5499999999999998</v>
      </c>
      <c r="Z1154" s="6">
        <v>1.9125000000000001</v>
      </c>
      <c r="AA1154" s="6">
        <v>0.75000000000000011</v>
      </c>
      <c r="AB1154" s="6">
        <v>-2.5499999999999972</v>
      </c>
      <c r="AC1154" s="6">
        <v>2.5499999999999972</v>
      </c>
      <c r="AD1154" s="22" t="s">
        <v>3140</v>
      </c>
      <c r="AE1154" s="23">
        <f t="shared" si="69"/>
        <v>22.658000000000001</v>
      </c>
      <c r="AF1154" s="24">
        <f t="shared" si="70"/>
        <v>0</v>
      </c>
      <c r="AG1154" s="23">
        <f t="shared" si="71"/>
        <v>1</v>
      </c>
    </row>
    <row r="1155" spans="1:33" ht="12.5" customHeight="1" x14ac:dyDescent="0.25">
      <c r="A1155" s="12" t="s">
        <v>31</v>
      </c>
      <c r="B1155" s="9">
        <v>46190</v>
      </c>
      <c r="C1155" s="13" t="s">
        <v>1817</v>
      </c>
      <c r="D1155" s="10" t="s">
        <v>1819</v>
      </c>
      <c r="E1155" s="10" t="s">
        <v>51</v>
      </c>
      <c r="F1155" s="10" t="s">
        <v>35</v>
      </c>
      <c r="G1155" s="10" t="s">
        <v>3146</v>
      </c>
      <c r="H1155" s="8" t="s">
        <v>36</v>
      </c>
      <c r="I1155" s="11">
        <v>17.61</v>
      </c>
      <c r="J1155" s="6">
        <v>16.14837</v>
      </c>
      <c r="K1155" s="6">
        <v>0.91700000000000004</v>
      </c>
      <c r="L1155" s="6">
        <v>15.91</v>
      </c>
      <c r="M1155" s="11">
        <v>14.58947</v>
      </c>
      <c r="N1155" s="11">
        <f t="shared" ref="N1155:N1218" si="72">ROUNDUP(M1155,3)</f>
        <v>14.59</v>
      </c>
      <c r="O1155" s="6">
        <v>0.91700000000000004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1.7</v>
      </c>
      <c r="Z1155" s="6">
        <v>1.5589</v>
      </c>
      <c r="AA1155" s="6">
        <v>0.91700000000000004</v>
      </c>
      <c r="AB1155" s="6">
        <v>-1.6999999999999993</v>
      </c>
      <c r="AC1155" s="6">
        <v>1.6999999999999993</v>
      </c>
      <c r="AD1155" s="22" t="s">
        <v>3140</v>
      </c>
      <c r="AE1155" s="23">
        <f t="shared" ref="AE1155:AE1218" si="73">_xlfn.MINIFS(N:N,D:D,D1155)</f>
        <v>14.59</v>
      </c>
      <c r="AF1155" s="24">
        <f t="shared" ref="AF1155:AF1218" si="74">N1155-AE1155</f>
        <v>0</v>
      </c>
      <c r="AG1155" s="23">
        <f t="shared" ref="AG1155:AG1218" si="75">COUNTIF(D:D,D1155)</f>
        <v>1</v>
      </c>
    </row>
    <row r="1156" spans="1:33" ht="12.5" hidden="1" customHeight="1" x14ac:dyDescent="0.25">
      <c r="A1156" s="12" t="s">
        <v>31</v>
      </c>
      <c r="B1156" s="9">
        <v>46190</v>
      </c>
      <c r="C1156" s="8" t="s">
        <v>1820</v>
      </c>
      <c r="D1156" s="10" t="s">
        <v>1821</v>
      </c>
      <c r="E1156" s="10" t="s">
        <v>51</v>
      </c>
      <c r="F1156" s="10" t="s">
        <v>35</v>
      </c>
      <c r="G1156" s="10" t="s">
        <v>3145</v>
      </c>
      <c r="H1156" s="8" t="s">
        <v>41</v>
      </c>
      <c r="I1156" s="11">
        <v>24.83</v>
      </c>
      <c r="J1156" s="6">
        <v>18.622499999999999</v>
      </c>
      <c r="K1156" s="6">
        <v>0.75</v>
      </c>
      <c r="L1156" s="6">
        <v>22.56</v>
      </c>
      <c r="M1156" s="11">
        <v>16.920000000000002</v>
      </c>
      <c r="N1156" s="11">
        <f t="shared" si="72"/>
        <v>16.920000000000002</v>
      </c>
      <c r="O1156" s="6">
        <v>0.75000000000000011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2.27</v>
      </c>
      <c r="Z1156" s="6">
        <v>1.7024999999999999</v>
      </c>
      <c r="AA1156" s="6">
        <v>0.75</v>
      </c>
      <c r="AB1156" s="6">
        <v>-2.2699999999999996</v>
      </c>
      <c r="AC1156" s="6">
        <v>2.2699999999999996</v>
      </c>
      <c r="AD1156" s="22" t="s">
        <v>3140</v>
      </c>
      <c r="AE1156" s="23">
        <f t="shared" si="73"/>
        <v>16.920000000000002</v>
      </c>
      <c r="AF1156" s="24">
        <f t="shared" si="74"/>
        <v>0</v>
      </c>
      <c r="AG1156" s="23">
        <f t="shared" si="75"/>
        <v>1</v>
      </c>
    </row>
    <row r="1157" spans="1:33" ht="12.5" customHeight="1" x14ac:dyDescent="0.25">
      <c r="A1157" s="12" t="s">
        <v>31</v>
      </c>
      <c r="B1157" s="9">
        <v>46190</v>
      </c>
      <c r="C1157" s="13" t="s">
        <v>1820</v>
      </c>
      <c r="D1157" s="10" t="s">
        <v>1822</v>
      </c>
      <c r="E1157" s="10" t="s">
        <v>51</v>
      </c>
      <c r="F1157" s="10" t="s">
        <v>35</v>
      </c>
      <c r="G1157" s="10" t="s">
        <v>3146</v>
      </c>
      <c r="H1157" s="8" t="s">
        <v>36</v>
      </c>
      <c r="I1157" s="11">
        <v>34.32</v>
      </c>
      <c r="J1157" s="6">
        <v>31.471440000000001</v>
      </c>
      <c r="K1157" s="6">
        <v>0.91700000000000004</v>
      </c>
      <c r="L1157" s="6">
        <v>30.84</v>
      </c>
      <c r="M1157" s="11">
        <v>28.280280000000001</v>
      </c>
      <c r="N1157" s="11">
        <f t="shared" si="72"/>
        <v>28.281000000000002</v>
      </c>
      <c r="O1157" s="6">
        <v>0.91700000000000004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3.48</v>
      </c>
      <c r="Z1157" s="6">
        <v>3.19116</v>
      </c>
      <c r="AA1157" s="6">
        <v>0.91700000000000004</v>
      </c>
      <c r="AB1157" s="6">
        <v>-3.4800000000000004</v>
      </c>
      <c r="AC1157" s="6">
        <v>3.4800000000000004</v>
      </c>
      <c r="AD1157" s="22" t="s">
        <v>3140</v>
      </c>
      <c r="AE1157" s="23">
        <f t="shared" si="73"/>
        <v>28.281000000000002</v>
      </c>
      <c r="AF1157" s="24">
        <f t="shared" si="74"/>
        <v>0</v>
      </c>
      <c r="AG1157" s="23">
        <f t="shared" si="75"/>
        <v>1</v>
      </c>
    </row>
    <row r="1158" spans="1:33" x14ac:dyDescent="0.25">
      <c r="A1158" s="12" t="s">
        <v>31</v>
      </c>
      <c r="B1158" s="9">
        <v>46190</v>
      </c>
      <c r="C1158" s="10" t="s">
        <v>1823</v>
      </c>
      <c r="D1158" s="10" t="s">
        <v>1824</v>
      </c>
      <c r="E1158" s="10" t="s">
        <v>51</v>
      </c>
      <c r="F1158" s="10" t="s">
        <v>35</v>
      </c>
      <c r="G1158" s="10" t="s">
        <v>3146</v>
      </c>
      <c r="H1158" s="8" t="s">
        <v>36</v>
      </c>
      <c r="I1158" s="11">
        <v>406.33</v>
      </c>
      <c r="J1158" s="6">
        <v>372.60460999999998</v>
      </c>
      <c r="K1158" s="6">
        <v>0.91700000000000004</v>
      </c>
      <c r="L1158" s="6">
        <v>403.43</v>
      </c>
      <c r="M1158" s="11">
        <v>369.94531000000001</v>
      </c>
      <c r="N1158" s="11">
        <f t="shared" si="72"/>
        <v>369.94599999999997</v>
      </c>
      <c r="O1158" s="6">
        <v>0.91700000000000004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2.9</v>
      </c>
      <c r="Z1158" s="6">
        <v>2.6593</v>
      </c>
      <c r="AA1158" s="6">
        <v>0.91700000000000004</v>
      </c>
      <c r="AB1158" s="6">
        <v>-2.8999999999999773</v>
      </c>
      <c r="AC1158" s="6">
        <v>2.8999999999999773</v>
      </c>
      <c r="AD1158" s="23" t="s">
        <v>3143</v>
      </c>
      <c r="AE1158" s="23">
        <f t="shared" si="73"/>
        <v>254.86199999999999</v>
      </c>
      <c r="AF1158" s="24">
        <f t="shared" si="74"/>
        <v>115.08399999999997</v>
      </c>
      <c r="AG1158" s="23">
        <f t="shared" si="75"/>
        <v>4</v>
      </c>
    </row>
    <row r="1159" spans="1:33" ht="20" hidden="1" customHeight="1" x14ac:dyDescent="0.25">
      <c r="A1159" s="12" t="s">
        <v>31</v>
      </c>
      <c r="B1159" s="9">
        <v>46190</v>
      </c>
      <c r="C1159" s="10" t="s">
        <v>1825</v>
      </c>
      <c r="D1159" s="10" t="s">
        <v>1826</v>
      </c>
      <c r="E1159" s="10" t="s">
        <v>51</v>
      </c>
      <c r="F1159" s="10" t="s">
        <v>35</v>
      </c>
      <c r="G1159" s="10" t="s">
        <v>3145</v>
      </c>
      <c r="H1159" s="8" t="s">
        <v>48</v>
      </c>
      <c r="I1159" s="11">
        <v>18.920000000000002</v>
      </c>
      <c r="J1159" s="6">
        <v>14.19</v>
      </c>
      <c r="K1159" s="6">
        <v>0.74999999999999989</v>
      </c>
      <c r="L1159" s="6">
        <v>17.84</v>
      </c>
      <c r="M1159" s="11">
        <v>13.38</v>
      </c>
      <c r="N1159" s="11">
        <f t="shared" si="72"/>
        <v>13.38</v>
      </c>
      <c r="O1159" s="6">
        <v>0.75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1.08</v>
      </c>
      <c r="Z1159" s="6">
        <v>0.81</v>
      </c>
      <c r="AA1159" s="6">
        <v>0.75</v>
      </c>
      <c r="AB1159" s="6">
        <v>-1.0800000000000018</v>
      </c>
      <c r="AC1159" s="6">
        <v>1.0800000000000018</v>
      </c>
      <c r="AD1159" s="22" t="s">
        <v>3140</v>
      </c>
      <c r="AE1159" s="23">
        <f t="shared" si="73"/>
        <v>13.38</v>
      </c>
      <c r="AF1159" s="24">
        <f t="shared" si="74"/>
        <v>0</v>
      </c>
      <c r="AG1159" s="23">
        <f t="shared" si="75"/>
        <v>1</v>
      </c>
    </row>
    <row r="1160" spans="1:33" ht="12.5" customHeight="1" x14ac:dyDescent="0.25">
      <c r="A1160" s="12" t="s">
        <v>31</v>
      </c>
      <c r="B1160" s="9">
        <v>46190</v>
      </c>
      <c r="C1160" s="8" t="s">
        <v>1827</v>
      </c>
      <c r="D1160" s="10" t="s">
        <v>1828</v>
      </c>
      <c r="E1160" s="10" t="s">
        <v>51</v>
      </c>
      <c r="F1160" s="10" t="s">
        <v>35</v>
      </c>
      <c r="G1160" s="10" t="s">
        <v>3146</v>
      </c>
      <c r="H1160" s="8" t="s">
        <v>36</v>
      </c>
      <c r="I1160" s="11">
        <v>15.87</v>
      </c>
      <c r="J1160" s="6">
        <v>14.55279</v>
      </c>
      <c r="K1160" s="6">
        <v>0.91700000000000004</v>
      </c>
      <c r="L1160" s="6">
        <v>14.87</v>
      </c>
      <c r="M1160" s="11">
        <v>13.63579</v>
      </c>
      <c r="N1160" s="11">
        <f t="shared" si="72"/>
        <v>13.635999999999999</v>
      </c>
      <c r="O1160" s="6">
        <v>0.91700000000000004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1</v>
      </c>
      <c r="Z1160" s="6">
        <v>0.91700000000000004</v>
      </c>
      <c r="AA1160" s="6">
        <v>0.91700000000000004</v>
      </c>
      <c r="AB1160" s="6">
        <v>-1</v>
      </c>
      <c r="AC1160" s="6">
        <v>1</v>
      </c>
      <c r="AD1160" s="22" t="s">
        <v>3140</v>
      </c>
      <c r="AE1160" s="23">
        <f t="shared" si="73"/>
        <v>13.635999999999999</v>
      </c>
      <c r="AF1160" s="24">
        <f t="shared" si="74"/>
        <v>0</v>
      </c>
      <c r="AG1160" s="23">
        <f t="shared" si="75"/>
        <v>1</v>
      </c>
    </row>
    <row r="1161" spans="1:33" ht="12.5" customHeight="1" x14ac:dyDescent="0.25">
      <c r="A1161" s="12" t="s">
        <v>31</v>
      </c>
      <c r="B1161" s="9">
        <v>46190</v>
      </c>
      <c r="C1161" s="12" t="s">
        <v>1827</v>
      </c>
      <c r="D1161" s="10" t="s">
        <v>1829</v>
      </c>
      <c r="E1161" s="10" t="s">
        <v>51</v>
      </c>
      <c r="F1161" s="10" t="s">
        <v>35</v>
      </c>
      <c r="G1161" s="10" t="s">
        <v>3146</v>
      </c>
      <c r="H1161" s="8" t="s">
        <v>36</v>
      </c>
      <c r="I1161" s="11">
        <v>13.76</v>
      </c>
      <c r="J1161" s="6">
        <v>12.61792</v>
      </c>
      <c r="K1161" s="6">
        <v>0.91700000000000004</v>
      </c>
      <c r="L1161" s="6">
        <v>13.09</v>
      </c>
      <c r="M1161" s="11">
        <v>12.00353</v>
      </c>
      <c r="N1161" s="11">
        <f t="shared" si="72"/>
        <v>12.004</v>
      </c>
      <c r="O1161" s="6">
        <v>0.91699999999999993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0.67</v>
      </c>
      <c r="Z1161" s="6">
        <v>0.61438999999999999</v>
      </c>
      <c r="AA1161" s="6">
        <v>0.91699999999999993</v>
      </c>
      <c r="AB1161" s="6">
        <v>-0.67</v>
      </c>
      <c r="AC1161" s="6">
        <v>0.67</v>
      </c>
      <c r="AD1161" s="22" t="s">
        <v>3140</v>
      </c>
      <c r="AE1161" s="23">
        <f t="shared" si="73"/>
        <v>12.004</v>
      </c>
      <c r="AF1161" s="24">
        <f t="shared" si="74"/>
        <v>0</v>
      </c>
      <c r="AG1161" s="23">
        <f t="shared" si="75"/>
        <v>1</v>
      </c>
    </row>
    <row r="1162" spans="1:33" ht="12.5" customHeight="1" x14ac:dyDescent="0.25">
      <c r="A1162" s="12" t="s">
        <v>31</v>
      </c>
      <c r="B1162" s="9">
        <v>46190</v>
      </c>
      <c r="C1162" s="12" t="s">
        <v>1827</v>
      </c>
      <c r="D1162" s="10" t="s">
        <v>1830</v>
      </c>
      <c r="E1162" s="10" t="s">
        <v>51</v>
      </c>
      <c r="F1162" s="10" t="s">
        <v>35</v>
      </c>
      <c r="G1162" s="10" t="s">
        <v>3146</v>
      </c>
      <c r="H1162" s="8" t="s">
        <v>36</v>
      </c>
      <c r="I1162" s="11">
        <v>13.74</v>
      </c>
      <c r="J1162" s="6">
        <v>12.59958</v>
      </c>
      <c r="K1162" s="6">
        <v>0.91699999999999993</v>
      </c>
      <c r="L1162" s="6">
        <v>13.07</v>
      </c>
      <c r="M1162" s="11">
        <v>11.985189999999999</v>
      </c>
      <c r="N1162" s="11">
        <f t="shared" si="72"/>
        <v>11.985999999999999</v>
      </c>
      <c r="O1162" s="6">
        <v>0.91699999999999993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0.67</v>
      </c>
      <c r="Z1162" s="6">
        <v>0.61438999999999999</v>
      </c>
      <c r="AA1162" s="6">
        <v>0.91699999999999993</v>
      </c>
      <c r="AB1162" s="6">
        <v>-0.67</v>
      </c>
      <c r="AC1162" s="6">
        <v>0.67</v>
      </c>
      <c r="AD1162" s="22" t="s">
        <v>3140</v>
      </c>
      <c r="AE1162" s="23">
        <f t="shared" si="73"/>
        <v>11.985999999999999</v>
      </c>
      <c r="AF1162" s="24">
        <f t="shared" si="74"/>
        <v>0</v>
      </c>
      <c r="AG1162" s="23">
        <f t="shared" si="75"/>
        <v>1</v>
      </c>
    </row>
    <row r="1163" spans="1:33" ht="12.5" customHeight="1" x14ac:dyDescent="0.25">
      <c r="A1163" s="12" t="s">
        <v>31</v>
      </c>
      <c r="B1163" s="9">
        <v>46190</v>
      </c>
      <c r="C1163" s="13" t="s">
        <v>1827</v>
      </c>
      <c r="D1163" s="10" t="s">
        <v>1831</v>
      </c>
      <c r="E1163" s="10" t="s">
        <v>51</v>
      </c>
      <c r="F1163" s="10" t="s">
        <v>35</v>
      </c>
      <c r="G1163" s="10" t="s">
        <v>3146</v>
      </c>
      <c r="H1163" s="8" t="s">
        <v>36</v>
      </c>
      <c r="I1163" s="11">
        <v>15.83</v>
      </c>
      <c r="J1163" s="6">
        <v>14.516109999999999</v>
      </c>
      <c r="K1163" s="6">
        <v>0.91699999999999993</v>
      </c>
      <c r="L1163" s="6">
        <v>14.99</v>
      </c>
      <c r="M1163" s="11">
        <v>13.74583</v>
      </c>
      <c r="N1163" s="11">
        <f t="shared" si="72"/>
        <v>13.745999999999999</v>
      </c>
      <c r="O1163" s="6">
        <v>0.91699999999999993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0.84</v>
      </c>
      <c r="Z1163" s="6">
        <v>0.77027999999999996</v>
      </c>
      <c r="AA1163" s="6">
        <v>0.91700000000000004</v>
      </c>
      <c r="AB1163" s="6">
        <v>-0.83999999999999986</v>
      </c>
      <c r="AC1163" s="6">
        <v>0.83999999999999986</v>
      </c>
      <c r="AD1163" s="22" t="s">
        <v>3140</v>
      </c>
      <c r="AE1163" s="23">
        <f t="shared" si="73"/>
        <v>13.745999999999999</v>
      </c>
      <c r="AF1163" s="24">
        <f t="shared" si="74"/>
        <v>0</v>
      </c>
      <c r="AG1163" s="23">
        <f t="shared" si="75"/>
        <v>1</v>
      </c>
    </row>
    <row r="1164" spans="1:33" x14ac:dyDescent="0.25">
      <c r="A1164" s="12" t="s">
        <v>31</v>
      </c>
      <c r="B1164" s="9">
        <v>46190</v>
      </c>
      <c r="C1164" s="10" t="s">
        <v>1832</v>
      </c>
      <c r="D1164" s="10" t="s">
        <v>1719</v>
      </c>
      <c r="E1164" s="10" t="s">
        <v>51</v>
      </c>
      <c r="F1164" s="10" t="s">
        <v>35</v>
      </c>
      <c r="G1164" s="10" t="s">
        <v>3146</v>
      </c>
      <c r="H1164" s="8" t="s">
        <v>36</v>
      </c>
      <c r="I1164" s="11">
        <v>140.75</v>
      </c>
      <c r="J1164" s="6">
        <v>129.06774999999999</v>
      </c>
      <c r="K1164" s="6">
        <v>0.91699999999999993</v>
      </c>
      <c r="L1164" s="6">
        <v>133.75</v>
      </c>
      <c r="M1164" s="11">
        <v>122.64875000000001</v>
      </c>
      <c r="N1164" s="11">
        <f t="shared" si="72"/>
        <v>122.649</v>
      </c>
      <c r="O1164" s="6">
        <v>0.91700000000000004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7</v>
      </c>
      <c r="Z1164" s="6">
        <v>6.4189999999999996</v>
      </c>
      <c r="AA1164" s="6">
        <v>0.91699999999999993</v>
      </c>
      <c r="AB1164" s="6">
        <v>-7</v>
      </c>
      <c r="AC1164" s="6">
        <v>7</v>
      </c>
      <c r="AD1164" s="22" t="s">
        <v>3140</v>
      </c>
      <c r="AE1164" s="23">
        <f t="shared" si="73"/>
        <v>122.649</v>
      </c>
      <c r="AF1164" s="24">
        <f t="shared" si="74"/>
        <v>0</v>
      </c>
      <c r="AG1164" s="23">
        <f t="shared" si="75"/>
        <v>2</v>
      </c>
    </row>
    <row r="1165" spans="1:33" x14ac:dyDescent="0.25">
      <c r="A1165" s="12" t="s">
        <v>31</v>
      </c>
      <c r="B1165" s="9">
        <v>46190</v>
      </c>
      <c r="C1165" s="10" t="s">
        <v>1833</v>
      </c>
      <c r="D1165" s="10" t="s">
        <v>1834</v>
      </c>
      <c r="E1165" s="10" t="s">
        <v>51</v>
      </c>
      <c r="F1165" s="10" t="s">
        <v>35</v>
      </c>
      <c r="G1165" s="10" t="s">
        <v>3146</v>
      </c>
      <c r="H1165" s="8" t="s">
        <v>36</v>
      </c>
      <c r="I1165" s="11">
        <v>108.18</v>
      </c>
      <c r="J1165" s="6">
        <v>99.201059999999998</v>
      </c>
      <c r="K1165" s="6">
        <v>0.91699999999999993</v>
      </c>
      <c r="L1165" s="6">
        <v>103.45</v>
      </c>
      <c r="M1165" s="11">
        <v>94.863650000000007</v>
      </c>
      <c r="N1165" s="11">
        <f t="shared" si="72"/>
        <v>94.864000000000004</v>
      </c>
      <c r="O1165" s="6">
        <v>0.91700000000000004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4.7300000000000004</v>
      </c>
      <c r="Z1165" s="6">
        <v>4.3374100000000002</v>
      </c>
      <c r="AA1165" s="6">
        <v>0.91699999999999993</v>
      </c>
      <c r="AB1165" s="6">
        <v>-4.730000000000004</v>
      </c>
      <c r="AC1165" s="6">
        <v>4.730000000000004</v>
      </c>
      <c r="AD1165" s="22" t="s">
        <v>3140</v>
      </c>
      <c r="AE1165" s="23">
        <f t="shared" si="73"/>
        <v>94.864000000000004</v>
      </c>
      <c r="AF1165" s="24">
        <f t="shared" si="74"/>
        <v>0</v>
      </c>
      <c r="AG1165" s="23">
        <f t="shared" si="75"/>
        <v>1</v>
      </c>
    </row>
    <row r="1166" spans="1:33" x14ac:dyDescent="0.25">
      <c r="A1166" s="12" t="s">
        <v>31</v>
      </c>
      <c r="B1166" s="9">
        <v>46190</v>
      </c>
      <c r="C1166" s="10" t="s">
        <v>1835</v>
      </c>
      <c r="D1166" s="10" t="s">
        <v>1824</v>
      </c>
      <c r="E1166" s="10" t="s">
        <v>51</v>
      </c>
      <c r="F1166" s="10" t="s">
        <v>35</v>
      </c>
      <c r="G1166" s="10" t="s">
        <v>3146</v>
      </c>
      <c r="H1166" s="8" t="s">
        <v>36</v>
      </c>
      <c r="I1166" s="11">
        <v>403.43</v>
      </c>
      <c r="J1166" s="6">
        <v>369.94531000000001</v>
      </c>
      <c r="K1166" s="6">
        <v>0.91700000000000004</v>
      </c>
      <c r="L1166" s="6">
        <v>402.9</v>
      </c>
      <c r="M1166" s="11">
        <v>369.45929999999998</v>
      </c>
      <c r="N1166" s="11">
        <f t="shared" si="72"/>
        <v>369.46</v>
      </c>
      <c r="O1166" s="6">
        <v>0.91700000000000004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0.53</v>
      </c>
      <c r="Z1166" s="6">
        <v>0.48601</v>
      </c>
      <c r="AA1166" s="6">
        <v>0.91699999999999993</v>
      </c>
      <c r="AB1166" s="6">
        <v>-0.53000000000002956</v>
      </c>
      <c r="AC1166" s="6">
        <v>0.53000000000002956</v>
      </c>
      <c r="AD1166" s="23" t="s">
        <v>3143</v>
      </c>
      <c r="AE1166" s="23">
        <f t="shared" si="73"/>
        <v>254.86199999999999</v>
      </c>
      <c r="AF1166" s="24">
        <f t="shared" si="74"/>
        <v>114.59799999999998</v>
      </c>
      <c r="AG1166" s="23">
        <f t="shared" si="75"/>
        <v>4</v>
      </c>
    </row>
    <row r="1167" spans="1:33" ht="20" hidden="1" customHeight="1" x14ac:dyDescent="0.25">
      <c r="A1167" s="12" t="s">
        <v>31</v>
      </c>
      <c r="B1167" s="9">
        <v>46190</v>
      </c>
      <c r="C1167" s="10" t="s">
        <v>1836</v>
      </c>
      <c r="D1167" s="10" t="s">
        <v>1837</v>
      </c>
      <c r="E1167" s="10" t="s">
        <v>51</v>
      </c>
      <c r="F1167" s="10" t="s">
        <v>35</v>
      </c>
      <c r="G1167" s="10" t="s">
        <v>3145</v>
      </c>
      <c r="H1167" s="8" t="s">
        <v>48</v>
      </c>
      <c r="I1167" s="11">
        <v>7.181</v>
      </c>
      <c r="J1167" s="6">
        <v>5.3857499999999998</v>
      </c>
      <c r="K1167" s="6">
        <v>0.75</v>
      </c>
      <c r="L1167" s="6">
        <v>6.891</v>
      </c>
      <c r="M1167" s="11">
        <v>5.1682499999999996</v>
      </c>
      <c r="N1167" s="11">
        <f t="shared" si="72"/>
        <v>5.1690000000000005</v>
      </c>
      <c r="O1167" s="6">
        <v>0.74999999999999989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0.28999999999999998</v>
      </c>
      <c r="Z1167" s="6">
        <v>0.2175</v>
      </c>
      <c r="AA1167" s="6">
        <v>0.75</v>
      </c>
      <c r="AB1167" s="6">
        <v>-0.29000000000000004</v>
      </c>
      <c r="AC1167" s="6">
        <v>0.29000000000000004</v>
      </c>
      <c r="AD1167" s="22" t="s">
        <v>3140</v>
      </c>
      <c r="AE1167" s="23">
        <f t="shared" si="73"/>
        <v>5.1690000000000005</v>
      </c>
      <c r="AF1167" s="24">
        <f t="shared" si="74"/>
        <v>0</v>
      </c>
      <c r="AG1167" s="23">
        <f t="shared" si="75"/>
        <v>1</v>
      </c>
    </row>
    <row r="1168" spans="1:33" ht="20" hidden="1" customHeight="1" x14ac:dyDescent="0.25">
      <c r="A1168" s="12" t="s">
        <v>31</v>
      </c>
      <c r="B1168" s="9">
        <v>46190</v>
      </c>
      <c r="C1168" s="10" t="s">
        <v>1838</v>
      </c>
      <c r="D1168" s="10" t="s">
        <v>1839</v>
      </c>
      <c r="E1168" s="10" t="s">
        <v>51</v>
      </c>
      <c r="F1168" s="10" t="s">
        <v>35</v>
      </c>
      <c r="G1168" s="10" t="s">
        <v>3145</v>
      </c>
      <c r="H1168" s="8" t="s">
        <v>48</v>
      </c>
      <c r="I1168" s="11">
        <v>3.0139999999999998</v>
      </c>
      <c r="J1168" s="6">
        <v>2.2605</v>
      </c>
      <c r="K1168" s="6">
        <v>0.75</v>
      </c>
      <c r="L1168" s="6">
        <v>2.8340000000000001</v>
      </c>
      <c r="M1168" s="11">
        <v>2.1255000000000002</v>
      </c>
      <c r="N1168" s="11">
        <f t="shared" si="72"/>
        <v>2.1259999999999999</v>
      </c>
      <c r="O1168" s="6">
        <v>0.75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0.18</v>
      </c>
      <c r="Z1168" s="6">
        <v>0.13500000000000001</v>
      </c>
      <c r="AA1168" s="6">
        <v>0.75000000000000011</v>
      </c>
      <c r="AB1168" s="6">
        <v>-0.17999999999999972</v>
      </c>
      <c r="AC1168" s="6">
        <v>0.17999999999999972</v>
      </c>
      <c r="AD1168" s="22" t="s">
        <v>3140</v>
      </c>
      <c r="AE1168" s="23">
        <f t="shared" si="73"/>
        <v>2.1259999999999999</v>
      </c>
      <c r="AF1168" s="24">
        <f t="shared" si="74"/>
        <v>0</v>
      </c>
      <c r="AG1168" s="23">
        <f t="shared" si="75"/>
        <v>1</v>
      </c>
    </row>
    <row r="1169" spans="1:33" x14ac:dyDescent="0.25">
      <c r="A1169" s="12" t="s">
        <v>31</v>
      </c>
      <c r="B1169" s="9">
        <v>46190</v>
      </c>
      <c r="C1169" s="10" t="s">
        <v>1840</v>
      </c>
      <c r="D1169" s="10" t="s">
        <v>1841</v>
      </c>
      <c r="E1169" s="10" t="s">
        <v>51</v>
      </c>
      <c r="F1169" s="10" t="s">
        <v>35</v>
      </c>
      <c r="G1169" s="10" t="s">
        <v>3146</v>
      </c>
      <c r="H1169" s="8" t="s">
        <v>36</v>
      </c>
      <c r="I1169" s="11">
        <v>42.44</v>
      </c>
      <c r="J1169" s="6">
        <v>38.917479999999998</v>
      </c>
      <c r="K1169" s="6">
        <v>0.91700000000000004</v>
      </c>
      <c r="L1169" s="6">
        <v>40.659999999999997</v>
      </c>
      <c r="M1169" s="11">
        <v>37.285220000000002</v>
      </c>
      <c r="N1169" s="11">
        <f t="shared" si="72"/>
        <v>37.285999999999994</v>
      </c>
      <c r="O1169" s="6">
        <v>0.91700000000000015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1.78</v>
      </c>
      <c r="Z1169" s="6">
        <v>1.63226</v>
      </c>
      <c r="AA1169" s="6">
        <v>0.91700000000000004</v>
      </c>
      <c r="AB1169" s="6">
        <v>-1.7800000000000011</v>
      </c>
      <c r="AC1169" s="6">
        <v>1.7800000000000011</v>
      </c>
      <c r="AD1169" s="22" t="s">
        <v>3140</v>
      </c>
      <c r="AE1169" s="23">
        <f t="shared" si="73"/>
        <v>37.285999999999994</v>
      </c>
      <c r="AF1169" s="24">
        <f t="shared" si="74"/>
        <v>0</v>
      </c>
      <c r="AG1169" s="23">
        <f t="shared" si="75"/>
        <v>1</v>
      </c>
    </row>
    <row r="1170" spans="1:33" x14ac:dyDescent="0.25">
      <c r="A1170" s="12" t="s">
        <v>31</v>
      </c>
      <c r="B1170" s="9">
        <v>46190</v>
      </c>
      <c r="C1170" s="10" t="s">
        <v>1842</v>
      </c>
      <c r="D1170" s="10" t="s">
        <v>1843</v>
      </c>
      <c r="E1170" s="10" t="s">
        <v>51</v>
      </c>
      <c r="F1170" s="10" t="s">
        <v>35</v>
      </c>
      <c r="G1170" s="10" t="s">
        <v>3146</v>
      </c>
      <c r="H1170" s="8" t="s">
        <v>36</v>
      </c>
      <c r="I1170" s="11">
        <v>91.02</v>
      </c>
      <c r="J1170" s="6">
        <v>83.465339999999998</v>
      </c>
      <c r="K1170" s="6">
        <v>0.91700000000000004</v>
      </c>
      <c r="L1170" s="6">
        <v>85.65</v>
      </c>
      <c r="M1170" s="11">
        <v>78.541049999999998</v>
      </c>
      <c r="N1170" s="11">
        <f t="shared" si="72"/>
        <v>78.542000000000002</v>
      </c>
      <c r="O1170" s="6">
        <v>0.91699999999999993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5.37</v>
      </c>
      <c r="Z1170" s="6">
        <v>4.9242900000000001</v>
      </c>
      <c r="AA1170" s="6">
        <v>0.91700000000000004</v>
      </c>
      <c r="AB1170" s="6">
        <v>-5.3699999999999903</v>
      </c>
      <c r="AC1170" s="6">
        <v>5.3699999999999903</v>
      </c>
      <c r="AD1170" s="22" t="s">
        <v>3140</v>
      </c>
      <c r="AE1170" s="23">
        <f t="shared" si="73"/>
        <v>78.542000000000002</v>
      </c>
      <c r="AF1170" s="24">
        <f t="shared" si="74"/>
        <v>0</v>
      </c>
      <c r="AG1170" s="23">
        <f t="shared" si="75"/>
        <v>1</v>
      </c>
    </row>
    <row r="1171" spans="1:33" ht="20" hidden="1" customHeight="1" x14ac:dyDescent="0.25">
      <c r="A1171" s="12" t="s">
        <v>31</v>
      </c>
      <c r="B1171" s="9">
        <v>46190</v>
      </c>
      <c r="C1171" s="10" t="s">
        <v>1844</v>
      </c>
      <c r="D1171" s="10" t="s">
        <v>1845</v>
      </c>
      <c r="E1171" s="10" t="s">
        <v>51</v>
      </c>
      <c r="F1171" s="10" t="s">
        <v>35</v>
      </c>
      <c r="G1171" s="10" t="s">
        <v>3145</v>
      </c>
      <c r="H1171" s="8" t="s">
        <v>48</v>
      </c>
      <c r="I1171" s="11">
        <v>50.98</v>
      </c>
      <c r="J1171" s="6">
        <v>38.234999999999999</v>
      </c>
      <c r="K1171" s="6">
        <v>0.75</v>
      </c>
      <c r="L1171" s="6">
        <v>47</v>
      </c>
      <c r="M1171" s="11">
        <v>35.25</v>
      </c>
      <c r="N1171" s="11">
        <f t="shared" si="72"/>
        <v>35.25</v>
      </c>
      <c r="O1171" s="6">
        <v>0.75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3.98</v>
      </c>
      <c r="Z1171" s="6">
        <v>2.9849999999999999</v>
      </c>
      <c r="AA1171" s="6">
        <v>0.75</v>
      </c>
      <c r="AB1171" s="6">
        <v>-3.9799999999999969</v>
      </c>
      <c r="AC1171" s="6">
        <v>3.9799999999999969</v>
      </c>
      <c r="AD1171" s="22" t="s">
        <v>3140</v>
      </c>
      <c r="AE1171" s="23">
        <f t="shared" si="73"/>
        <v>35.25</v>
      </c>
      <c r="AF1171" s="24">
        <f t="shared" si="74"/>
        <v>0</v>
      </c>
      <c r="AG1171" s="23">
        <f t="shared" si="75"/>
        <v>1</v>
      </c>
    </row>
    <row r="1172" spans="1:33" hidden="1" x14ac:dyDescent="0.25">
      <c r="A1172" s="12" t="s">
        <v>31</v>
      </c>
      <c r="B1172" s="9">
        <v>46190</v>
      </c>
      <c r="C1172" s="10" t="s">
        <v>1846</v>
      </c>
      <c r="D1172" s="10" t="s">
        <v>1847</v>
      </c>
      <c r="E1172" s="10" t="s">
        <v>51</v>
      </c>
      <c r="F1172" s="10" t="s">
        <v>35</v>
      </c>
      <c r="G1172" s="10" t="s">
        <v>3145</v>
      </c>
      <c r="H1172" s="8" t="s">
        <v>41</v>
      </c>
      <c r="I1172" s="11">
        <v>47.61</v>
      </c>
      <c r="J1172" s="6">
        <v>35.707500000000003</v>
      </c>
      <c r="K1172" s="6">
        <v>0.75000000000000011</v>
      </c>
      <c r="L1172" s="6">
        <v>43.36</v>
      </c>
      <c r="M1172" s="11">
        <v>32.520000000000003</v>
      </c>
      <c r="N1172" s="11">
        <f t="shared" si="72"/>
        <v>32.520000000000003</v>
      </c>
      <c r="O1172" s="6">
        <v>0.75000000000000011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4.25</v>
      </c>
      <c r="Z1172" s="6">
        <v>3.1875</v>
      </c>
      <c r="AA1172" s="6">
        <v>0.75</v>
      </c>
      <c r="AB1172" s="6">
        <v>-4.25</v>
      </c>
      <c r="AC1172" s="6">
        <v>4.25</v>
      </c>
      <c r="AD1172" s="22" t="s">
        <v>3140</v>
      </c>
      <c r="AE1172" s="23">
        <f t="shared" si="73"/>
        <v>32.520000000000003</v>
      </c>
      <c r="AF1172" s="24">
        <f t="shared" si="74"/>
        <v>0</v>
      </c>
      <c r="AG1172" s="23">
        <f t="shared" si="75"/>
        <v>1</v>
      </c>
    </row>
    <row r="1173" spans="1:33" x14ac:dyDescent="0.25">
      <c r="A1173" s="12" t="s">
        <v>31</v>
      </c>
      <c r="B1173" s="9">
        <v>46190</v>
      </c>
      <c r="C1173" s="10" t="s">
        <v>1848</v>
      </c>
      <c r="D1173" s="10" t="s">
        <v>1787</v>
      </c>
      <c r="E1173" s="10" t="s">
        <v>51</v>
      </c>
      <c r="F1173" s="10" t="s">
        <v>35</v>
      </c>
      <c r="G1173" s="10" t="s">
        <v>3146</v>
      </c>
      <c r="H1173" s="8" t="s">
        <v>36</v>
      </c>
      <c r="I1173" s="11">
        <v>70.81</v>
      </c>
      <c r="J1173" s="6">
        <v>64.932770000000005</v>
      </c>
      <c r="K1173" s="6">
        <v>0.91700000000000004</v>
      </c>
      <c r="L1173" s="6">
        <v>67.510000000000005</v>
      </c>
      <c r="M1173" s="11">
        <v>61.906669999999998</v>
      </c>
      <c r="N1173" s="11">
        <f t="shared" si="72"/>
        <v>61.906999999999996</v>
      </c>
      <c r="O1173" s="6">
        <v>0.91699999999999993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3.3</v>
      </c>
      <c r="Z1173" s="6">
        <v>3.0261</v>
      </c>
      <c r="AA1173" s="6">
        <v>0.91700000000000004</v>
      </c>
      <c r="AB1173" s="6">
        <v>-3.2999999999999972</v>
      </c>
      <c r="AC1173" s="6">
        <v>3.2999999999999972</v>
      </c>
      <c r="AD1173" s="22" t="s">
        <v>3140</v>
      </c>
      <c r="AE1173" s="23">
        <f t="shared" si="73"/>
        <v>61.906999999999996</v>
      </c>
      <c r="AF1173" s="24">
        <f t="shared" si="74"/>
        <v>0</v>
      </c>
      <c r="AG1173" s="23">
        <f t="shared" si="75"/>
        <v>2</v>
      </c>
    </row>
    <row r="1174" spans="1:33" x14ac:dyDescent="0.25">
      <c r="A1174" s="12" t="s">
        <v>31</v>
      </c>
      <c r="B1174" s="9">
        <v>46190</v>
      </c>
      <c r="C1174" s="10" t="s">
        <v>1849</v>
      </c>
      <c r="D1174" s="10" t="s">
        <v>1515</v>
      </c>
      <c r="E1174" s="10" t="s">
        <v>51</v>
      </c>
      <c r="F1174" s="10" t="s">
        <v>35</v>
      </c>
      <c r="G1174" s="10" t="s">
        <v>3146</v>
      </c>
      <c r="H1174" s="8" t="s">
        <v>36</v>
      </c>
      <c r="I1174" s="11">
        <v>214.64</v>
      </c>
      <c r="J1174" s="6">
        <v>196.82488000000001</v>
      </c>
      <c r="K1174" s="6">
        <v>0.91700000000000004</v>
      </c>
      <c r="L1174" s="6">
        <v>214.32</v>
      </c>
      <c r="M1174" s="11">
        <v>196.53144</v>
      </c>
      <c r="N1174" s="11">
        <f t="shared" si="72"/>
        <v>196.53200000000001</v>
      </c>
      <c r="O1174" s="6">
        <v>0.91700000000000004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0.32</v>
      </c>
      <c r="Z1174" s="6">
        <v>0.29343999999999998</v>
      </c>
      <c r="AA1174" s="6">
        <v>0.91699999999999993</v>
      </c>
      <c r="AB1174" s="6">
        <v>-0.31999999999999318</v>
      </c>
      <c r="AC1174" s="6">
        <v>0.31999999999999318</v>
      </c>
      <c r="AD1174" s="23" t="s">
        <v>3143</v>
      </c>
      <c r="AE1174" s="23">
        <f t="shared" si="73"/>
        <v>79.320999999999998</v>
      </c>
      <c r="AF1174" s="24">
        <f t="shared" si="74"/>
        <v>117.21100000000001</v>
      </c>
      <c r="AG1174" s="23">
        <f t="shared" si="75"/>
        <v>5</v>
      </c>
    </row>
    <row r="1175" spans="1:33" ht="12.5" hidden="1" customHeight="1" x14ac:dyDescent="0.25">
      <c r="A1175" s="12" t="s">
        <v>31</v>
      </c>
      <c r="B1175" s="9">
        <v>46190</v>
      </c>
      <c r="C1175" s="8" t="s">
        <v>1850</v>
      </c>
      <c r="D1175" s="8" t="s">
        <v>338</v>
      </c>
      <c r="E1175" s="8" t="s">
        <v>51</v>
      </c>
      <c r="F1175" s="8" t="s">
        <v>35</v>
      </c>
      <c r="G1175" s="10" t="s">
        <v>3145</v>
      </c>
      <c r="H1175" s="8" t="s">
        <v>48</v>
      </c>
      <c r="I1175" s="11">
        <v>12.04</v>
      </c>
      <c r="J1175" s="6">
        <v>9.0299999999999994</v>
      </c>
      <c r="K1175" s="6">
        <v>0.75</v>
      </c>
      <c r="L1175" s="6">
        <v>12.01</v>
      </c>
      <c r="M1175" s="11">
        <v>9.0075000000000003</v>
      </c>
      <c r="N1175" s="11">
        <f t="shared" si="72"/>
        <v>9.0079999999999991</v>
      </c>
      <c r="O1175" s="6">
        <v>0.75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0.03</v>
      </c>
      <c r="Z1175" s="6">
        <v>2.2499999999999999E-2</v>
      </c>
      <c r="AA1175" s="6">
        <v>0.75</v>
      </c>
      <c r="AB1175" s="6">
        <v>-2.9999999999999361E-2</v>
      </c>
      <c r="AC1175" s="6">
        <v>2.9999999999999361E-2</v>
      </c>
      <c r="AD1175" s="23" t="s">
        <v>3143</v>
      </c>
      <c r="AE1175" s="23">
        <f t="shared" si="73"/>
        <v>0</v>
      </c>
      <c r="AF1175" s="24">
        <f t="shared" si="74"/>
        <v>9.0079999999999991</v>
      </c>
      <c r="AG1175" s="23">
        <f t="shared" si="75"/>
        <v>67</v>
      </c>
    </row>
    <row r="1176" spans="1:33" ht="12.5" hidden="1" customHeight="1" x14ac:dyDescent="0.25">
      <c r="A1176" s="12" t="s">
        <v>31</v>
      </c>
      <c r="B1176" s="9">
        <v>46190</v>
      </c>
      <c r="C1176" s="12" t="s">
        <v>1850</v>
      </c>
      <c r="D1176" s="12" t="s">
        <v>338</v>
      </c>
      <c r="E1176" s="12" t="s">
        <v>51</v>
      </c>
      <c r="F1176" s="12" t="s">
        <v>35</v>
      </c>
      <c r="G1176" s="10" t="s">
        <v>3145</v>
      </c>
      <c r="H1176" s="8" t="s">
        <v>41</v>
      </c>
      <c r="I1176" s="11">
        <v>6.07</v>
      </c>
      <c r="J1176" s="6">
        <v>4.5525000000000002</v>
      </c>
      <c r="K1176" s="6">
        <v>0.75</v>
      </c>
      <c r="L1176" s="6">
        <v>5.69</v>
      </c>
      <c r="M1176" s="11">
        <v>4.2675000000000001</v>
      </c>
      <c r="N1176" s="11">
        <f t="shared" si="72"/>
        <v>4.2680000000000007</v>
      </c>
      <c r="O1176" s="6">
        <v>0.75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0.38</v>
      </c>
      <c r="Z1176" s="6">
        <v>0.28499999999999998</v>
      </c>
      <c r="AA1176" s="6">
        <v>0.74999999999999989</v>
      </c>
      <c r="AB1176" s="6">
        <v>-0.37999999999999989</v>
      </c>
      <c r="AC1176" s="6">
        <v>0.37999999999999989</v>
      </c>
      <c r="AD1176" s="23" t="s">
        <v>3143</v>
      </c>
      <c r="AE1176" s="23">
        <f t="shared" si="73"/>
        <v>0</v>
      </c>
      <c r="AF1176" s="24">
        <f t="shared" si="74"/>
        <v>4.2680000000000007</v>
      </c>
      <c r="AG1176" s="23">
        <f t="shared" si="75"/>
        <v>67</v>
      </c>
    </row>
    <row r="1177" spans="1:33" ht="12.5" customHeight="1" x14ac:dyDescent="0.25">
      <c r="A1177" s="12" t="s">
        <v>31</v>
      </c>
      <c r="B1177" s="9">
        <v>46190</v>
      </c>
      <c r="C1177" s="13" t="s">
        <v>1850</v>
      </c>
      <c r="D1177" s="13" t="s">
        <v>338</v>
      </c>
      <c r="E1177" s="13" t="s">
        <v>51</v>
      </c>
      <c r="F1177" s="13" t="s">
        <v>35</v>
      </c>
      <c r="G1177" s="10" t="s">
        <v>3146</v>
      </c>
      <c r="H1177" s="8" t="s">
        <v>36</v>
      </c>
      <c r="I1177" s="11">
        <v>17.579999999999998</v>
      </c>
      <c r="J1177" s="6">
        <v>16.12086</v>
      </c>
      <c r="K1177" s="6">
        <v>0.91700000000000015</v>
      </c>
      <c r="L1177" s="6">
        <v>11.14</v>
      </c>
      <c r="M1177" s="11">
        <v>10.21538</v>
      </c>
      <c r="N1177" s="11">
        <f t="shared" si="72"/>
        <v>10.215999999999999</v>
      </c>
      <c r="O1177" s="6">
        <v>0.91699999999999993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6.44</v>
      </c>
      <c r="Z1177" s="6">
        <v>5.9054799999999998</v>
      </c>
      <c r="AA1177" s="6">
        <v>0.91699999999999993</v>
      </c>
      <c r="AB1177" s="6">
        <v>-6.4399999999999977</v>
      </c>
      <c r="AC1177" s="6">
        <v>6.4399999999999977</v>
      </c>
      <c r="AD1177" s="23" t="s">
        <v>3143</v>
      </c>
      <c r="AE1177" s="23">
        <f t="shared" si="73"/>
        <v>0</v>
      </c>
      <c r="AF1177" s="24">
        <f t="shared" si="74"/>
        <v>10.215999999999999</v>
      </c>
      <c r="AG1177" s="23">
        <f t="shared" si="75"/>
        <v>67</v>
      </c>
    </row>
    <row r="1178" spans="1:33" ht="12.5" hidden="1" customHeight="1" x14ac:dyDescent="0.25">
      <c r="A1178" s="12" t="s">
        <v>31</v>
      </c>
      <c r="B1178" s="9">
        <v>46190</v>
      </c>
      <c r="C1178" s="8" t="s">
        <v>1851</v>
      </c>
      <c r="D1178" s="8" t="s">
        <v>338</v>
      </c>
      <c r="E1178" s="8" t="s">
        <v>51</v>
      </c>
      <c r="F1178" s="8" t="s">
        <v>35</v>
      </c>
      <c r="G1178" s="10" t="s">
        <v>3145</v>
      </c>
      <c r="H1178" s="8" t="s">
        <v>48</v>
      </c>
      <c r="I1178" s="11">
        <v>12.01</v>
      </c>
      <c r="J1178" s="6">
        <v>9.0075000000000003</v>
      </c>
      <c r="K1178" s="6">
        <v>0.75</v>
      </c>
      <c r="L1178" s="6">
        <v>11.89</v>
      </c>
      <c r="M1178" s="11">
        <v>8.9175000000000004</v>
      </c>
      <c r="N1178" s="11">
        <f t="shared" si="72"/>
        <v>8.9179999999999993</v>
      </c>
      <c r="O1178" s="6">
        <v>0.75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0.12</v>
      </c>
      <c r="Z1178" s="6">
        <v>0.09</v>
      </c>
      <c r="AA1178" s="6">
        <v>0.75</v>
      </c>
      <c r="AB1178" s="6">
        <v>-0.11999999999999922</v>
      </c>
      <c r="AC1178" s="6">
        <v>0.11999999999999922</v>
      </c>
      <c r="AD1178" s="23" t="s">
        <v>3143</v>
      </c>
      <c r="AE1178" s="23">
        <f t="shared" si="73"/>
        <v>0</v>
      </c>
      <c r="AF1178" s="24">
        <f t="shared" si="74"/>
        <v>8.9179999999999993</v>
      </c>
      <c r="AG1178" s="23">
        <f t="shared" si="75"/>
        <v>67</v>
      </c>
    </row>
    <row r="1179" spans="1:33" ht="12.5" hidden="1" customHeight="1" x14ac:dyDescent="0.25">
      <c r="A1179" s="12" t="s">
        <v>31</v>
      </c>
      <c r="B1179" s="9">
        <v>46190</v>
      </c>
      <c r="C1179" s="12" t="s">
        <v>1851</v>
      </c>
      <c r="D1179" s="12" t="s">
        <v>338</v>
      </c>
      <c r="E1179" s="12" t="s">
        <v>51</v>
      </c>
      <c r="F1179" s="12" t="s">
        <v>35</v>
      </c>
      <c r="G1179" s="10" t="s">
        <v>3145</v>
      </c>
      <c r="H1179" s="8" t="s">
        <v>41</v>
      </c>
      <c r="I1179" s="11">
        <v>5.69</v>
      </c>
      <c r="J1179" s="6">
        <v>4.2675000000000001</v>
      </c>
      <c r="K1179" s="6">
        <v>0.75</v>
      </c>
      <c r="L1179" s="6">
        <v>5.47</v>
      </c>
      <c r="M1179" s="11">
        <v>4.1025</v>
      </c>
      <c r="N1179" s="11">
        <f t="shared" si="72"/>
        <v>4.1030000000000006</v>
      </c>
      <c r="O1179" s="6">
        <v>0.75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0.22</v>
      </c>
      <c r="Z1179" s="6">
        <v>0.16500000000000001</v>
      </c>
      <c r="AA1179" s="6">
        <v>0.75</v>
      </c>
      <c r="AB1179" s="6">
        <v>-0.22000000000000064</v>
      </c>
      <c r="AC1179" s="6">
        <v>0.22000000000000064</v>
      </c>
      <c r="AD1179" s="23" t="s">
        <v>3143</v>
      </c>
      <c r="AE1179" s="23">
        <f t="shared" si="73"/>
        <v>0</v>
      </c>
      <c r="AF1179" s="24">
        <f t="shared" si="74"/>
        <v>4.1030000000000006</v>
      </c>
      <c r="AG1179" s="23">
        <f t="shared" si="75"/>
        <v>67</v>
      </c>
    </row>
    <row r="1180" spans="1:33" ht="12.5" customHeight="1" x14ac:dyDescent="0.25">
      <c r="A1180" s="12" t="s">
        <v>31</v>
      </c>
      <c r="B1180" s="9">
        <v>46190</v>
      </c>
      <c r="C1180" s="13" t="s">
        <v>1851</v>
      </c>
      <c r="D1180" s="13" t="s">
        <v>338</v>
      </c>
      <c r="E1180" s="13" t="s">
        <v>51</v>
      </c>
      <c r="F1180" s="13" t="s">
        <v>35</v>
      </c>
      <c r="G1180" s="10" t="s">
        <v>3146</v>
      </c>
      <c r="H1180" s="8" t="s">
        <v>36</v>
      </c>
      <c r="I1180" s="11">
        <v>11.14</v>
      </c>
      <c r="J1180" s="6">
        <v>10.21538</v>
      </c>
      <c r="K1180" s="6">
        <v>0.91699999999999993</v>
      </c>
      <c r="L1180" s="6">
        <v>5.68</v>
      </c>
      <c r="M1180" s="11">
        <v>5.2085600000000003</v>
      </c>
      <c r="N1180" s="11">
        <f t="shared" si="72"/>
        <v>5.2090000000000005</v>
      </c>
      <c r="O1180" s="6">
        <v>0.91700000000000015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5.46</v>
      </c>
      <c r="Z1180" s="6">
        <v>5.0068200000000003</v>
      </c>
      <c r="AA1180" s="6">
        <v>0.91700000000000004</v>
      </c>
      <c r="AB1180" s="6">
        <v>-5.4600000000000009</v>
      </c>
      <c r="AC1180" s="6">
        <v>5.4600000000000009</v>
      </c>
      <c r="AD1180" s="23" t="s">
        <v>3143</v>
      </c>
      <c r="AE1180" s="23">
        <f t="shared" si="73"/>
        <v>0</v>
      </c>
      <c r="AF1180" s="24">
        <f t="shared" si="74"/>
        <v>5.2090000000000005</v>
      </c>
      <c r="AG1180" s="23">
        <f t="shared" si="75"/>
        <v>67</v>
      </c>
    </row>
    <row r="1181" spans="1:33" ht="12.5" customHeight="1" x14ac:dyDescent="0.25">
      <c r="A1181" s="12" t="s">
        <v>31</v>
      </c>
      <c r="B1181" s="9">
        <v>46191</v>
      </c>
      <c r="C1181" s="10" t="s">
        <v>1852</v>
      </c>
      <c r="D1181" s="10" t="s">
        <v>1853</v>
      </c>
      <c r="E1181" s="10" t="s">
        <v>34</v>
      </c>
      <c r="F1181" s="10" t="s">
        <v>35</v>
      </c>
      <c r="G1181" s="10" t="s">
        <v>3146</v>
      </c>
      <c r="H1181" s="8" t="s">
        <v>36</v>
      </c>
      <c r="I1181" s="11">
        <v>178.33</v>
      </c>
      <c r="J1181" s="6">
        <v>163.52860999999999</v>
      </c>
      <c r="K1181" s="6">
        <v>0.91699999999999982</v>
      </c>
      <c r="L1181" s="6">
        <v>178.33</v>
      </c>
      <c r="M1181" s="11">
        <v>163.52860999999999</v>
      </c>
      <c r="N1181" s="11">
        <f t="shared" si="72"/>
        <v>163.529</v>
      </c>
      <c r="O1181" s="6">
        <v>0.91699999999999982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23" t="s">
        <v>3143</v>
      </c>
      <c r="AE1181" s="23">
        <f t="shared" si="73"/>
        <v>158.816</v>
      </c>
      <c r="AF1181" s="24">
        <f t="shared" si="74"/>
        <v>4.7129999999999939</v>
      </c>
      <c r="AG1181" s="23">
        <f t="shared" si="75"/>
        <v>2</v>
      </c>
    </row>
    <row r="1182" spans="1:33" ht="12.5" hidden="1" customHeight="1" x14ac:dyDescent="0.25">
      <c r="A1182" s="12" t="s">
        <v>31</v>
      </c>
      <c r="B1182" s="9">
        <v>46191</v>
      </c>
      <c r="C1182" s="10" t="s">
        <v>1854</v>
      </c>
      <c r="D1182" s="10" t="s">
        <v>1855</v>
      </c>
      <c r="E1182" s="10" t="s">
        <v>34</v>
      </c>
      <c r="F1182" s="10" t="s">
        <v>35</v>
      </c>
      <c r="G1182" s="10" t="s">
        <v>3145</v>
      </c>
      <c r="H1182" s="8" t="s">
        <v>48</v>
      </c>
      <c r="I1182" s="11">
        <v>72.459999999999994</v>
      </c>
      <c r="J1182" s="6">
        <v>54.344999999999999</v>
      </c>
      <c r="K1182" s="6">
        <v>0.75</v>
      </c>
      <c r="L1182" s="6">
        <v>67.95</v>
      </c>
      <c r="M1182" s="11">
        <v>50.962499999999999</v>
      </c>
      <c r="N1182" s="11">
        <f t="shared" si="72"/>
        <v>50.963000000000001</v>
      </c>
      <c r="O1182" s="6">
        <v>0.75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4.51</v>
      </c>
      <c r="Z1182" s="6">
        <v>3.3824999999999998</v>
      </c>
      <c r="AA1182" s="6">
        <v>0.75</v>
      </c>
      <c r="AB1182" s="6">
        <v>-4.5099999999999909</v>
      </c>
      <c r="AC1182" s="6">
        <v>4.5099999999999909</v>
      </c>
      <c r="AD1182" s="22" t="s">
        <v>3140</v>
      </c>
      <c r="AE1182" s="23">
        <f t="shared" si="73"/>
        <v>50.963000000000001</v>
      </c>
      <c r="AF1182" s="24">
        <f t="shared" si="74"/>
        <v>0</v>
      </c>
      <c r="AG1182" s="23">
        <f t="shared" si="75"/>
        <v>1</v>
      </c>
    </row>
    <row r="1183" spans="1:33" ht="12.5" customHeight="1" x14ac:dyDescent="0.25">
      <c r="A1183" s="12" t="s">
        <v>31</v>
      </c>
      <c r="B1183" s="9">
        <v>46191</v>
      </c>
      <c r="C1183" s="10" t="s">
        <v>1856</v>
      </c>
      <c r="D1183" s="10" t="s">
        <v>1857</v>
      </c>
      <c r="E1183" s="10" t="s">
        <v>34</v>
      </c>
      <c r="F1183" s="10" t="s">
        <v>35</v>
      </c>
      <c r="G1183" s="10" t="s">
        <v>3146</v>
      </c>
      <c r="H1183" s="8" t="s">
        <v>36</v>
      </c>
      <c r="I1183" s="11">
        <v>159.84</v>
      </c>
      <c r="J1183" s="6">
        <v>146.57328000000001</v>
      </c>
      <c r="K1183" s="6">
        <v>0.91700000000000004</v>
      </c>
      <c r="L1183" s="6">
        <v>148.13</v>
      </c>
      <c r="M1183" s="11">
        <v>135.83520999999999</v>
      </c>
      <c r="N1183" s="11">
        <f t="shared" si="72"/>
        <v>135.83600000000001</v>
      </c>
      <c r="O1183" s="6">
        <v>0.91699999999999993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11.71</v>
      </c>
      <c r="Z1183" s="6">
        <v>10.73807</v>
      </c>
      <c r="AA1183" s="6">
        <v>0.91699999999999993</v>
      </c>
      <c r="AB1183" s="6">
        <v>-11.710000000000008</v>
      </c>
      <c r="AC1183" s="6">
        <v>11.710000000000008</v>
      </c>
      <c r="AD1183" s="22" t="s">
        <v>3140</v>
      </c>
      <c r="AE1183" s="23">
        <f t="shared" si="73"/>
        <v>135.83600000000001</v>
      </c>
      <c r="AF1183" s="24">
        <f t="shared" si="74"/>
        <v>0</v>
      </c>
      <c r="AG1183" s="23">
        <f t="shared" si="75"/>
        <v>1</v>
      </c>
    </row>
    <row r="1184" spans="1:33" ht="12.5" customHeight="1" x14ac:dyDescent="0.25">
      <c r="A1184" s="12" t="s">
        <v>31</v>
      </c>
      <c r="B1184" s="9">
        <v>46191</v>
      </c>
      <c r="C1184" s="10" t="s">
        <v>1858</v>
      </c>
      <c r="D1184" s="10" t="s">
        <v>1859</v>
      </c>
      <c r="E1184" s="10" t="s">
        <v>34</v>
      </c>
      <c r="F1184" s="10" t="s">
        <v>35</v>
      </c>
      <c r="G1184" s="10" t="s">
        <v>3146</v>
      </c>
      <c r="H1184" s="8" t="s">
        <v>36</v>
      </c>
      <c r="I1184" s="11">
        <v>180.93</v>
      </c>
      <c r="J1184" s="6">
        <v>165.91281000000001</v>
      </c>
      <c r="K1184" s="6">
        <v>0.91700000000000004</v>
      </c>
      <c r="L1184" s="6">
        <v>168</v>
      </c>
      <c r="M1184" s="11">
        <v>154.05600000000001</v>
      </c>
      <c r="N1184" s="11">
        <f t="shared" si="72"/>
        <v>154.05600000000001</v>
      </c>
      <c r="O1184" s="6">
        <v>0.91700000000000004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12.93</v>
      </c>
      <c r="Z1184" s="6">
        <v>11.856809999999999</v>
      </c>
      <c r="AA1184" s="6">
        <v>0.91699999999999993</v>
      </c>
      <c r="AB1184" s="6">
        <v>-12.930000000000007</v>
      </c>
      <c r="AC1184" s="6">
        <v>12.930000000000007</v>
      </c>
      <c r="AD1184" s="22" t="s">
        <v>3140</v>
      </c>
      <c r="AE1184" s="23">
        <f t="shared" si="73"/>
        <v>154.05600000000001</v>
      </c>
      <c r="AF1184" s="24">
        <f t="shared" si="74"/>
        <v>0</v>
      </c>
      <c r="AG1184" s="23">
        <f t="shared" si="75"/>
        <v>1</v>
      </c>
    </row>
    <row r="1185" spans="1:33" ht="12.5" hidden="1" customHeight="1" x14ac:dyDescent="0.25">
      <c r="A1185" s="12" t="s">
        <v>31</v>
      </c>
      <c r="B1185" s="9">
        <v>46191</v>
      </c>
      <c r="C1185" s="10" t="s">
        <v>1860</v>
      </c>
      <c r="D1185" s="10" t="s">
        <v>1861</v>
      </c>
      <c r="E1185" s="10" t="s">
        <v>34</v>
      </c>
      <c r="F1185" s="10" t="s">
        <v>35</v>
      </c>
      <c r="G1185" s="10" t="s">
        <v>3145</v>
      </c>
      <c r="H1185" s="8" t="s">
        <v>48</v>
      </c>
      <c r="I1185" s="11">
        <v>118.65</v>
      </c>
      <c r="J1185" s="6">
        <v>88.987499999999997</v>
      </c>
      <c r="K1185" s="6">
        <v>0.74999999999999989</v>
      </c>
      <c r="L1185" s="6">
        <v>110.36</v>
      </c>
      <c r="M1185" s="11">
        <v>82.77</v>
      </c>
      <c r="N1185" s="11">
        <f t="shared" si="72"/>
        <v>82.77</v>
      </c>
      <c r="O1185" s="6">
        <v>0.75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8.2899999999999991</v>
      </c>
      <c r="Z1185" s="6">
        <v>6.2175000000000002</v>
      </c>
      <c r="AA1185" s="6">
        <v>0.75000000000000011</v>
      </c>
      <c r="AB1185" s="6">
        <v>-8.2900000000000063</v>
      </c>
      <c r="AC1185" s="6">
        <v>8.2900000000000063</v>
      </c>
      <c r="AD1185" s="22" t="s">
        <v>3140</v>
      </c>
      <c r="AE1185" s="23">
        <f t="shared" si="73"/>
        <v>82.77</v>
      </c>
      <c r="AF1185" s="24">
        <f t="shared" si="74"/>
        <v>0</v>
      </c>
      <c r="AG1185" s="23">
        <f t="shared" si="75"/>
        <v>1</v>
      </c>
    </row>
    <row r="1186" spans="1:33" ht="12.5" customHeight="1" x14ac:dyDescent="0.25">
      <c r="A1186" s="12" t="s">
        <v>31</v>
      </c>
      <c r="B1186" s="9">
        <v>46191</v>
      </c>
      <c r="C1186" s="8" t="s">
        <v>1862</v>
      </c>
      <c r="D1186" s="10" t="s">
        <v>1863</v>
      </c>
      <c r="E1186" s="10" t="s">
        <v>51</v>
      </c>
      <c r="F1186" s="10" t="s">
        <v>35</v>
      </c>
      <c r="G1186" s="10" t="s">
        <v>3146</v>
      </c>
      <c r="H1186" s="8" t="s">
        <v>36</v>
      </c>
      <c r="I1186" s="11">
        <v>80.69</v>
      </c>
      <c r="J1186" s="6">
        <v>73.992729999999995</v>
      </c>
      <c r="K1186" s="6">
        <v>0.91699999999999993</v>
      </c>
      <c r="L1186" s="6">
        <v>75.099999999999994</v>
      </c>
      <c r="M1186" s="11">
        <v>68.866699999999994</v>
      </c>
      <c r="N1186" s="11">
        <f t="shared" si="72"/>
        <v>68.867000000000004</v>
      </c>
      <c r="O1186" s="6">
        <v>0.91700000000000004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5.59</v>
      </c>
      <c r="Z1186" s="6">
        <v>5.1260300000000001</v>
      </c>
      <c r="AA1186" s="6">
        <v>0.91700000000000004</v>
      </c>
      <c r="AB1186" s="6">
        <v>-5.5900000000000034</v>
      </c>
      <c r="AC1186" s="6">
        <v>5.5900000000000034</v>
      </c>
      <c r="AD1186" s="22" t="s">
        <v>3140</v>
      </c>
      <c r="AE1186" s="23">
        <f t="shared" si="73"/>
        <v>68.867000000000004</v>
      </c>
      <c r="AF1186" s="24">
        <f t="shared" si="74"/>
        <v>0</v>
      </c>
      <c r="AG1186" s="23">
        <f t="shared" si="75"/>
        <v>1</v>
      </c>
    </row>
    <row r="1187" spans="1:33" ht="12.5" customHeight="1" x14ac:dyDescent="0.25">
      <c r="A1187" s="12" t="s">
        <v>31</v>
      </c>
      <c r="B1187" s="9">
        <v>46191</v>
      </c>
      <c r="C1187" s="13" t="s">
        <v>1862</v>
      </c>
      <c r="D1187" s="10" t="s">
        <v>1864</v>
      </c>
      <c r="E1187" s="10" t="s">
        <v>51</v>
      </c>
      <c r="F1187" s="10" t="s">
        <v>35</v>
      </c>
      <c r="G1187" s="10" t="s">
        <v>3146</v>
      </c>
      <c r="H1187" s="8" t="s">
        <v>36</v>
      </c>
      <c r="I1187" s="11">
        <v>46.8</v>
      </c>
      <c r="J1187" s="6">
        <v>42.915599999999998</v>
      </c>
      <c r="K1187" s="6">
        <v>0.91700000000000004</v>
      </c>
      <c r="L1187" s="6">
        <v>43.4</v>
      </c>
      <c r="M1187" s="11">
        <v>39.797800000000002</v>
      </c>
      <c r="N1187" s="11">
        <f t="shared" si="72"/>
        <v>39.797999999999995</v>
      </c>
      <c r="O1187" s="6">
        <v>0.91700000000000004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3.4</v>
      </c>
      <c r="Z1187" s="6">
        <v>3.1177999999999999</v>
      </c>
      <c r="AA1187" s="6">
        <v>0.91700000000000004</v>
      </c>
      <c r="AB1187" s="6">
        <v>-3.3999999999999986</v>
      </c>
      <c r="AC1187" s="6">
        <v>3.3999999999999986</v>
      </c>
      <c r="AD1187" s="22" t="s">
        <v>3140</v>
      </c>
      <c r="AE1187" s="23">
        <f t="shared" si="73"/>
        <v>39.797999999999995</v>
      </c>
      <c r="AF1187" s="24">
        <f t="shared" si="74"/>
        <v>0</v>
      </c>
      <c r="AG1187" s="23">
        <f t="shared" si="75"/>
        <v>1</v>
      </c>
    </row>
    <row r="1188" spans="1:33" hidden="1" x14ac:dyDescent="0.25">
      <c r="A1188" s="12" t="s">
        <v>31</v>
      </c>
      <c r="B1188" s="9">
        <v>46191</v>
      </c>
      <c r="C1188" s="10" t="s">
        <v>1865</v>
      </c>
      <c r="D1188" s="10" t="s">
        <v>1866</v>
      </c>
      <c r="E1188" s="10" t="s">
        <v>51</v>
      </c>
      <c r="F1188" s="10" t="s">
        <v>35</v>
      </c>
      <c r="G1188" s="10" t="s">
        <v>3145</v>
      </c>
      <c r="H1188" s="8" t="s">
        <v>41</v>
      </c>
      <c r="I1188" s="11">
        <v>14.83</v>
      </c>
      <c r="J1188" s="6">
        <v>11.1225</v>
      </c>
      <c r="K1188" s="6">
        <v>0.75</v>
      </c>
      <c r="L1188" s="6">
        <v>14.06</v>
      </c>
      <c r="M1188" s="11">
        <v>10.545</v>
      </c>
      <c r="N1188" s="11">
        <f t="shared" si="72"/>
        <v>10.545</v>
      </c>
      <c r="O1188" s="6">
        <v>0.75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0.77</v>
      </c>
      <c r="Z1188" s="6">
        <v>0.57750000000000001</v>
      </c>
      <c r="AA1188" s="6">
        <v>0.75</v>
      </c>
      <c r="AB1188" s="6">
        <v>-0.76999999999999957</v>
      </c>
      <c r="AC1188" s="6">
        <v>0.76999999999999957</v>
      </c>
      <c r="AD1188" s="22" t="s">
        <v>3140</v>
      </c>
      <c r="AE1188" s="23">
        <f t="shared" si="73"/>
        <v>10.545</v>
      </c>
      <c r="AF1188" s="24">
        <f t="shared" si="74"/>
        <v>0</v>
      </c>
      <c r="AG1188" s="23">
        <f t="shared" si="75"/>
        <v>2</v>
      </c>
    </row>
    <row r="1189" spans="1:33" x14ac:dyDescent="0.25">
      <c r="A1189" s="12" t="s">
        <v>31</v>
      </c>
      <c r="B1189" s="9">
        <v>46191</v>
      </c>
      <c r="C1189" s="10" t="s">
        <v>1867</v>
      </c>
      <c r="D1189" s="10" t="s">
        <v>1868</v>
      </c>
      <c r="E1189" s="10" t="s">
        <v>51</v>
      </c>
      <c r="F1189" s="10" t="s">
        <v>35</v>
      </c>
      <c r="G1189" s="10" t="s">
        <v>3146</v>
      </c>
      <c r="H1189" s="8" t="s">
        <v>36</v>
      </c>
      <c r="I1189" s="11">
        <v>53.5</v>
      </c>
      <c r="J1189" s="6">
        <v>49.0595</v>
      </c>
      <c r="K1189" s="6">
        <v>0.91700000000000004</v>
      </c>
      <c r="L1189" s="6">
        <v>51.73</v>
      </c>
      <c r="M1189" s="11">
        <v>47.436410000000002</v>
      </c>
      <c r="N1189" s="11">
        <f t="shared" si="72"/>
        <v>47.436999999999998</v>
      </c>
      <c r="O1189" s="6">
        <v>0.91700000000000015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1.77</v>
      </c>
      <c r="Z1189" s="6">
        <v>1.6230899999999999</v>
      </c>
      <c r="AA1189" s="6">
        <v>0.91699999999999993</v>
      </c>
      <c r="AB1189" s="6">
        <v>-1.7700000000000031</v>
      </c>
      <c r="AC1189" s="6">
        <v>1.7700000000000031</v>
      </c>
      <c r="AD1189" s="23" t="s">
        <v>3143</v>
      </c>
      <c r="AE1189" s="23">
        <f t="shared" si="73"/>
        <v>46.170999999999999</v>
      </c>
      <c r="AF1189" s="24">
        <f t="shared" si="74"/>
        <v>1.2659999999999982</v>
      </c>
      <c r="AG1189" s="23">
        <f t="shared" si="75"/>
        <v>2</v>
      </c>
    </row>
    <row r="1190" spans="1:33" x14ac:dyDescent="0.25">
      <c r="A1190" s="12" t="s">
        <v>31</v>
      </c>
      <c r="B1190" s="9">
        <v>46191</v>
      </c>
      <c r="C1190" s="10" t="s">
        <v>1869</v>
      </c>
      <c r="D1190" s="10" t="s">
        <v>1870</v>
      </c>
      <c r="E1190" s="10" t="s">
        <v>51</v>
      </c>
      <c r="F1190" s="10" t="s">
        <v>35</v>
      </c>
      <c r="G1190" s="10" t="s">
        <v>3146</v>
      </c>
      <c r="H1190" s="8" t="s">
        <v>36</v>
      </c>
      <c r="I1190" s="11">
        <v>117.28</v>
      </c>
      <c r="J1190" s="6">
        <v>107.54576</v>
      </c>
      <c r="K1190" s="6">
        <v>0.91700000000000004</v>
      </c>
      <c r="L1190" s="6">
        <v>113.95</v>
      </c>
      <c r="M1190" s="11">
        <v>104.49215</v>
      </c>
      <c r="N1190" s="11">
        <f t="shared" si="72"/>
        <v>104.49300000000001</v>
      </c>
      <c r="O1190" s="6">
        <v>0.91699999999999993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3.33</v>
      </c>
      <c r="Z1190" s="6">
        <v>3.0536099999999999</v>
      </c>
      <c r="AA1190" s="6">
        <v>0.91699999999999993</v>
      </c>
      <c r="AB1190" s="6">
        <v>-3.3299999999999983</v>
      </c>
      <c r="AC1190" s="6">
        <v>3.3299999999999983</v>
      </c>
      <c r="AD1190" s="22" t="s">
        <v>3140</v>
      </c>
      <c r="AE1190" s="23">
        <f t="shared" si="73"/>
        <v>104.49300000000001</v>
      </c>
      <c r="AF1190" s="24">
        <f t="shared" si="74"/>
        <v>0</v>
      </c>
      <c r="AG1190" s="23">
        <f t="shared" si="75"/>
        <v>1</v>
      </c>
    </row>
    <row r="1191" spans="1:33" ht="20" hidden="1" customHeight="1" x14ac:dyDescent="0.25">
      <c r="A1191" s="12" t="s">
        <v>31</v>
      </c>
      <c r="B1191" s="9">
        <v>46191</v>
      </c>
      <c r="C1191" s="10" t="s">
        <v>1871</v>
      </c>
      <c r="D1191" s="10" t="s">
        <v>1872</v>
      </c>
      <c r="E1191" s="10" t="s">
        <v>51</v>
      </c>
      <c r="F1191" s="10" t="s">
        <v>35</v>
      </c>
      <c r="G1191" s="10" t="s">
        <v>3145</v>
      </c>
      <c r="H1191" s="8" t="s">
        <v>48</v>
      </c>
      <c r="I1191" s="11">
        <v>31.89</v>
      </c>
      <c r="J1191" s="6">
        <v>23.9175</v>
      </c>
      <c r="K1191" s="6">
        <v>0.75</v>
      </c>
      <c r="L1191" s="6">
        <v>28.16</v>
      </c>
      <c r="M1191" s="11">
        <v>21.12</v>
      </c>
      <c r="N1191" s="11">
        <f t="shared" si="72"/>
        <v>21.12</v>
      </c>
      <c r="O1191" s="6">
        <v>0.75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3.73</v>
      </c>
      <c r="Z1191" s="6">
        <v>2.7974999999999999</v>
      </c>
      <c r="AA1191" s="6">
        <v>0.75</v>
      </c>
      <c r="AB1191" s="6">
        <v>-3.7300000000000004</v>
      </c>
      <c r="AC1191" s="6">
        <v>3.7300000000000004</v>
      </c>
      <c r="AD1191" s="22" t="s">
        <v>3140</v>
      </c>
      <c r="AE1191" s="23">
        <f t="shared" si="73"/>
        <v>21.12</v>
      </c>
      <c r="AF1191" s="24">
        <f t="shared" si="74"/>
        <v>0</v>
      </c>
      <c r="AG1191" s="23">
        <f t="shared" si="75"/>
        <v>1</v>
      </c>
    </row>
    <row r="1192" spans="1:33" x14ac:dyDescent="0.25">
      <c r="A1192" s="12" t="s">
        <v>31</v>
      </c>
      <c r="B1192" s="9">
        <v>46191</v>
      </c>
      <c r="C1192" s="10" t="s">
        <v>1873</v>
      </c>
      <c r="D1192" s="10" t="s">
        <v>1725</v>
      </c>
      <c r="E1192" s="10" t="s">
        <v>51</v>
      </c>
      <c r="F1192" s="10" t="s">
        <v>35</v>
      </c>
      <c r="G1192" s="10" t="s">
        <v>3146</v>
      </c>
      <c r="H1192" s="8" t="s">
        <v>36</v>
      </c>
      <c r="I1192" s="11">
        <v>42.85</v>
      </c>
      <c r="J1192" s="6">
        <v>39.29345</v>
      </c>
      <c r="K1192" s="6">
        <v>0.91699999999999993</v>
      </c>
      <c r="L1192" s="6">
        <v>40.74</v>
      </c>
      <c r="M1192" s="11">
        <v>37.358580000000003</v>
      </c>
      <c r="N1192" s="11">
        <f t="shared" si="72"/>
        <v>37.358999999999995</v>
      </c>
      <c r="O1192" s="6">
        <v>0.91700000000000004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2.11</v>
      </c>
      <c r="Z1192" s="6">
        <v>1.9348700000000001</v>
      </c>
      <c r="AA1192" s="6">
        <v>0.91700000000000015</v>
      </c>
      <c r="AB1192" s="6">
        <v>-2.1099999999999994</v>
      </c>
      <c r="AC1192" s="6">
        <v>2.1099999999999994</v>
      </c>
      <c r="AD1192" s="23" t="s">
        <v>3143</v>
      </c>
      <c r="AE1192" s="23">
        <f t="shared" si="73"/>
        <v>33.387999999999998</v>
      </c>
      <c r="AF1192" s="24">
        <f t="shared" si="74"/>
        <v>3.9709999999999965</v>
      </c>
      <c r="AG1192" s="23">
        <f t="shared" si="75"/>
        <v>2</v>
      </c>
    </row>
    <row r="1193" spans="1:33" x14ac:dyDescent="0.25">
      <c r="A1193" s="12" t="s">
        <v>31</v>
      </c>
      <c r="B1193" s="9">
        <v>46191</v>
      </c>
      <c r="C1193" s="10" t="s">
        <v>1874</v>
      </c>
      <c r="D1193" s="10" t="s">
        <v>1875</v>
      </c>
      <c r="E1193" s="10" t="s">
        <v>51</v>
      </c>
      <c r="F1193" s="10" t="s">
        <v>35</v>
      </c>
      <c r="G1193" s="10" t="s">
        <v>3146</v>
      </c>
      <c r="H1193" s="8" t="s">
        <v>36</v>
      </c>
      <c r="I1193" s="11">
        <v>42.68</v>
      </c>
      <c r="J1193" s="6">
        <v>39.137560000000001</v>
      </c>
      <c r="K1193" s="6">
        <v>0.91700000000000004</v>
      </c>
      <c r="L1193" s="6">
        <v>38.729999999999997</v>
      </c>
      <c r="M1193" s="11">
        <v>35.515410000000003</v>
      </c>
      <c r="N1193" s="11">
        <f t="shared" si="72"/>
        <v>35.515999999999998</v>
      </c>
      <c r="O1193" s="6">
        <v>0.91700000000000015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3.95</v>
      </c>
      <c r="Z1193" s="6">
        <v>3.62215</v>
      </c>
      <c r="AA1193" s="6">
        <v>0.91699999999999993</v>
      </c>
      <c r="AB1193" s="6">
        <v>-3.9500000000000028</v>
      </c>
      <c r="AC1193" s="6">
        <v>3.9500000000000028</v>
      </c>
      <c r="AD1193" s="23" t="s">
        <v>3143</v>
      </c>
      <c r="AE1193" s="23">
        <f t="shared" si="73"/>
        <v>35.305</v>
      </c>
      <c r="AF1193" s="24">
        <f t="shared" si="74"/>
        <v>0.21099999999999852</v>
      </c>
      <c r="AG1193" s="23">
        <f t="shared" si="75"/>
        <v>2</v>
      </c>
    </row>
    <row r="1194" spans="1:33" x14ac:dyDescent="0.25">
      <c r="A1194" s="12" t="s">
        <v>31</v>
      </c>
      <c r="B1194" s="9">
        <v>46191</v>
      </c>
      <c r="C1194" s="10" t="s">
        <v>1876</v>
      </c>
      <c r="D1194" s="10" t="s">
        <v>1877</v>
      </c>
      <c r="E1194" s="10" t="s">
        <v>51</v>
      </c>
      <c r="F1194" s="10" t="s">
        <v>35</v>
      </c>
      <c r="G1194" s="10" t="s">
        <v>3146</v>
      </c>
      <c r="H1194" s="8" t="s">
        <v>36</v>
      </c>
      <c r="I1194" s="11">
        <v>14.11</v>
      </c>
      <c r="J1194" s="6">
        <v>12.93887</v>
      </c>
      <c r="K1194" s="6">
        <v>0.91700000000000004</v>
      </c>
      <c r="L1194" s="6">
        <v>13.22</v>
      </c>
      <c r="M1194" s="11">
        <v>12.12274</v>
      </c>
      <c r="N1194" s="11">
        <f t="shared" si="72"/>
        <v>12.122999999999999</v>
      </c>
      <c r="O1194" s="6">
        <v>0.91699999999999993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0.89</v>
      </c>
      <c r="Z1194" s="6">
        <v>0.81613000000000002</v>
      </c>
      <c r="AA1194" s="6">
        <v>0.91700000000000004</v>
      </c>
      <c r="AB1194" s="6">
        <v>-0.88999999999999879</v>
      </c>
      <c r="AC1194" s="6">
        <v>0.88999999999999879</v>
      </c>
      <c r="AD1194" s="23" t="s">
        <v>3143</v>
      </c>
      <c r="AE1194" s="23">
        <f t="shared" si="73"/>
        <v>10.985999999999999</v>
      </c>
      <c r="AF1194" s="24">
        <f t="shared" si="74"/>
        <v>1.1370000000000005</v>
      </c>
      <c r="AG1194" s="23">
        <f t="shared" si="75"/>
        <v>2</v>
      </c>
    </row>
    <row r="1195" spans="1:33" x14ac:dyDescent="0.25">
      <c r="A1195" s="12" t="s">
        <v>31</v>
      </c>
      <c r="B1195" s="9">
        <v>46191</v>
      </c>
      <c r="C1195" s="10" t="s">
        <v>1878</v>
      </c>
      <c r="D1195" s="10" t="s">
        <v>1879</v>
      </c>
      <c r="E1195" s="10" t="s">
        <v>51</v>
      </c>
      <c r="F1195" s="10" t="s">
        <v>35</v>
      </c>
      <c r="G1195" s="10" t="s">
        <v>3146</v>
      </c>
      <c r="H1195" s="8" t="s">
        <v>36</v>
      </c>
      <c r="I1195" s="11">
        <v>13.37</v>
      </c>
      <c r="J1195" s="6">
        <v>12.260289999999999</v>
      </c>
      <c r="K1195" s="6">
        <v>0.91700000000000004</v>
      </c>
      <c r="L1195" s="6">
        <v>12.82</v>
      </c>
      <c r="M1195" s="11">
        <v>11.755940000000001</v>
      </c>
      <c r="N1195" s="11">
        <f t="shared" si="72"/>
        <v>11.756</v>
      </c>
      <c r="O1195" s="6">
        <v>0.91700000000000004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0.55000000000000004</v>
      </c>
      <c r="Z1195" s="6">
        <v>0.50434999999999997</v>
      </c>
      <c r="AA1195" s="6">
        <v>0.91699999999999982</v>
      </c>
      <c r="AB1195" s="6">
        <v>-0.54999999999999893</v>
      </c>
      <c r="AC1195" s="6">
        <v>0.54999999999999893</v>
      </c>
      <c r="AD1195" s="22" t="s">
        <v>3140</v>
      </c>
      <c r="AE1195" s="23">
        <f t="shared" si="73"/>
        <v>11.756</v>
      </c>
      <c r="AF1195" s="24">
        <f t="shared" si="74"/>
        <v>0</v>
      </c>
      <c r="AG1195" s="23">
        <f t="shared" si="75"/>
        <v>1</v>
      </c>
    </row>
    <row r="1196" spans="1:33" x14ac:dyDescent="0.25">
      <c r="A1196" s="12" t="s">
        <v>31</v>
      </c>
      <c r="B1196" s="9">
        <v>46191</v>
      </c>
      <c r="C1196" s="10" t="s">
        <v>1880</v>
      </c>
      <c r="D1196" s="10" t="s">
        <v>1881</v>
      </c>
      <c r="E1196" s="10" t="s">
        <v>51</v>
      </c>
      <c r="F1196" s="10" t="s">
        <v>35</v>
      </c>
      <c r="G1196" s="10" t="s">
        <v>3146</v>
      </c>
      <c r="H1196" s="8" t="s">
        <v>36</v>
      </c>
      <c r="I1196" s="11">
        <v>14.06</v>
      </c>
      <c r="J1196" s="6">
        <v>12.89302</v>
      </c>
      <c r="K1196" s="6">
        <v>0.91699999999999993</v>
      </c>
      <c r="L1196" s="6">
        <v>13.29</v>
      </c>
      <c r="M1196" s="11">
        <v>12.18693</v>
      </c>
      <c r="N1196" s="11">
        <f t="shared" si="72"/>
        <v>12.186999999999999</v>
      </c>
      <c r="O1196" s="6">
        <v>0.91700000000000004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0.77</v>
      </c>
      <c r="Z1196" s="6">
        <v>0.70609</v>
      </c>
      <c r="AA1196" s="6">
        <v>0.91699999999999993</v>
      </c>
      <c r="AB1196" s="6">
        <v>-0.77000000000000135</v>
      </c>
      <c r="AC1196" s="6">
        <v>0.77000000000000135</v>
      </c>
      <c r="AD1196" s="22" t="s">
        <v>3140</v>
      </c>
      <c r="AE1196" s="23">
        <f t="shared" si="73"/>
        <v>12.186999999999999</v>
      </c>
      <c r="AF1196" s="24">
        <f t="shared" si="74"/>
        <v>0</v>
      </c>
      <c r="AG1196" s="23">
        <f t="shared" si="75"/>
        <v>1</v>
      </c>
    </row>
    <row r="1197" spans="1:33" x14ac:dyDescent="0.25">
      <c r="A1197" s="12" t="s">
        <v>31</v>
      </c>
      <c r="B1197" s="9">
        <v>46191</v>
      </c>
      <c r="C1197" s="10" t="s">
        <v>1882</v>
      </c>
      <c r="D1197" s="10" t="s">
        <v>1883</v>
      </c>
      <c r="E1197" s="10" t="s">
        <v>51</v>
      </c>
      <c r="F1197" s="10" t="s">
        <v>35</v>
      </c>
      <c r="G1197" s="10" t="s">
        <v>3146</v>
      </c>
      <c r="H1197" s="8" t="s">
        <v>36</v>
      </c>
      <c r="I1197" s="11">
        <v>47.15</v>
      </c>
      <c r="J1197" s="6">
        <v>43.236550000000001</v>
      </c>
      <c r="K1197" s="6">
        <v>0.91700000000000004</v>
      </c>
      <c r="L1197" s="6">
        <v>43.84</v>
      </c>
      <c r="M1197" s="11">
        <v>40.201279999999997</v>
      </c>
      <c r="N1197" s="11">
        <f t="shared" si="72"/>
        <v>40.201999999999998</v>
      </c>
      <c r="O1197" s="6">
        <v>0.91699999999999982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3.31</v>
      </c>
      <c r="Z1197" s="6">
        <v>3.0352700000000001</v>
      </c>
      <c r="AA1197" s="6">
        <v>0.91700000000000004</v>
      </c>
      <c r="AB1197" s="6">
        <v>-3.3099999999999952</v>
      </c>
      <c r="AC1197" s="6">
        <v>3.3099999999999952</v>
      </c>
      <c r="AD1197" s="22" t="s">
        <v>3140</v>
      </c>
      <c r="AE1197" s="23">
        <f t="shared" si="73"/>
        <v>40.201999999999998</v>
      </c>
      <c r="AF1197" s="24">
        <f t="shared" si="74"/>
        <v>0</v>
      </c>
      <c r="AG1197" s="23">
        <f t="shared" si="75"/>
        <v>1</v>
      </c>
    </row>
    <row r="1198" spans="1:33" x14ac:dyDescent="0.25">
      <c r="A1198" s="12" t="s">
        <v>31</v>
      </c>
      <c r="B1198" s="9">
        <v>46191</v>
      </c>
      <c r="C1198" s="10" t="s">
        <v>1884</v>
      </c>
      <c r="D1198" s="10" t="s">
        <v>1885</v>
      </c>
      <c r="E1198" s="10" t="s">
        <v>51</v>
      </c>
      <c r="F1198" s="10" t="s">
        <v>35</v>
      </c>
      <c r="G1198" s="10" t="s">
        <v>3146</v>
      </c>
      <c r="H1198" s="8" t="s">
        <v>36</v>
      </c>
      <c r="I1198" s="11">
        <v>71.599999999999994</v>
      </c>
      <c r="J1198" s="6">
        <v>65.657200000000003</v>
      </c>
      <c r="K1198" s="6">
        <v>0.91700000000000015</v>
      </c>
      <c r="L1198" s="6">
        <v>63.47</v>
      </c>
      <c r="M1198" s="11">
        <v>58.201990000000002</v>
      </c>
      <c r="N1198" s="11">
        <f t="shared" si="72"/>
        <v>58.201999999999998</v>
      </c>
      <c r="O1198" s="6">
        <v>0.91700000000000004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8.1300000000000008</v>
      </c>
      <c r="Z1198" s="6">
        <v>7.4552100000000001</v>
      </c>
      <c r="AA1198" s="6">
        <v>0.91699999999999993</v>
      </c>
      <c r="AB1198" s="6">
        <v>-8.1299999999999955</v>
      </c>
      <c r="AC1198" s="6">
        <v>8.1299999999999955</v>
      </c>
      <c r="AD1198" s="22" t="s">
        <v>3140</v>
      </c>
      <c r="AE1198" s="23">
        <f t="shared" si="73"/>
        <v>58.201999999999998</v>
      </c>
      <c r="AF1198" s="24">
        <f t="shared" si="74"/>
        <v>0</v>
      </c>
      <c r="AG1198" s="23">
        <f t="shared" si="75"/>
        <v>1</v>
      </c>
    </row>
    <row r="1199" spans="1:33" hidden="1" x14ac:dyDescent="0.25">
      <c r="A1199" s="12" t="s">
        <v>31</v>
      </c>
      <c r="B1199" s="9">
        <v>46191</v>
      </c>
      <c r="C1199" s="10" t="s">
        <v>1886</v>
      </c>
      <c r="D1199" s="10" t="s">
        <v>1887</v>
      </c>
      <c r="E1199" s="10" t="s">
        <v>51</v>
      </c>
      <c r="F1199" s="10" t="s">
        <v>35</v>
      </c>
      <c r="G1199" s="10" t="s">
        <v>3145</v>
      </c>
      <c r="H1199" s="8" t="s">
        <v>41</v>
      </c>
      <c r="I1199" s="11">
        <v>75.92</v>
      </c>
      <c r="J1199" s="6">
        <v>56.94</v>
      </c>
      <c r="K1199" s="6">
        <v>0.75</v>
      </c>
      <c r="L1199" s="6">
        <v>71.53</v>
      </c>
      <c r="M1199" s="11">
        <v>53.647500000000001</v>
      </c>
      <c r="N1199" s="11">
        <f t="shared" si="72"/>
        <v>53.647999999999996</v>
      </c>
      <c r="O1199" s="6">
        <v>0.75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4.3899999999999997</v>
      </c>
      <c r="Z1199" s="6">
        <v>3.2925</v>
      </c>
      <c r="AA1199" s="6">
        <v>0.75</v>
      </c>
      <c r="AB1199" s="6">
        <v>-4.3900000000000006</v>
      </c>
      <c r="AC1199" s="6">
        <v>4.3900000000000006</v>
      </c>
      <c r="AD1199" s="23" t="s">
        <v>3143</v>
      </c>
      <c r="AE1199" s="23">
        <f t="shared" si="73"/>
        <v>50.768000000000001</v>
      </c>
      <c r="AF1199" s="24">
        <f t="shared" si="74"/>
        <v>2.8799999999999955</v>
      </c>
      <c r="AG1199" s="23">
        <f t="shared" si="75"/>
        <v>2</v>
      </c>
    </row>
    <row r="1200" spans="1:33" x14ac:dyDescent="0.25">
      <c r="A1200" s="12" t="s">
        <v>31</v>
      </c>
      <c r="B1200" s="9">
        <v>46191</v>
      </c>
      <c r="C1200" s="10" t="s">
        <v>1888</v>
      </c>
      <c r="D1200" s="10" t="s">
        <v>1868</v>
      </c>
      <c r="E1200" s="10" t="s">
        <v>51</v>
      </c>
      <c r="F1200" s="10" t="s">
        <v>35</v>
      </c>
      <c r="G1200" s="10" t="s">
        <v>3146</v>
      </c>
      <c r="H1200" s="8" t="s">
        <v>36</v>
      </c>
      <c r="I1200" s="11">
        <v>50.35</v>
      </c>
      <c r="J1200" s="6">
        <v>46.170949999999998</v>
      </c>
      <c r="K1200" s="6">
        <v>0.91699999999999993</v>
      </c>
      <c r="L1200" s="6">
        <v>50.35</v>
      </c>
      <c r="M1200" s="11">
        <v>46.170949999999998</v>
      </c>
      <c r="N1200" s="11">
        <f t="shared" si="72"/>
        <v>46.170999999999999</v>
      </c>
      <c r="O1200" s="6">
        <v>0.91699999999999993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22" t="s">
        <v>3140</v>
      </c>
      <c r="AE1200" s="23">
        <f t="shared" si="73"/>
        <v>46.170999999999999</v>
      </c>
      <c r="AF1200" s="24">
        <f t="shared" si="74"/>
        <v>0</v>
      </c>
      <c r="AG1200" s="23">
        <f t="shared" si="75"/>
        <v>2</v>
      </c>
    </row>
    <row r="1201" spans="1:33" ht="20" hidden="1" customHeight="1" x14ac:dyDescent="0.25">
      <c r="A1201" s="12" t="s">
        <v>31</v>
      </c>
      <c r="B1201" s="9">
        <v>46191</v>
      </c>
      <c r="C1201" s="10" t="s">
        <v>1889</v>
      </c>
      <c r="D1201" s="10" t="s">
        <v>1890</v>
      </c>
      <c r="E1201" s="10" t="s">
        <v>51</v>
      </c>
      <c r="F1201" s="10" t="s">
        <v>35</v>
      </c>
      <c r="G1201" s="10" t="s">
        <v>3145</v>
      </c>
      <c r="H1201" s="8" t="s">
        <v>48</v>
      </c>
      <c r="I1201" s="11">
        <v>28.75</v>
      </c>
      <c r="J1201" s="6">
        <v>21.5625</v>
      </c>
      <c r="K1201" s="6">
        <v>0.75</v>
      </c>
      <c r="L1201" s="6">
        <v>25.31</v>
      </c>
      <c r="M1201" s="11">
        <v>18.982500000000002</v>
      </c>
      <c r="N1201" s="11">
        <f t="shared" si="72"/>
        <v>18.983000000000001</v>
      </c>
      <c r="O1201" s="6">
        <v>0.75000000000000011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3.44</v>
      </c>
      <c r="Z1201" s="6">
        <v>2.58</v>
      </c>
      <c r="AA1201" s="6">
        <v>0.75</v>
      </c>
      <c r="AB1201" s="6">
        <v>-3.4400000000000013</v>
      </c>
      <c r="AC1201" s="6">
        <v>3.4400000000000013</v>
      </c>
      <c r="AD1201" s="22" t="s">
        <v>3140</v>
      </c>
      <c r="AE1201" s="23">
        <f t="shared" si="73"/>
        <v>18.983000000000001</v>
      </c>
      <c r="AF1201" s="24">
        <f t="shared" si="74"/>
        <v>0</v>
      </c>
      <c r="AG1201" s="23">
        <f t="shared" si="75"/>
        <v>1</v>
      </c>
    </row>
    <row r="1202" spans="1:33" x14ac:dyDescent="0.25">
      <c r="A1202" s="12" t="s">
        <v>31</v>
      </c>
      <c r="B1202" s="9">
        <v>46191</v>
      </c>
      <c r="C1202" s="10" t="s">
        <v>1891</v>
      </c>
      <c r="D1202" s="10" t="s">
        <v>1798</v>
      </c>
      <c r="E1202" s="10" t="s">
        <v>51</v>
      </c>
      <c r="F1202" s="10" t="s">
        <v>35</v>
      </c>
      <c r="G1202" s="10" t="s">
        <v>3146</v>
      </c>
      <c r="H1202" s="8" t="s">
        <v>36</v>
      </c>
      <c r="I1202" s="11">
        <v>80.430000000000007</v>
      </c>
      <c r="J1202" s="6">
        <v>73.754310000000004</v>
      </c>
      <c r="K1202" s="6">
        <v>0.91699999999999993</v>
      </c>
      <c r="L1202" s="6">
        <v>77.540000000000006</v>
      </c>
      <c r="M1202" s="11">
        <v>71.104179999999999</v>
      </c>
      <c r="N1202" s="11">
        <f t="shared" si="72"/>
        <v>71.105000000000004</v>
      </c>
      <c r="O1202" s="6">
        <v>0.91699999999999993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2.89</v>
      </c>
      <c r="Z1202" s="6">
        <v>2.6501299999999999</v>
      </c>
      <c r="AA1202" s="6">
        <v>0.91699999999999993</v>
      </c>
      <c r="AB1202" s="6">
        <v>-2.8900000000000006</v>
      </c>
      <c r="AC1202" s="6">
        <v>2.8900000000000006</v>
      </c>
      <c r="AD1202" s="23" t="s">
        <v>3143</v>
      </c>
      <c r="AE1202" s="23">
        <f t="shared" si="73"/>
        <v>70.838999999999999</v>
      </c>
      <c r="AF1202" s="24">
        <f t="shared" si="74"/>
        <v>0.26600000000000534</v>
      </c>
      <c r="AG1202" s="23">
        <f t="shared" si="75"/>
        <v>3</v>
      </c>
    </row>
    <row r="1203" spans="1:33" x14ac:dyDescent="0.25">
      <c r="A1203" s="12" t="s">
        <v>31</v>
      </c>
      <c r="B1203" s="9">
        <v>46191</v>
      </c>
      <c r="C1203" s="10" t="s">
        <v>1892</v>
      </c>
      <c r="D1203" s="10" t="s">
        <v>1893</v>
      </c>
      <c r="E1203" s="10" t="s">
        <v>51</v>
      </c>
      <c r="F1203" s="10" t="s">
        <v>35</v>
      </c>
      <c r="G1203" s="10" t="s">
        <v>3146</v>
      </c>
      <c r="H1203" s="8" t="s">
        <v>36</v>
      </c>
      <c r="I1203" s="11">
        <v>13.04</v>
      </c>
      <c r="J1203" s="6">
        <v>11.95768</v>
      </c>
      <c r="K1203" s="6">
        <v>0.91700000000000004</v>
      </c>
      <c r="L1203" s="6">
        <v>12.36</v>
      </c>
      <c r="M1203" s="11">
        <v>11.33412</v>
      </c>
      <c r="N1203" s="11">
        <f t="shared" si="72"/>
        <v>11.334999999999999</v>
      </c>
      <c r="O1203" s="6">
        <v>0.91700000000000004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0.68</v>
      </c>
      <c r="Z1203" s="6">
        <v>0.62356</v>
      </c>
      <c r="AA1203" s="6">
        <v>0.91699999999999993</v>
      </c>
      <c r="AB1203" s="6">
        <v>-0.67999999999999972</v>
      </c>
      <c r="AC1203" s="6">
        <v>0.67999999999999972</v>
      </c>
      <c r="AD1203" s="22" t="s">
        <v>3140</v>
      </c>
      <c r="AE1203" s="23">
        <f t="shared" si="73"/>
        <v>11.334999999999999</v>
      </c>
      <c r="AF1203" s="24">
        <f t="shared" si="74"/>
        <v>0</v>
      </c>
      <c r="AG1203" s="23">
        <f t="shared" si="75"/>
        <v>1</v>
      </c>
    </row>
    <row r="1204" spans="1:33" hidden="1" x14ac:dyDescent="0.25">
      <c r="A1204" s="12" t="s">
        <v>31</v>
      </c>
      <c r="B1204" s="9">
        <v>46191</v>
      </c>
      <c r="C1204" s="10" t="s">
        <v>1894</v>
      </c>
      <c r="D1204" s="10" t="s">
        <v>1895</v>
      </c>
      <c r="E1204" s="10" t="s">
        <v>51</v>
      </c>
      <c r="F1204" s="10" t="s">
        <v>35</v>
      </c>
      <c r="G1204" s="10" t="s">
        <v>3145</v>
      </c>
      <c r="H1204" s="8" t="s">
        <v>41</v>
      </c>
      <c r="I1204" s="11">
        <v>14.21</v>
      </c>
      <c r="J1204" s="6">
        <v>10.657500000000001</v>
      </c>
      <c r="K1204" s="6">
        <v>0.75</v>
      </c>
      <c r="L1204" s="6">
        <v>12.83</v>
      </c>
      <c r="M1204" s="11">
        <v>9.6225000000000005</v>
      </c>
      <c r="N1204" s="11">
        <f t="shared" si="72"/>
        <v>9.6229999999999993</v>
      </c>
      <c r="O1204" s="6">
        <v>0.75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1.38</v>
      </c>
      <c r="Z1204" s="6">
        <v>1.0349999999999999</v>
      </c>
      <c r="AA1204" s="6">
        <v>0.75</v>
      </c>
      <c r="AB1204" s="6">
        <v>-1.3800000000000008</v>
      </c>
      <c r="AC1204" s="6">
        <v>1.3800000000000008</v>
      </c>
      <c r="AD1204" s="22" t="s">
        <v>3140</v>
      </c>
      <c r="AE1204" s="23">
        <f t="shared" si="73"/>
        <v>9.6229999999999993</v>
      </c>
      <c r="AF1204" s="24">
        <f t="shared" si="74"/>
        <v>0</v>
      </c>
      <c r="AG1204" s="23">
        <f t="shared" si="75"/>
        <v>1</v>
      </c>
    </row>
    <row r="1205" spans="1:33" hidden="1" x14ac:dyDescent="0.25">
      <c r="A1205" s="12" t="s">
        <v>31</v>
      </c>
      <c r="B1205" s="9">
        <v>46191</v>
      </c>
      <c r="C1205" s="10" t="s">
        <v>1896</v>
      </c>
      <c r="D1205" s="10" t="s">
        <v>1897</v>
      </c>
      <c r="E1205" s="10" t="s">
        <v>51</v>
      </c>
      <c r="F1205" s="10" t="s">
        <v>35</v>
      </c>
      <c r="G1205" s="10" t="s">
        <v>3145</v>
      </c>
      <c r="H1205" s="8" t="s">
        <v>41</v>
      </c>
      <c r="I1205" s="11">
        <v>19.260000000000002</v>
      </c>
      <c r="J1205" s="6">
        <v>14.445</v>
      </c>
      <c r="K1205" s="6">
        <v>0.75</v>
      </c>
      <c r="L1205" s="6">
        <v>17.25</v>
      </c>
      <c r="M1205" s="11">
        <v>12.9375</v>
      </c>
      <c r="N1205" s="11">
        <f t="shared" si="72"/>
        <v>12.937999999999999</v>
      </c>
      <c r="O1205" s="6">
        <v>0.75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2.0099999999999998</v>
      </c>
      <c r="Z1205" s="6">
        <v>1.5075000000000001</v>
      </c>
      <c r="AA1205" s="6">
        <v>0.75000000000000011</v>
      </c>
      <c r="AB1205" s="6">
        <v>-2.0100000000000016</v>
      </c>
      <c r="AC1205" s="6">
        <v>2.0100000000000016</v>
      </c>
      <c r="AD1205" s="22" t="s">
        <v>3140</v>
      </c>
      <c r="AE1205" s="23">
        <f t="shared" si="73"/>
        <v>12.937999999999999</v>
      </c>
      <c r="AF1205" s="24">
        <f t="shared" si="74"/>
        <v>0</v>
      </c>
      <c r="AG1205" s="23">
        <f t="shared" si="75"/>
        <v>1</v>
      </c>
    </row>
    <row r="1206" spans="1:33" x14ac:dyDescent="0.25">
      <c r="A1206" s="12" t="s">
        <v>31</v>
      </c>
      <c r="B1206" s="9">
        <v>46191</v>
      </c>
      <c r="C1206" s="10" t="s">
        <v>1898</v>
      </c>
      <c r="D1206" s="10" t="s">
        <v>1899</v>
      </c>
      <c r="E1206" s="10" t="s">
        <v>51</v>
      </c>
      <c r="F1206" s="10" t="s">
        <v>35</v>
      </c>
      <c r="G1206" s="10" t="s">
        <v>3146</v>
      </c>
      <c r="H1206" s="8" t="s">
        <v>36</v>
      </c>
      <c r="I1206" s="11">
        <v>89.05</v>
      </c>
      <c r="J1206" s="6">
        <v>81.658850000000001</v>
      </c>
      <c r="K1206" s="6">
        <v>0.91700000000000004</v>
      </c>
      <c r="L1206" s="6">
        <v>80.48</v>
      </c>
      <c r="M1206" s="11">
        <v>73.800160000000005</v>
      </c>
      <c r="N1206" s="11">
        <f t="shared" si="72"/>
        <v>73.801000000000002</v>
      </c>
      <c r="O1206" s="6">
        <v>0.91700000000000004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8.57</v>
      </c>
      <c r="Z1206" s="6">
        <v>7.8586900000000002</v>
      </c>
      <c r="AA1206" s="6">
        <v>0.91700000000000004</v>
      </c>
      <c r="AB1206" s="6">
        <v>-8.5699999999999932</v>
      </c>
      <c r="AC1206" s="6">
        <v>8.5699999999999932</v>
      </c>
      <c r="AD1206" s="22" t="s">
        <v>3140</v>
      </c>
      <c r="AE1206" s="23">
        <f t="shared" si="73"/>
        <v>73.801000000000002</v>
      </c>
      <c r="AF1206" s="24">
        <f t="shared" si="74"/>
        <v>0</v>
      </c>
      <c r="AG1206" s="23">
        <f t="shared" si="75"/>
        <v>1</v>
      </c>
    </row>
    <row r="1207" spans="1:33" x14ac:dyDescent="0.25">
      <c r="A1207" s="12" t="s">
        <v>31</v>
      </c>
      <c r="B1207" s="9">
        <v>46191</v>
      </c>
      <c r="C1207" s="10" t="s">
        <v>1900</v>
      </c>
      <c r="D1207" s="10" t="s">
        <v>1901</v>
      </c>
      <c r="E1207" s="10" t="s">
        <v>51</v>
      </c>
      <c r="F1207" s="10" t="s">
        <v>35</v>
      </c>
      <c r="G1207" s="10" t="s">
        <v>3146</v>
      </c>
      <c r="H1207" s="8" t="s">
        <v>36</v>
      </c>
      <c r="I1207" s="11">
        <v>16.03</v>
      </c>
      <c r="J1207" s="6">
        <v>14.69951</v>
      </c>
      <c r="K1207" s="6">
        <v>0.91699999999999993</v>
      </c>
      <c r="L1207" s="6">
        <v>15.04</v>
      </c>
      <c r="M1207" s="11">
        <v>13.791679999999999</v>
      </c>
      <c r="N1207" s="11">
        <f t="shared" si="72"/>
        <v>13.792</v>
      </c>
      <c r="O1207" s="6">
        <v>0.91700000000000004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0.99</v>
      </c>
      <c r="Z1207" s="6">
        <v>0.90783000000000003</v>
      </c>
      <c r="AA1207" s="6">
        <v>0.91700000000000004</v>
      </c>
      <c r="AB1207" s="6">
        <v>-0.99000000000000199</v>
      </c>
      <c r="AC1207" s="6">
        <v>0.99000000000000199</v>
      </c>
      <c r="AD1207" s="22" t="s">
        <v>3140</v>
      </c>
      <c r="AE1207" s="23">
        <f t="shared" si="73"/>
        <v>13.792</v>
      </c>
      <c r="AF1207" s="24">
        <f t="shared" si="74"/>
        <v>0</v>
      </c>
      <c r="AG1207" s="23">
        <f t="shared" si="75"/>
        <v>1</v>
      </c>
    </row>
    <row r="1208" spans="1:33" x14ac:dyDescent="0.25">
      <c r="A1208" s="12" t="s">
        <v>31</v>
      </c>
      <c r="B1208" s="9">
        <v>46191</v>
      </c>
      <c r="C1208" s="10" t="s">
        <v>1902</v>
      </c>
      <c r="D1208" s="10" t="s">
        <v>1877</v>
      </c>
      <c r="E1208" s="10" t="s">
        <v>51</v>
      </c>
      <c r="F1208" s="10" t="s">
        <v>35</v>
      </c>
      <c r="G1208" s="10" t="s">
        <v>3146</v>
      </c>
      <c r="H1208" s="8" t="s">
        <v>36</v>
      </c>
      <c r="I1208" s="11">
        <v>11.98</v>
      </c>
      <c r="J1208" s="6">
        <v>10.985659999999999</v>
      </c>
      <c r="K1208" s="6">
        <v>0.91699999999999993</v>
      </c>
      <c r="L1208" s="6">
        <v>11.98</v>
      </c>
      <c r="M1208" s="11">
        <v>10.985659999999999</v>
      </c>
      <c r="N1208" s="11">
        <f t="shared" si="72"/>
        <v>10.985999999999999</v>
      </c>
      <c r="O1208" s="6">
        <v>0.91699999999999993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22" t="s">
        <v>3140</v>
      </c>
      <c r="AE1208" s="23">
        <f t="shared" si="73"/>
        <v>10.985999999999999</v>
      </c>
      <c r="AF1208" s="24">
        <f t="shared" si="74"/>
        <v>0</v>
      </c>
      <c r="AG1208" s="23">
        <f t="shared" si="75"/>
        <v>2</v>
      </c>
    </row>
    <row r="1209" spans="1:33" hidden="1" x14ac:dyDescent="0.25">
      <c r="A1209" s="12" t="s">
        <v>31</v>
      </c>
      <c r="B1209" s="9">
        <v>46191</v>
      </c>
      <c r="C1209" s="10" t="s">
        <v>1903</v>
      </c>
      <c r="D1209" s="10" t="s">
        <v>1866</v>
      </c>
      <c r="E1209" s="10" t="s">
        <v>51</v>
      </c>
      <c r="F1209" s="10" t="s">
        <v>35</v>
      </c>
      <c r="G1209" s="10" t="s">
        <v>3145</v>
      </c>
      <c r="H1209" s="8" t="s">
        <v>41</v>
      </c>
      <c r="I1209" s="11">
        <v>14.4</v>
      </c>
      <c r="J1209" s="6">
        <v>10.8</v>
      </c>
      <c r="K1209" s="6">
        <v>0.75</v>
      </c>
      <c r="L1209" s="6">
        <v>14.37</v>
      </c>
      <c r="M1209" s="11">
        <v>10.7775</v>
      </c>
      <c r="N1209" s="11">
        <f t="shared" si="72"/>
        <v>10.777999999999999</v>
      </c>
      <c r="O1209" s="6">
        <v>0.75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0.03</v>
      </c>
      <c r="Z1209" s="6">
        <v>2.2499999999999999E-2</v>
      </c>
      <c r="AA1209" s="6">
        <v>0.75</v>
      </c>
      <c r="AB1209" s="6">
        <v>-3.0000000000001137E-2</v>
      </c>
      <c r="AC1209" s="6">
        <v>3.0000000000001137E-2</v>
      </c>
      <c r="AD1209" s="23" t="s">
        <v>3143</v>
      </c>
      <c r="AE1209" s="23">
        <f t="shared" si="73"/>
        <v>10.545</v>
      </c>
      <c r="AF1209" s="24">
        <f t="shared" si="74"/>
        <v>0.23299999999999876</v>
      </c>
      <c r="AG1209" s="23">
        <f t="shared" si="75"/>
        <v>2</v>
      </c>
    </row>
    <row r="1210" spans="1:33" x14ac:dyDescent="0.25">
      <c r="A1210" s="12" t="s">
        <v>31</v>
      </c>
      <c r="B1210" s="9">
        <v>46191</v>
      </c>
      <c r="C1210" s="10" t="s">
        <v>1904</v>
      </c>
      <c r="D1210" s="10" t="s">
        <v>1905</v>
      </c>
      <c r="E1210" s="10" t="s">
        <v>51</v>
      </c>
      <c r="F1210" s="10" t="s">
        <v>35</v>
      </c>
      <c r="G1210" s="10" t="s">
        <v>3146</v>
      </c>
      <c r="H1210" s="8" t="s">
        <v>36</v>
      </c>
      <c r="I1210" s="11">
        <v>28.62</v>
      </c>
      <c r="J1210" s="6">
        <v>26.244540000000001</v>
      </c>
      <c r="K1210" s="6">
        <v>0.91700000000000004</v>
      </c>
      <c r="L1210" s="6">
        <v>28.62</v>
      </c>
      <c r="M1210" s="11">
        <v>26.244540000000001</v>
      </c>
      <c r="N1210" s="11">
        <f t="shared" si="72"/>
        <v>26.245000000000001</v>
      </c>
      <c r="O1210" s="6">
        <v>0.91700000000000004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23" t="s">
        <v>3143</v>
      </c>
      <c r="AE1210" s="23">
        <f t="shared" si="73"/>
        <v>25.383000000000003</v>
      </c>
      <c r="AF1210" s="24">
        <f t="shared" si="74"/>
        <v>0.86199999999999832</v>
      </c>
      <c r="AG1210" s="23">
        <f t="shared" si="75"/>
        <v>3</v>
      </c>
    </row>
    <row r="1211" spans="1:33" x14ac:dyDescent="0.25">
      <c r="A1211" s="12" t="s">
        <v>31</v>
      </c>
      <c r="B1211" s="9">
        <v>46191</v>
      </c>
      <c r="C1211" s="10" t="s">
        <v>1906</v>
      </c>
      <c r="D1211" s="10" t="s">
        <v>1907</v>
      </c>
      <c r="E1211" s="10" t="s">
        <v>51</v>
      </c>
      <c r="F1211" s="10" t="s">
        <v>35</v>
      </c>
      <c r="G1211" s="10" t="s">
        <v>3146</v>
      </c>
      <c r="H1211" s="8" t="s">
        <v>36</v>
      </c>
      <c r="I1211" s="11">
        <v>65.430000000000007</v>
      </c>
      <c r="J1211" s="6">
        <v>59.999310000000001</v>
      </c>
      <c r="K1211" s="6">
        <v>0.91699999999999993</v>
      </c>
      <c r="L1211" s="6">
        <v>60.6</v>
      </c>
      <c r="M1211" s="11">
        <v>55.5702</v>
      </c>
      <c r="N1211" s="11">
        <f t="shared" si="72"/>
        <v>55.570999999999998</v>
      </c>
      <c r="O1211" s="6">
        <v>0.91699999999999993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4.83</v>
      </c>
      <c r="Z1211" s="6">
        <v>4.4291099999999997</v>
      </c>
      <c r="AA1211" s="6">
        <v>0.91699999999999993</v>
      </c>
      <c r="AB1211" s="6">
        <v>-4.8300000000000054</v>
      </c>
      <c r="AC1211" s="6">
        <v>4.8300000000000054</v>
      </c>
      <c r="AD1211" s="22" t="s">
        <v>3140</v>
      </c>
      <c r="AE1211" s="23">
        <f t="shared" si="73"/>
        <v>55.570999999999998</v>
      </c>
      <c r="AF1211" s="24">
        <f t="shared" si="74"/>
        <v>0</v>
      </c>
      <c r="AG1211" s="23">
        <f t="shared" si="75"/>
        <v>1</v>
      </c>
    </row>
    <row r="1212" spans="1:33" x14ac:dyDescent="0.25">
      <c r="A1212" s="12" t="s">
        <v>31</v>
      </c>
      <c r="B1212" s="9">
        <v>46191</v>
      </c>
      <c r="C1212" s="10" t="s">
        <v>1908</v>
      </c>
      <c r="D1212" s="10" t="s">
        <v>1909</v>
      </c>
      <c r="E1212" s="10" t="s">
        <v>51</v>
      </c>
      <c r="F1212" s="10" t="s">
        <v>35</v>
      </c>
      <c r="G1212" s="10" t="s">
        <v>3146</v>
      </c>
      <c r="H1212" s="8" t="s">
        <v>36</v>
      </c>
      <c r="I1212" s="11">
        <v>64.75</v>
      </c>
      <c r="J1212" s="6">
        <v>59.375749999999996</v>
      </c>
      <c r="K1212" s="6">
        <v>0.91699999999999993</v>
      </c>
      <c r="L1212" s="6">
        <v>62.14</v>
      </c>
      <c r="M1212" s="11">
        <v>56.982379999999999</v>
      </c>
      <c r="N1212" s="11">
        <f t="shared" si="72"/>
        <v>56.982999999999997</v>
      </c>
      <c r="O1212" s="6">
        <v>0.91699999999999993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2.61</v>
      </c>
      <c r="Z1212" s="6">
        <v>2.39337</v>
      </c>
      <c r="AA1212" s="6">
        <v>0.91700000000000004</v>
      </c>
      <c r="AB1212" s="6">
        <v>-2.6099999999999994</v>
      </c>
      <c r="AC1212" s="6">
        <v>2.6099999999999994</v>
      </c>
      <c r="AD1212" s="22" t="s">
        <v>3140</v>
      </c>
      <c r="AE1212" s="23">
        <f t="shared" si="73"/>
        <v>56.982999999999997</v>
      </c>
      <c r="AF1212" s="24">
        <f t="shared" si="74"/>
        <v>0</v>
      </c>
      <c r="AG1212" s="23">
        <f t="shared" si="75"/>
        <v>1</v>
      </c>
    </row>
    <row r="1213" spans="1:33" x14ac:dyDescent="0.25">
      <c r="A1213" s="12" t="s">
        <v>31</v>
      </c>
      <c r="B1213" s="9">
        <v>46191</v>
      </c>
      <c r="C1213" s="10" t="s">
        <v>1910</v>
      </c>
      <c r="D1213" s="10" t="s">
        <v>1911</v>
      </c>
      <c r="E1213" s="10" t="s">
        <v>51</v>
      </c>
      <c r="F1213" s="10" t="s">
        <v>35</v>
      </c>
      <c r="G1213" s="10" t="s">
        <v>3146</v>
      </c>
      <c r="H1213" s="8" t="s">
        <v>36</v>
      </c>
      <c r="I1213" s="11">
        <v>47.86</v>
      </c>
      <c r="J1213" s="6">
        <v>43.887619999999998</v>
      </c>
      <c r="K1213" s="6">
        <v>0.91699999999999993</v>
      </c>
      <c r="L1213" s="6">
        <v>43.69</v>
      </c>
      <c r="M1213" s="11">
        <v>40.06373</v>
      </c>
      <c r="N1213" s="11">
        <f t="shared" si="72"/>
        <v>40.064</v>
      </c>
      <c r="O1213" s="6">
        <v>0.91700000000000004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4.17</v>
      </c>
      <c r="Z1213" s="6">
        <v>3.82389</v>
      </c>
      <c r="AA1213" s="6">
        <v>0.91700000000000004</v>
      </c>
      <c r="AB1213" s="6">
        <v>-4.1700000000000017</v>
      </c>
      <c r="AC1213" s="6">
        <v>4.1700000000000017</v>
      </c>
      <c r="AD1213" s="22" t="s">
        <v>3140</v>
      </c>
      <c r="AE1213" s="23">
        <f t="shared" si="73"/>
        <v>40.064</v>
      </c>
      <c r="AF1213" s="24">
        <f t="shared" si="74"/>
        <v>0</v>
      </c>
      <c r="AG1213" s="23">
        <f t="shared" si="75"/>
        <v>1</v>
      </c>
    </row>
    <row r="1214" spans="1:33" x14ac:dyDescent="0.25">
      <c r="A1214" s="12" t="s">
        <v>31</v>
      </c>
      <c r="B1214" s="9">
        <v>46191</v>
      </c>
      <c r="C1214" s="10" t="s">
        <v>1912</v>
      </c>
      <c r="D1214" s="10" t="s">
        <v>1913</v>
      </c>
      <c r="E1214" s="10" t="s">
        <v>51</v>
      </c>
      <c r="F1214" s="10" t="s">
        <v>35</v>
      </c>
      <c r="G1214" s="10" t="s">
        <v>3146</v>
      </c>
      <c r="H1214" s="8" t="s">
        <v>36</v>
      </c>
      <c r="I1214" s="11">
        <v>58.61</v>
      </c>
      <c r="J1214" s="6">
        <v>53.745370000000001</v>
      </c>
      <c r="K1214" s="6">
        <v>0.91700000000000004</v>
      </c>
      <c r="L1214" s="6">
        <v>55.48</v>
      </c>
      <c r="M1214" s="11">
        <v>50.875160000000001</v>
      </c>
      <c r="N1214" s="11">
        <f t="shared" si="72"/>
        <v>50.875999999999998</v>
      </c>
      <c r="O1214" s="6">
        <v>0.91700000000000004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3.13</v>
      </c>
      <c r="Z1214" s="6">
        <v>2.8702100000000002</v>
      </c>
      <c r="AA1214" s="6">
        <v>0.91700000000000004</v>
      </c>
      <c r="AB1214" s="6">
        <v>-3.1300000000000026</v>
      </c>
      <c r="AC1214" s="6">
        <v>3.1300000000000026</v>
      </c>
      <c r="AD1214" s="22" t="s">
        <v>3140</v>
      </c>
      <c r="AE1214" s="23">
        <f t="shared" si="73"/>
        <v>50.875999999999998</v>
      </c>
      <c r="AF1214" s="24">
        <f t="shared" si="74"/>
        <v>0</v>
      </c>
      <c r="AG1214" s="23">
        <f t="shared" si="75"/>
        <v>2</v>
      </c>
    </row>
    <row r="1215" spans="1:33" ht="20" hidden="1" customHeight="1" x14ac:dyDescent="0.25">
      <c r="A1215" s="12" t="s">
        <v>31</v>
      </c>
      <c r="B1215" s="9">
        <v>46191</v>
      </c>
      <c r="C1215" s="10" t="s">
        <v>1914</v>
      </c>
      <c r="D1215" s="10" t="s">
        <v>1915</v>
      </c>
      <c r="E1215" s="10" t="s">
        <v>51</v>
      </c>
      <c r="F1215" s="10" t="s">
        <v>35</v>
      </c>
      <c r="G1215" s="10" t="s">
        <v>3145</v>
      </c>
      <c r="H1215" s="8" t="s">
        <v>48</v>
      </c>
      <c r="I1215" s="11">
        <v>32.69</v>
      </c>
      <c r="J1215" s="6">
        <v>24.517499999999998</v>
      </c>
      <c r="K1215" s="6">
        <v>0.75</v>
      </c>
      <c r="L1215" s="6">
        <v>30.92</v>
      </c>
      <c r="M1215" s="11">
        <v>23.19</v>
      </c>
      <c r="N1215" s="11">
        <f t="shared" si="72"/>
        <v>23.19</v>
      </c>
      <c r="O1215" s="6">
        <v>0.75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1.77</v>
      </c>
      <c r="Z1215" s="6">
        <v>1.3274999999999999</v>
      </c>
      <c r="AA1215" s="6">
        <v>0.74999999999999989</v>
      </c>
      <c r="AB1215" s="6">
        <v>-1.769999999999996</v>
      </c>
      <c r="AC1215" s="6">
        <v>1.769999999999996</v>
      </c>
      <c r="AD1215" s="23" t="s">
        <v>3143</v>
      </c>
      <c r="AE1215" s="23">
        <f t="shared" si="73"/>
        <v>22.673000000000002</v>
      </c>
      <c r="AF1215" s="24">
        <f t="shared" si="74"/>
        <v>0.51699999999999946</v>
      </c>
      <c r="AG1215" s="23">
        <f t="shared" si="75"/>
        <v>2</v>
      </c>
    </row>
    <row r="1216" spans="1:33" x14ac:dyDescent="0.25">
      <c r="A1216" s="12" t="s">
        <v>31</v>
      </c>
      <c r="B1216" s="9">
        <v>46191</v>
      </c>
      <c r="C1216" s="10" t="s">
        <v>1916</v>
      </c>
      <c r="D1216" s="10" t="s">
        <v>1913</v>
      </c>
      <c r="E1216" s="10" t="s">
        <v>51</v>
      </c>
      <c r="F1216" s="10" t="s">
        <v>35</v>
      </c>
      <c r="G1216" s="10" t="s">
        <v>3146</v>
      </c>
      <c r="H1216" s="8" t="s">
        <v>36</v>
      </c>
      <c r="I1216" s="11">
        <v>55.48</v>
      </c>
      <c r="J1216" s="6">
        <v>50.875160000000001</v>
      </c>
      <c r="K1216" s="6">
        <v>0.91700000000000004</v>
      </c>
      <c r="L1216" s="6">
        <v>55.48</v>
      </c>
      <c r="M1216" s="11">
        <v>50.875160000000001</v>
      </c>
      <c r="N1216" s="11">
        <f t="shared" si="72"/>
        <v>50.875999999999998</v>
      </c>
      <c r="O1216" s="6">
        <v>0.91700000000000004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22" t="s">
        <v>3143</v>
      </c>
      <c r="AE1216" s="23">
        <f t="shared" si="73"/>
        <v>50.875999999999998</v>
      </c>
      <c r="AF1216" s="24">
        <f t="shared" si="74"/>
        <v>0</v>
      </c>
      <c r="AG1216" s="23">
        <f t="shared" si="75"/>
        <v>2</v>
      </c>
    </row>
    <row r="1217" spans="1:33" x14ac:dyDescent="0.25">
      <c r="A1217" s="12" t="s">
        <v>31</v>
      </c>
      <c r="B1217" s="9">
        <v>46191</v>
      </c>
      <c r="C1217" s="10" t="s">
        <v>1917</v>
      </c>
      <c r="D1217" s="10" t="s">
        <v>1798</v>
      </c>
      <c r="E1217" s="10" t="s">
        <v>51</v>
      </c>
      <c r="F1217" s="10" t="s">
        <v>35</v>
      </c>
      <c r="G1217" s="10" t="s">
        <v>3146</v>
      </c>
      <c r="H1217" s="8" t="s">
        <v>36</v>
      </c>
      <c r="I1217" s="11">
        <v>77.430000000000007</v>
      </c>
      <c r="J1217" s="6">
        <v>71.003309999999999</v>
      </c>
      <c r="K1217" s="6">
        <v>0.91699999999999993</v>
      </c>
      <c r="L1217" s="6">
        <v>77.25</v>
      </c>
      <c r="M1217" s="11">
        <v>70.838250000000002</v>
      </c>
      <c r="N1217" s="11">
        <f t="shared" si="72"/>
        <v>70.838999999999999</v>
      </c>
      <c r="O1217" s="6">
        <v>0.91700000000000004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0.18</v>
      </c>
      <c r="Z1217" s="6">
        <v>0.16506000000000001</v>
      </c>
      <c r="AA1217" s="6">
        <v>0.91700000000000015</v>
      </c>
      <c r="AB1217" s="6">
        <v>-0.18000000000000682</v>
      </c>
      <c r="AC1217" s="6">
        <v>0.18000000000000682</v>
      </c>
      <c r="AD1217" s="22" t="s">
        <v>3140</v>
      </c>
      <c r="AE1217" s="23">
        <f t="shared" si="73"/>
        <v>70.838999999999999</v>
      </c>
      <c r="AF1217" s="24">
        <f t="shared" si="74"/>
        <v>0</v>
      </c>
      <c r="AG1217" s="23">
        <f t="shared" si="75"/>
        <v>3</v>
      </c>
    </row>
    <row r="1218" spans="1:33" ht="20" hidden="1" customHeight="1" x14ac:dyDescent="0.25">
      <c r="A1218" s="12" t="s">
        <v>31</v>
      </c>
      <c r="B1218" s="9">
        <v>46191</v>
      </c>
      <c r="C1218" s="10" t="s">
        <v>1918</v>
      </c>
      <c r="D1218" s="10" t="s">
        <v>1919</v>
      </c>
      <c r="E1218" s="10" t="s">
        <v>51</v>
      </c>
      <c r="F1218" s="10" t="s">
        <v>35</v>
      </c>
      <c r="G1218" s="10" t="s">
        <v>3145</v>
      </c>
      <c r="H1218" s="8" t="s">
        <v>48</v>
      </c>
      <c r="I1218" s="11">
        <v>93.37</v>
      </c>
      <c r="J1218" s="6">
        <v>70.027500000000003</v>
      </c>
      <c r="K1218" s="6">
        <v>0.75</v>
      </c>
      <c r="L1218" s="6">
        <v>88.05</v>
      </c>
      <c r="M1218" s="11">
        <v>66.037499999999994</v>
      </c>
      <c r="N1218" s="11">
        <f t="shared" si="72"/>
        <v>66.038000000000011</v>
      </c>
      <c r="O1218" s="6">
        <v>0.75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5.32</v>
      </c>
      <c r="Z1218" s="6">
        <v>3.99</v>
      </c>
      <c r="AA1218" s="6">
        <v>0.75</v>
      </c>
      <c r="AB1218" s="6">
        <v>-5.3200000000000074</v>
      </c>
      <c r="AC1218" s="6">
        <v>5.3200000000000074</v>
      </c>
      <c r="AD1218" s="22" t="s">
        <v>3140</v>
      </c>
      <c r="AE1218" s="23">
        <f t="shared" si="73"/>
        <v>66.038000000000011</v>
      </c>
      <c r="AF1218" s="24">
        <f t="shared" si="74"/>
        <v>0</v>
      </c>
      <c r="AG1218" s="23">
        <f t="shared" si="75"/>
        <v>1</v>
      </c>
    </row>
    <row r="1219" spans="1:33" ht="12.5" customHeight="1" x14ac:dyDescent="0.25">
      <c r="A1219" s="12" t="s">
        <v>31</v>
      </c>
      <c r="B1219" s="9">
        <v>46191</v>
      </c>
      <c r="C1219" s="8" t="s">
        <v>1920</v>
      </c>
      <c r="D1219" s="10" t="s">
        <v>1802</v>
      </c>
      <c r="E1219" s="10" t="s">
        <v>51</v>
      </c>
      <c r="F1219" s="10" t="s">
        <v>35</v>
      </c>
      <c r="G1219" s="10" t="s">
        <v>3146</v>
      </c>
      <c r="H1219" s="8" t="s">
        <v>36</v>
      </c>
      <c r="I1219" s="11">
        <v>34.42</v>
      </c>
      <c r="J1219" s="6">
        <v>31.563140000000001</v>
      </c>
      <c r="K1219" s="6">
        <v>0.91699999999999993</v>
      </c>
      <c r="L1219" s="6">
        <v>34.42</v>
      </c>
      <c r="M1219" s="11">
        <v>31.563140000000001</v>
      </c>
      <c r="N1219" s="11">
        <f t="shared" ref="N1219:N1282" si="76">ROUNDUP(M1219,3)</f>
        <v>31.564</v>
      </c>
      <c r="O1219" s="6">
        <v>0.91699999999999993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22" t="s">
        <v>3143</v>
      </c>
      <c r="AE1219" s="23">
        <f t="shared" ref="AE1219:AE1282" si="77">_xlfn.MINIFS(N:N,D:D,D1219)</f>
        <v>31.564</v>
      </c>
      <c r="AF1219" s="24">
        <f t="shared" ref="AF1219:AF1282" si="78">N1219-AE1219</f>
        <v>0</v>
      </c>
      <c r="AG1219" s="23">
        <f t="shared" ref="AG1219:AG1282" si="79">COUNTIF(D:D,D1219)</f>
        <v>2</v>
      </c>
    </row>
    <row r="1220" spans="1:33" ht="12.5" customHeight="1" x14ac:dyDescent="0.25">
      <c r="A1220" s="12" t="s">
        <v>31</v>
      </c>
      <c r="B1220" s="9">
        <v>46191</v>
      </c>
      <c r="C1220" s="13" t="s">
        <v>1920</v>
      </c>
      <c r="D1220" s="10" t="s">
        <v>1921</v>
      </c>
      <c r="E1220" s="10" t="s">
        <v>51</v>
      </c>
      <c r="F1220" s="10" t="s">
        <v>35</v>
      </c>
      <c r="G1220" s="10" t="s">
        <v>3146</v>
      </c>
      <c r="H1220" s="8" t="s">
        <v>36</v>
      </c>
      <c r="I1220" s="11">
        <v>53.32</v>
      </c>
      <c r="J1220" s="6">
        <v>48.894440000000003</v>
      </c>
      <c r="K1220" s="6">
        <v>0.91700000000000004</v>
      </c>
      <c r="L1220" s="6">
        <v>51.37</v>
      </c>
      <c r="M1220" s="11">
        <v>47.106290000000001</v>
      </c>
      <c r="N1220" s="11">
        <f t="shared" si="76"/>
        <v>47.106999999999999</v>
      </c>
      <c r="O1220" s="6">
        <v>0.91700000000000004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1.95</v>
      </c>
      <c r="Z1220" s="6">
        <v>1.7881499999999999</v>
      </c>
      <c r="AA1220" s="6">
        <v>0.91699999999999993</v>
      </c>
      <c r="AB1220" s="6">
        <v>-1.9500000000000028</v>
      </c>
      <c r="AC1220" s="6">
        <v>1.9500000000000028</v>
      </c>
      <c r="AD1220" s="22" t="s">
        <v>3140</v>
      </c>
      <c r="AE1220" s="23">
        <f t="shared" si="77"/>
        <v>47.106999999999999</v>
      </c>
      <c r="AF1220" s="24">
        <f t="shared" si="78"/>
        <v>0</v>
      </c>
      <c r="AG1220" s="23">
        <f t="shared" si="79"/>
        <v>1</v>
      </c>
    </row>
    <row r="1221" spans="1:33" ht="12.5" customHeight="1" x14ac:dyDescent="0.25">
      <c r="A1221" s="12" t="s">
        <v>31</v>
      </c>
      <c r="B1221" s="9">
        <v>46191</v>
      </c>
      <c r="C1221" s="8" t="s">
        <v>1922</v>
      </c>
      <c r="D1221" s="10" t="s">
        <v>1758</v>
      </c>
      <c r="E1221" s="10" t="s">
        <v>51</v>
      </c>
      <c r="F1221" s="10" t="s">
        <v>35</v>
      </c>
      <c r="G1221" s="10" t="s">
        <v>3146</v>
      </c>
      <c r="H1221" s="8" t="s">
        <v>36</v>
      </c>
      <c r="I1221" s="11">
        <v>8.81</v>
      </c>
      <c r="J1221" s="6">
        <v>8.0787700000000005</v>
      </c>
      <c r="K1221" s="6">
        <v>0.91700000000000004</v>
      </c>
      <c r="L1221" s="6">
        <v>8.76</v>
      </c>
      <c r="M1221" s="11">
        <v>8.0329200000000007</v>
      </c>
      <c r="N1221" s="11">
        <f t="shared" si="76"/>
        <v>8.0329999999999995</v>
      </c>
      <c r="O1221" s="6">
        <v>0.91700000000000015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0.05</v>
      </c>
      <c r="Z1221" s="6">
        <v>4.5850000000000002E-2</v>
      </c>
      <c r="AA1221" s="6">
        <v>0.91700000000000004</v>
      </c>
      <c r="AB1221" s="6">
        <v>-5.0000000000000711E-2</v>
      </c>
      <c r="AC1221" s="6">
        <v>5.0000000000000711E-2</v>
      </c>
      <c r="AD1221" s="22" t="s">
        <v>3140</v>
      </c>
      <c r="AE1221" s="23">
        <f t="shared" si="77"/>
        <v>8.0329999999999995</v>
      </c>
      <c r="AF1221" s="24">
        <f t="shared" si="78"/>
        <v>0</v>
      </c>
      <c r="AG1221" s="23">
        <f t="shared" si="79"/>
        <v>2</v>
      </c>
    </row>
    <row r="1222" spans="1:33" ht="12.5" customHeight="1" x14ac:dyDescent="0.25">
      <c r="A1222" s="12" t="s">
        <v>31</v>
      </c>
      <c r="B1222" s="9">
        <v>46191</v>
      </c>
      <c r="C1222" s="13" t="s">
        <v>1922</v>
      </c>
      <c r="D1222" s="10" t="s">
        <v>1923</v>
      </c>
      <c r="E1222" s="10" t="s">
        <v>51</v>
      </c>
      <c r="F1222" s="10" t="s">
        <v>35</v>
      </c>
      <c r="G1222" s="10" t="s">
        <v>3146</v>
      </c>
      <c r="H1222" s="8" t="s">
        <v>36</v>
      </c>
      <c r="I1222" s="11">
        <v>13.48</v>
      </c>
      <c r="J1222" s="6">
        <v>12.36116</v>
      </c>
      <c r="K1222" s="6">
        <v>0.91699999999999993</v>
      </c>
      <c r="L1222" s="6">
        <v>12.33</v>
      </c>
      <c r="M1222" s="11">
        <v>11.306609999999999</v>
      </c>
      <c r="N1222" s="11">
        <f t="shared" si="76"/>
        <v>11.306999999999999</v>
      </c>
      <c r="O1222" s="6">
        <v>0.91699999999999993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1.1499999999999999</v>
      </c>
      <c r="Z1222" s="6">
        <v>1.0545500000000001</v>
      </c>
      <c r="AA1222" s="6">
        <v>0.91700000000000015</v>
      </c>
      <c r="AB1222" s="6">
        <v>-1.1500000000000004</v>
      </c>
      <c r="AC1222" s="6">
        <v>1.1500000000000004</v>
      </c>
      <c r="AD1222" s="22" t="s">
        <v>3140</v>
      </c>
      <c r="AE1222" s="23">
        <f t="shared" si="77"/>
        <v>11.306999999999999</v>
      </c>
      <c r="AF1222" s="24">
        <f t="shared" si="78"/>
        <v>0</v>
      </c>
      <c r="AG1222" s="23">
        <f t="shared" si="79"/>
        <v>1</v>
      </c>
    </row>
    <row r="1223" spans="1:33" x14ac:dyDescent="0.25">
      <c r="A1223" s="12" t="s">
        <v>31</v>
      </c>
      <c r="B1223" s="9">
        <v>46191</v>
      </c>
      <c r="C1223" s="10" t="s">
        <v>1924</v>
      </c>
      <c r="D1223" s="10" t="s">
        <v>1925</v>
      </c>
      <c r="E1223" s="10" t="s">
        <v>51</v>
      </c>
      <c r="F1223" s="10" t="s">
        <v>35</v>
      </c>
      <c r="G1223" s="10" t="s">
        <v>3146</v>
      </c>
      <c r="H1223" s="8" t="s">
        <v>36</v>
      </c>
      <c r="I1223" s="11">
        <v>43.33</v>
      </c>
      <c r="J1223" s="6">
        <v>39.733609999999999</v>
      </c>
      <c r="K1223" s="6">
        <v>0.91700000000000004</v>
      </c>
      <c r="L1223" s="6">
        <v>39.22</v>
      </c>
      <c r="M1223" s="11">
        <v>35.964739999999999</v>
      </c>
      <c r="N1223" s="11">
        <f t="shared" si="76"/>
        <v>35.964999999999996</v>
      </c>
      <c r="O1223" s="6">
        <v>0.91700000000000004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4.1100000000000003</v>
      </c>
      <c r="Z1223" s="6">
        <v>3.7688700000000002</v>
      </c>
      <c r="AA1223" s="6">
        <v>0.91699999999999993</v>
      </c>
      <c r="AB1223" s="6">
        <v>-4.1099999999999994</v>
      </c>
      <c r="AC1223" s="6">
        <v>4.1099999999999994</v>
      </c>
      <c r="AD1223" s="22" t="s">
        <v>3140</v>
      </c>
      <c r="AE1223" s="23">
        <f t="shared" si="77"/>
        <v>35.964999999999996</v>
      </c>
      <c r="AF1223" s="24">
        <f t="shared" si="78"/>
        <v>0</v>
      </c>
      <c r="AG1223" s="23">
        <f t="shared" si="79"/>
        <v>1</v>
      </c>
    </row>
    <row r="1224" spans="1:33" x14ac:dyDescent="0.25">
      <c r="A1224" s="12" t="s">
        <v>31</v>
      </c>
      <c r="B1224" s="9">
        <v>46191</v>
      </c>
      <c r="C1224" s="10" t="s">
        <v>1926</v>
      </c>
      <c r="D1224" s="10" t="s">
        <v>1927</v>
      </c>
      <c r="E1224" s="10" t="s">
        <v>51</v>
      </c>
      <c r="F1224" s="10" t="s">
        <v>35</v>
      </c>
      <c r="G1224" s="10" t="s">
        <v>3146</v>
      </c>
      <c r="H1224" s="8" t="s">
        <v>36</v>
      </c>
      <c r="I1224" s="11">
        <v>493.52</v>
      </c>
      <c r="J1224" s="6">
        <v>452.55784</v>
      </c>
      <c r="K1224" s="6">
        <v>0.91700000000000004</v>
      </c>
      <c r="L1224" s="6">
        <v>462.68</v>
      </c>
      <c r="M1224" s="11">
        <v>424.27755999999999</v>
      </c>
      <c r="N1224" s="11">
        <f t="shared" si="76"/>
        <v>424.27799999999996</v>
      </c>
      <c r="O1224" s="6">
        <v>0.91699999999999993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30.84</v>
      </c>
      <c r="Z1224" s="6">
        <v>28.280280000000001</v>
      </c>
      <c r="AA1224" s="6">
        <v>0.91700000000000004</v>
      </c>
      <c r="AB1224" s="6">
        <v>-30.839999999999975</v>
      </c>
      <c r="AC1224" s="6">
        <v>30.839999999999975</v>
      </c>
      <c r="AD1224" s="23" t="s">
        <v>3143</v>
      </c>
      <c r="AE1224" s="23">
        <f t="shared" si="77"/>
        <v>424.16799999999995</v>
      </c>
      <c r="AF1224" s="24">
        <f t="shared" si="78"/>
        <v>0.11000000000001364</v>
      </c>
      <c r="AG1224" s="23">
        <f t="shared" si="79"/>
        <v>2</v>
      </c>
    </row>
    <row r="1225" spans="1:33" ht="12.5" customHeight="1" x14ac:dyDescent="0.25">
      <c r="A1225" s="12" t="s">
        <v>31</v>
      </c>
      <c r="B1225" s="9">
        <v>46191</v>
      </c>
      <c r="C1225" s="8" t="s">
        <v>1928</v>
      </c>
      <c r="D1225" s="10" t="s">
        <v>1929</v>
      </c>
      <c r="E1225" s="10" t="s">
        <v>51</v>
      </c>
      <c r="F1225" s="10" t="s">
        <v>35</v>
      </c>
      <c r="G1225" s="10" t="s">
        <v>3146</v>
      </c>
      <c r="H1225" s="8" t="s">
        <v>36</v>
      </c>
      <c r="I1225" s="11">
        <v>106.02</v>
      </c>
      <c r="J1225" s="6">
        <v>97.220339999999993</v>
      </c>
      <c r="K1225" s="6">
        <v>0.91699999999999993</v>
      </c>
      <c r="L1225" s="6">
        <v>100.63</v>
      </c>
      <c r="M1225" s="11">
        <v>92.277709999999999</v>
      </c>
      <c r="N1225" s="11">
        <f t="shared" si="76"/>
        <v>92.278000000000006</v>
      </c>
      <c r="O1225" s="6">
        <v>0.91700000000000004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5.39</v>
      </c>
      <c r="Z1225" s="6">
        <v>4.9426300000000003</v>
      </c>
      <c r="AA1225" s="6">
        <v>0.91700000000000015</v>
      </c>
      <c r="AB1225" s="6">
        <v>-5.39</v>
      </c>
      <c r="AC1225" s="6">
        <v>5.39</v>
      </c>
      <c r="AD1225" s="22" t="s">
        <v>3140</v>
      </c>
      <c r="AE1225" s="23">
        <f t="shared" si="77"/>
        <v>92.278000000000006</v>
      </c>
      <c r="AF1225" s="24">
        <f t="shared" si="78"/>
        <v>0</v>
      </c>
      <c r="AG1225" s="23">
        <f t="shared" si="79"/>
        <v>1</v>
      </c>
    </row>
    <row r="1226" spans="1:33" ht="12.5" customHeight="1" x14ac:dyDescent="0.25">
      <c r="A1226" s="12" t="s">
        <v>31</v>
      </c>
      <c r="B1226" s="9">
        <v>46191</v>
      </c>
      <c r="C1226" s="12" t="s">
        <v>1928</v>
      </c>
      <c r="D1226" s="10" t="s">
        <v>1930</v>
      </c>
      <c r="E1226" s="10" t="s">
        <v>51</v>
      </c>
      <c r="F1226" s="10" t="s">
        <v>35</v>
      </c>
      <c r="G1226" s="10" t="s">
        <v>3146</v>
      </c>
      <c r="H1226" s="8" t="s">
        <v>36</v>
      </c>
      <c r="I1226" s="11">
        <v>49.01</v>
      </c>
      <c r="J1226" s="6">
        <v>44.942169999999997</v>
      </c>
      <c r="K1226" s="6">
        <v>0.91700000000000004</v>
      </c>
      <c r="L1226" s="6">
        <v>44.84</v>
      </c>
      <c r="M1226" s="11">
        <v>41.118279999999999</v>
      </c>
      <c r="N1226" s="11">
        <f t="shared" si="76"/>
        <v>41.119</v>
      </c>
      <c r="O1226" s="6">
        <v>0.91699999999999993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4.17</v>
      </c>
      <c r="Z1226" s="6">
        <v>3.82389</v>
      </c>
      <c r="AA1226" s="6">
        <v>0.91700000000000004</v>
      </c>
      <c r="AB1226" s="6">
        <v>-4.1699999999999946</v>
      </c>
      <c r="AC1226" s="6">
        <v>4.1699999999999946</v>
      </c>
      <c r="AD1226" s="22" t="s">
        <v>3140</v>
      </c>
      <c r="AE1226" s="23">
        <f t="shared" si="77"/>
        <v>41.119</v>
      </c>
      <c r="AF1226" s="24">
        <f t="shared" si="78"/>
        <v>0</v>
      </c>
      <c r="AG1226" s="23">
        <f t="shared" si="79"/>
        <v>1</v>
      </c>
    </row>
    <row r="1227" spans="1:33" ht="12.5" customHeight="1" x14ac:dyDescent="0.25">
      <c r="A1227" s="12" t="s">
        <v>31</v>
      </c>
      <c r="B1227" s="9">
        <v>46191</v>
      </c>
      <c r="C1227" s="13" t="s">
        <v>1928</v>
      </c>
      <c r="D1227" s="10" t="s">
        <v>1875</v>
      </c>
      <c r="E1227" s="10" t="s">
        <v>51</v>
      </c>
      <c r="F1227" s="10" t="s">
        <v>35</v>
      </c>
      <c r="G1227" s="10" t="s">
        <v>3146</v>
      </c>
      <c r="H1227" s="8" t="s">
        <v>36</v>
      </c>
      <c r="I1227" s="11">
        <v>38.799999999999997</v>
      </c>
      <c r="J1227" s="6">
        <v>35.579599999999999</v>
      </c>
      <c r="K1227" s="6">
        <v>0.91700000000000004</v>
      </c>
      <c r="L1227" s="6">
        <v>38.5</v>
      </c>
      <c r="M1227" s="11">
        <v>35.304499999999997</v>
      </c>
      <c r="N1227" s="11">
        <f t="shared" si="76"/>
        <v>35.305</v>
      </c>
      <c r="O1227" s="6">
        <v>0.91699999999999993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0.3</v>
      </c>
      <c r="Z1227" s="6">
        <v>0.27510000000000001</v>
      </c>
      <c r="AA1227" s="6">
        <v>0.91700000000000004</v>
      </c>
      <c r="AB1227" s="6">
        <v>-0.29999999999999716</v>
      </c>
      <c r="AC1227" s="6">
        <v>0.29999999999999716</v>
      </c>
      <c r="AD1227" s="22" t="s">
        <v>3140</v>
      </c>
      <c r="AE1227" s="23">
        <f t="shared" si="77"/>
        <v>35.305</v>
      </c>
      <c r="AF1227" s="24">
        <f t="shared" si="78"/>
        <v>0</v>
      </c>
      <c r="AG1227" s="23">
        <f t="shared" si="79"/>
        <v>2</v>
      </c>
    </row>
    <row r="1228" spans="1:33" ht="20" hidden="1" customHeight="1" x14ac:dyDescent="0.25">
      <c r="A1228" s="12" t="s">
        <v>31</v>
      </c>
      <c r="B1228" s="9">
        <v>46191</v>
      </c>
      <c r="C1228" s="10" t="s">
        <v>1931</v>
      </c>
      <c r="D1228" s="10" t="s">
        <v>1932</v>
      </c>
      <c r="E1228" s="10" t="s">
        <v>51</v>
      </c>
      <c r="F1228" s="10" t="s">
        <v>35</v>
      </c>
      <c r="G1228" s="10" t="s">
        <v>3145</v>
      </c>
      <c r="H1228" s="8" t="s">
        <v>48</v>
      </c>
      <c r="I1228" s="11">
        <v>26.1</v>
      </c>
      <c r="J1228" s="6">
        <v>19.574999999999999</v>
      </c>
      <c r="K1228" s="6">
        <v>0.74999999999999989</v>
      </c>
      <c r="L1228" s="6">
        <v>23.7</v>
      </c>
      <c r="M1228" s="11">
        <v>17.774999999999999</v>
      </c>
      <c r="N1228" s="11">
        <f t="shared" si="76"/>
        <v>17.774999999999999</v>
      </c>
      <c r="O1228" s="6">
        <v>0.75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2.4</v>
      </c>
      <c r="Z1228" s="6">
        <v>1.8</v>
      </c>
      <c r="AA1228" s="6">
        <v>0.75</v>
      </c>
      <c r="AB1228" s="6">
        <v>-2.4000000000000021</v>
      </c>
      <c r="AC1228" s="6">
        <v>2.4000000000000021</v>
      </c>
      <c r="AD1228" s="23" t="s">
        <v>3143</v>
      </c>
      <c r="AE1228" s="23">
        <f t="shared" si="77"/>
        <v>15.892999999999999</v>
      </c>
      <c r="AF1228" s="24">
        <f t="shared" si="78"/>
        <v>1.8819999999999997</v>
      </c>
      <c r="AG1228" s="23">
        <f t="shared" si="79"/>
        <v>2</v>
      </c>
    </row>
    <row r="1229" spans="1:33" x14ac:dyDescent="0.25">
      <c r="A1229" s="12" t="s">
        <v>31</v>
      </c>
      <c r="B1229" s="9">
        <v>46191</v>
      </c>
      <c r="C1229" s="10" t="s">
        <v>1933</v>
      </c>
      <c r="D1229" s="10" t="s">
        <v>1927</v>
      </c>
      <c r="E1229" s="10" t="s">
        <v>51</v>
      </c>
      <c r="F1229" s="10" t="s">
        <v>35</v>
      </c>
      <c r="G1229" s="10" t="s">
        <v>3146</v>
      </c>
      <c r="H1229" s="8" t="s">
        <v>36</v>
      </c>
      <c r="I1229" s="11">
        <v>462.68</v>
      </c>
      <c r="J1229" s="6">
        <v>424.27755999999999</v>
      </c>
      <c r="K1229" s="6">
        <v>0.91699999999999993</v>
      </c>
      <c r="L1229" s="6">
        <v>462.56</v>
      </c>
      <c r="M1229" s="11">
        <v>424.16752000000002</v>
      </c>
      <c r="N1229" s="11">
        <f t="shared" si="76"/>
        <v>424.16799999999995</v>
      </c>
      <c r="O1229" s="6">
        <v>0.91700000000000004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0.12</v>
      </c>
      <c r="Z1229" s="6">
        <v>0.11004</v>
      </c>
      <c r="AA1229" s="6">
        <v>0.91700000000000004</v>
      </c>
      <c r="AB1229" s="6">
        <v>-0.12000000000000455</v>
      </c>
      <c r="AC1229" s="6">
        <v>0.12000000000000455</v>
      </c>
      <c r="AD1229" s="22" t="s">
        <v>3140</v>
      </c>
      <c r="AE1229" s="23">
        <f t="shared" si="77"/>
        <v>424.16799999999995</v>
      </c>
      <c r="AF1229" s="24">
        <f t="shared" si="78"/>
        <v>0</v>
      </c>
      <c r="AG1229" s="23">
        <f t="shared" si="79"/>
        <v>2</v>
      </c>
    </row>
    <row r="1230" spans="1:33" x14ac:dyDescent="0.25">
      <c r="A1230" s="12" t="s">
        <v>31</v>
      </c>
      <c r="B1230" s="9">
        <v>46191</v>
      </c>
      <c r="C1230" s="10" t="s">
        <v>1934</v>
      </c>
      <c r="D1230" s="10" t="s">
        <v>1905</v>
      </c>
      <c r="E1230" s="10" t="s">
        <v>51</v>
      </c>
      <c r="F1230" s="10" t="s">
        <v>35</v>
      </c>
      <c r="G1230" s="10" t="s">
        <v>3146</v>
      </c>
      <c r="H1230" s="8" t="s">
        <v>36</v>
      </c>
      <c r="I1230" s="11">
        <v>28.6</v>
      </c>
      <c r="J1230" s="6">
        <v>26.226199999999999</v>
      </c>
      <c r="K1230" s="6">
        <v>0.91699999999999993</v>
      </c>
      <c r="L1230" s="6">
        <v>27.68</v>
      </c>
      <c r="M1230" s="11">
        <v>25.382560000000002</v>
      </c>
      <c r="N1230" s="11">
        <f t="shared" si="76"/>
        <v>25.383000000000003</v>
      </c>
      <c r="O1230" s="6">
        <v>0.91700000000000004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0.92</v>
      </c>
      <c r="Z1230" s="6">
        <v>0.84363999999999995</v>
      </c>
      <c r="AA1230" s="6">
        <v>0.91699999999999993</v>
      </c>
      <c r="AB1230" s="6">
        <v>-0.92000000000000171</v>
      </c>
      <c r="AC1230" s="6">
        <v>0.92000000000000171</v>
      </c>
      <c r="AD1230" s="22" t="s">
        <v>3140</v>
      </c>
      <c r="AE1230" s="23">
        <f t="shared" si="77"/>
        <v>25.383000000000003</v>
      </c>
      <c r="AF1230" s="24">
        <f t="shared" si="78"/>
        <v>0</v>
      </c>
      <c r="AG1230" s="23">
        <f t="shared" si="79"/>
        <v>3</v>
      </c>
    </row>
    <row r="1231" spans="1:33" ht="20" hidden="1" customHeight="1" x14ac:dyDescent="0.25">
      <c r="A1231" s="12" t="s">
        <v>31</v>
      </c>
      <c r="B1231" s="9">
        <v>46191</v>
      </c>
      <c r="C1231" s="10" t="s">
        <v>1935</v>
      </c>
      <c r="D1231" s="10" t="s">
        <v>1936</v>
      </c>
      <c r="E1231" s="10" t="s">
        <v>51</v>
      </c>
      <c r="F1231" s="10" t="s">
        <v>35</v>
      </c>
      <c r="G1231" s="10" t="s">
        <v>3145</v>
      </c>
      <c r="H1231" s="8" t="s">
        <v>48</v>
      </c>
      <c r="I1231" s="11">
        <v>67.98</v>
      </c>
      <c r="J1231" s="6">
        <v>50.984999999999999</v>
      </c>
      <c r="K1231" s="6">
        <v>0.75</v>
      </c>
      <c r="L1231" s="6">
        <v>62.43</v>
      </c>
      <c r="M1231" s="11">
        <v>46.822499999999998</v>
      </c>
      <c r="N1231" s="11">
        <f t="shared" si="76"/>
        <v>46.823</v>
      </c>
      <c r="O1231" s="6">
        <v>0.75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5.55</v>
      </c>
      <c r="Z1231" s="6">
        <v>4.1624999999999996</v>
      </c>
      <c r="AA1231" s="6">
        <v>0.75</v>
      </c>
      <c r="AB1231" s="6">
        <v>-5.5500000000000043</v>
      </c>
      <c r="AC1231" s="6">
        <v>5.5500000000000043</v>
      </c>
      <c r="AD1231" s="22" t="s">
        <v>3140</v>
      </c>
      <c r="AE1231" s="23">
        <f t="shared" si="77"/>
        <v>46.823</v>
      </c>
      <c r="AF1231" s="24">
        <f t="shared" si="78"/>
        <v>0</v>
      </c>
      <c r="AG1231" s="23">
        <f t="shared" si="79"/>
        <v>1</v>
      </c>
    </row>
    <row r="1232" spans="1:33" hidden="1" x14ac:dyDescent="0.25">
      <c r="A1232" s="12" t="s">
        <v>31</v>
      </c>
      <c r="B1232" s="9">
        <v>46191</v>
      </c>
      <c r="C1232" s="10" t="s">
        <v>1937</v>
      </c>
      <c r="D1232" s="10" t="s">
        <v>1142</v>
      </c>
      <c r="E1232" s="10" t="s">
        <v>51</v>
      </c>
      <c r="F1232" s="10" t="s">
        <v>35</v>
      </c>
      <c r="G1232" s="10" t="s">
        <v>3145</v>
      </c>
      <c r="H1232" s="8" t="s">
        <v>41</v>
      </c>
      <c r="I1232" s="11">
        <v>303.14999999999998</v>
      </c>
      <c r="J1232" s="6">
        <v>227.36250000000001</v>
      </c>
      <c r="K1232" s="6">
        <v>0.75000000000000011</v>
      </c>
      <c r="L1232" s="6">
        <v>279.5</v>
      </c>
      <c r="M1232" s="11">
        <v>209.625</v>
      </c>
      <c r="N1232" s="11">
        <f t="shared" si="76"/>
        <v>209.625</v>
      </c>
      <c r="O1232" s="6">
        <v>0.75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23.65</v>
      </c>
      <c r="Z1232" s="6">
        <v>17.737500000000001</v>
      </c>
      <c r="AA1232" s="6">
        <v>0.75000000000000011</v>
      </c>
      <c r="AB1232" s="6">
        <v>-23.649999999999977</v>
      </c>
      <c r="AC1232" s="6">
        <v>23.649999999999977</v>
      </c>
      <c r="AD1232" s="23" t="s">
        <v>3143</v>
      </c>
      <c r="AE1232" s="23">
        <f t="shared" si="77"/>
        <v>189.91499999999999</v>
      </c>
      <c r="AF1232" s="24">
        <f t="shared" si="78"/>
        <v>19.710000000000008</v>
      </c>
      <c r="AG1232" s="23">
        <f t="shared" si="79"/>
        <v>4</v>
      </c>
    </row>
    <row r="1233" spans="1:33" ht="20" hidden="1" customHeight="1" x14ac:dyDescent="0.25">
      <c r="A1233" s="12" t="s">
        <v>31</v>
      </c>
      <c r="B1233" s="9">
        <v>46191</v>
      </c>
      <c r="C1233" s="10" t="s">
        <v>1938</v>
      </c>
      <c r="D1233" s="10" t="s">
        <v>1939</v>
      </c>
      <c r="E1233" s="10" t="s">
        <v>51</v>
      </c>
      <c r="F1233" s="10" t="s">
        <v>35</v>
      </c>
      <c r="G1233" s="10" t="s">
        <v>3145</v>
      </c>
      <c r="H1233" s="8" t="s">
        <v>48</v>
      </c>
      <c r="I1233" s="11">
        <v>62.57</v>
      </c>
      <c r="J1233" s="6">
        <v>46.927500000000002</v>
      </c>
      <c r="K1233" s="6">
        <v>0.75</v>
      </c>
      <c r="L1233" s="6">
        <v>58.86</v>
      </c>
      <c r="M1233" s="11">
        <v>44.145000000000003</v>
      </c>
      <c r="N1233" s="11">
        <f t="shared" si="76"/>
        <v>44.145000000000003</v>
      </c>
      <c r="O1233" s="6">
        <v>0.75000000000000011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3.71</v>
      </c>
      <c r="Z1233" s="6">
        <v>2.7825000000000002</v>
      </c>
      <c r="AA1233" s="6">
        <v>0.75000000000000011</v>
      </c>
      <c r="AB1233" s="6">
        <v>-3.7100000000000009</v>
      </c>
      <c r="AC1233" s="6">
        <v>3.7100000000000009</v>
      </c>
      <c r="AD1233" s="23" t="s">
        <v>3143</v>
      </c>
      <c r="AE1233" s="23">
        <f t="shared" si="77"/>
        <v>40.897999999999996</v>
      </c>
      <c r="AF1233" s="24">
        <f t="shared" si="78"/>
        <v>3.247000000000007</v>
      </c>
      <c r="AG1233" s="23">
        <f t="shared" si="79"/>
        <v>3</v>
      </c>
    </row>
    <row r="1234" spans="1:33" hidden="1" x14ac:dyDescent="0.25">
      <c r="A1234" s="12" t="s">
        <v>31</v>
      </c>
      <c r="B1234" s="9">
        <v>46191</v>
      </c>
      <c r="C1234" s="10" t="s">
        <v>1940</v>
      </c>
      <c r="D1234" s="10" t="s">
        <v>1370</v>
      </c>
      <c r="E1234" s="10" t="s">
        <v>51</v>
      </c>
      <c r="F1234" s="10" t="s">
        <v>35</v>
      </c>
      <c r="G1234" s="10" t="s">
        <v>3145</v>
      </c>
      <c r="H1234" s="8" t="s">
        <v>41</v>
      </c>
      <c r="I1234" s="11">
        <v>308.02</v>
      </c>
      <c r="J1234" s="6">
        <v>231.01499999999999</v>
      </c>
      <c r="K1234" s="6">
        <v>0.75</v>
      </c>
      <c r="L1234" s="6">
        <v>283.27999999999997</v>
      </c>
      <c r="M1234" s="11">
        <v>212.46</v>
      </c>
      <c r="N1234" s="11">
        <f t="shared" si="76"/>
        <v>212.46</v>
      </c>
      <c r="O1234" s="6">
        <v>0.75000000000000011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24.74</v>
      </c>
      <c r="Z1234" s="6">
        <v>18.555</v>
      </c>
      <c r="AA1234" s="6">
        <v>0.75</v>
      </c>
      <c r="AB1234" s="6">
        <v>-24.740000000000009</v>
      </c>
      <c r="AC1234" s="6">
        <v>24.740000000000009</v>
      </c>
      <c r="AD1234" s="23" t="s">
        <v>3143</v>
      </c>
      <c r="AE1234" s="23">
        <f t="shared" si="77"/>
        <v>194.565</v>
      </c>
      <c r="AF1234" s="24">
        <f t="shared" si="78"/>
        <v>17.89500000000001</v>
      </c>
      <c r="AG1234" s="23">
        <f t="shared" si="79"/>
        <v>4</v>
      </c>
    </row>
    <row r="1235" spans="1:33" ht="12.5" customHeight="1" x14ac:dyDescent="0.25">
      <c r="A1235" s="12" t="s">
        <v>31</v>
      </c>
      <c r="B1235" s="9">
        <v>46192</v>
      </c>
      <c r="C1235" s="10" t="s">
        <v>1941</v>
      </c>
      <c r="D1235" s="10" t="s">
        <v>1853</v>
      </c>
      <c r="E1235" s="10" t="s">
        <v>34</v>
      </c>
      <c r="F1235" s="10" t="s">
        <v>35</v>
      </c>
      <c r="G1235" s="10" t="s">
        <v>3146</v>
      </c>
      <c r="H1235" s="8" t="s">
        <v>36</v>
      </c>
      <c r="I1235" s="11">
        <v>178.28</v>
      </c>
      <c r="J1235" s="6">
        <v>163.48276000000001</v>
      </c>
      <c r="K1235" s="6">
        <v>0.91700000000000004</v>
      </c>
      <c r="L1235" s="6">
        <v>173.19</v>
      </c>
      <c r="M1235" s="11">
        <v>158.81523000000001</v>
      </c>
      <c r="N1235" s="11">
        <f t="shared" si="76"/>
        <v>158.816</v>
      </c>
      <c r="O1235" s="6">
        <v>0.91700000000000004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5.09</v>
      </c>
      <c r="Z1235" s="6">
        <v>4.6675300000000002</v>
      </c>
      <c r="AA1235" s="6">
        <v>0.91700000000000004</v>
      </c>
      <c r="AB1235" s="6">
        <v>-5.0900000000000034</v>
      </c>
      <c r="AC1235" s="6">
        <v>5.0900000000000034</v>
      </c>
      <c r="AD1235" s="22" t="s">
        <v>3140</v>
      </c>
      <c r="AE1235" s="23">
        <f t="shared" si="77"/>
        <v>158.816</v>
      </c>
      <c r="AF1235" s="24">
        <f t="shared" si="78"/>
        <v>0</v>
      </c>
      <c r="AG1235" s="23">
        <f t="shared" si="79"/>
        <v>2</v>
      </c>
    </row>
    <row r="1236" spans="1:33" ht="12.5" customHeight="1" x14ac:dyDescent="0.25">
      <c r="A1236" s="12" t="s">
        <v>31</v>
      </c>
      <c r="B1236" s="9">
        <v>46192</v>
      </c>
      <c r="C1236" s="10" t="s">
        <v>1942</v>
      </c>
      <c r="D1236" s="10" t="s">
        <v>1943</v>
      </c>
      <c r="E1236" s="10" t="s">
        <v>34</v>
      </c>
      <c r="F1236" s="10" t="s">
        <v>35</v>
      </c>
      <c r="G1236" s="10" t="s">
        <v>3146</v>
      </c>
      <c r="H1236" s="8" t="s">
        <v>36</v>
      </c>
      <c r="I1236" s="11">
        <v>12.33</v>
      </c>
      <c r="J1236" s="6">
        <v>11.306609999999999</v>
      </c>
      <c r="K1236" s="6">
        <v>0.91699999999999993</v>
      </c>
      <c r="L1236" s="6">
        <v>11.53</v>
      </c>
      <c r="M1236" s="11">
        <v>10.57301</v>
      </c>
      <c r="N1236" s="11">
        <f t="shared" si="76"/>
        <v>10.574</v>
      </c>
      <c r="O1236" s="6">
        <v>0.91700000000000004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0.8</v>
      </c>
      <c r="Z1236" s="6">
        <v>0.73360000000000003</v>
      </c>
      <c r="AA1236" s="6">
        <v>0.91700000000000004</v>
      </c>
      <c r="AB1236" s="6">
        <v>-0.80000000000000071</v>
      </c>
      <c r="AC1236" s="6">
        <v>0.80000000000000071</v>
      </c>
      <c r="AD1236" s="22" t="s">
        <v>3140</v>
      </c>
      <c r="AE1236" s="23">
        <f t="shared" si="77"/>
        <v>10.574</v>
      </c>
      <c r="AF1236" s="24">
        <f t="shared" si="78"/>
        <v>0</v>
      </c>
      <c r="AG1236" s="23">
        <f t="shared" si="79"/>
        <v>1</v>
      </c>
    </row>
    <row r="1237" spans="1:33" ht="20" hidden="1" customHeight="1" x14ac:dyDescent="0.25">
      <c r="A1237" s="12" t="s">
        <v>31</v>
      </c>
      <c r="B1237" s="9">
        <v>46192</v>
      </c>
      <c r="C1237" s="10" t="s">
        <v>1944</v>
      </c>
      <c r="D1237" s="10" t="s">
        <v>1945</v>
      </c>
      <c r="E1237" s="10" t="s">
        <v>51</v>
      </c>
      <c r="F1237" s="10" t="s">
        <v>35</v>
      </c>
      <c r="G1237" s="10" t="s">
        <v>3145</v>
      </c>
      <c r="H1237" s="8" t="s">
        <v>48</v>
      </c>
      <c r="I1237" s="11">
        <v>69.83</v>
      </c>
      <c r="J1237" s="6">
        <v>52.372500000000002</v>
      </c>
      <c r="K1237" s="6">
        <v>0.75</v>
      </c>
      <c r="L1237" s="6">
        <v>65.33</v>
      </c>
      <c r="M1237" s="11">
        <v>48.997500000000002</v>
      </c>
      <c r="N1237" s="11">
        <f t="shared" si="76"/>
        <v>48.997999999999998</v>
      </c>
      <c r="O1237" s="6">
        <v>0.75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4.5</v>
      </c>
      <c r="Z1237" s="6">
        <v>3.375</v>
      </c>
      <c r="AA1237" s="6">
        <v>0.75</v>
      </c>
      <c r="AB1237" s="6">
        <v>-4.5</v>
      </c>
      <c r="AC1237" s="6">
        <v>4.5</v>
      </c>
      <c r="AD1237" s="23" t="s">
        <v>3143</v>
      </c>
      <c r="AE1237" s="23">
        <f t="shared" si="77"/>
        <v>16.313000000000002</v>
      </c>
      <c r="AF1237" s="24">
        <f t="shared" si="78"/>
        <v>32.684999999999995</v>
      </c>
      <c r="AG1237" s="23">
        <f t="shared" si="79"/>
        <v>4</v>
      </c>
    </row>
    <row r="1238" spans="1:33" ht="20" hidden="1" customHeight="1" x14ac:dyDescent="0.25">
      <c r="A1238" s="12" t="s">
        <v>31</v>
      </c>
      <c r="B1238" s="9">
        <v>46192</v>
      </c>
      <c r="C1238" s="10" t="s">
        <v>1946</v>
      </c>
      <c r="D1238" s="10" t="s">
        <v>1947</v>
      </c>
      <c r="E1238" s="10" t="s">
        <v>51</v>
      </c>
      <c r="F1238" s="10" t="s">
        <v>35</v>
      </c>
      <c r="G1238" s="10" t="s">
        <v>3145</v>
      </c>
      <c r="H1238" s="8" t="s">
        <v>48</v>
      </c>
      <c r="I1238" s="11">
        <v>36.86</v>
      </c>
      <c r="J1238" s="6">
        <v>27.645</v>
      </c>
      <c r="K1238" s="6">
        <v>0.75</v>
      </c>
      <c r="L1238" s="6">
        <v>33.520000000000003</v>
      </c>
      <c r="M1238" s="11">
        <v>25.14</v>
      </c>
      <c r="N1238" s="11">
        <f t="shared" si="76"/>
        <v>25.14</v>
      </c>
      <c r="O1238" s="6">
        <v>0.75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3.34</v>
      </c>
      <c r="Z1238" s="6">
        <v>2.5049999999999999</v>
      </c>
      <c r="AA1238" s="6">
        <v>0.75</v>
      </c>
      <c r="AB1238" s="6">
        <v>-3.3399999999999963</v>
      </c>
      <c r="AC1238" s="6">
        <v>3.3399999999999963</v>
      </c>
      <c r="AD1238" s="22" t="s">
        <v>3140</v>
      </c>
      <c r="AE1238" s="23">
        <f t="shared" si="77"/>
        <v>25.14</v>
      </c>
      <c r="AF1238" s="24">
        <f t="shared" si="78"/>
        <v>0</v>
      </c>
      <c r="AG1238" s="23">
        <f t="shared" si="79"/>
        <v>2</v>
      </c>
    </row>
    <row r="1239" spans="1:33" hidden="1" x14ac:dyDescent="0.25">
      <c r="A1239" s="12" t="s">
        <v>31</v>
      </c>
      <c r="B1239" s="9">
        <v>46192</v>
      </c>
      <c r="C1239" s="10" t="s">
        <v>1948</v>
      </c>
      <c r="D1239" s="10" t="s">
        <v>1949</v>
      </c>
      <c r="E1239" s="10" t="s">
        <v>51</v>
      </c>
      <c r="F1239" s="10" t="s">
        <v>35</v>
      </c>
      <c r="G1239" s="10" t="s">
        <v>3145</v>
      </c>
      <c r="H1239" s="8" t="s">
        <v>41</v>
      </c>
      <c r="I1239" s="11">
        <v>3.56</v>
      </c>
      <c r="J1239" s="6">
        <v>2.67</v>
      </c>
      <c r="K1239" s="6">
        <v>0.75</v>
      </c>
      <c r="L1239" s="6">
        <v>3.56</v>
      </c>
      <c r="M1239" s="11">
        <v>2.67</v>
      </c>
      <c r="N1239" s="11">
        <f t="shared" si="76"/>
        <v>2.67</v>
      </c>
      <c r="O1239" s="6">
        <v>0.75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22" t="s">
        <v>3140</v>
      </c>
      <c r="AE1239" s="23">
        <f t="shared" si="77"/>
        <v>2.67</v>
      </c>
      <c r="AF1239" s="24">
        <f t="shared" si="78"/>
        <v>0</v>
      </c>
      <c r="AG1239" s="23">
        <f t="shared" si="79"/>
        <v>2</v>
      </c>
    </row>
    <row r="1240" spans="1:33" hidden="1" x14ac:dyDescent="0.25">
      <c r="A1240" s="12" t="s">
        <v>31</v>
      </c>
      <c r="B1240" s="9">
        <v>46192</v>
      </c>
      <c r="C1240" s="10" t="s">
        <v>1950</v>
      </c>
      <c r="D1240" s="10" t="s">
        <v>1951</v>
      </c>
      <c r="E1240" s="10" t="s">
        <v>51</v>
      </c>
      <c r="F1240" s="10" t="s">
        <v>35</v>
      </c>
      <c r="G1240" s="10" t="s">
        <v>3145</v>
      </c>
      <c r="H1240" s="8" t="s">
        <v>41</v>
      </c>
      <c r="I1240" s="11">
        <v>16.829999999999998</v>
      </c>
      <c r="J1240" s="6">
        <v>12.6225</v>
      </c>
      <c r="K1240" s="6">
        <v>0.75000000000000011</v>
      </c>
      <c r="L1240" s="6">
        <v>16.03</v>
      </c>
      <c r="M1240" s="11">
        <v>12.022500000000001</v>
      </c>
      <c r="N1240" s="11">
        <f t="shared" si="76"/>
        <v>12.023</v>
      </c>
      <c r="O1240" s="6">
        <v>0.75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0.8</v>
      </c>
      <c r="Z1240" s="6">
        <v>0.6</v>
      </c>
      <c r="AA1240" s="6">
        <v>0.74999999999999989</v>
      </c>
      <c r="AB1240" s="6">
        <v>-0.79999999999999716</v>
      </c>
      <c r="AC1240" s="6">
        <v>0.79999999999999716</v>
      </c>
      <c r="AD1240" s="22" t="s">
        <v>3140</v>
      </c>
      <c r="AE1240" s="23">
        <f t="shared" si="77"/>
        <v>12.023</v>
      </c>
      <c r="AF1240" s="24">
        <f t="shared" si="78"/>
        <v>0</v>
      </c>
      <c r="AG1240" s="23">
        <f t="shared" si="79"/>
        <v>1</v>
      </c>
    </row>
    <row r="1241" spans="1:33" x14ac:dyDescent="0.25">
      <c r="A1241" s="12" t="s">
        <v>31</v>
      </c>
      <c r="B1241" s="9">
        <v>46192</v>
      </c>
      <c r="C1241" s="10" t="s">
        <v>1952</v>
      </c>
      <c r="D1241" s="10" t="s">
        <v>1953</v>
      </c>
      <c r="E1241" s="10" t="s">
        <v>51</v>
      </c>
      <c r="F1241" s="10" t="s">
        <v>35</v>
      </c>
      <c r="G1241" s="10" t="s">
        <v>3146</v>
      </c>
      <c r="H1241" s="8" t="s">
        <v>36</v>
      </c>
      <c r="I1241" s="11">
        <v>3.37</v>
      </c>
      <c r="J1241" s="6">
        <v>3.09029</v>
      </c>
      <c r="K1241" s="6">
        <v>0.91699999999999993</v>
      </c>
      <c r="L1241" s="6">
        <v>3.01</v>
      </c>
      <c r="M1241" s="11">
        <v>2.76017</v>
      </c>
      <c r="N1241" s="11">
        <f t="shared" si="76"/>
        <v>2.7609999999999997</v>
      </c>
      <c r="O1241" s="6">
        <v>0.91700000000000004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0.36</v>
      </c>
      <c r="Z1241" s="6">
        <v>0.33012000000000002</v>
      </c>
      <c r="AA1241" s="6">
        <v>0.91700000000000015</v>
      </c>
      <c r="AB1241" s="6">
        <v>-0.36000000000000032</v>
      </c>
      <c r="AC1241" s="6">
        <v>0.36000000000000032</v>
      </c>
      <c r="AD1241" s="22" t="s">
        <v>3140</v>
      </c>
      <c r="AE1241" s="23">
        <f t="shared" si="77"/>
        <v>2.7609999999999997</v>
      </c>
      <c r="AF1241" s="24">
        <f t="shared" si="78"/>
        <v>0</v>
      </c>
      <c r="AG1241" s="23">
        <f t="shared" si="79"/>
        <v>1</v>
      </c>
    </row>
    <row r="1242" spans="1:33" ht="20" hidden="1" customHeight="1" x14ac:dyDescent="0.25">
      <c r="A1242" s="12" t="s">
        <v>31</v>
      </c>
      <c r="B1242" s="9">
        <v>46192</v>
      </c>
      <c r="C1242" s="10" t="s">
        <v>1954</v>
      </c>
      <c r="D1242" s="10" t="s">
        <v>1939</v>
      </c>
      <c r="E1242" s="10" t="s">
        <v>51</v>
      </c>
      <c r="F1242" s="10" t="s">
        <v>35</v>
      </c>
      <c r="G1242" s="10" t="s">
        <v>3145</v>
      </c>
      <c r="H1242" s="8" t="s">
        <v>48</v>
      </c>
      <c r="I1242" s="11">
        <v>54.53</v>
      </c>
      <c r="J1242" s="6">
        <v>40.897500000000001</v>
      </c>
      <c r="K1242" s="6">
        <v>0.75</v>
      </c>
      <c r="L1242" s="6">
        <v>54.53</v>
      </c>
      <c r="M1242" s="11">
        <v>40.897500000000001</v>
      </c>
      <c r="N1242" s="11">
        <f t="shared" si="76"/>
        <v>40.897999999999996</v>
      </c>
      <c r="O1242" s="6">
        <v>0.75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22" t="s">
        <v>3140</v>
      </c>
      <c r="AE1242" s="23">
        <f t="shared" si="77"/>
        <v>40.897999999999996</v>
      </c>
      <c r="AF1242" s="24">
        <f t="shared" si="78"/>
        <v>0</v>
      </c>
      <c r="AG1242" s="23">
        <f t="shared" si="79"/>
        <v>3</v>
      </c>
    </row>
    <row r="1243" spans="1:33" ht="20" hidden="1" customHeight="1" x14ac:dyDescent="0.25">
      <c r="A1243" s="12" t="s">
        <v>31</v>
      </c>
      <c r="B1243" s="9">
        <v>46192</v>
      </c>
      <c r="C1243" s="10" t="s">
        <v>1955</v>
      </c>
      <c r="D1243" s="10" t="s">
        <v>1939</v>
      </c>
      <c r="E1243" s="10" t="s">
        <v>51</v>
      </c>
      <c r="F1243" s="10" t="s">
        <v>35</v>
      </c>
      <c r="G1243" s="10" t="s">
        <v>3145</v>
      </c>
      <c r="H1243" s="8" t="s">
        <v>48</v>
      </c>
      <c r="I1243" s="11">
        <v>54.62</v>
      </c>
      <c r="J1243" s="6">
        <v>40.965000000000003</v>
      </c>
      <c r="K1243" s="6">
        <v>0.75000000000000011</v>
      </c>
      <c r="L1243" s="6">
        <v>54.62</v>
      </c>
      <c r="M1243" s="11">
        <v>40.965000000000003</v>
      </c>
      <c r="N1243" s="11">
        <f t="shared" si="76"/>
        <v>40.965000000000003</v>
      </c>
      <c r="O1243" s="6">
        <v>0.75000000000000011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23" t="s">
        <v>3143</v>
      </c>
      <c r="AE1243" s="23">
        <f t="shared" si="77"/>
        <v>40.897999999999996</v>
      </c>
      <c r="AF1243" s="24">
        <f t="shared" si="78"/>
        <v>6.7000000000007276E-2</v>
      </c>
      <c r="AG1243" s="23">
        <f t="shared" si="79"/>
        <v>3</v>
      </c>
    </row>
    <row r="1244" spans="1:33" ht="20" hidden="1" customHeight="1" x14ac:dyDescent="0.25">
      <c r="A1244" s="12" t="s">
        <v>31</v>
      </c>
      <c r="B1244" s="9">
        <v>46192</v>
      </c>
      <c r="C1244" s="10" t="s">
        <v>1956</v>
      </c>
      <c r="D1244" s="10" t="s">
        <v>444</v>
      </c>
      <c r="E1244" s="10" t="s">
        <v>51</v>
      </c>
      <c r="F1244" s="10" t="s">
        <v>35</v>
      </c>
      <c r="G1244" s="10" t="s">
        <v>3145</v>
      </c>
      <c r="H1244" s="8" t="s">
        <v>48</v>
      </c>
      <c r="I1244" s="11">
        <v>149.02000000000001</v>
      </c>
      <c r="J1244" s="6">
        <v>111.765</v>
      </c>
      <c r="K1244" s="6">
        <v>0.75</v>
      </c>
      <c r="L1244" s="6">
        <v>130.63999999999999</v>
      </c>
      <c r="M1244" s="11">
        <v>97.98</v>
      </c>
      <c r="N1244" s="11">
        <f t="shared" si="76"/>
        <v>97.98</v>
      </c>
      <c r="O1244" s="6">
        <v>0.75000000000000011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18.38</v>
      </c>
      <c r="Z1244" s="6">
        <v>13.785</v>
      </c>
      <c r="AA1244" s="6">
        <v>0.75</v>
      </c>
      <c r="AB1244" s="6">
        <v>-18.380000000000024</v>
      </c>
      <c r="AC1244" s="6">
        <v>18.380000000000024</v>
      </c>
      <c r="AD1244" s="23" t="s">
        <v>3143</v>
      </c>
      <c r="AE1244" s="23">
        <f t="shared" si="77"/>
        <v>87.254999999999995</v>
      </c>
      <c r="AF1244" s="24">
        <f t="shared" si="78"/>
        <v>10.725000000000009</v>
      </c>
      <c r="AG1244" s="23">
        <f t="shared" si="79"/>
        <v>2</v>
      </c>
    </row>
    <row r="1245" spans="1:33" ht="20" hidden="1" customHeight="1" x14ac:dyDescent="0.25">
      <c r="A1245" s="12" t="s">
        <v>31</v>
      </c>
      <c r="B1245" s="9">
        <v>46192</v>
      </c>
      <c r="C1245" s="10" t="s">
        <v>1957</v>
      </c>
      <c r="D1245" s="10" t="s">
        <v>1958</v>
      </c>
      <c r="E1245" s="10" t="s">
        <v>51</v>
      </c>
      <c r="F1245" s="10" t="s">
        <v>35</v>
      </c>
      <c r="G1245" s="10" t="s">
        <v>3145</v>
      </c>
      <c r="H1245" s="8" t="s">
        <v>48</v>
      </c>
      <c r="I1245" s="11">
        <v>31.87</v>
      </c>
      <c r="J1245" s="6">
        <v>23.9025</v>
      </c>
      <c r="K1245" s="6">
        <v>0.75</v>
      </c>
      <c r="L1245" s="6">
        <v>30.98</v>
      </c>
      <c r="M1245" s="11">
        <v>23.234999999999999</v>
      </c>
      <c r="N1245" s="11">
        <f t="shared" si="76"/>
        <v>23.234999999999999</v>
      </c>
      <c r="O1245" s="6">
        <v>0.75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0.89</v>
      </c>
      <c r="Z1245" s="6">
        <v>0.66749999999999998</v>
      </c>
      <c r="AA1245" s="6">
        <v>0.75</v>
      </c>
      <c r="AB1245" s="6">
        <v>-0.89000000000000057</v>
      </c>
      <c r="AC1245" s="6">
        <v>0.89000000000000057</v>
      </c>
      <c r="AD1245" s="23" t="s">
        <v>3143</v>
      </c>
      <c r="AE1245" s="23">
        <f t="shared" si="77"/>
        <v>21.278000000000002</v>
      </c>
      <c r="AF1245" s="24">
        <f t="shared" si="78"/>
        <v>1.9569999999999972</v>
      </c>
      <c r="AG1245" s="23">
        <f t="shared" si="79"/>
        <v>2</v>
      </c>
    </row>
    <row r="1246" spans="1:33" ht="12.5" customHeight="1" x14ac:dyDescent="0.25">
      <c r="A1246" s="12" t="s">
        <v>31</v>
      </c>
      <c r="B1246" s="9">
        <v>46192</v>
      </c>
      <c r="C1246" s="8" t="s">
        <v>1959</v>
      </c>
      <c r="D1246" s="10" t="s">
        <v>1960</v>
      </c>
      <c r="E1246" s="10" t="s">
        <v>51</v>
      </c>
      <c r="F1246" s="10" t="s">
        <v>35</v>
      </c>
      <c r="G1246" s="10" t="s">
        <v>3146</v>
      </c>
      <c r="H1246" s="8" t="s">
        <v>36</v>
      </c>
      <c r="I1246" s="11">
        <v>73.197000000000003</v>
      </c>
      <c r="J1246" s="6">
        <v>67.121649000000005</v>
      </c>
      <c r="K1246" s="6">
        <v>0.91700000000000004</v>
      </c>
      <c r="L1246" s="6">
        <v>69.427000000000007</v>
      </c>
      <c r="M1246" s="11">
        <v>63.664558999999997</v>
      </c>
      <c r="N1246" s="11">
        <f t="shared" si="76"/>
        <v>63.664999999999999</v>
      </c>
      <c r="O1246" s="6">
        <v>0.91699999999999982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3.77</v>
      </c>
      <c r="Z1246" s="6">
        <v>3.45709</v>
      </c>
      <c r="AA1246" s="6">
        <v>0.91700000000000004</v>
      </c>
      <c r="AB1246" s="6">
        <v>-3.769999999999996</v>
      </c>
      <c r="AC1246" s="6">
        <v>3.769999999999996</v>
      </c>
      <c r="AD1246" s="22" t="s">
        <v>3140</v>
      </c>
      <c r="AE1246" s="23">
        <f t="shared" si="77"/>
        <v>63.664999999999999</v>
      </c>
      <c r="AF1246" s="24">
        <f t="shared" si="78"/>
        <v>0</v>
      </c>
      <c r="AG1246" s="23">
        <f t="shared" si="79"/>
        <v>1</v>
      </c>
    </row>
    <row r="1247" spans="1:33" ht="12.5" customHeight="1" x14ac:dyDescent="0.25">
      <c r="A1247" s="12" t="s">
        <v>31</v>
      </c>
      <c r="B1247" s="9">
        <v>46192</v>
      </c>
      <c r="C1247" s="12" t="s">
        <v>1959</v>
      </c>
      <c r="D1247" s="10" t="s">
        <v>1961</v>
      </c>
      <c r="E1247" s="10" t="s">
        <v>51</v>
      </c>
      <c r="F1247" s="10" t="s">
        <v>35</v>
      </c>
      <c r="G1247" s="10" t="s">
        <v>3146</v>
      </c>
      <c r="H1247" s="8" t="s">
        <v>36</v>
      </c>
      <c r="I1247" s="11">
        <v>77.097999999999999</v>
      </c>
      <c r="J1247" s="6">
        <v>70.698865999999995</v>
      </c>
      <c r="K1247" s="6">
        <v>0.91699999999999993</v>
      </c>
      <c r="L1247" s="6">
        <v>70.858000000000004</v>
      </c>
      <c r="M1247" s="11">
        <v>64.976786000000004</v>
      </c>
      <c r="N1247" s="11">
        <f t="shared" si="76"/>
        <v>64.977000000000004</v>
      </c>
      <c r="O1247" s="6">
        <v>0.91700000000000004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6.24</v>
      </c>
      <c r="Z1247" s="6">
        <v>5.7220800000000001</v>
      </c>
      <c r="AA1247" s="6">
        <v>0.91699999999999993</v>
      </c>
      <c r="AB1247" s="6">
        <v>-6.2399999999999949</v>
      </c>
      <c r="AC1247" s="6">
        <v>6.2399999999999949</v>
      </c>
      <c r="AD1247" s="23" t="s">
        <v>3143</v>
      </c>
      <c r="AE1247" s="23">
        <f t="shared" si="77"/>
        <v>58.503</v>
      </c>
      <c r="AF1247" s="24">
        <f t="shared" si="78"/>
        <v>6.4740000000000038</v>
      </c>
      <c r="AG1247" s="23">
        <f t="shared" si="79"/>
        <v>2</v>
      </c>
    </row>
    <row r="1248" spans="1:33" ht="12.5" customHeight="1" x14ac:dyDescent="0.25">
      <c r="A1248" s="12" t="s">
        <v>31</v>
      </c>
      <c r="B1248" s="9">
        <v>46192</v>
      </c>
      <c r="C1248" s="12" t="s">
        <v>1959</v>
      </c>
      <c r="D1248" s="10" t="s">
        <v>1962</v>
      </c>
      <c r="E1248" s="10" t="s">
        <v>51</v>
      </c>
      <c r="F1248" s="10" t="s">
        <v>35</v>
      </c>
      <c r="G1248" s="10" t="s">
        <v>3146</v>
      </c>
      <c r="H1248" s="8" t="s">
        <v>36</v>
      </c>
      <c r="I1248" s="11">
        <v>64.855999999999995</v>
      </c>
      <c r="J1248" s="6">
        <v>59.472951999999999</v>
      </c>
      <c r="K1248" s="6">
        <v>0.91700000000000004</v>
      </c>
      <c r="L1248" s="6">
        <v>60.496000000000002</v>
      </c>
      <c r="M1248" s="11">
        <v>55.474831999999999</v>
      </c>
      <c r="N1248" s="11">
        <f t="shared" si="76"/>
        <v>55.474999999999994</v>
      </c>
      <c r="O1248" s="6">
        <v>0.91699999999999993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4.3600000000000003</v>
      </c>
      <c r="Z1248" s="6">
        <v>3.9981200000000001</v>
      </c>
      <c r="AA1248" s="6">
        <v>0.91699999999999993</v>
      </c>
      <c r="AB1248" s="6">
        <v>-4.3599999999999923</v>
      </c>
      <c r="AC1248" s="6">
        <v>4.3599999999999923</v>
      </c>
      <c r="AD1248" s="22" t="s">
        <v>3140</v>
      </c>
      <c r="AE1248" s="23">
        <f t="shared" si="77"/>
        <v>55.474999999999994</v>
      </c>
      <c r="AF1248" s="24">
        <f t="shared" si="78"/>
        <v>0</v>
      </c>
      <c r="AG1248" s="23">
        <f t="shared" si="79"/>
        <v>1</v>
      </c>
    </row>
    <row r="1249" spans="1:33" ht="12.5" hidden="1" customHeight="1" x14ac:dyDescent="0.25">
      <c r="A1249" s="12" t="s">
        <v>31</v>
      </c>
      <c r="B1249" s="9">
        <v>46192</v>
      </c>
      <c r="C1249" s="13" t="s">
        <v>1959</v>
      </c>
      <c r="D1249" s="10" t="s">
        <v>1947</v>
      </c>
      <c r="E1249" s="10" t="s">
        <v>51</v>
      </c>
      <c r="F1249" s="10" t="s">
        <v>35</v>
      </c>
      <c r="G1249" s="10" t="s">
        <v>3145</v>
      </c>
      <c r="H1249" s="8" t="s">
        <v>48</v>
      </c>
      <c r="I1249" s="11">
        <v>33.700000000000003</v>
      </c>
      <c r="J1249" s="6">
        <v>25.274999999999999</v>
      </c>
      <c r="K1249" s="6">
        <v>0.74999999999999989</v>
      </c>
      <c r="L1249" s="6">
        <v>33.68</v>
      </c>
      <c r="M1249" s="11">
        <v>25.26</v>
      </c>
      <c r="N1249" s="11">
        <f t="shared" si="76"/>
        <v>25.26</v>
      </c>
      <c r="O1249" s="6">
        <v>0.75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0.02</v>
      </c>
      <c r="Z1249" s="6">
        <v>1.4999999999999999E-2</v>
      </c>
      <c r="AA1249" s="6">
        <v>0.75</v>
      </c>
      <c r="AB1249" s="6">
        <v>-2.0000000000003126E-2</v>
      </c>
      <c r="AC1249" s="6">
        <v>2.0000000000003126E-2</v>
      </c>
      <c r="AD1249" s="23" t="s">
        <v>3143</v>
      </c>
      <c r="AE1249" s="23">
        <f t="shared" si="77"/>
        <v>25.14</v>
      </c>
      <c r="AF1249" s="24">
        <f t="shared" si="78"/>
        <v>0.12000000000000099</v>
      </c>
      <c r="AG1249" s="23">
        <f t="shared" si="79"/>
        <v>2</v>
      </c>
    </row>
    <row r="1250" spans="1:33" x14ac:dyDescent="0.25">
      <c r="A1250" s="12" t="s">
        <v>31</v>
      </c>
      <c r="B1250" s="9">
        <v>46192</v>
      </c>
      <c r="C1250" s="10" t="s">
        <v>1963</v>
      </c>
      <c r="D1250" s="10" t="s">
        <v>1708</v>
      </c>
      <c r="E1250" s="10" t="s">
        <v>51</v>
      </c>
      <c r="F1250" s="10" t="s">
        <v>35</v>
      </c>
      <c r="G1250" s="10" t="s">
        <v>3146</v>
      </c>
      <c r="H1250" s="8" t="s">
        <v>36</v>
      </c>
      <c r="I1250" s="11">
        <v>61.78</v>
      </c>
      <c r="J1250" s="6">
        <v>56.652259999999998</v>
      </c>
      <c r="K1250" s="6">
        <v>0.91699999999999993</v>
      </c>
      <c r="L1250" s="6">
        <v>57.08</v>
      </c>
      <c r="M1250" s="11">
        <v>52.342359999999999</v>
      </c>
      <c r="N1250" s="11">
        <f t="shared" si="76"/>
        <v>52.342999999999996</v>
      </c>
      <c r="O1250" s="6">
        <v>0.91700000000000004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4.7</v>
      </c>
      <c r="Z1250" s="6">
        <v>4.3098999999999998</v>
      </c>
      <c r="AA1250" s="6">
        <v>0.91699999999999993</v>
      </c>
      <c r="AB1250" s="6">
        <v>-4.7000000000000028</v>
      </c>
      <c r="AC1250" s="6">
        <v>4.7000000000000028</v>
      </c>
      <c r="AD1250" s="23" t="s">
        <v>3143</v>
      </c>
      <c r="AE1250" s="23">
        <f t="shared" si="77"/>
        <v>49.372</v>
      </c>
      <c r="AF1250" s="24">
        <f t="shared" si="78"/>
        <v>2.9709999999999965</v>
      </c>
      <c r="AG1250" s="23">
        <f t="shared" si="79"/>
        <v>2</v>
      </c>
    </row>
    <row r="1251" spans="1:33" ht="20" hidden="1" customHeight="1" x14ac:dyDescent="0.25">
      <c r="A1251" s="12" t="s">
        <v>31</v>
      </c>
      <c r="B1251" s="9">
        <v>46192</v>
      </c>
      <c r="C1251" s="10" t="s">
        <v>1964</v>
      </c>
      <c r="D1251" s="10" t="s">
        <v>1965</v>
      </c>
      <c r="E1251" s="10" t="s">
        <v>51</v>
      </c>
      <c r="F1251" s="10" t="s">
        <v>35</v>
      </c>
      <c r="G1251" s="10" t="s">
        <v>3145</v>
      </c>
      <c r="H1251" s="8" t="s">
        <v>48</v>
      </c>
      <c r="I1251" s="11">
        <v>47.54</v>
      </c>
      <c r="J1251" s="6">
        <v>35.655000000000001</v>
      </c>
      <c r="K1251" s="6">
        <v>0.75</v>
      </c>
      <c r="L1251" s="6">
        <v>43.89</v>
      </c>
      <c r="M1251" s="11">
        <v>32.917499999999997</v>
      </c>
      <c r="N1251" s="11">
        <f t="shared" si="76"/>
        <v>32.917999999999999</v>
      </c>
      <c r="O1251" s="6">
        <v>0.74999999999999989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3.65</v>
      </c>
      <c r="Z1251" s="6">
        <v>2.7374999999999998</v>
      </c>
      <c r="AA1251" s="6">
        <v>0.75</v>
      </c>
      <c r="AB1251" s="6">
        <v>-3.6499999999999986</v>
      </c>
      <c r="AC1251" s="6">
        <v>3.6499999999999986</v>
      </c>
      <c r="AD1251" s="23" t="s">
        <v>3143</v>
      </c>
      <c r="AE1251" s="23">
        <f t="shared" si="77"/>
        <v>32.774999999999999</v>
      </c>
      <c r="AF1251" s="24">
        <f t="shared" si="78"/>
        <v>0.14300000000000068</v>
      </c>
      <c r="AG1251" s="23">
        <f t="shared" si="79"/>
        <v>2</v>
      </c>
    </row>
    <row r="1252" spans="1:33" ht="20" hidden="1" customHeight="1" x14ac:dyDescent="0.25">
      <c r="A1252" s="12" t="s">
        <v>31</v>
      </c>
      <c r="B1252" s="9">
        <v>46192</v>
      </c>
      <c r="C1252" s="10" t="s">
        <v>1966</v>
      </c>
      <c r="D1252" s="10" t="s">
        <v>1967</v>
      </c>
      <c r="E1252" s="10" t="s">
        <v>51</v>
      </c>
      <c r="F1252" s="10" t="s">
        <v>35</v>
      </c>
      <c r="G1252" s="10" t="s">
        <v>3145</v>
      </c>
      <c r="H1252" s="8" t="s">
        <v>48</v>
      </c>
      <c r="I1252" s="11">
        <v>95.93</v>
      </c>
      <c r="J1252" s="6">
        <v>71.947500000000005</v>
      </c>
      <c r="K1252" s="6">
        <v>0.75</v>
      </c>
      <c r="L1252" s="6">
        <v>88.83</v>
      </c>
      <c r="M1252" s="11">
        <v>66.622500000000002</v>
      </c>
      <c r="N1252" s="11">
        <f t="shared" si="76"/>
        <v>66.623000000000005</v>
      </c>
      <c r="O1252" s="6">
        <v>0.75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7.1</v>
      </c>
      <c r="Z1252" s="6">
        <v>5.3250000000000002</v>
      </c>
      <c r="AA1252" s="6">
        <v>0.75000000000000011</v>
      </c>
      <c r="AB1252" s="6">
        <v>-7.1000000000000085</v>
      </c>
      <c r="AC1252" s="6">
        <v>7.1000000000000085</v>
      </c>
      <c r="AD1252" s="22" t="s">
        <v>3140</v>
      </c>
      <c r="AE1252" s="23">
        <f t="shared" si="77"/>
        <v>66.623000000000005</v>
      </c>
      <c r="AF1252" s="24">
        <f t="shared" si="78"/>
        <v>0</v>
      </c>
      <c r="AG1252" s="23">
        <f t="shared" si="79"/>
        <v>1</v>
      </c>
    </row>
    <row r="1253" spans="1:33" ht="12.5" hidden="1" customHeight="1" x14ac:dyDescent="0.25">
      <c r="A1253" s="12" t="s">
        <v>31</v>
      </c>
      <c r="B1253" s="9">
        <v>46192</v>
      </c>
      <c r="C1253" s="8" t="s">
        <v>1968</v>
      </c>
      <c r="D1253" s="10" t="s">
        <v>1887</v>
      </c>
      <c r="E1253" s="10" t="s">
        <v>51</v>
      </c>
      <c r="F1253" s="10" t="s">
        <v>35</v>
      </c>
      <c r="G1253" s="10" t="s">
        <v>3145</v>
      </c>
      <c r="H1253" s="8" t="s">
        <v>41</v>
      </c>
      <c r="I1253" s="11">
        <v>67.69</v>
      </c>
      <c r="J1253" s="6">
        <v>50.767499999999998</v>
      </c>
      <c r="K1253" s="6">
        <v>0.75</v>
      </c>
      <c r="L1253" s="6">
        <v>67.69</v>
      </c>
      <c r="M1253" s="11">
        <v>50.767499999999998</v>
      </c>
      <c r="N1253" s="11">
        <f t="shared" si="76"/>
        <v>50.768000000000001</v>
      </c>
      <c r="O1253" s="6">
        <v>0.75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22" t="s">
        <v>3140</v>
      </c>
      <c r="AE1253" s="23">
        <f t="shared" si="77"/>
        <v>50.768000000000001</v>
      </c>
      <c r="AF1253" s="24">
        <f t="shared" si="78"/>
        <v>0</v>
      </c>
      <c r="AG1253" s="23">
        <f t="shared" si="79"/>
        <v>2</v>
      </c>
    </row>
    <row r="1254" spans="1:33" ht="12.5" hidden="1" customHeight="1" x14ac:dyDescent="0.25">
      <c r="A1254" s="12" t="s">
        <v>31</v>
      </c>
      <c r="B1254" s="9">
        <v>46192</v>
      </c>
      <c r="C1254" s="13" t="s">
        <v>1968</v>
      </c>
      <c r="D1254" s="10" t="s">
        <v>1932</v>
      </c>
      <c r="E1254" s="10" t="s">
        <v>51</v>
      </c>
      <c r="F1254" s="10" t="s">
        <v>35</v>
      </c>
      <c r="G1254" s="10" t="s">
        <v>3145</v>
      </c>
      <c r="H1254" s="8" t="s">
        <v>48</v>
      </c>
      <c r="I1254" s="11">
        <v>21.39</v>
      </c>
      <c r="J1254" s="6">
        <v>16.0425</v>
      </c>
      <c r="K1254" s="6">
        <v>0.75</v>
      </c>
      <c r="L1254" s="6">
        <v>21.19</v>
      </c>
      <c r="M1254" s="11">
        <v>15.8925</v>
      </c>
      <c r="N1254" s="11">
        <f t="shared" si="76"/>
        <v>15.892999999999999</v>
      </c>
      <c r="O1254" s="6">
        <v>0.75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0.2</v>
      </c>
      <c r="Z1254" s="6">
        <v>0.15</v>
      </c>
      <c r="AA1254" s="6">
        <v>0.74999999999999989</v>
      </c>
      <c r="AB1254" s="6">
        <v>-0.19999999999999929</v>
      </c>
      <c r="AC1254" s="6">
        <v>0.19999999999999929</v>
      </c>
      <c r="AD1254" s="22" t="s">
        <v>3140</v>
      </c>
      <c r="AE1254" s="23">
        <f t="shared" si="77"/>
        <v>15.892999999999999</v>
      </c>
      <c r="AF1254" s="24">
        <f t="shared" si="78"/>
        <v>0</v>
      </c>
      <c r="AG1254" s="23">
        <f t="shared" si="79"/>
        <v>2</v>
      </c>
    </row>
    <row r="1255" spans="1:33" x14ac:dyDescent="0.25">
      <c r="A1255" s="12" t="s">
        <v>31</v>
      </c>
      <c r="B1255" s="9">
        <v>46192</v>
      </c>
      <c r="C1255" s="10" t="s">
        <v>1969</v>
      </c>
      <c r="D1255" s="10" t="s">
        <v>1970</v>
      </c>
      <c r="E1255" s="10" t="s">
        <v>51</v>
      </c>
      <c r="F1255" s="10" t="s">
        <v>35</v>
      </c>
      <c r="G1255" s="10" t="s">
        <v>3146</v>
      </c>
      <c r="H1255" s="8" t="s">
        <v>36</v>
      </c>
      <c r="I1255" s="11">
        <v>20.18</v>
      </c>
      <c r="J1255" s="6">
        <v>18.50506</v>
      </c>
      <c r="K1255" s="6">
        <v>0.91700000000000004</v>
      </c>
      <c r="L1255" s="6">
        <v>19.36</v>
      </c>
      <c r="M1255" s="11">
        <v>17.753119999999999</v>
      </c>
      <c r="N1255" s="11">
        <f t="shared" si="76"/>
        <v>17.754000000000001</v>
      </c>
      <c r="O1255" s="6">
        <v>0.91699999999999993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0.82</v>
      </c>
      <c r="Z1255" s="6">
        <v>0.75194000000000005</v>
      </c>
      <c r="AA1255" s="6">
        <v>0.91700000000000015</v>
      </c>
      <c r="AB1255" s="6">
        <v>-0.82000000000000028</v>
      </c>
      <c r="AC1255" s="6">
        <v>0.82000000000000028</v>
      </c>
      <c r="AD1255" s="22" t="s">
        <v>3140</v>
      </c>
      <c r="AE1255" s="23">
        <f t="shared" si="77"/>
        <v>17.754000000000001</v>
      </c>
      <c r="AF1255" s="24">
        <f t="shared" si="78"/>
        <v>0</v>
      </c>
      <c r="AG1255" s="23">
        <f t="shared" si="79"/>
        <v>1</v>
      </c>
    </row>
    <row r="1256" spans="1:33" x14ac:dyDescent="0.25">
      <c r="A1256" s="12" t="s">
        <v>31</v>
      </c>
      <c r="B1256" s="9">
        <v>46192</v>
      </c>
      <c r="C1256" s="10" t="s">
        <v>1971</v>
      </c>
      <c r="D1256" s="10" t="s">
        <v>1972</v>
      </c>
      <c r="E1256" s="10" t="s">
        <v>51</v>
      </c>
      <c r="F1256" s="10" t="s">
        <v>35</v>
      </c>
      <c r="G1256" s="10" t="s">
        <v>3146</v>
      </c>
      <c r="H1256" s="8" t="s">
        <v>36</v>
      </c>
      <c r="I1256" s="11">
        <v>31.86</v>
      </c>
      <c r="J1256" s="6">
        <v>29.215620000000001</v>
      </c>
      <c r="K1256" s="6">
        <v>0.91700000000000004</v>
      </c>
      <c r="L1256" s="6">
        <v>31.86</v>
      </c>
      <c r="M1256" s="11">
        <v>29.215620000000001</v>
      </c>
      <c r="N1256" s="11">
        <f t="shared" si="76"/>
        <v>29.216000000000001</v>
      </c>
      <c r="O1256" s="6">
        <v>0.91700000000000004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23" t="s">
        <v>3143</v>
      </c>
      <c r="AE1256" s="23">
        <f t="shared" si="77"/>
        <v>27.107000000000003</v>
      </c>
      <c r="AF1256" s="24">
        <f t="shared" si="78"/>
        <v>2.1089999999999982</v>
      </c>
      <c r="AG1256" s="23">
        <f t="shared" si="79"/>
        <v>3</v>
      </c>
    </row>
    <row r="1257" spans="1:33" ht="20" hidden="1" customHeight="1" x14ac:dyDescent="0.25">
      <c r="A1257" s="12" t="s">
        <v>31</v>
      </c>
      <c r="B1257" s="9">
        <v>46192</v>
      </c>
      <c r="C1257" s="10" t="s">
        <v>1973</v>
      </c>
      <c r="D1257" s="10" t="s">
        <v>1945</v>
      </c>
      <c r="E1257" s="10" t="s">
        <v>51</v>
      </c>
      <c r="F1257" s="10" t="s">
        <v>35</v>
      </c>
      <c r="G1257" s="10" t="s">
        <v>3145</v>
      </c>
      <c r="H1257" s="8" t="s">
        <v>48</v>
      </c>
      <c r="I1257" s="11">
        <v>61.44</v>
      </c>
      <c r="J1257" s="6">
        <v>46.08</v>
      </c>
      <c r="K1257" s="6">
        <v>0.75</v>
      </c>
      <c r="L1257" s="6">
        <v>61.44</v>
      </c>
      <c r="M1257" s="11">
        <v>46.08</v>
      </c>
      <c r="N1257" s="11">
        <f t="shared" si="76"/>
        <v>46.08</v>
      </c>
      <c r="O1257" s="6">
        <v>0.75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23" t="s">
        <v>3143</v>
      </c>
      <c r="AE1257" s="23">
        <f t="shared" si="77"/>
        <v>16.313000000000002</v>
      </c>
      <c r="AF1257" s="24">
        <f t="shared" si="78"/>
        <v>29.766999999999996</v>
      </c>
      <c r="AG1257" s="23">
        <f t="shared" si="79"/>
        <v>4</v>
      </c>
    </row>
    <row r="1258" spans="1:33" ht="20" hidden="1" customHeight="1" x14ac:dyDescent="0.25">
      <c r="A1258" s="12" t="s">
        <v>31</v>
      </c>
      <c r="B1258" s="9">
        <v>46192</v>
      </c>
      <c r="C1258" s="10" t="s">
        <v>1974</v>
      </c>
      <c r="D1258" s="10" t="s">
        <v>1945</v>
      </c>
      <c r="E1258" s="10" t="s">
        <v>51</v>
      </c>
      <c r="F1258" s="10" t="s">
        <v>35</v>
      </c>
      <c r="G1258" s="10" t="s">
        <v>3145</v>
      </c>
      <c r="H1258" s="8" t="s">
        <v>48</v>
      </c>
      <c r="I1258" s="11">
        <v>61.54</v>
      </c>
      <c r="J1258" s="6">
        <v>46.155000000000001</v>
      </c>
      <c r="K1258" s="6">
        <v>0.75</v>
      </c>
      <c r="L1258" s="6">
        <v>61.54</v>
      </c>
      <c r="M1258" s="11">
        <v>46.155000000000001</v>
      </c>
      <c r="N1258" s="11">
        <f t="shared" si="76"/>
        <v>46.155000000000001</v>
      </c>
      <c r="O1258" s="6">
        <v>0.75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23" t="s">
        <v>3143</v>
      </c>
      <c r="AE1258" s="23">
        <f t="shared" si="77"/>
        <v>16.313000000000002</v>
      </c>
      <c r="AF1258" s="24">
        <f t="shared" si="78"/>
        <v>29.841999999999999</v>
      </c>
      <c r="AG1258" s="23">
        <f t="shared" si="79"/>
        <v>4</v>
      </c>
    </row>
    <row r="1259" spans="1:33" ht="12.5" hidden="1" customHeight="1" x14ac:dyDescent="0.25">
      <c r="A1259" s="12" t="s">
        <v>31</v>
      </c>
      <c r="B1259" s="9">
        <v>46192</v>
      </c>
      <c r="C1259" s="8" t="s">
        <v>1975</v>
      </c>
      <c r="D1259" s="10" t="s">
        <v>1976</v>
      </c>
      <c r="E1259" s="10" t="s">
        <v>51</v>
      </c>
      <c r="F1259" s="10" t="s">
        <v>35</v>
      </c>
      <c r="G1259" s="10" t="s">
        <v>3145</v>
      </c>
      <c r="H1259" s="8" t="s">
        <v>41</v>
      </c>
      <c r="I1259" s="11">
        <v>30.08</v>
      </c>
      <c r="J1259" s="6">
        <v>22.56</v>
      </c>
      <c r="K1259" s="6">
        <v>0.75</v>
      </c>
      <c r="L1259" s="6">
        <v>28.22</v>
      </c>
      <c r="M1259" s="11">
        <v>21.164999999999999</v>
      </c>
      <c r="N1259" s="11">
        <f t="shared" si="76"/>
        <v>21.164999999999999</v>
      </c>
      <c r="O1259" s="6">
        <v>0.75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1.86</v>
      </c>
      <c r="Z1259" s="6">
        <v>1.395</v>
      </c>
      <c r="AA1259" s="6">
        <v>0.75</v>
      </c>
      <c r="AB1259" s="6">
        <v>-1.8599999999999994</v>
      </c>
      <c r="AC1259" s="6">
        <v>1.8599999999999994</v>
      </c>
      <c r="AD1259" s="22" t="s">
        <v>3140</v>
      </c>
      <c r="AE1259" s="23">
        <f t="shared" si="77"/>
        <v>21.164999999999999</v>
      </c>
      <c r="AF1259" s="24">
        <f t="shared" si="78"/>
        <v>0</v>
      </c>
      <c r="AG1259" s="23">
        <f t="shared" si="79"/>
        <v>1</v>
      </c>
    </row>
    <row r="1260" spans="1:33" ht="12.5" customHeight="1" x14ac:dyDescent="0.25">
      <c r="A1260" s="12" t="s">
        <v>31</v>
      </c>
      <c r="B1260" s="9">
        <v>46192</v>
      </c>
      <c r="C1260" s="12" t="s">
        <v>1975</v>
      </c>
      <c r="D1260" s="10" t="s">
        <v>1977</v>
      </c>
      <c r="E1260" s="10" t="s">
        <v>51</v>
      </c>
      <c r="F1260" s="10" t="s">
        <v>35</v>
      </c>
      <c r="G1260" s="10" t="s">
        <v>3146</v>
      </c>
      <c r="H1260" s="8" t="s">
        <v>36</v>
      </c>
      <c r="I1260" s="11">
        <v>17.350000000000001</v>
      </c>
      <c r="J1260" s="6">
        <v>15.90995</v>
      </c>
      <c r="K1260" s="6">
        <v>0.91699999999999993</v>
      </c>
      <c r="L1260" s="6">
        <v>16.32</v>
      </c>
      <c r="M1260" s="11">
        <v>14.965439999999999</v>
      </c>
      <c r="N1260" s="11">
        <f t="shared" si="76"/>
        <v>14.965999999999999</v>
      </c>
      <c r="O1260" s="6">
        <v>0.91699999999999993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1.03</v>
      </c>
      <c r="Z1260" s="6">
        <v>0.94450999999999996</v>
      </c>
      <c r="AA1260" s="6">
        <v>0.91699999999999993</v>
      </c>
      <c r="AB1260" s="6">
        <v>-1.0300000000000011</v>
      </c>
      <c r="AC1260" s="6">
        <v>1.0300000000000011</v>
      </c>
      <c r="AD1260" s="22" t="s">
        <v>3140</v>
      </c>
      <c r="AE1260" s="23">
        <f t="shared" si="77"/>
        <v>14.965999999999999</v>
      </c>
      <c r="AF1260" s="24">
        <f t="shared" si="78"/>
        <v>0</v>
      </c>
      <c r="AG1260" s="23">
        <f t="shared" si="79"/>
        <v>1</v>
      </c>
    </row>
    <row r="1261" spans="1:33" ht="12.5" hidden="1" customHeight="1" x14ac:dyDescent="0.25">
      <c r="A1261" s="12" t="s">
        <v>31</v>
      </c>
      <c r="B1261" s="9">
        <v>46192</v>
      </c>
      <c r="C1261" s="13" t="s">
        <v>1975</v>
      </c>
      <c r="D1261" s="10" t="s">
        <v>1978</v>
      </c>
      <c r="E1261" s="10" t="s">
        <v>51</v>
      </c>
      <c r="F1261" s="10" t="s">
        <v>35</v>
      </c>
      <c r="G1261" s="10" t="s">
        <v>3145</v>
      </c>
      <c r="H1261" s="8" t="s">
        <v>48</v>
      </c>
      <c r="I1261" s="11">
        <v>8.35</v>
      </c>
      <c r="J1261" s="6">
        <v>6.2625000000000002</v>
      </c>
      <c r="K1261" s="6">
        <v>0.75</v>
      </c>
      <c r="L1261" s="6">
        <v>7.72</v>
      </c>
      <c r="M1261" s="11">
        <v>5.79</v>
      </c>
      <c r="N1261" s="11">
        <f t="shared" si="76"/>
        <v>5.79</v>
      </c>
      <c r="O1261" s="6">
        <v>0.75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0.63</v>
      </c>
      <c r="Z1261" s="6">
        <v>0.47249999999999998</v>
      </c>
      <c r="AA1261" s="6">
        <v>0.75</v>
      </c>
      <c r="AB1261" s="6">
        <v>-0.62999999999999989</v>
      </c>
      <c r="AC1261" s="6">
        <v>0.62999999999999989</v>
      </c>
      <c r="AD1261" s="22" t="s">
        <v>3140</v>
      </c>
      <c r="AE1261" s="23">
        <f t="shared" si="77"/>
        <v>5.79</v>
      </c>
      <c r="AF1261" s="24">
        <f t="shared" si="78"/>
        <v>0</v>
      </c>
      <c r="AG1261" s="23">
        <f t="shared" si="79"/>
        <v>2</v>
      </c>
    </row>
    <row r="1262" spans="1:33" ht="12.5" customHeight="1" x14ac:dyDescent="0.25">
      <c r="A1262" s="12" t="s">
        <v>31</v>
      </c>
      <c r="B1262" s="9">
        <v>46192</v>
      </c>
      <c r="C1262" s="8" t="s">
        <v>1979</v>
      </c>
      <c r="D1262" s="10" t="s">
        <v>1980</v>
      </c>
      <c r="E1262" s="10" t="s">
        <v>51</v>
      </c>
      <c r="F1262" s="10" t="s">
        <v>35</v>
      </c>
      <c r="G1262" s="10" t="s">
        <v>3146</v>
      </c>
      <c r="H1262" s="8" t="s">
        <v>36</v>
      </c>
      <c r="I1262" s="11">
        <v>92.069000000000003</v>
      </c>
      <c r="J1262" s="6">
        <v>84.427273</v>
      </c>
      <c r="K1262" s="6">
        <v>0.91699999999999993</v>
      </c>
      <c r="L1262" s="6">
        <v>86.578999999999994</v>
      </c>
      <c r="M1262" s="11">
        <v>79.392943000000002</v>
      </c>
      <c r="N1262" s="11">
        <f t="shared" si="76"/>
        <v>79.393000000000001</v>
      </c>
      <c r="O1262" s="6">
        <v>0.91700000000000015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5.49</v>
      </c>
      <c r="Z1262" s="6">
        <v>5.0343299999999997</v>
      </c>
      <c r="AA1262" s="6">
        <v>0.91699999999999993</v>
      </c>
      <c r="AB1262" s="6">
        <v>-5.4900000000000091</v>
      </c>
      <c r="AC1262" s="6">
        <v>5.4900000000000091</v>
      </c>
      <c r="AD1262" s="22" t="s">
        <v>3140</v>
      </c>
      <c r="AE1262" s="23">
        <f t="shared" si="77"/>
        <v>79.393000000000001</v>
      </c>
      <c r="AF1262" s="24">
        <f t="shared" si="78"/>
        <v>0</v>
      </c>
      <c r="AG1262" s="23">
        <f t="shared" si="79"/>
        <v>1</v>
      </c>
    </row>
    <row r="1263" spans="1:33" ht="12.5" customHeight="1" x14ac:dyDescent="0.25">
      <c r="A1263" s="12" t="s">
        <v>31</v>
      </c>
      <c r="B1263" s="9">
        <v>46192</v>
      </c>
      <c r="C1263" s="12" t="s">
        <v>1979</v>
      </c>
      <c r="D1263" s="10" t="s">
        <v>1981</v>
      </c>
      <c r="E1263" s="10" t="s">
        <v>51</v>
      </c>
      <c r="F1263" s="10" t="s">
        <v>35</v>
      </c>
      <c r="G1263" s="10" t="s">
        <v>3146</v>
      </c>
      <c r="H1263" s="8" t="s">
        <v>36</v>
      </c>
      <c r="I1263" s="11">
        <v>71.126000000000005</v>
      </c>
      <c r="J1263" s="6">
        <v>65.222542000000004</v>
      </c>
      <c r="K1263" s="6">
        <v>0.91700000000000004</v>
      </c>
      <c r="L1263" s="6">
        <v>67.105999999999995</v>
      </c>
      <c r="M1263" s="11">
        <v>61.536202000000003</v>
      </c>
      <c r="N1263" s="11">
        <f t="shared" si="76"/>
        <v>61.536999999999999</v>
      </c>
      <c r="O1263" s="6">
        <v>0.91700000000000015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4.0199999999999996</v>
      </c>
      <c r="Z1263" s="6">
        <v>3.68634</v>
      </c>
      <c r="AA1263" s="6">
        <v>0.91700000000000004</v>
      </c>
      <c r="AB1263" s="6">
        <v>-4.0200000000000102</v>
      </c>
      <c r="AC1263" s="6">
        <v>4.0200000000000102</v>
      </c>
      <c r="AD1263" s="22" t="s">
        <v>3140</v>
      </c>
      <c r="AE1263" s="23">
        <f t="shared" si="77"/>
        <v>61.536999999999999</v>
      </c>
      <c r="AF1263" s="24">
        <f t="shared" si="78"/>
        <v>0</v>
      </c>
      <c r="AG1263" s="23">
        <f t="shared" si="79"/>
        <v>1</v>
      </c>
    </row>
    <row r="1264" spans="1:33" ht="12.5" customHeight="1" x14ac:dyDescent="0.25">
      <c r="A1264" s="12" t="s">
        <v>31</v>
      </c>
      <c r="B1264" s="9">
        <v>46192</v>
      </c>
      <c r="C1264" s="13" t="s">
        <v>1979</v>
      </c>
      <c r="D1264" s="10" t="s">
        <v>1982</v>
      </c>
      <c r="E1264" s="10" t="s">
        <v>51</v>
      </c>
      <c r="F1264" s="10" t="s">
        <v>35</v>
      </c>
      <c r="G1264" s="10" t="s">
        <v>3146</v>
      </c>
      <c r="H1264" s="8" t="s">
        <v>36</v>
      </c>
      <c r="I1264" s="11">
        <v>74.078000000000003</v>
      </c>
      <c r="J1264" s="6">
        <v>67.929525999999996</v>
      </c>
      <c r="K1264" s="6">
        <v>0.91699999999999993</v>
      </c>
      <c r="L1264" s="6">
        <v>68.378</v>
      </c>
      <c r="M1264" s="11">
        <v>62.702626000000002</v>
      </c>
      <c r="N1264" s="11">
        <f t="shared" si="76"/>
        <v>62.702999999999996</v>
      </c>
      <c r="O1264" s="6">
        <v>0.91700000000000004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5.7</v>
      </c>
      <c r="Z1264" s="6">
        <v>5.2268999999999997</v>
      </c>
      <c r="AA1264" s="6">
        <v>0.91699999999999993</v>
      </c>
      <c r="AB1264" s="6">
        <v>-5.7000000000000028</v>
      </c>
      <c r="AC1264" s="6">
        <v>5.7000000000000028</v>
      </c>
      <c r="AD1264" s="22" t="s">
        <v>3140</v>
      </c>
      <c r="AE1264" s="23">
        <f t="shared" si="77"/>
        <v>62.702999999999996</v>
      </c>
      <c r="AF1264" s="24">
        <f t="shared" si="78"/>
        <v>0</v>
      </c>
      <c r="AG1264" s="23">
        <f t="shared" si="79"/>
        <v>1</v>
      </c>
    </row>
    <row r="1265" spans="1:33" ht="20" hidden="1" customHeight="1" x14ac:dyDescent="0.25">
      <c r="A1265" s="12" t="s">
        <v>31</v>
      </c>
      <c r="B1265" s="9">
        <v>46192</v>
      </c>
      <c r="C1265" s="10" t="s">
        <v>1983</v>
      </c>
      <c r="D1265" s="10" t="s">
        <v>1984</v>
      </c>
      <c r="E1265" s="10" t="s">
        <v>51</v>
      </c>
      <c r="F1265" s="10" t="s">
        <v>35</v>
      </c>
      <c r="G1265" s="10" t="s">
        <v>3145</v>
      </c>
      <c r="H1265" s="8" t="s">
        <v>48</v>
      </c>
      <c r="I1265" s="11">
        <v>143.36000000000001</v>
      </c>
      <c r="J1265" s="6">
        <v>107.52</v>
      </c>
      <c r="K1265" s="6">
        <v>0.74999999999999989</v>
      </c>
      <c r="L1265" s="6">
        <v>132.94999999999999</v>
      </c>
      <c r="M1265" s="11">
        <v>99.712500000000006</v>
      </c>
      <c r="N1265" s="11">
        <f t="shared" si="76"/>
        <v>99.713000000000008</v>
      </c>
      <c r="O1265" s="6">
        <v>0.75000000000000011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10.41</v>
      </c>
      <c r="Z1265" s="6">
        <v>7.8075000000000001</v>
      </c>
      <c r="AA1265" s="6">
        <v>0.75</v>
      </c>
      <c r="AB1265" s="6">
        <v>-10.410000000000025</v>
      </c>
      <c r="AC1265" s="6">
        <v>10.410000000000025</v>
      </c>
      <c r="AD1265" s="22" t="s">
        <v>3140</v>
      </c>
      <c r="AE1265" s="23">
        <f t="shared" si="77"/>
        <v>99.713000000000008</v>
      </c>
      <c r="AF1265" s="24">
        <f t="shared" si="78"/>
        <v>0</v>
      </c>
      <c r="AG1265" s="23">
        <f t="shared" si="79"/>
        <v>2</v>
      </c>
    </row>
    <row r="1266" spans="1:33" ht="12.5" hidden="1" customHeight="1" x14ac:dyDescent="0.25">
      <c r="A1266" s="12" t="s">
        <v>31</v>
      </c>
      <c r="B1266" s="9">
        <v>46192</v>
      </c>
      <c r="C1266" s="8" t="s">
        <v>1985</v>
      </c>
      <c r="D1266" s="10" t="s">
        <v>1986</v>
      </c>
      <c r="E1266" s="10" t="s">
        <v>51</v>
      </c>
      <c r="F1266" s="10" t="s">
        <v>35</v>
      </c>
      <c r="G1266" s="10" t="s">
        <v>3145</v>
      </c>
      <c r="H1266" s="8" t="s">
        <v>41</v>
      </c>
      <c r="I1266" s="11">
        <v>52.14</v>
      </c>
      <c r="J1266" s="6">
        <v>39.104999999999997</v>
      </c>
      <c r="K1266" s="6">
        <v>0.74999999999999989</v>
      </c>
      <c r="L1266" s="6">
        <v>48.04</v>
      </c>
      <c r="M1266" s="11">
        <v>36.03</v>
      </c>
      <c r="N1266" s="11">
        <f t="shared" si="76"/>
        <v>36.03</v>
      </c>
      <c r="O1266" s="6">
        <v>0.75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4.0999999999999996</v>
      </c>
      <c r="Z1266" s="6">
        <v>3.0750000000000002</v>
      </c>
      <c r="AA1266" s="6">
        <v>0.75000000000000011</v>
      </c>
      <c r="AB1266" s="6">
        <v>-4.1000000000000014</v>
      </c>
      <c r="AC1266" s="6">
        <v>4.1000000000000014</v>
      </c>
      <c r="AD1266" s="22" t="s">
        <v>3140</v>
      </c>
      <c r="AE1266" s="23">
        <f t="shared" si="77"/>
        <v>36.03</v>
      </c>
      <c r="AF1266" s="24">
        <f t="shared" si="78"/>
        <v>0</v>
      </c>
      <c r="AG1266" s="23">
        <f t="shared" si="79"/>
        <v>1</v>
      </c>
    </row>
    <row r="1267" spans="1:33" ht="12.5" customHeight="1" x14ac:dyDescent="0.25">
      <c r="A1267" s="12" t="s">
        <v>31</v>
      </c>
      <c r="B1267" s="9">
        <v>46192</v>
      </c>
      <c r="C1267" s="12" t="s">
        <v>1985</v>
      </c>
      <c r="D1267" s="10" t="s">
        <v>1987</v>
      </c>
      <c r="E1267" s="10" t="s">
        <v>51</v>
      </c>
      <c r="F1267" s="10" t="s">
        <v>35</v>
      </c>
      <c r="G1267" s="10" t="s">
        <v>3146</v>
      </c>
      <c r="H1267" s="8" t="s">
        <v>36</v>
      </c>
      <c r="I1267" s="11">
        <v>75.900000000000006</v>
      </c>
      <c r="J1267" s="6">
        <v>69.600300000000004</v>
      </c>
      <c r="K1267" s="6">
        <v>0.91700000000000004</v>
      </c>
      <c r="L1267" s="6">
        <v>73.180000000000007</v>
      </c>
      <c r="M1267" s="11">
        <v>67.106059999999999</v>
      </c>
      <c r="N1267" s="11">
        <f t="shared" si="76"/>
        <v>67.106999999999999</v>
      </c>
      <c r="O1267" s="6">
        <v>0.91699999999999993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2.72</v>
      </c>
      <c r="Z1267" s="6">
        <v>2.49424</v>
      </c>
      <c r="AA1267" s="6">
        <v>0.91699999999999993</v>
      </c>
      <c r="AB1267" s="6">
        <v>-2.7199999999999989</v>
      </c>
      <c r="AC1267" s="6">
        <v>2.7199999999999989</v>
      </c>
      <c r="AD1267" s="22" t="s">
        <v>3140</v>
      </c>
      <c r="AE1267" s="23">
        <f t="shared" si="77"/>
        <v>67.106999999999999</v>
      </c>
      <c r="AF1267" s="24">
        <f t="shared" si="78"/>
        <v>0</v>
      </c>
      <c r="AG1267" s="23">
        <f t="shared" si="79"/>
        <v>1</v>
      </c>
    </row>
    <row r="1268" spans="1:33" ht="12.5" hidden="1" customHeight="1" x14ac:dyDescent="0.25">
      <c r="A1268" s="12" t="s">
        <v>31</v>
      </c>
      <c r="B1268" s="9">
        <v>46192</v>
      </c>
      <c r="C1268" s="12" t="s">
        <v>1985</v>
      </c>
      <c r="D1268" s="10" t="s">
        <v>1988</v>
      </c>
      <c r="E1268" s="10" t="s">
        <v>51</v>
      </c>
      <c r="F1268" s="10" t="s">
        <v>35</v>
      </c>
      <c r="G1268" s="10" t="s">
        <v>3145</v>
      </c>
      <c r="H1268" s="8" t="s">
        <v>41</v>
      </c>
      <c r="I1268" s="11">
        <v>65.209999999999994</v>
      </c>
      <c r="J1268" s="6">
        <v>48.907499999999999</v>
      </c>
      <c r="K1268" s="6">
        <v>0.75</v>
      </c>
      <c r="L1268" s="6">
        <v>57.39</v>
      </c>
      <c r="M1268" s="11">
        <v>43.042499999999997</v>
      </c>
      <c r="N1268" s="11">
        <f t="shared" si="76"/>
        <v>43.042999999999999</v>
      </c>
      <c r="O1268" s="6">
        <v>0.74999999999999989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7.82</v>
      </c>
      <c r="Z1268" s="6">
        <v>5.8650000000000002</v>
      </c>
      <c r="AA1268" s="6">
        <v>0.75</v>
      </c>
      <c r="AB1268" s="6">
        <v>-7.8199999999999932</v>
      </c>
      <c r="AC1268" s="6">
        <v>7.8199999999999932</v>
      </c>
      <c r="AD1268" s="22" t="s">
        <v>3140</v>
      </c>
      <c r="AE1268" s="23">
        <f t="shared" si="77"/>
        <v>43.042999999999999</v>
      </c>
      <c r="AF1268" s="24">
        <f t="shared" si="78"/>
        <v>0</v>
      </c>
      <c r="AG1268" s="23">
        <f t="shared" si="79"/>
        <v>1</v>
      </c>
    </row>
    <row r="1269" spans="1:33" ht="12.5" customHeight="1" x14ac:dyDescent="0.25">
      <c r="A1269" s="12" t="s">
        <v>31</v>
      </c>
      <c r="B1269" s="9">
        <v>46192</v>
      </c>
      <c r="C1269" s="12" t="s">
        <v>1985</v>
      </c>
      <c r="D1269" s="10" t="s">
        <v>1989</v>
      </c>
      <c r="E1269" s="10" t="s">
        <v>51</v>
      </c>
      <c r="F1269" s="10" t="s">
        <v>35</v>
      </c>
      <c r="G1269" s="10" t="s">
        <v>3146</v>
      </c>
      <c r="H1269" s="8" t="s">
        <v>36</v>
      </c>
      <c r="I1269" s="11">
        <v>38.880000000000003</v>
      </c>
      <c r="J1269" s="6">
        <v>35.65296</v>
      </c>
      <c r="K1269" s="6">
        <v>0.91699999999999993</v>
      </c>
      <c r="L1269" s="6">
        <v>35.270000000000003</v>
      </c>
      <c r="M1269" s="11">
        <v>32.342590000000001</v>
      </c>
      <c r="N1269" s="11">
        <f t="shared" si="76"/>
        <v>32.342999999999996</v>
      </c>
      <c r="O1269" s="6">
        <v>0.91699999999999993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3.61</v>
      </c>
      <c r="Z1269" s="6">
        <v>3.3103699999999998</v>
      </c>
      <c r="AA1269" s="6">
        <v>0.91699999999999993</v>
      </c>
      <c r="AB1269" s="6">
        <v>-3.6099999999999994</v>
      </c>
      <c r="AC1269" s="6">
        <v>3.6099999999999994</v>
      </c>
      <c r="AD1269" s="22" t="s">
        <v>3140</v>
      </c>
      <c r="AE1269" s="23">
        <f t="shared" si="77"/>
        <v>32.342999999999996</v>
      </c>
      <c r="AF1269" s="24">
        <f t="shared" si="78"/>
        <v>0</v>
      </c>
      <c r="AG1269" s="23">
        <f t="shared" si="79"/>
        <v>1</v>
      </c>
    </row>
    <row r="1270" spans="1:33" ht="12.5" hidden="1" customHeight="1" x14ac:dyDescent="0.25">
      <c r="A1270" s="12" t="s">
        <v>31</v>
      </c>
      <c r="B1270" s="9">
        <v>46192</v>
      </c>
      <c r="C1270" s="13" t="s">
        <v>1985</v>
      </c>
      <c r="D1270" s="10" t="s">
        <v>1949</v>
      </c>
      <c r="E1270" s="10" t="s">
        <v>51</v>
      </c>
      <c r="F1270" s="10" t="s">
        <v>35</v>
      </c>
      <c r="G1270" s="10" t="s">
        <v>3145</v>
      </c>
      <c r="H1270" s="8" t="s">
        <v>41</v>
      </c>
      <c r="I1270" s="11">
        <v>8.6300000000000008</v>
      </c>
      <c r="J1270" s="6">
        <v>6.4725000000000001</v>
      </c>
      <c r="K1270" s="6">
        <v>0.75</v>
      </c>
      <c r="L1270" s="6">
        <v>8.31</v>
      </c>
      <c r="M1270" s="11">
        <v>6.2324999999999999</v>
      </c>
      <c r="N1270" s="11">
        <f t="shared" si="76"/>
        <v>6.2330000000000005</v>
      </c>
      <c r="O1270" s="6">
        <v>0.75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0.32</v>
      </c>
      <c r="Z1270" s="6">
        <v>0.24</v>
      </c>
      <c r="AA1270" s="6">
        <v>0.75</v>
      </c>
      <c r="AB1270" s="6">
        <v>-0.32000000000000028</v>
      </c>
      <c r="AC1270" s="6">
        <v>0.32000000000000028</v>
      </c>
      <c r="AD1270" s="23" t="s">
        <v>3143</v>
      </c>
      <c r="AE1270" s="23">
        <f t="shared" si="77"/>
        <v>2.67</v>
      </c>
      <c r="AF1270" s="24">
        <f t="shared" si="78"/>
        <v>3.5630000000000006</v>
      </c>
      <c r="AG1270" s="23">
        <f t="shared" si="79"/>
        <v>2</v>
      </c>
    </row>
    <row r="1271" spans="1:33" ht="12.5" hidden="1" customHeight="1" x14ac:dyDescent="0.25">
      <c r="A1271" s="12" t="s">
        <v>31</v>
      </c>
      <c r="B1271" s="9">
        <v>46192</v>
      </c>
      <c r="C1271" s="8" t="s">
        <v>1990</v>
      </c>
      <c r="D1271" s="10" t="s">
        <v>1991</v>
      </c>
      <c r="E1271" s="10" t="s">
        <v>51</v>
      </c>
      <c r="F1271" s="10" t="s">
        <v>35</v>
      </c>
      <c r="G1271" s="10" t="s">
        <v>3145</v>
      </c>
      <c r="H1271" s="8" t="s">
        <v>41</v>
      </c>
      <c r="I1271" s="11">
        <v>198.81</v>
      </c>
      <c r="J1271" s="6">
        <v>149.10749999999999</v>
      </c>
      <c r="K1271" s="6">
        <v>0.74999999999999989</v>
      </c>
      <c r="L1271" s="6">
        <v>187.19</v>
      </c>
      <c r="M1271" s="11">
        <v>140.39250000000001</v>
      </c>
      <c r="N1271" s="11">
        <f t="shared" si="76"/>
        <v>140.393</v>
      </c>
      <c r="O1271" s="6">
        <v>0.75000000000000011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11.62</v>
      </c>
      <c r="Z1271" s="6">
        <v>8.7149999999999999</v>
      </c>
      <c r="AA1271" s="6">
        <v>0.75</v>
      </c>
      <c r="AB1271" s="6">
        <v>-11.620000000000005</v>
      </c>
      <c r="AC1271" s="6">
        <v>11.620000000000005</v>
      </c>
      <c r="AD1271" s="22" t="s">
        <v>3140</v>
      </c>
      <c r="AE1271" s="23">
        <f t="shared" si="77"/>
        <v>140.393</v>
      </c>
      <c r="AF1271" s="24">
        <f t="shared" si="78"/>
        <v>0</v>
      </c>
      <c r="AG1271" s="23">
        <f t="shared" si="79"/>
        <v>1</v>
      </c>
    </row>
    <row r="1272" spans="1:33" ht="12.5" hidden="1" customHeight="1" x14ac:dyDescent="0.25">
      <c r="A1272" s="12" t="s">
        <v>31</v>
      </c>
      <c r="B1272" s="9">
        <v>46192</v>
      </c>
      <c r="C1272" s="13" t="s">
        <v>1990</v>
      </c>
      <c r="D1272" s="10" t="s">
        <v>1992</v>
      </c>
      <c r="E1272" s="10" t="s">
        <v>51</v>
      </c>
      <c r="F1272" s="10" t="s">
        <v>35</v>
      </c>
      <c r="G1272" s="10" t="s">
        <v>3145</v>
      </c>
      <c r="H1272" s="8" t="s">
        <v>41</v>
      </c>
      <c r="I1272" s="11">
        <v>8.24</v>
      </c>
      <c r="J1272" s="6">
        <v>6.18</v>
      </c>
      <c r="K1272" s="6">
        <v>0.75</v>
      </c>
      <c r="L1272" s="6">
        <v>7.41</v>
      </c>
      <c r="M1272" s="11">
        <v>5.5575000000000001</v>
      </c>
      <c r="N1272" s="11">
        <f t="shared" si="76"/>
        <v>5.5580000000000007</v>
      </c>
      <c r="O1272" s="6">
        <v>0.75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0.83</v>
      </c>
      <c r="Z1272" s="6">
        <v>0.62250000000000005</v>
      </c>
      <c r="AA1272" s="6">
        <v>0.75000000000000011</v>
      </c>
      <c r="AB1272" s="6">
        <v>-0.83</v>
      </c>
      <c r="AC1272" s="6">
        <v>0.83</v>
      </c>
      <c r="AD1272" s="22" t="s">
        <v>3140</v>
      </c>
      <c r="AE1272" s="23">
        <f t="shared" si="77"/>
        <v>5.5580000000000007</v>
      </c>
      <c r="AF1272" s="24">
        <f t="shared" si="78"/>
        <v>0</v>
      </c>
      <c r="AG1272" s="23">
        <f t="shared" si="79"/>
        <v>1</v>
      </c>
    </row>
    <row r="1273" spans="1:33" ht="20" hidden="1" customHeight="1" x14ac:dyDescent="0.25">
      <c r="A1273" s="12" t="s">
        <v>31</v>
      </c>
      <c r="B1273" s="9">
        <v>46192</v>
      </c>
      <c r="C1273" s="10" t="s">
        <v>1993</v>
      </c>
      <c r="D1273" s="10" t="s">
        <v>1994</v>
      </c>
      <c r="E1273" s="10" t="s">
        <v>51</v>
      </c>
      <c r="F1273" s="10" t="s">
        <v>35</v>
      </c>
      <c r="G1273" s="10" t="s">
        <v>3145</v>
      </c>
      <c r="H1273" s="8" t="s">
        <v>48</v>
      </c>
      <c r="I1273" s="11">
        <v>26.251999999999999</v>
      </c>
      <c r="J1273" s="6">
        <v>19.689</v>
      </c>
      <c r="K1273" s="6">
        <v>0.75</v>
      </c>
      <c r="L1273" s="6">
        <v>24.521999999999998</v>
      </c>
      <c r="M1273" s="11">
        <v>18.391500000000001</v>
      </c>
      <c r="N1273" s="11">
        <f t="shared" si="76"/>
        <v>18.391999999999999</v>
      </c>
      <c r="O1273" s="6">
        <v>0.75000000000000011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1.73</v>
      </c>
      <c r="Z1273" s="6">
        <v>1.2975000000000001</v>
      </c>
      <c r="AA1273" s="6">
        <v>0.75000000000000011</v>
      </c>
      <c r="AB1273" s="6">
        <v>-1.7300000000000004</v>
      </c>
      <c r="AC1273" s="6">
        <v>1.7300000000000004</v>
      </c>
      <c r="AD1273" s="22" t="s">
        <v>3140</v>
      </c>
      <c r="AE1273" s="23">
        <f t="shared" si="77"/>
        <v>18.391999999999999</v>
      </c>
      <c r="AF1273" s="24">
        <f t="shared" si="78"/>
        <v>0</v>
      </c>
      <c r="AG1273" s="23">
        <f t="shared" si="79"/>
        <v>1</v>
      </c>
    </row>
    <row r="1274" spans="1:33" ht="20" hidden="1" customHeight="1" x14ac:dyDescent="0.25">
      <c r="A1274" s="12" t="s">
        <v>31</v>
      </c>
      <c r="B1274" s="9">
        <v>46192</v>
      </c>
      <c r="C1274" s="10" t="s">
        <v>1995</v>
      </c>
      <c r="D1274" s="10" t="s">
        <v>1965</v>
      </c>
      <c r="E1274" s="10" t="s">
        <v>51</v>
      </c>
      <c r="F1274" s="10" t="s">
        <v>35</v>
      </c>
      <c r="G1274" s="10" t="s">
        <v>3145</v>
      </c>
      <c r="H1274" s="8" t="s">
        <v>48</v>
      </c>
      <c r="I1274" s="11">
        <v>43.87</v>
      </c>
      <c r="J1274" s="6">
        <v>32.902500000000003</v>
      </c>
      <c r="K1274" s="6">
        <v>0.75000000000000011</v>
      </c>
      <c r="L1274" s="6">
        <v>43.7</v>
      </c>
      <c r="M1274" s="11">
        <v>32.774999999999999</v>
      </c>
      <c r="N1274" s="11">
        <f t="shared" si="76"/>
        <v>32.774999999999999</v>
      </c>
      <c r="O1274" s="6">
        <v>0.74999999999999989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0.17</v>
      </c>
      <c r="Z1274" s="6">
        <v>0.1275</v>
      </c>
      <c r="AA1274" s="6">
        <v>0.75</v>
      </c>
      <c r="AB1274" s="6">
        <v>-0.1699999999999946</v>
      </c>
      <c r="AC1274" s="6">
        <v>0.1699999999999946</v>
      </c>
      <c r="AD1274" s="22" t="s">
        <v>3140</v>
      </c>
      <c r="AE1274" s="23">
        <f t="shared" si="77"/>
        <v>32.774999999999999</v>
      </c>
      <c r="AF1274" s="24">
        <f t="shared" si="78"/>
        <v>0</v>
      </c>
      <c r="AG1274" s="23">
        <f t="shared" si="79"/>
        <v>2</v>
      </c>
    </row>
    <row r="1275" spans="1:33" ht="12.5" hidden="1" customHeight="1" x14ac:dyDescent="0.25">
      <c r="A1275" s="12" t="s">
        <v>31</v>
      </c>
      <c r="B1275" s="9">
        <v>46192</v>
      </c>
      <c r="C1275" s="8" t="s">
        <v>1996</v>
      </c>
      <c r="D1275" s="8" t="s">
        <v>338</v>
      </c>
      <c r="E1275" s="8" t="s">
        <v>51</v>
      </c>
      <c r="F1275" s="8" t="s">
        <v>35</v>
      </c>
      <c r="G1275" s="10" t="s">
        <v>3145</v>
      </c>
      <c r="H1275" s="8" t="s">
        <v>48</v>
      </c>
      <c r="I1275" s="11">
        <v>11.89</v>
      </c>
      <c r="J1275" s="6">
        <v>8.9175000000000004</v>
      </c>
      <c r="K1275" s="6">
        <v>0.75</v>
      </c>
      <c r="L1275" s="6">
        <v>10.8</v>
      </c>
      <c r="M1275" s="11">
        <v>8.1</v>
      </c>
      <c r="N1275" s="11">
        <f t="shared" si="76"/>
        <v>8.1</v>
      </c>
      <c r="O1275" s="6">
        <v>0.74999999999999989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1.0900000000000001</v>
      </c>
      <c r="Z1275" s="6">
        <v>0.8175</v>
      </c>
      <c r="AA1275" s="6">
        <v>0.75</v>
      </c>
      <c r="AB1275" s="6">
        <v>-1.0899999999999999</v>
      </c>
      <c r="AC1275" s="6">
        <v>1.0899999999999999</v>
      </c>
      <c r="AD1275" s="23" t="s">
        <v>3143</v>
      </c>
      <c r="AE1275" s="23">
        <f t="shared" si="77"/>
        <v>0</v>
      </c>
      <c r="AF1275" s="24">
        <f t="shared" si="78"/>
        <v>8.1</v>
      </c>
      <c r="AG1275" s="23">
        <f t="shared" si="79"/>
        <v>67</v>
      </c>
    </row>
    <row r="1276" spans="1:33" ht="12.5" hidden="1" customHeight="1" x14ac:dyDescent="0.25">
      <c r="A1276" s="12" t="s">
        <v>31</v>
      </c>
      <c r="B1276" s="9">
        <v>46192</v>
      </c>
      <c r="C1276" s="12" t="s">
        <v>1996</v>
      </c>
      <c r="D1276" s="12" t="s">
        <v>338</v>
      </c>
      <c r="E1276" s="12" t="s">
        <v>51</v>
      </c>
      <c r="F1276" s="12" t="s">
        <v>35</v>
      </c>
      <c r="G1276" s="10" t="s">
        <v>3145</v>
      </c>
      <c r="H1276" s="8" t="s">
        <v>41</v>
      </c>
      <c r="I1276" s="11">
        <v>5.47</v>
      </c>
      <c r="J1276" s="6">
        <v>4.1025</v>
      </c>
      <c r="K1276" s="6">
        <v>0.75</v>
      </c>
      <c r="L1276" s="6">
        <v>4.82</v>
      </c>
      <c r="M1276" s="11">
        <v>3.6150000000000002</v>
      </c>
      <c r="N1276" s="11">
        <f t="shared" si="76"/>
        <v>3.6150000000000002</v>
      </c>
      <c r="O1276" s="6">
        <v>0.75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0.65</v>
      </c>
      <c r="Z1276" s="6">
        <v>0.48749999999999999</v>
      </c>
      <c r="AA1276" s="6">
        <v>0.75</v>
      </c>
      <c r="AB1276" s="6">
        <v>-0.64999999999999947</v>
      </c>
      <c r="AC1276" s="6">
        <v>0.64999999999999947</v>
      </c>
      <c r="AD1276" s="23" t="s">
        <v>3143</v>
      </c>
      <c r="AE1276" s="23">
        <f t="shared" si="77"/>
        <v>0</v>
      </c>
      <c r="AF1276" s="24">
        <f t="shared" si="78"/>
        <v>3.6150000000000002</v>
      </c>
      <c r="AG1276" s="23">
        <f t="shared" si="79"/>
        <v>67</v>
      </c>
    </row>
    <row r="1277" spans="1:33" ht="12.5" customHeight="1" x14ac:dyDescent="0.25">
      <c r="A1277" s="12" t="s">
        <v>31</v>
      </c>
      <c r="B1277" s="9">
        <v>46192</v>
      </c>
      <c r="C1277" s="13" t="s">
        <v>1996</v>
      </c>
      <c r="D1277" s="13" t="s">
        <v>338</v>
      </c>
      <c r="E1277" s="13" t="s">
        <v>51</v>
      </c>
      <c r="F1277" s="13" t="s">
        <v>35</v>
      </c>
      <c r="G1277" s="10" t="s">
        <v>3146</v>
      </c>
      <c r="H1277" s="8" t="s">
        <v>36</v>
      </c>
      <c r="I1277" s="11">
        <v>5.68</v>
      </c>
      <c r="J1277" s="6">
        <v>5.2085600000000003</v>
      </c>
      <c r="K1277" s="6">
        <v>0.91700000000000015</v>
      </c>
      <c r="L1277" s="6">
        <v>2.5099999999999998</v>
      </c>
      <c r="M1277" s="11">
        <v>2.3016700000000001</v>
      </c>
      <c r="N1277" s="11">
        <f t="shared" si="76"/>
        <v>2.302</v>
      </c>
      <c r="O1277" s="6">
        <v>0.91700000000000015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3.17</v>
      </c>
      <c r="Z1277" s="6">
        <v>2.9068900000000002</v>
      </c>
      <c r="AA1277" s="6">
        <v>0.91700000000000004</v>
      </c>
      <c r="AB1277" s="6">
        <v>-3.17</v>
      </c>
      <c r="AC1277" s="6">
        <v>3.17</v>
      </c>
      <c r="AD1277" s="23" t="s">
        <v>3143</v>
      </c>
      <c r="AE1277" s="23">
        <f t="shared" si="77"/>
        <v>0</v>
      </c>
      <c r="AF1277" s="24">
        <f t="shared" si="78"/>
        <v>2.302</v>
      </c>
      <c r="AG1277" s="23">
        <f t="shared" si="79"/>
        <v>67</v>
      </c>
    </row>
    <row r="1278" spans="1:33" ht="20" hidden="1" customHeight="1" x14ac:dyDescent="0.25">
      <c r="A1278" s="12" t="s">
        <v>31</v>
      </c>
      <c r="B1278" s="9">
        <v>46192</v>
      </c>
      <c r="C1278" s="10" t="s">
        <v>1997</v>
      </c>
      <c r="D1278" s="10" t="s">
        <v>338</v>
      </c>
      <c r="E1278" s="10" t="s">
        <v>51</v>
      </c>
      <c r="F1278" s="10" t="s">
        <v>35</v>
      </c>
      <c r="G1278" s="10" t="s">
        <v>3145</v>
      </c>
      <c r="H1278" s="8" t="s">
        <v>48</v>
      </c>
      <c r="I1278" s="11">
        <v>0.57999999999999996</v>
      </c>
      <c r="J1278" s="6">
        <v>0.435</v>
      </c>
      <c r="K1278" s="6">
        <v>0.75</v>
      </c>
      <c r="L1278" s="6">
        <v>0.49</v>
      </c>
      <c r="M1278" s="11">
        <v>0.36749999999999999</v>
      </c>
      <c r="N1278" s="11">
        <f t="shared" si="76"/>
        <v>0.36799999999999999</v>
      </c>
      <c r="O1278" s="6">
        <v>0.75</v>
      </c>
      <c r="P1278" s="6">
        <v>0.09</v>
      </c>
      <c r="Q1278" s="6">
        <v>6.7500000000000004E-2</v>
      </c>
      <c r="R1278" s="6">
        <v>0.75000000000000011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-0.17999999999999997</v>
      </c>
      <c r="AC1278" s="6">
        <v>-2.7755575615628914E-17</v>
      </c>
      <c r="AD1278" s="23" t="s">
        <v>3143</v>
      </c>
      <c r="AE1278" s="23">
        <f t="shared" si="77"/>
        <v>0</v>
      </c>
      <c r="AF1278" s="24">
        <f t="shared" si="78"/>
        <v>0.36799999999999999</v>
      </c>
      <c r="AG1278" s="23">
        <f t="shared" si="79"/>
        <v>67</v>
      </c>
    </row>
    <row r="1279" spans="1:33" ht="20" hidden="1" customHeight="1" x14ac:dyDescent="0.25">
      <c r="A1279" s="12" t="s">
        <v>31</v>
      </c>
      <c r="B1279" s="9">
        <v>46192</v>
      </c>
      <c r="C1279" s="10" t="s">
        <v>1998</v>
      </c>
      <c r="D1279" s="10" t="s">
        <v>338</v>
      </c>
      <c r="E1279" s="10" t="s">
        <v>51</v>
      </c>
      <c r="F1279" s="10" t="s">
        <v>35</v>
      </c>
      <c r="G1279" s="10" t="s">
        <v>3145</v>
      </c>
      <c r="H1279" s="8" t="s">
        <v>48</v>
      </c>
      <c r="I1279" s="11">
        <v>0.49</v>
      </c>
      <c r="J1279" s="6">
        <v>0.36749999999999999</v>
      </c>
      <c r="K1279" s="6">
        <v>0.75</v>
      </c>
      <c r="L1279" s="6">
        <v>0.39</v>
      </c>
      <c r="M1279" s="11">
        <v>0.29249999999999998</v>
      </c>
      <c r="N1279" s="11">
        <f t="shared" si="76"/>
        <v>0.29299999999999998</v>
      </c>
      <c r="O1279" s="6">
        <v>0.74999999999999989</v>
      </c>
      <c r="P1279" s="6">
        <v>0.1</v>
      </c>
      <c r="Q1279" s="6">
        <v>7.4999999999999997E-2</v>
      </c>
      <c r="R1279" s="6">
        <v>0.74999999999999989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-0.2</v>
      </c>
      <c r="AC1279" s="6">
        <v>-2.7755575615628914E-17</v>
      </c>
      <c r="AD1279" s="23" t="s">
        <v>3143</v>
      </c>
      <c r="AE1279" s="23">
        <f t="shared" si="77"/>
        <v>0</v>
      </c>
      <c r="AF1279" s="24">
        <f t="shared" si="78"/>
        <v>0.29299999999999998</v>
      </c>
      <c r="AG1279" s="23">
        <f t="shared" si="79"/>
        <v>67</v>
      </c>
    </row>
    <row r="1280" spans="1:33" ht="12.5" customHeight="1" x14ac:dyDescent="0.25">
      <c r="A1280" s="12" t="s">
        <v>31</v>
      </c>
      <c r="B1280" s="9">
        <v>46193</v>
      </c>
      <c r="C1280" s="10" t="s">
        <v>1999</v>
      </c>
      <c r="D1280" s="10" t="s">
        <v>2000</v>
      </c>
      <c r="E1280" s="10" t="s">
        <v>34</v>
      </c>
      <c r="F1280" s="10" t="s">
        <v>35</v>
      </c>
      <c r="G1280" s="10" t="s">
        <v>3146</v>
      </c>
      <c r="H1280" s="8" t="s">
        <v>36</v>
      </c>
      <c r="I1280" s="11">
        <v>15.045999999999999</v>
      </c>
      <c r="J1280" s="6">
        <v>13.797181999999999</v>
      </c>
      <c r="K1280" s="6">
        <v>0.91700000000000004</v>
      </c>
      <c r="L1280" s="6">
        <v>13.986000000000001</v>
      </c>
      <c r="M1280" s="11">
        <v>12.825162000000001</v>
      </c>
      <c r="N1280" s="11">
        <f t="shared" si="76"/>
        <v>12.825999999999999</v>
      </c>
      <c r="O1280" s="6">
        <v>0.91700000000000004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1.06</v>
      </c>
      <c r="Z1280" s="6">
        <v>0.97202</v>
      </c>
      <c r="AA1280" s="6">
        <v>0.91699999999999993</v>
      </c>
      <c r="AB1280" s="6">
        <v>-1.0599999999999987</v>
      </c>
      <c r="AC1280" s="6">
        <v>1.0599999999999987</v>
      </c>
      <c r="AD1280" s="22" t="s">
        <v>3140</v>
      </c>
      <c r="AE1280" s="23">
        <f t="shared" si="77"/>
        <v>12.825999999999999</v>
      </c>
      <c r="AF1280" s="24">
        <f t="shared" si="78"/>
        <v>0</v>
      </c>
      <c r="AG1280" s="23">
        <f t="shared" si="79"/>
        <v>1</v>
      </c>
    </row>
    <row r="1281" spans="1:33" ht="12.5" customHeight="1" x14ac:dyDescent="0.25">
      <c r="A1281" s="12" t="s">
        <v>31</v>
      </c>
      <c r="B1281" s="9">
        <v>46193</v>
      </c>
      <c r="C1281" s="10" t="s">
        <v>2001</v>
      </c>
      <c r="D1281" s="10" t="s">
        <v>2002</v>
      </c>
      <c r="E1281" s="10" t="s">
        <v>34</v>
      </c>
      <c r="F1281" s="10" t="s">
        <v>35</v>
      </c>
      <c r="G1281" s="10" t="s">
        <v>3146</v>
      </c>
      <c r="H1281" s="8" t="s">
        <v>36</v>
      </c>
      <c r="I1281" s="11">
        <v>108.93</v>
      </c>
      <c r="J1281" s="6">
        <v>99.888810000000007</v>
      </c>
      <c r="K1281" s="6">
        <v>0.91700000000000004</v>
      </c>
      <c r="L1281" s="6">
        <v>101.52</v>
      </c>
      <c r="M1281" s="11">
        <v>93.09384</v>
      </c>
      <c r="N1281" s="11">
        <f t="shared" si="76"/>
        <v>93.094000000000008</v>
      </c>
      <c r="O1281" s="6">
        <v>0.91700000000000004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7.41</v>
      </c>
      <c r="Z1281" s="6">
        <v>6.7949700000000002</v>
      </c>
      <c r="AA1281" s="6">
        <v>0.91700000000000004</v>
      </c>
      <c r="AB1281" s="6">
        <v>-7.4100000000000108</v>
      </c>
      <c r="AC1281" s="6">
        <v>7.4100000000000108</v>
      </c>
      <c r="AD1281" s="22" t="s">
        <v>3140</v>
      </c>
      <c r="AE1281" s="23">
        <f t="shared" si="77"/>
        <v>93.094000000000008</v>
      </c>
      <c r="AF1281" s="24">
        <f t="shared" si="78"/>
        <v>0</v>
      </c>
      <c r="AG1281" s="23">
        <f t="shared" si="79"/>
        <v>1</v>
      </c>
    </row>
    <row r="1282" spans="1:33" ht="12.5" hidden="1" customHeight="1" x14ac:dyDescent="0.25">
      <c r="A1282" s="12" t="s">
        <v>31</v>
      </c>
      <c r="B1282" s="9">
        <v>46193</v>
      </c>
      <c r="C1282" s="10" t="s">
        <v>2003</v>
      </c>
      <c r="D1282" s="10" t="s">
        <v>2004</v>
      </c>
      <c r="E1282" s="10" t="s">
        <v>34</v>
      </c>
      <c r="F1282" s="10" t="s">
        <v>35</v>
      </c>
      <c r="G1282" s="10" t="s">
        <v>3145</v>
      </c>
      <c r="H1282" s="8" t="s">
        <v>48</v>
      </c>
      <c r="I1282" s="11">
        <v>54.23</v>
      </c>
      <c r="J1282" s="6">
        <v>40.672499999999999</v>
      </c>
      <c r="K1282" s="6">
        <v>0.75</v>
      </c>
      <c r="L1282" s="6">
        <v>49.13</v>
      </c>
      <c r="M1282" s="11">
        <v>36.847499999999997</v>
      </c>
      <c r="N1282" s="11">
        <f t="shared" si="76"/>
        <v>36.847999999999999</v>
      </c>
      <c r="O1282" s="6">
        <v>0.74999999999999989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5.0999999999999996</v>
      </c>
      <c r="Z1282" s="6">
        <v>3.8250000000000002</v>
      </c>
      <c r="AA1282" s="6">
        <v>0.75000000000000011</v>
      </c>
      <c r="AB1282" s="6">
        <v>-5.0999999999999943</v>
      </c>
      <c r="AC1282" s="6">
        <v>5.0999999999999943</v>
      </c>
      <c r="AD1282" s="22" t="s">
        <v>3140</v>
      </c>
      <c r="AE1282" s="23">
        <f t="shared" si="77"/>
        <v>36.847999999999999</v>
      </c>
      <c r="AF1282" s="24">
        <f t="shared" si="78"/>
        <v>0</v>
      </c>
      <c r="AG1282" s="23">
        <f t="shared" si="79"/>
        <v>1</v>
      </c>
    </row>
    <row r="1283" spans="1:33" ht="12.5" customHeight="1" x14ac:dyDescent="0.25">
      <c r="A1283" s="12" t="s">
        <v>31</v>
      </c>
      <c r="B1283" s="9">
        <v>46193</v>
      </c>
      <c r="C1283" s="10" t="s">
        <v>2005</v>
      </c>
      <c r="D1283" s="10" t="s">
        <v>2006</v>
      </c>
      <c r="E1283" s="10" t="s">
        <v>34</v>
      </c>
      <c r="F1283" s="10" t="s">
        <v>35</v>
      </c>
      <c r="G1283" s="10" t="s">
        <v>3146</v>
      </c>
      <c r="H1283" s="8" t="s">
        <v>36</v>
      </c>
      <c r="I1283" s="11">
        <v>41.8</v>
      </c>
      <c r="J1283" s="6">
        <v>38.330599999999997</v>
      </c>
      <c r="K1283" s="6">
        <v>0.91700000000000004</v>
      </c>
      <c r="L1283" s="6">
        <v>37.32</v>
      </c>
      <c r="M1283" s="11">
        <v>34.222439999999999</v>
      </c>
      <c r="N1283" s="11">
        <f t="shared" ref="N1283:N1346" si="80">ROUNDUP(M1283,3)</f>
        <v>34.222999999999999</v>
      </c>
      <c r="O1283" s="6">
        <v>0.91699999999999993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4.4800000000000004</v>
      </c>
      <c r="Z1283" s="6">
        <v>4.1081599999999998</v>
      </c>
      <c r="AA1283" s="6">
        <v>0.91699999999999982</v>
      </c>
      <c r="AB1283" s="6">
        <v>-4.4799999999999969</v>
      </c>
      <c r="AC1283" s="6">
        <v>4.4799999999999969</v>
      </c>
      <c r="AD1283" s="22" t="s">
        <v>3140</v>
      </c>
      <c r="AE1283" s="23">
        <f t="shared" ref="AE1283:AE1346" si="81">_xlfn.MINIFS(N:N,D:D,D1283)</f>
        <v>34.222999999999999</v>
      </c>
      <c r="AF1283" s="24">
        <f t="shared" ref="AF1283:AF1346" si="82">N1283-AE1283</f>
        <v>0</v>
      </c>
      <c r="AG1283" s="23">
        <f t="shared" ref="AG1283:AG1346" si="83">COUNTIF(D:D,D1283)</f>
        <v>1</v>
      </c>
    </row>
    <row r="1284" spans="1:33" ht="12.5" customHeight="1" x14ac:dyDescent="0.25">
      <c r="A1284" s="12" t="s">
        <v>31</v>
      </c>
      <c r="B1284" s="9">
        <v>46193</v>
      </c>
      <c r="C1284" s="10" t="s">
        <v>2007</v>
      </c>
      <c r="D1284" s="10" t="s">
        <v>2008</v>
      </c>
      <c r="E1284" s="10" t="s">
        <v>34</v>
      </c>
      <c r="F1284" s="10" t="s">
        <v>35</v>
      </c>
      <c r="G1284" s="10" t="s">
        <v>3146</v>
      </c>
      <c r="H1284" s="8" t="s">
        <v>36</v>
      </c>
      <c r="I1284" s="11">
        <v>94.29</v>
      </c>
      <c r="J1284" s="6">
        <v>86.463930000000005</v>
      </c>
      <c r="K1284" s="6">
        <v>0.91700000000000004</v>
      </c>
      <c r="L1284" s="6">
        <v>87.77</v>
      </c>
      <c r="M1284" s="11">
        <v>80.48509</v>
      </c>
      <c r="N1284" s="11">
        <f t="shared" si="80"/>
        <v>80.486000000000004</v>
      </c>
      <c r="O1284" s="6">
        <v>0.91700000000000004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6.52</v>
      </c>
      <c r="Z1284" s="6">
        <v>5.9788399999999999</v>
      </c>
      <c r="AA1284" s="6">
        <v>0.91700000000000004</v>
      </c>
      <c r="AB1284" s="6">
        <v>-6.5200000000000102</v>
      </c>
      <c r="AC1284" s="6">
        <v>6.5200000000000102</v>
      </c>
      <c r="AD1284" s="22" t="s">
        <v>3140</v>
      </c>
      <c r="AE1284" s="23">
        <f t="shared" si="81"/>
        <v>80.486000000000004</v>
      </c>
      <c r="AF1284" s="24">
        <f t="shared" si="82"/>
        <v>0</v>
      </c>
      <c r="AG1284" s="23">
        <f t="shared" si="83"/>
        <v>1</v>
      </c>
    </row>
    <row r="1285" spans="1:33" ht="12.5" customHeight="1" x14ac:dyDescent="0.25">
      <c r="A1285" s="12" t="s">
        <v>31</v>
      </c>
      <c r="B1285" s="9">
        <v>46193</v>
      </c>
      <c r="C1285" s="10" t="s">
        <v>2009</v>
      </c>
      <c r="D1285" s="10" t="s">
        <v>2010</v>
      </c>
      <c r="E1285" s="10" t="s">
        <v>34</v>
      </c>
      <c r="F1285" s="10" t="s">
        <v>35</v>
      </c>
      <c r="G1285" s="10" t="s">
        <v>3146</v>
      </c>
      <c r="H1285" s="8" t="s">
        <v>36</v>
      </c>
      <c r="I1285" s="11">
        <v>92.89</v>
      </c>
      <c r="J1285" s="6">
        <v>85.180130000000005</v>
      </c>
      <c r="K1285" s="6">
        <v>0.91700000000000004</v>
      </c>
      <c r="L1285" s="6">
        <v>86.95</v>
      </c>
      <c r="M1285" s="11">
        <v>79.733149999999995</v>
      </c>
      <c r="N1285" s="11">
        <f t="shared" si="80"/>
        <v>79.734000000000009</v>
      </c>
      <c r="O1285" s="6">
        <v>0.91699999999999993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5.94</v>
      </c>
      <c r="Z1285" s="6">
        <v>5.4469799999999999</v>
      </c>
      <c r="AA1285" s="6">
        <v>0.91699999999999993</v>
      </c>
      <c r="AB1285" s="6">
        <v>-5.9399999999999977</v>
      </c>
      <c r="AC1285" s="6">
        <v>5.9399999999999977</v>
      </c>
      <c r="AD1285" s="22" t="s">
        <v>3140</v>
      </c>
      <c r="AE1285" s="23">
        <f t="shared" si="81"/>
        <v>79.734000000000009</v>
      </c>
      <c r="AF1285" s="24">
        <f t="shared" si="82"/>
        <v>0</v>
      </c>
      <c r="AG1285" s="23">
        <f t="shared" si="83"/>
        <v>1</v>
      </c>
    </row>
    <row r="1286" spans="1:33" ht="12.5" customHeight="1" x14ac:dyDescent="0.25">
      <c r="A1286" s="12" t="s">
        <v>31</v>
      </c>
      <c r="B1286" s="9">
        <v>46193</v>
      </c>
      <c r="C1286" s="10" t="s">
        <v>2011</v>
      </c>
      <c r="D1286" s="10" t="s">
        <v>2012</v>
      </c>
      <c r="E1286" s="10" t="s">
        <v>34</v>
      </c>
      <c r="F1286" s="10" t="s">
        <v>35</v>
      </c>
      <c r="G1286" s="10" t="s">
        <v>3146</v>
      </c>
      <c r="H1286" s="8" t="s">
        <v>36</v>
      </c>
      <c r="I1286" s="11">
        <v>57.02</v>
      </c>
      <c r="J1286" s="6">
        <v>52.28734</v>
      </c>
      <c r="K1286" s="6">
        <v>0.91699999999999993</v>
      </c>
      <c r="L1286" s="6">
        <v>51.02</v>
      </c>
      <c r="M1286" s="11">
        <v>46.785339999999998</v>
      </c>
      <c r="N1286" s="11">
        <f t="shared" si="80"/>
        <v>46.785999999999994</v>
      </c>
      <c r="O1286" s="6">
        <v>0.91699999999999993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6</v>
      </c>
      <c r="Z1286" s="6">
        <v>5.5019999999999998</v>
      </c>
      <c r="AA1286" s="6">
        <v>0.91699999999999993</v>
      </c>
      <c r="AB1286" s="6">
        <v>-6</v>
      </c>
      <c r="AC1286" s="6">
        <v>6</v>
      </c>
      <c r="AD1286" s="22" t="s">
        <v>3140</v>
      </c>
      <c r="AE1286" s="23">
        <f t="shared" si="81"/>
        <v>46.785999999999994</v>
      </c>
      <c r="AF1286" s="24">
        <f t="shared" si="82"/>
        <v>0</v>
      </c>
      <c r="AG1286" s="23">
        <f t="shared" si="83"/>
        <v>1</v>
      </c>
    </row>
    <row r="1287" spans="1:33" ht="12.5" customHeight="1" x14ac:dyDescent="0.25">
      <c r="A1287" s="12" t="s">
        <v>31</v>
      </c>
      <c r="B1287" s="9">
        <v>46193</v>
      </c>
      <c r="C1287" s="10" t="s">
        <v>2013</v>
      </c>
      <c r="D1287" s="10" t="s">
        <v>2014</v>
      </c>
      <c r="E1287" s="10" t="s">
        <v>34</v>
      </c>
      <c r="F1287" s="10" t="s">
        <v>35</v>
      </c>
      <c r="G1287" s="10" t="s">
        <v>3146</v>
      </c>
      <c r="H1287" s="8" t="s">
        <v>36</v>
      </c>
      <c r="I1287" s="11">
        <v>47.47</v>
      </c>
      <c r="J1287" s="6">
        <v>43.529989999999998</v>
      </c>
      <c r="K1287" s="6">
        <v>0.91699999999999993</v>
      </c>
      <c r="L1287" s="6">
        <v>43.74</v>
      </c>
      <c r="M1287" s="11">
        <v>40.109580000000001</v>
      </c>
      <c r="N1287" s="11">
        <f t="shared" si="80"/>
        <v>40.11</v>
      </c>
      <c r="O1287" s="6">
        <v>0.91700000000000004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3.73</v>
      </c>
      <c r="Z1287" s="6">
        <v>3.42041</v>
      </c>
      <c r="AA1287" s="6">
        <v>0.91700000000000004</v>
      </c>
      <c r="AB1287" s="6">
        <v>-3.7299999999999969</v>
      </c>
      <c r="AC1287" s="6">
        <v>3.7299999999999969</v>
      </c>
      <c r="AD1287" s="22" t="s">
        <v>3140</v>
      </c>
      <c r="AE1287" s="23">
        <f t="shared" si="81"/>
        <v>40.11</v>
      </c>
      <c r="AF1287" s="24">
        <f t="shared" si="82"/>
        <v>0</v>
      </c>
      <c r="AG1287" s="23">
        <f t="shared" si="83"/>
        <v>1</v>
      </c>
    </row>
    <row r="1288" spans="1:33" ht="12.5" customHeight="1" x14ac:dyDescent="0.25">
      <c r="A1288" s="12" t="s">
        <v>31</v>
      </c>
      <c r="B1288" s="9">
        <v>46193</v>
      </c>
      <c r="C1288" s="10" t="s">
        <v>2015</v>
      </c>
      <c r="D1288" s="10" t="s">
        <v>2016</v>
      </c>
      <c r="E1288" s="10" t="s">
        <v>34</v>
      </c>
      <c r="F1288" s="10" t="s">
        <v>35</v>
      </c>
      <c r="G1288" s="10" t="s">
        <v>3146</v>
      </c>
      <c r="H1288" s="8" t="s">
        <v>36</v>
      </c>
      <c r="I1288" s="11">
        <v>59.47</v>
      </c>
      <c r="J1288" s="6">
        <v>54.533990000000003</v>
      </c>
      <c r="K1288" s="6">
        <v>0.91700000000000004</v>
      </c>
      <c r="L1288" s="6">
        <v>55.65</v>
      </c>
      <c r="M1288" s="11">
        <v>51.03105</v>
      </c>
      <c r="N1288" s="11">
        <f t="shared" si="80"/>
        <v>51.031999999999996</v>
      </c>
      <c r="O1288" s="6">
        <v>0.91700000000000004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3.82</v>
      </c>
      <c r="Z1288" s="6">
        <v>3.5029400000000002</v>
      </c>
      <c r="AA1288" s="6">
        <v>0.91700000000000004</v>
      </c>
      <c r="AB1288" s="6">
        <v>-3.82</v>
      </c>
      <c r="AC1288" s="6">
        <v>3.82</v>
      </c>
      <c r="AD1288" s="22" t="s">
        <v>3140</v>
      </c>
      <c r="AE1288" s="23">
        <f t="shared" si="81"/>
        <v>51.031999999999996</v>
      </c>
      <c r="AF1288" s="24">
        <f t="shared" si="82"/>
        <v>0</v>
      </c>
      <c r="AG1288" s="23">
        <f t="shared" si="83"/>
        <v>1</v>
      </c>
    </row>
    <row r="1289" spans="1:33" ht="12.5" customHeight="1" x14ac:dyDescent="0.25">
      <c r="A1289" s="12" t="s">
        <v>31</v>
      </c>
      <c r="B1289" s="9">
        <v>46193</v>
      </c>
      <c r="C1289" s="10" t="s">
        <v>2017</v>
      </c>
      <c r="D1289" s="10" t="s">
        <v>2018</v>
      </c>
      <c r="E1289" s="10" t="s">
        <v>34</v>
      </c>
      <c r="F1289" s="10" t="s">
        <v>35</v>
      </c>
      <c r="G1289" s="10" t="s">
        <v>3146</v>
      </c>
      <c r="H1289" s="8" t="s">
        <v>36</v>
      </c>
      <c r="I1289" s="11">
        <v>192.8</v>
      </c>
      <c r="J1289" s="6">
        <v>176.79759999999999</v>
      </c>
      <c r="K1289" s="6">
        <v>0.91699999999999993</v>
      </c>
      <c r="L1289" s="6">
        <v>182.07</v>
      </c>
      <c r="M1289" s="11">
        <v>166.95819</v>
      </c>
      <c r="N1289" s="11">
        <f t="shared" si="80"/>
        <v>166.959</v>
      </c>
      <c r="O1289" s="6">
        <v>0.91700000000000004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10.73</v>
      </c>
      <c r="Z1289" s="6">
        <v>9.8394100000000009</v>
      </c>
      <c r="AA1289" s="6">
        <v>0.91700000000000004</v>
      </c>
      <c r="AB1289" s="6">
        <v>-10.730000000000018</v>
      </c>
      <c r="AC1289" s="6">
        <v>10.730000000000018</v>
      </c>
      <c r="AD1289" s="22" t="s">
        <v>3140</v>
      </c>
      <c r="AE1289" s="23">
        <f t="shared" si="81"/>
        <v>166.959</v>
      </c>
      <c r="AF1289" s="24">
        <f t="shared" si="82"/>
        <v>0</v>
      </c>
      <c r="AG1289" s="23">
        <f t="shared" si="83"/>
        <v>1</v>
      </c>
    </row>
    <row r="1290" spans="1:33" ht="12.5" customHeight="1" x14ac:dyDescent="0.25">
      <c r="A1290" s="12" t="s">
        <v>31</v>
      </c>
      <c r="B1290" s="9">
        <v>46193</v>
      </c>
      <c r="C1290" s="10" t="s">
        <v>2019</v>
      </c>
      <c r="D1290" s="10" t="s">
        <v>2020</v>
      </c>
      <c r="E1290" s="10" t="s">
        <v>34</v>
      </c>
      <c r="F1290" s="10" t="s">
        <v>35</v>
      </c>
      <c r="G1290" s="10" t="s">
        <v>3146</v>
      </c>
      <c r="H1290" s="8" t="s">
        <v>36</v>
      </c>
      <c r="I1290" s="11">
        <v>32.840000000000003</v>
      </c>
      <c r="J1290" s="6">
        <v>30.114280000000001</v>
      </c>
      <c r="K1290" s="6">
        <v>0.91699999999999993</v>
      </c>
      <c r="L1290" s="6">
        <v>31.63</v>
      </c>
      <c r="M1290" s="11">
        <v>29.004709999999999</v>
      </c>
      <c r="N1290" s="11">
        <f t="shared" si="80"/>
        <v>29.005000000000003</v>
      </c>
      <c r="O1290" s="6">
        <v>0.91700000000000004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1.21</v>
      </c>
      <c r="Z1290" s="6">
        <v>1.1095699999999999</v>
      </c>
      <c r="AA1290" s="6">
        <v>0.91699999999999993</v>
      </c>
      <c r="AB1290" s="6">
        <v>-1.2100000000000044</v>
      </c>
      <c r="AC1290" s="6">
        <v>1.2100000000000044</v>
      </c>
      <c r="AD1290" s="22" t="s">
        <v>3140</v>
      </c>
      <c r="AE1290" s="23">
        <f t="shared" si="81"/>
        <v>29.005000000000003</v>
      </c>
      <c r="AF1290" s="24">
        <f t="shared" si="82"/>
        <v>0</v>
      </c>
      <c r="AG1290" s="23">
        <f t="shared" si="83"/>
        <v>1</v>
      </c>
    </row>
    <row r="1291" spans="1:33" hidden="1" x14ac:dyDescent="0.25">
      <c r="A1291" s="12" t="s">
        <v>31</v>
      </c>
      <c r="B1291" s="9">
        <v>46193</v>
      </c>
      <c r="C1291" s="10" t="s">
        <v>2021</v>
      </c>
      <c r="D1291" s="10" t="s">
        <v>2022</v>
      </c>
      <c r="E1291" s="10" t="s">
        <v>51</v>
      </c>
      <c r="F1291" s="10" t="s">
        <v>35</v>
      </c>
      <c r="G1291" s="10" t="s">
        <v>3145</v>
      </c>
      <c r="H1291" s="8" t="s">
        <v>41</v>
      </c>
      <c r="I1291" s="11">
        <v>32.19</v>
      </c>
      <c r="J1291" s="6">
        <v>24.142499999999998</v>
      </c>
      <c r="K1291" s="6">
        <v>0.75</v>
      </c>
      <c r="L1291" s="6">
        <v>32.19</v>
      </c>
      <c r="M1291" s="11">
        <v>24.142499999999998</v>
      </c>
      <c r="N1291" s="11">
        <f t="shared" si="80"/>
        <v>24.143000000000001</v>
      </c>
      <c r="O1291" s="6">
        <v>0.75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23" t="s">
        <v>3143</v>
      </c>
      <c r="AE1291" s="23">
        <f t="shared" si="81"/>
        <v>22.425000000000001</v>
      </c>
      <c r="AF1291" s="24">
        <f t="shared" si="82"/>
        <v>1.718</v>
      </c>
      <c r="AG1291" s="23">
        <f t="shared" si="83"/>
        <v>2</v>
      </c>
    </row>
    <row r="1292" spans="1:33" x14ac:dyDescent="0.25">
      <c r="A1292" s="12" t="s">
        <v>31</v>
      </c>
      <c r="B1292" s="9">
        <v>46193</v>
      </c>
      <c r="C1292" s="10" t="s">
        <v>2023</v>
      </c>
      <c r="D1292" s="10" t="s">
        <v>1824</v>
      </c>
      <c r="E1292" s="10" t="s">
        <v>51</v>
      </c>
      <c r="F1292" s="10" t="s">
        <v>35</v>
      </c>
      <c r="G1292" s="10" t="s">
        <v>3146</v>
      </c>
      <c r="H1292" s="8" t="s">
        <v>36</v>
      </c>
      <c r="I1292" s="11">
        <v>277.93</v>
      </c>
      <c r="J1292" s="6">
        <v>254.86180999999999</v>
      </c>
      <c r="K1292" s="6">
        <v>0.91699999999999993</v>
      </c>
      <c r="L1292" s="6">
        <v>277.93</v>
      </c>
      <c r="M1292" s="11">
        <v>254.86180999999999</v>
      </c>
      <c r="N1292" s="11">
        <f t="shared" si="80"/>
        <v>254.86199999999999</v>
      </c>
      <c r="O1292" s="6">
        <v>0.91699999999999993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22" t="s">
        <v>3140</v>
      </c>
      <c r="AE1292" s="23">
        <f t="shared" si="81"/>
        <v>254.86199999999999</v>
      </c>
      <c r="AF1292" s="24">
        <f t="shared" si="82"/>
        <v>0</v>
      </c>
      <c r="AG1292" s="23">
        <f t="shared" si="83"/>
        <v>4</v>
      </c>
    </row>
    <row r="1293" spans="1:33" x14ac:dyDescent="0.25">
      <c r="A1293" s="12" t="s">
        <v>31</v>
      </c>
      <c r="B1293" s="9">
        <v>46193</v>
      </c>
      <c r="C1293" s="10" t="s">
        <v>2024</v>
      </c>
      <c r="D1293" s="10" t="s">
        <v>1824</v>
      </c>
      <c r="E1293" s="10" t="s">
        <v>51</v>
      </c>
      <c r="F1293" s="10" t="s">
        <v>35</v>
      </c>
      <c r="G1293" s="10" t="s">
        <v>3146</v>
      </c>
      <c r="H1293" s="8" t="s">
        <v>36</v>
      </c>
      <c r="I1293" s="11">
        <v>278.14</v>
      </c>
      <c r="J1293" s="6">
        <v>255.05438000000001</v>
      </c>
      <c r="K1293" s="6">
        <v>0.91700000000000004</v>
      </c>
      <c r="L1293" s="6">
        <v>278.14</v>
      </c>
      <c r="M1293" s="11">
        <v>255.05438000000001</v>
      </c>
      <c r="N1293" s="11">
        <f t="shared" si="80"/>
        <v>255.05500000000001</v>
      </c>
      <c r="O1293" s="6">
        <v>0.91700000000000004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23" t="s">
        <v>3143</v>
      </c>
      <c r="AE1293" s="23">
        <f t="shared" si="81"/>
        <v>254.86199999999999</v>
      </c>
      <c r="AF1293" s="24">
        <f t="shared" si="82"/>
        <v>0.19300000000001205</v>
      </c>
      <c r="AG1293" s="23">
        <f t="shared" si="83"/>
        <v>4</v>
      </c>
    </row>
    <row r="1294" spans="1:33" x14ac:dyDescent="0.25">
      <c r="A1294" s="12" t="s">
        <v>31</v>
      </c>
      <c r="B1294" s="9">
        <v>46193</v>
      </c>
      <c r="C1294" s="10" t="s">
        <v>2025</v>
      </c>
      <c r="D1294" s="10" t="s">
        <v>2026</v>
      </c>
      <c r="E1294" s="10" t="s">
        <v>51</v>
      </c>
      <c r="F1294" s="10" t="s">
        <v>35</v>
      </c>
      <c r="G1294" s="10" t="s">
        <v>3146</v>
      </c>
      <c r="H1294" s="8" t="s">
        <v>36</v>
      </c>
      <c r="I1294" s="11">
        <v>107.85</v>
      </c>
      <c r="J1294" s="6">
        <v>98.898449999999997</v>
      </c>
      <c r="K1294" s="6">
        <v>0.91700000000000004</v>
      </c>
      <c r="L1294" s="6">
        <v>100.49</v>
      </c>
      <c r="M1294" s="11">
        <v>92.149330000000006</v>
      </c>
      <c r="N1294" s="11">
        <f t="shared" si="80"/>
        <v>92.15</v>
      </c>
      <c r="O1294" s="6">
        <v>0.91700000000000015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7.36</v>
      </c>
      <c r="Z1294" s="6">
        <v>6.7491199999999996</v>
      </c>
      <c r="AA1294" s="6">
        <v>0.91699999999999993</v>
      </c>
      <c r="AB1294" s="6">
        <v>-7.36</v>
      </c>
      <c r="AC1294" s="6">
        <v>7.36</v>
      </c>
      <c r="AD1294" s="22" t="s">
        <v>3140</v>
      </c>
      <c r="AE1294" s="23">
        <f t="shared" si="81"/>
        <v>92.15</v>
      </c>
      <c r="AF1294" s="24">
        <f t="shared" si="82"/>
        <v>0</v>
      </c>
      <c r="AG1294" s="23">
        <f t="shared" si="83"/>
        <v>1</v>
      </c>
    </row>
    <row r="1295" spans="1:33" ht="20" hidden="1" customHeight="1" x14ac:dyDescent="0.25">
      <c r="A1295" s="12" t="s">
        <v>31</v>
      </c>
      <c r="B1295" s="9">
        <v>46193</v>
      </c>
      <c r="C1295" s="10" t="s">
        <v>2027</v>
      </c>
      <c r="D1295" s="10" t="s">
        <v>2028</v>
      </c>
      <c r="E1295" s="10" t="s">
        <v>51</v>
      </c>
      <c r="F1295" s="10" t="s">
        <v>35</v>
      </c>
      <c r="G1295" s="10" t="s">
        <v>3145</v>
      </c>
      <c r="H1295" s="8" t="s">
        <v>48</v>
      </c>
      <c r="I1295" s="11">
        <v>12.01</v>
      </c>
      <c r="J1295" s="6">
        <v>9.0075000000000003</v>
      </c>
      <c r="K1295" s="6">
        <v>0.75</v>
      </c>
      <c r="L1295" s="6">
        <v>10.48</v>
      </c>
      <c r="M1295" s="11">
        <v>7.86</v>
      </c>
      <c r="N1295" s="11">
        <f t="shared" si="80"/>
        <v>7.86</v>
      </c>
      <c r="O1295" s="6">
        <v>0.75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1.53</v>
      </c>
      <c r="Z1295" s="6">
        <v>1.1475</v>
      </c>
      <c r="AA1295" s="6">
        <v>0.75</v>
      </c>
      <c r="AB1295" s="6">
        <v>-1.5299999999999994</v>
      </c>
      <c r="AC1295" s="6">
        <v>1.5299999999999994</v>
      </c>
      <c r="AD1295" s="22" t="s">
        <v>3140</v>
      </c>
      <c r="AE1295" s="23">
        <f t="shared" si="81"/>
        <v>7.86</v>
      </c>
      <c r="AF1295" s="24">
        <f t="shared" si="82"/>
        <v>0</v>
      </c>
      <c r="AG1295" s="23">
        <f t="shared" si="83"/>
        <v>1</v>
      </c>
    </row>
    <row r="1296" spans="1:33" ht="12.5" hidden="1" customHeight="1" x14ac:dyDescent="0.25">
      <c r="A1296" s="12" t="s">
        <v>31</v>
      </c>
      <c r="B1296" s="9">
        <v>46193</v>
      </c>
      <c r="C1296" s="8" t="s">
        <v>2029</v>
      </c>
      <c r="D1296" s="10" t="s">
        <v>1915</v>
      </c>
      <c r="E1296" s="10" t="s">
        <v>51</v>
      </c>
      <c r="F1296" s="10" t="s">
        <v>35</v>
      </c>
      <c r="G1296" s="10" t="s">
        <v>3145</v>
      </c>
      <c r="H1296" s="8" t="s">
        <v>48</v>
      </c>
      <c r="I1296" s="11">
        <v>30.39</v>
      </c>
      <c r="J1296" s="6">
        <v>22.7925</v>
      </c>
      <c r="K1296" s="6">
        <v>0.75</v>
      </c>
      <c r="L1296" s="6">
        <v>30.23</v>
      </c>
      <c r="M1296" s="11">
        <v>22.672499999999999</v>
      </c>
      <c r="N1296" s="11">
        <f t="shared" si="80"/>
        <v>22.673000000000002</v>
      </c>
      <c r="O1296" s="6">
        <v>0.75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0.16</v>
      </c>
      <c r="Z1296" s="6">
        <v>0.12</v>
      </c>
      <c r="AA1296" s="6">
        <v>0.75</v>
      </c>
      <c r="AB1296" s="6">
        <v>-0.16000000000000014</v>
      </c>
      <c r="AC1296" s="6">
        <v>0.16000000000000014</v>
      </c>
      <c r="AD1296" s="22" t="s">
        <v>3140</v>
      </c>
      <c r="AE1296" s="23">
        <f t="shared" si="81"/>
        <v>22.673000000000002</v>
      </c>
      <c r="AF1296" s="24">
        <f t="shared" si="82"/>
        <v>0</v>
      </c>
      <c r="AG1296" s="23">
        <f t="shared" si="83"/>
        <v>2</v>
      </c>
    </row>
    <row r="1297" spans="1:33" ht="12.5" customHeight="1" x14ac:dyDescent="0.25">
      <c r="A1297" s="12" t="s">
        <v>31</v>
      </c>
      <c r="B1297" s="9">
        <v>46193</v>
      </c>
      <c r="C1297" s="13" t="s">
        <v>2029</v>
      </c>
      <c r="D1297" s="10" t="s">
        <v>2030</v>
      </c>
      <c r="E1297" s="10" t="s">
        <v>51</v>
      </c>
      <c r="F1297" s="10" t="s">
        <v>35</v>
      </c>
      <c r="G1297" s="10" t="s">
        <v>3146</v>
      </c>
      <c r="H1297" s="8" t="s">
        <v>36</v>
      </c>
      <c r="I1297" s="11">
        <v>172.64</v>
      </c>
      <c r="J1297" s="6">
        <v>158.31088</v>
      </c>
      <c r="K1297" s="6">
        <v>0.91700000000000004</v>
      </c>
      <c r="L1297" s="6">
        <v>163.69</v>
      </c>
      <c r="M1297" s="11">
        <v>150.10373000000001</v>
      </c>
      <c r="N1297" s="11">
        <f t="shared" si="80"/>
        <v>150.10400000000001</v>
      </c>
      <c r="O1297" s="6">
        <v>0.91700000000000004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8.9499999999999993</v>
      </c>
      <c r="Z1297" s="6">
        <v>8.2071500000000004</v>
      </c>
      <c r="AA1297" s="6">
        <v>0.91700000000000015</v>
      </c>
      <c r="AB1297" s="6">
        <v>-8.9499999999999886</v>
      </c>
      <c r="AC1297" s="6">
        <v>8.9499999999999886</v>
      </c>
      <c r="AD1297" s="22" t="s">
        <v>3140</v>
      </c>
      <c r="AE1297" s="23">
        <f t="shared" si="81"/>
        <v>150.10400000000001</v>
      </c>
      <c r="AF1297" s="24">
        <f t="shared" si="82"/>
        <v>0</v>
      </c>
      <c r="AG1297" s="23">
        <f t="shared" si="83"/>
        <v>1</v>
      </c>
    </row>
    <row r="1298" spans="1:33" hidden="1" x14ac:dyDescent="0.25">
      <c r="A1298" s="12" t="s">
        <v>31</v>
      </c>
      <c r="B1298" s="9">
        <v>46193</v>
      </c>
      <c r="C1298" s="10" t="s">
        <v>2031</v>
      </c>
      <c r="D1298" s="10" t="s">
        <v>2032</v>
      </c>
      <c r="E1298" s="10" t="s">
        <v>51</v>
      </c>
      <c r="F1298" s="10" t="s">
        <v>35</v>
      </c>
      <c r="G1298" s="10" t="s">
        <v>3145</v>
      </c>
      <c r="H1298" s="8" t="s">
        <v>41</v>
      </c>
      <c r="I1298" s="11">
        <v>25.44</v>
      </c>
      <c r="J1298" s="6">
        <v>19.079999999999998</v>
      </c>
      <c r="K1298" s="6">
        <v>0.74999999999999989</v>
      </c>
      <c r="L1298" s="6">
        <v>23.12</v>
      </c>
      <c r="M1298" s="11">
        <v>17.34</v>
      </c>
      <c r="N1298" s="11">
        <f t="shared" si="80"/>
        <v>17.34</v>
      </c>
      <c r="O1298" s="6">
        <v>0.75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2.3199999999999998</v>
      </c>
      <c r="Z1298" s="6">
        <v>1.74</v>
      </c>
      <c r="AA1298" s="6">
        <v>0.75</v>
      </c>
      <c r="AB1298" s="6">
        <v>-2.3200000000000003</v>
      </c>
      <c r="AC1298" s="6">
        <v>2.3200000000000003</v>
      </c>
      <c r="AD1298" s="22" t="s">
        <v>3140</v>
      </c>
      <c r="AE1298" s="23">
        <f t="shared" si="81"/>
        <v>17.34</v>
      </c>
      <c r="AF1298" s="24">
        <f t="shared" si="82"/>
        <v>0</v>
      </c>
      <c r="AG1298" s="23">
        <f t="shared" si="83"/>
        <v>1</v>
      </c>
    </row>
    <row r="1299" spans="1:33" x14ac:dyDescent="0.25">
      <c r="A1299" s="12" t="s">
        <v>31</v>
      </c>
      <c r="B1299" s="9">
        <v>46193</v>
      </c>
      <c r="C1299" s="10" t="s">
        <v>2033</v>
      </c>
      <c r="D1299" s="10" t="s">
        <v>2034</v>
      </c>
      <c r="E1299" s="10" t="s">
        <v>51</v>
      </c>
      <c r="F1299" s="10" t="s">
        <v>35</v>
      </c>
      <c r="G1299" s="10" t="s">
        <v>3146</v>
      </c>
      <c r="H1299" s="8" t="s">
        <v>36</v>
      </c>
      <c r="I1299" s="11">
        <v>17.559999999999999</v>
      </c>
      <c r="J1299" s="6">
        <v>16.102519999999998</v>
      </c>
      <c r="K1299" s="6">
        <v>0.91699999999999993</v>
      </c>
      <c r="L1299" s="6">
        <v>17.11</v>
      </c>
      <c r="M1299" s="11">
        <v>15.689870000000001</v>
      </c>
      <c r="N1299" s="11">
        <f t="shared" si="80"/>
        <v>15.69</v>
      </c>
      <c r="O1299" s="6">
        <v>0.91700000000000004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0.45</v>
      </c>
      <c r="Z1299" s="6">
        <v>0.41265000000000002</v>
      </c>
      <c r="AA1299" s="6">
        <v>0.91700000000000004</v>
      </c>
      <c r="AB1299" s="6">
        <v>-0.44999999999999929</v>
      </c>
      <c r="AC1299" s="6">
        <v>0.44999999999999929</v>
      </c>
      <c r="AD1299" s="22" t="s">
        <v>3140</v>
      </c>
      <c r="AE1299" s="23">
        <f t="shared" si="81"/>
        <v>15.69</v>
      </c>
      <c r="AF1299" s="24">
        <f t="shared" si="82"/>
        <v>0</v>
      </c>
      <c r="AG1299" s="23">
        <f t="shared" si="83"/>
        <v>1</v>
      </c>
    </row>
    <row r="1300" spans="1:33" ht="20" hidden="1" customHeight="1" x14ac:dyDescent="0.25">
      <c r="A1300" s="12" t="s">
        <v>31</v>
      </c>
      <c r="B1300" s="9">
        <v>46193</v>
      </c>
      <c r="C1300" s="10" t="s">
        <v>2035</v>
      </c>
      <c r="D1300" s="10" t="s">
        <v>1984</v>
      </c>
      <c r="E1300" s="10" t="s">
        <v>51</v>
      </c>
      <c r="F1300" s="10" t="s">
        <v>35</v>
      </c>
      <c r="G1300" s="10" t="s">
        <v>3145</v>
      </c>
      <c r="H1300" s="8" t="s">
        <v>48</v>
      </c>
      <c r="I1300" s="11">
        <v>133.36000000000001</v>
      </c>
      <c r="J1300" s="6">
        <v>100.02</v>
      </c>
      <c r="K1300" s="6">
        <v>0.74999999999999989</v>
      </c>
      <c r="L1300" s="6">
        <v>132.94999999999999</v>
      </c>
      <c r="M1300" s="11">
        <v>99.712500000000006</v>
      </c>
      <c r="N1300" s="11">
        <f t="shared" si="80"/>
        <v>99.713000000000008</v>
      </c>
      <c r="O1300" s="6">
        <v>0.75000000000000011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0.41</v>
      </c>
      <c r="Z1300" s="6">
        <v>0.3075</v>
      </c>
      <c r="AA1300" s="6">
        <v>0.75</v>
      </c>
      <c r="AB1300" s="6">
        <v>-0.41000000000002501</v>
      </c>
      <c r="AC1300" s="6">
        <v>0.41000000000002501</v>
      </c>
      <c r="AD1300" s="22" t="s">
        <v>3143</v>
      </c>
      <c r="AE1300" s="23">
        <f t="shared" si="81"/>
        <v>99.713000000000008</v>
      </c>
      <c r="AF1300" s="24">
        <f t="shared" si="82"/>
        <v>0</v>
      </c>
      <c r="AG1300" s="23">
        <f t="shared" si="83"/>
        <v>2</v>
      </c>
    </row>
    <row r="1301" spans="1:33" x14ac:dyDescent="0.25">
      <c r="A1301" s="12" t="s">
        <v>31</v>
      </c>
      <c r="B1301" s="9">
        <v>46193</v>
      </c>
      <c r="C1301" s="10" t="s">
        <v>2036</v>
      </c>
      <c r="D1301" s="10" t="s">
        <v>2037</v>
      </c>
      <c r="E1301" s="10" t="s">
        <v>51</v>
      </c>
      <c r="F1301" s="10" t="s">
        <v>35</v>
      </c>
      <c r="G1301" s="10" t="s">
        <v>3146</v>
      </c>
      <c r="H1301" s="8" t="s">
        <v>36</v>
      </c>
      <c r="I1301" s="11">
        <v>73.2</v>
      </c>
      <c r="J1301" s="6">
        <v>67.124399999999994</v>
      </c>
      <c r="K1301" s="6">
        <v>0.91699999999999993</v>
      </c>
      <c r="L1301" s="6">
        <v>69.599999999999994</v>
      </c>
      <c r="M1301" s="11">
        <v>63.8232</v>
      </c>
      <c r="N1301" s="11">
        <f t="shared" si="80"/>
        <v>63.823999999999998</v>
      </c>
      <c r="O1301" s="6">
        <v>0.91700000000000004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3.6</v>
      </c>
      <c r="Z1301" s="6">
        <v>3.3012000000000001</v>
      </c>
      <c r="AA1301" s="6">
        <v>0.91700000000000004</v>
      </c>
      <c r="AB1301" s="6">
        <v>-3.6000000000000085</v>
      </c>
      <c r="AC1301" s="6">
        <v>3.6000000000000085</v>
      </c>
      <c r="AD1301" s="22" t="s">
        <v>3140</v>
      </c>
      <c r="AE1301" s="23">
        <f t="shared" si="81"/>
        <v>63.823999999999998</v>
      </c>
      <c r="AF1301" s="24">
        <f t="shared" si="82"/>
        <v>0</v>
      </c>
      <c r="AG1301" s="23">
        <f t="shared" si="83"/>
        <v>1</v>
      </c>
    </row>
    <row r="1302" spans="1:33" x14ac:dyDescent="0.25">
      <c r="A1302" s="12" t="s">
        <v>31</v>
      </c>
      <c r="B1302" s="9">
        <v>46193</v>
      </c>
      <c r="C1302" s="10" t="s">
        <v>2038</v>
      </c>
      <c r="D1302" s="10" t="s">
        <v>2039</v>
      </c>
      <c r="E1302" s="10" t="s">
        <v>51</v>
      </c>
      <c r="F1302" s="10" t="s">
        <v>35</v>
      </c>
      <c r="G1302" s="10" t="s">
        <v>3146</v>
      </c>
      <c r="H1302" s="8" t="s">
        <v>36</v>
      </c>
      <c r="I1302" s="11">
        <v>41.28</v>
      </c>
      <c r="J1302" s="6">
        <v>37.853760000000001</v>
      </c>
      <c r="K1302" s="6">
        <v>0.91700000000000004</v>
      </c>
      <c r="L1302" s="6">
        <v>37.58</v>
      </c>
      <c r="M1302" s="11">
        <v>34.460859999999997</v>
      </c>
      <c r="N1302" s="11">
        <f t="shared" si="80"/>
        <v>34.460999999999999</v>
      </c>
      <c r="O1302" s="6">
        <v>0.91699999999999993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3.7</v>
      </c>
      <c r="Z1302" s="6">
        <v>3.3929</v>
      </c>
      <c r="AA1302" s="6">
        <v>0.91699999999999993</v>
      </c>
      <c r="AB1302" s="6">
        <v>-3.7000000000000028</v>
      </c>
      <c r="AC1302" s="6">
        <v>3.7000000000000028</v>
      </c>
      <c r="AD1302" s="22" t="s">
        <v>3140</v>
      </c>
      <c r="AE1302" s="23">
        <f t="shared" si="81"/>
        <v>34.460999999999999</v>
      </c>
      <c r="AF1302" s="24">
        <f t="shared" si="82"/>
        <v>0</v>
      </c>
      <c r="AG1302" s="23">
        <f t="shared" si="83"/>
        <v>1</v>
      </c>
    </row>
    <row r="1303" spans="1:33" ht="20" hidden="1" customHeight="1" x14ac:dyDescent="0.25">
      <c r="A1303" s="12" t="s">
        <v>31</v>
      </c>
      <c r="B1303" s="9">
        <v>46193</v>
      </c>
      <c r="C1303" s="10" t="s">
        <v>2040</v>
      </c>
      <c r="D1303" s="10" t="s">
        <v>2041</v>
      </c>
      <c r="E1303" s="10" t="s">
        <v>51</v>
      </c>
      <c r="F1303" s="10" t="s">
        <v>35</v>
      </c>
      <c r="G1303" s="10" t="s">
        <v>3145</v>
      </c>
      <c r="H1303" s="8" t="s">
        <v>48</v>
      </c>
      <c r="I1303" s="11">
        <v>24.08</v>
      </c>
      <c r="J1303" s="6">
        <v>18.059999999999999</v>
      </c>
      <c r="K1303" s="6">
        <v>0.75</v>
      </c>
      <c r="L1303" s="6">
        <v>20.88</v>
      </c>
      <c r="M1303" s="11">
        <v>15.66</v>
      </c>
      <c r="N1303" s="11">
        <f t="shared" si="80"/>
        <v>15.66</v>
      </c>
      <c r="O1303" s="6">
        <v>0.75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3.2</v>
      </c>
      <c r="Z1303" s="6">
        <v>2.4</v>
      </c>
      <c r="AA1303" s="6">
        <v>0.74999999999999989</v>
      </c>
      <c r="AB1303" s="6">
        <v>-3.1999999999999993</v>
      </c>
      <c r="AC1303" s="6">
        <v>3.1999999999999993</v>
      </c>
      <c r="AD1303" s="22" t="s">
        <v>3140</v>
      </c>
      <c r="AE1303" s="23">
        <f t="shared" si="81"/>
        <v>15.66</v>
      </c>
      <c r="AF1303" s="24">
        <f t="shared" si="82"/>
        <v>0</v>
      </c>
      <c r="AG1303" s="23">
        <f t="shared" si="83"/>
        <v>1</v>
      </c>
    </row>
    <row r="1304" spans="1:33" x14ac:dyDescent="0.25">
      <c r="A1304" s="12" t="s">
        <v>31</v>
      </c>
      <c r="B1304" s="9">
        <v>46193</v>
      </c>
      <c r="C1304" s="10" t="s">
        <v>2042</v>
      </c>
      <c r="D1304" s="10" t="s">
        <v>2043</v>
      </c>
      <c r="E1304" s="10" t="s">
        <v>51</v>
      </c>
      <c r="F1304" s="10" t="s">
        <v>35</v>
      </c>
      <c r="G1304" s="10" t="s">
        <v>3146</v>
      </c>
      <c r="H1304" s="8" t="s">
        <v>36</v>
      </c>
      <c r="I1304" s="11">
        <v>128.54</v>
      </c>
      <c r="J1304" s="6">
        <v>117.87118</v>
      </c>
      <c r="K1304" s="6">
        <v>0.91700000000000004</v>
      </c>
      <c r="L1304" s="6">
        <v>122</v>
      </c>
      <c r="M1304" s="11">
        <v>111.874</v>
      </c>
      <c r="N1304" s="11">
        <f t="shared" si="80"/>
        <v>111.874</v>
      </c>
      <c r="O1304" s="6">
        <v>0.91699999999999993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6.54</v>
      </c>
      <c r="Z1304" s="6">
        <v>5.9971800000000002</v>
      </c>
      <c r="AA1304" s="6">
        <v>0.91700000000000004</v>
      </c>
      <c r="AB1304" s="6">
        <v>-6.539999999999992</v>
      </c>
      <c r="AC1304" s="6">
        <v>6.539999999999992</v>
      </c>
      <c r="AD1304" s="22" t="s">
        <v>3140</v>
      </c>
      <c r="AE1304" s="23">
        <f t="shared" si="81"/>
        <v>111.874</v>
      </c>
      <c r="AF1304" s="24">
        <f t="shared" si="82"/>
        <v>0</v>
      </c>
      <c r="AG1304" s="23">
        <f t="shared" si="83"/>
        <v>1</v>
      </c>
    </row>
    <row r="1305" spans="1:33" x14ac:dyDescent="0.25">
      <c r="A1305" s="12" t="s">
        <v>31</v>
      </c>
      <c r="B1305" s="9">
        <v>46193</v>
      </c>
      <c r="C1305" s="10" t="s">
        <v>2044</v>
      </c>
      <c r="D1305" s="10" t="s">
        <v>2045</v>
      </c>
      <c r="E1305" s="10" t="s">
        <v>51</v>
      </c>
      <c r="F1305" s="10" t="s">
        <v>35</v>
      </c>
      <c r="G1305" s="10" t="s">
        <v>3146</v>
      </c>
      <c r="H1305" s="8" t="s">
        <v>36</v>
      </c>
      <c r="I1305" s="11">
        <v>48.19</v>
      </c>
      <c r="J1305" s="6">
        <v>44.19023</v>
      </c>
      <c r="K1305" s="6">
        <v>0.91700000000000004</v>
      </c>
      <c r="L1305" s="6">
        <v>45.1</v>
      </c>
      <c r="M1305" s="11">
        <v>41.356699999999996</v>
      </c>
      <c r="N1305" s="11">
        <f t="shared" si="80"/>
        <v>41.356999999999999</v>
      </c>
      <c r="O1305" s="6">
        <v>0.91699999999999993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3.09</v>
      </c>
      <c r="Z1305" s="6">
        <v>2.8335300000000001</v>
      </c>
      <c r="AA1305" s="6">
        <v>0.91700000000000004</v>
      </c>
      <c r="AB1305" s="6">
        <v>-3.0899999999999963</v>
      </c>
      <c r="AC1305" s="6">
        <v>3.0899999999999963</v>
      </c>
      <c r="AD1305" s="22" t="s">
        <v>3140</v>
      </c>
      <c r="AE1305" s="23">
        <f t="shared" si="81"/>
        <v>41.356999999999999</v>
      </c>
      <c r="AF1305" s="24">
        <f t="shared" si="82"/>
        <v>0</v>
      </c>
      <c r="AG1305" s="23">
        <f t="shared" si="83"/>
        <v>1</v>
      </c>
    </row>
    <row r="1306" spans="1:33" ht="12.5" customHeight="1" x14ac:dyDescent="0.25">
      <c r="A1306" s="12" t="s">
        <v>31</v>
      </c>
      <c r="B1306" s="9">
        <v>46193</v>
      </c>
      <c r="C1306" s="8" t="s">
        <v>2046</v>
      </c>
      <c r="D1306" s="10" t="s">
        <v>2047</v>
      </c>
      <c r="E1306" s="10" t="s">
        <v>51</v>
      </c>
      <c r="F1306" s="10" t="s">
        <v>35</v>
      </c>
      <c r="G1306" s="10" t="s">
        <v>3146</v>
      </c>
      <c r="H1306" s="8" t="s">
        <v>36</v>
      </c>
      <c r="I1306" s="11">
        <v>45.484999999999999</v>
      </c>
      <c r="J1306" s="6">
        <v>41.709744999999998</v>
      </c>
      <c r="K1306" s="6">
        <v>0.91699999999999993</v>
      </c>
      <c r="L1306" s="6">
        <v>43.234999999999999</v>
      </c>
      <c r="M1306" s="11">
        <v>39.646495000000002</v>
      </c>
      <c r="N1306" s="11">
        <f t="shared" si="80"/>
        <v>39.646999999999998</v>
      </c>
      <c r="O1306" s="6">
        <v>0.91700000000000004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2.25</v>
      </c>
      <c r="Z1306" s="6">
        <v>2.06325</v>
      </c>
      <c r="AA1306" s="6">
        <v>0.91700000000000004</v>
      </c>
      <c r="AB1306" s="6">
        <v>-2.25</v>
      </c>
      <c r="AC1306" s="6">
        <v>2.25</v>
      </c>
      <c r="AD1306" s="22" t="s">
        <v>3140</v>
      </c>
      <c r="AE1306" s="23">
        <f t="shared" si="81"/>
        <v>39.646999999999998</v>
      </c>
      <c r="AF1306" s="24">
        <f t="shared" si="82"/>
        <v>0</v>
      </c>
      <c r="AG1306" s="23">
        <f t="shared" si="83"/>
        <v>1</v>
      </c>
    </row>
    <row r="1307" spans="1:33" ht="12.5" customHeight="1" x14ac:dyDescent="0.25">
      <c r="A1307" s="12" t="s">
        <v>31</v>
      </c>
      <c r="B1307" s="9">
        <v>46193</v>
      </c>
      <c r="C1307" s="13" t="s">
        <v>2046</v>
      </c>
      <c r="D1307" s="10" t="s">
        <v>2048</v>
      </c>
      <c r="E1307" s="10" t="s">
        <v>51</v>
      </c>
      <c r="F1307" s="10" t="s">
        <v>35</v>
      </c>
      <c r="G1307" s="10" t="s">
        <v>3146</v>
      </c>
      <c r="H1307" s="8" t="s">
        <v>36</v>
      </c>
      <c r="I1307" s="11">
        <v>31.09</v>
      </c>
      <c r="J1307" s="6">
        <v>28.509530000000002</v>
      </c>
      <c r="K1307" s="6">
        <v>0.91700000000000004</v>
      </c>
      <c r="L1307" s="6">
        <v>27.7</v>
      </c>
      <c r="M1307" s="11">
        <v>25.4009</v>
      </c>
      <c r="N1307" s="11">
        <f t="shared" si="80"/>
        <v>25.401</v>
      </c>
      <c r="O1307" s="6">
        <v>0.91700000000000004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3.39</v>
      </c>
      <c r="Z1307" s="6">
        <v>3.1086299999999998</v>
      </c>
      <c r="AA1307" s="6">
        <v>0.91699999999999993</v>
      </c>
      <c r="AB1307" s="6">
        <v>-3.3900000000000006</v>
      </c>
      <c r="AC1307" s="6">
        <v>3.3900000000000006</v>
      </c>
      <c r="AD1307" s="22" t="s">
        <v>3140</v>
      </c>
      <c r="AE1307" s="23">
        <f t="shared" si="81"/>
        <v>25.401</v>
      </c>
      <c r="AF1307" s="24">
        <f t="shared" si="82"/>
        <v>0</v>
      </c>
      <c r="AG1307" s="23">
        <f t="shared" si="83"/>
        <v>1</v>
      </c>
    </row>
    <row r="1308" spans="1:33" ht="12.5" customHeight="1" x14ac:dyDescent="0.25">
      <c r="A1308" s="12" t="s">
        <v>31</v>
      </c>
      <c r="B1308" s="9">
        <v>46193</v>
      </c>
      <c r="C1308" s="8" t="s">
        <v>2049</v>
      </c>
      <c r="D1308" s="10" t="s">
        <v>2050</v>
      </c>
      <c r="E1308" s="10" t="s">
        <v>51</v>
      </c>
      <c r="F1308" s="10" t="s">
        <v>35</v>
      </c>
      <c r="G1308" s="10" t="s">
        <v>3146</v>
      </c>
      <c r="H1308" s="8" t="s">
        <v>36</v>
      </c>
      <c r="I1308" s="11">
        <v>118.06</v>
      </c>
      <c r="J1308" s="6">
        <v>108.26102</v>
      </c>
      <c r="K1308" s="6">
        <v>0.91700000000000004</v>
      </c>
      <c r="L1308" s="6">
        <v>110.98</v>
      </c>
      <c r="M1308" s="11">
        <v>101.76866</v>
      </c>
      <c r="N1308" s="11">
        <f t="shared" si="80"/>
        <v>101.76900000000001</v>
      </c>
      <c r="O1308" s="6">
        <v>0.91699999999999993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7.08</v>
      </c>
      <c r="Z1308" s="6">
        <v>6.4923599999999997</v>
      </c>
      <c r="AA1308" s="6">
        <v>0.91699999999999993</v>
      </c>
      <c r="AB1308" s="6">
        <v>-7.0799999999999983</v>
      </c>
      <c r="AC1308" s="6">
        <v>7.0799999999999983</v>
      </c>
      <c r="AD1308" s="22" t="s">
        <v>3140</v>
      </c>
      <c r="AE1308" s="23">
        <f t="shared" si="81"/>
        <v>101.76900000000001</v>
      </c>
      <c r="AF1308" s="24">
        <f t="shared" si="82"/>
        <v>0</v>
      </c>
      <c r="AG1308" s="23">
        <f t="shared" si="83"/>
        <v>1</v>
      </c>
    </row>
    <row r="1309" spans="1:33" ht="12.5" hidden="1" customHeight="1" x14ac:dyDescent="0.25">
      <c r="A1309" s="12" t="s">
        <v>31</v>
      </c>
      <c r="B1309" s="9">
        <v>46193</v>
      </c>
      <c r="C1309" s="13" t="s">
        <v>2049</v>
      </c>
      <c r="D1309" s="10" t="s">
        <v>2051</v>
      </c>
      <c r="E1309" s="10" t="s">
        <v>51</v>
      </c>
      <c r="F1309" s="10" t="s">
        <v>35</v>
      </c>
      <c r="G1309" s="10" t="s">
        <v>3145</v>
      </c>
      <c r="H1309" s="8" t="s">
        <v>41</v>
      </c>
      <c r="I1309" s="11">
        <v>28.98</v>
      </c>
      <c r="J1309" s="6">
        <v>21.734999999999999</v>
      </c>
      <c r="K1309" s="6">
        <v>0.75</v>
      </c>
      <c r="L1309" s="6">
        <v>27.43</v>
      </c>
      <c r="M1309" s="11">
        <v>20.572500000000002</v>
      </c>
      <c r="N1309" s="11">
        <f t="shared" si="80"/>
        <v>20.573</v>
      </c>
      <c r="O1309" s="6">
        <v>0.75000000000000011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1.55</v>
      </c>
      <c r="Z1309" s="6">
        <v>1.1625000000000001</v>
      </c>
      <c r="AA1309" s="6">
        <v>0.75</v>
      </c>
      <c r="AB1309" s="6">
        <v>-1.5500000000000007</v>
      </c>
      <c r="AC1309" s="6">
        <v>1.5500000000000007</v>
      </c>
      <c r="AD1309" s="22" t="s">
        <v>3140</v>
      </c>
      <c r="AE1309" s="23">
        <f t="shared" si="81"/>
        <v>20.573</v>
      </c>
      <c r="AF1309" s="24">
        <f t="shared" si="82"/>
        <v>0</v>
      </c>
      <c r="AG1309" s="23">
        <f t="shared" si="83"/>
        <v>1</v>
      </c>
    </row>
    <row r="1310" spans="1:33" ht="12.5" customHeight="1" x14ac:dyDescent="0.25">
      <c r="A1310" s="12" t="s">
        <v>31</v>
      </c>
      <c r="B1310" s="9">
        <v>46193</v>
      </c>
      <c r="C1310" s="8" t="s">
        <v>2052</v>
      </c>
      <c r="D1310" s="10" t="s">
        <v>2053</v>
      </c>
      <c r="E1310" s="10" t="s">
        <v>51</v>
      </c>
      <c r="F1310" s="10" t="s">
        <v>35</v>
      </c>
      <c r="G1310" s="10" t="s">
        <v>3146</v>
      </c>
      <c r="H1310" s="8" t="s">
        <v>36</v>
      </c>
      <c r="I1310" s="11">
        <v>10.09</v>
      </c>
      <c r="J1310" s="6">
        <v>9.2525300000000001</v>
      </c>
      <c r="K1310" s="6">
        <v>0.91700000000000004</v>
      </c>
      <c r="L1310" s="6">
        <v>9.67</v>
      </c>
      <c r="M1310" s="11">
        <v>8.8673900000000003</v>
      </c>
      <c r="N1310" s="11">
        <f t="shared" si="80"/>
        <v>8.8680000000000003</v>
      </c>
      <c r="O1310" s="6">
        <v>0.91700000000000004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0.42</v>
      </c>
      <c r="Z1310" s="6">
        <v>0.38513999999999998</v>
      </c>
      <c r="AA1310" s="6">
        <v>0.91700000000000004</v>
      </c>
      <c r="AB1310" s="6">
        <v>-0.41999999999999993</v>
      </c>
      <c r="AC1310" s="6">
        <v>0.41999999999999993</v>
      </c>
      <c r="AD1310" s="22" t="s">
        <v>3140</v>
      </c>
      <c r="AE1310" s="23">
        <f t="shared" si="81"/>
        <v>8.8680000000000003</v>
      </c>
      <c r="AF1310" s="24">
        <f t="shared" si="82"/>
        <v>0</v>
      </c>
      <c r="AG1310" s="23">
        <f t="shared" si="83"/>
        <v>1</v>
      </c>
    </row>
    <row r="1311" spans="1:33" ht="12.5" customHeight="1" x14ac:dyDescent="0.25">
      <c r="A1311" s="12" t="s">
        <v>31</v>
      </c>
      <c r="B1311" s="9">
        <v>46193</v>
      </c>
      <c r="C1311" s="12" t="s">
        <v>2052</v>
      </c>
      <c r="D1311" s="10" t="s">
        <v>2054</v>
      </c>
      <c r="E1311" s="10" t="s">
        <v>51</v>
      </c>
      <c r="F1311" s="10" t="s">
        <v>35</v>
      </c>
      <c r="G1311" s="10" t="s">
        <v>3146</v>
      </c>
      <c r="H1311" s="8" t="s">
        <v>36</v>
      </c>
      <c r="I1311" s="11">
        <v>21.66</v>
      </c>
      <c r="J1311" s="6">
        <v>19.862220000000001</v>
      </c>
      <c r="K1311" s="6">
        <v>0.91700000000000004</v>
      </c>
      <c r="L1311" s="6">
        <v>21.66</v>
      </c>
      <c r="M1311" s="11">
        <v>19.862220000000001</v>
      </c>
      <c r="N1311" s="11">
        <f t="shared" si="80"/>
        <v>19.863</v>
      </c>
      <c r="O1311" s="6">
        <v>0.91700000000000004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23" t="s">
        <v>3143</v>
      </c>
      <c r="AE1311" s="23">
        <f t="shared" si="81"/>
        <v>19.019000000000002</v>
      </c>
      <c r="AF1311" s="24">
        <f t="shared" si="82"/>
        <v>0.84399999999999764</v>
      </c>
      <c r="AG1311" s="23">
        <f t="shared" si="83"/>
        <v>2</v>
      </c>
    </row>
    <row r="1312" spans="1:33" ht="12.5" hidden="1" customHeight="1" x14ac:dyDescent="0.25">
      <c r="A1312" s="12" t="s">
        <v>31</v>
      </c>
      <c r="B1312" s="9">
        <v>46193</v>
      </c>
      <c r="C1312" s="12" t="s">
        <v>2052</v>
      </c>
      <c r="D1312" s="10" t="s">
        <v>2055</v>
      </c>
      <c r="E1312" s="10" t="s">
        <v>51</v>
      </c>
      <c r="F1312" s="10" t="s">
        <v>35</v>
      </c>
      <c r="G1312" s="10" t="s">
        <v>3145</v>
      </c>
      <c r="H1312" s="8" t="s">
        <v>41</v>
      </c>
      <c r="I1312" s="11">
        <v>2.48</v>
      </c>
      <c r="J1312" s="6">
        <v>1.86</v>
      </c>
      <c r="K1312" s="6">
        <v>0.75</v>
      </c>
      <c r="L1312" s="6">
        <v>2.11</v>
      </c>
      <c r="M1312" s="11">
        <v>1.5825</v>
      </c>
      <c r="N1312" s="11">
        <f t="shared" si="80"/>
        <v>1.583</v>
      </c>
      <c r="O1312" s="6">
        <v>0.75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0.37</v>
      </c>
      <c r="Z1312" s="6">
        <v>0.27750000000000002</v>
      </c>
      <c r="AA1312" s="6">
        <v>0.75000000000000011</v>
      </c>
      <c r="AB1312" s="6">
        <v>-0.37000000000000011</v>
      </c>
      <c r="AC1312" s="6">
        <v>0.37000000000000011</v>
      </c>
      <c r="AD1312" s="22" t="s">
        <v>3140</v>
      </c>
      <c r="AE1312" s="23">
        <f t="shared" si="81"/>
        <v>1.583</v>
      </c>
      <c r="AF1312" s="24">
        <f t="shared" si="82"/>
        <v>0</v>
      </c>
      <c r="AG1312" s="23">
        <f t="shared" si="83"/>
        <v>1</v>
      </c>
    </row>
    <row r="1313" spans="1:33" ht="12.5" hidden="1" customHeight="1" x14ac:dyDescent="0.25">
      <c r="A1313" s="12" t="s">
        <v>31</v>
      </c>
      <c r="B1313" s="9">
        <v>46193</v>
      </c>
      <c r="C1313" s="12" t="s">
        <v>2052</v>
      </c>
      <c r="D1313" s="10" t="s">
        <v>2056</v>
      </c>
      <c r="E1313" s="10" t="s">
        <v>51</v>
      </c>
      <c r="F1313" s="10" t="s">
        <v>35</v>
      </c>
      <c r="G1313" s="10" t="s">
        <v>3145</v>
      </c>
      <c r="H1313" s="8" t="s">
        <v>41</v>
      </c>
      <c r="I1313" s="11">
        <v>2.2200000000000002</v>
      </c>
      <c r="J1313" s="6">
        <v>1.665</v>
      </c>
      <c r="K1313" s="6">
        <v>0.75</v>
      </c>
      <c r="L1313" s="6">
        <v>1.85</v>
      </c>
      <c r="M1313" s="11">
        <v>1.3875</v>
      </c>
      <c r="N1313" s="11">
        <f t="shared" si="80"/>
        <v>1.3879999999999999</v>
      </c>
      <c r="O1313" s="6">
        <v>0.74999999999999989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0.37</v>
      </c>
      <c r="Z1313" s="6">
        <v>0.27750000000000002</v>
      </c>
      <c r="AA1313" s="6">
        <v>0.75000000000000011</v>
      </c>
      <c r="AB1313" s="6">
        <v>-0.37000000000000011</v>
      </c>
      <c r="AC1313" s="6">
        <v>0.37000000000000011</v>
      </c>
      <c r="AD1313" s="22" t="s">
        <v>3140</v>
      </c>
      <c r="AE1313" s="23">
        <f t="shared" si="81"/>
        <v>1.3879999999999999</v>
      </c>
      <c r="AF1313" s="24">
        <f t="shared" si="82"/>
        <v>0</v>
      </c>
      <c r="AG1313" s="23">
        <f t="shared" si="83"/>
        <v>1</v>
      </c>
    </row>
    <row r="1314" spans="1:33" ht="12.5" hidden="1" customHeight="1" x14ac:dyDescent="0.25">
      <c r="A1314" s="12" t="s">
        <v>31</v>
      </c>
      <c r="B1314" s="9">
        <v>46193</v>
      </c>
      <c r="C1314" s="13" t="s">
        <v>2052</v>
      </c>
      <c r="D1314" s="10" t="s">
        <v>2057</v>
      </c>
      <c r="E1314" s="10" t="s">
        <v>51</v>
      </c>
      <c r="F1314" s="10" t="s">
        <v>35</v>
      </c>
      <c r="G1314" s="10" t="s">
        <v>3145</v>
      </c>
      <c r="H1314" s="8" t="s">
        <v>41</v>
      </c>
      <c r="I1314" s="11">
        <v>6.02</v>
      </c>
      <c r="J1314" s="6">
        <v>4.5149999999999997</v>
      </c>
      <c r="K1314" s="6">
        <v>0.75</v>
      </c>
      <c r="L1314" s="6">
        <v>5.57</v>
      </c>
      <c r="M1314" s="11">
        <v>4.1775000000000002</v>
      </c>
      <c r="N1314" s="11">
        <f t="shared" si="80"/>
        <v>4.1779999999999999</v>
      </c>
      <c r="O1314" s="6">
        <v>0.75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0.45</v>
      </c>
      <c r="Z1314" s="6">
        <v>0.33750000000000002</v>
      </c>
      <c r="AA1314" s="6">
        <v>0.75</v>
      </c>
      <c r="AB1314" s="6">
        <v>-0.44999999999999929</v>
      </c>
      <c r="AC1314" s="6">
        <v>0.44999999999999929</v>
      </c>
      <c r="AD1314" s="22" t="s">
        <v>3140</v>
      </c>
      <c r="AE1314" s="23">
        <f t="shared" si="81"/>
        <v>4.1779999999999999</v>
      </c>
      <c r="AF1314" s="24">
        <f t="shared" si="82"/>
        <v>0</v>
      </c>
      <c r="AG1314" s="23">
        <f t="shared" si="83"/>
        <v>1</v>
      </c>
    </row>
    <row r="1315" spans="1:33" x14ac:dyDescent="0.25">
      <c r="A1315" s="12" t="s">
        <v>31</v>
      </c>
      <c r="B1315" s="9">
        <v>46193</v>
      </c>
      <c r="C1315" s="10" t="s">
        <v>2058</v>
      </c>
      <c r="D1315" s="10" t="s">
        <v>2059</v>
      </c>
      <c r="E1315" s="10" t="s">
        <v>51</v>
      </c>
      <c r="F1315" s="10" t="s">
        <v>35</v>
      </c>
      <c r="G1315" s="10" t="s">
        <v>3146</v>
      </c>
      <c r="H1315" s="8" t="s">
        <v>36</v>
      </c>
      <c r="I1315" s="11">
        <v>19.97</v>
      </c>
      <c r="J1315" s="6">
        <v>18.31249</v>
      </c>
      <c r="K1315" s="6">
        <v>0.91700000000000004</v>
      </c>
      <c r="L1315" s="6">
        <v>18.11</v>
      </c>
      <c r="M1315" s="11">
        <v>16.606870000000001</v>
      </c>
      <c r="N1315" s="11">
        <f t="shared" si="80"/>
        <v>16.607000000000003</v>
      </c>
      <c r="O1315" s="6">
        <v>0.91700000000000004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1.86</v>
      </c>
      <c r="Z1315" s="6">
        <v>1.7056199999999999</v>
      </c>
      <c r="AA1315" s="6">
        <v>0.91699999999999993</v>
      </c>
      <c r="AB1315" s="6">
        <v>-1.8599999999999994</v>
      </c>
      <c r="AC1315" s="6">
        <v>1.8599999999999994</v>
      </c>
      <c r="AD1315" s="23" t="s">
        <v>3143</v>
      </c>
      <c r="AE1315" s="23">
        <f t="shared" si="81"/>
        <v>14.737</v>
      </c>
      <c r="AF1315" s="24">
        <f t="shared" si="82"/>
        <v>1.8700000000000028</v>
      </c>
      <c r="AG1315" s="23">
        <f t="shared" si="83"/>
        <v>2</v>
      </c>
    </row>
    <row r="1316" spans="1:33" ht="12.5" customHeight="1" x14ac:dyDescent="0.25">
      <c r="A1316" s="12" t="s">
        <v>31</v>
      </c>
      <c r="B1316" s="9">
        <v>46193</v>
      </c>
      <c r="C1316" s="8" t="s">
        <v>2060</v>
      </c>
      <c r="D1316" s="10" t="s">
        <v>2061</v>
      </c>
      <c r="E1316" s="10" t="s">
        <v>51</v>
      </c>
      <c r="F1316" s="10" t="s">
        <v>35</v>
      </c>
      <c r="G1316" s="10" t="s">
        <v>3146</v>
      </c>
      <c r="H1316" s="8" t="s">
        <v>36</v>
      </c>
      <c r="I1316" s="11">
        <v>95.94</v>
      </c>
      <c r="J1316" s="6">
        <v>87.976979999999998</v>
      </c>
      <c r="K1316" s="6">
        <v>0.91700000000000004</v>
      </c>
      <c r="L1316" s="6">
        <v>95.94</v>
      </c>
      <c r="M1316" s="11">
        <v>87.976979999999998</v>
      </c>
      <c r="N1316" s="11">
        <f t="shared" si="80"/>
        <v>87.977000000000004</v>
      </c>
      <c r="O1316" s="6">
        <v>0.91700000000000004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23" t="s">
        <v>3143</v>
      </c>
      <c r="AE1316" s="23">
        <f t="shared" si="81"/>
        <v>80.100000000000009</v>
      </c>
      <c r="AF1316" s="24">
        <f t="shared" si="82"/>
        <v>7.8769999999999953</v>
      </c>
      <c r="AG1316" s="23">
        <f t="shared" si="83"/>
        <v>2</v>
      </c>
    </row>
    <row r="1317" spans="1:33" ht="12.5" customHeight="1" x14ac:dyDescent="0.25">
      <c r="A1317" s="12" t="s">
        <v>31</v>
      </c>
      <c r="B1317" s="9">
        <v>46193</v>
      </c>
      <c r="C1317" s="13" t="s">
        <v>2060</v>
      </c>
      <c r="D1317" s="10" t="s">
        <v>2062</v>
      </c>
      <c r="E1317" s="10" t="s">
        <v>51</v>
      </c>
      <c r="F1317" s="10" t="s">
        <v>35</v>
      </c>
      <c r="G1317" s="10" t="s">
        <v>3146</v>
      </c>
      <c r="H1317" s="8" t="s">
        <v>36</v>
      </c>
      <c r="I1317" s="11">
        <v>21.26</v>
      </c>
      <c r="J1317" s="6">
        <v>19.495419999999999</v>
      </c>
      <c r="K1317" s="6">
        <v>0.91699999999999993</v>
      </c>
      <c r="L1317" s="6">
        <v>21.26</v>
      </c>
      <c r="M1317" s="11">
        <v>19.495419999999999</v>
      </c>
      <c r="N1317" s="11">
        <f t="shared" si="80"/>
        <v>19.496000000000002</v>
      </c>
      <c r="O1317" s="6">
        <v>0.91699999999999993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23" t="s">
        <v>3143</v>
      </c>
      <c r="AE1317" s="23">
        <f t="shared" si="81"/>
        <v>18.716000000000001</v>
      </c>
      <c r="AF1317" s="24">
        <f t="shared" si="82"/>
        <v>0.78000000000000114</v>
      </c>
      <c r="AG1317" s="23">
        <f t="shared" si="83"/>
        <v>2</v>
      </c>
    </row>
    <row r="1318" spans="1:33" ht="12.5" hidden="1" customHeight="1" x14ac:dyDescent="0.25">
      <c r="A1318" s="12" t="s">
        <v>31</v>
      </c>
      <c r="B1318" s="9">
        <v>46193</v>
      </c>
      <c r="C1318" s="8" t="s">
        <v>2063</v>
      </c>
      <c r="D1318" s="10" t="s">
        <v>1958</v>
      </c>
      <c r="E1318" s="10" t="s">
        <v>51</v>
      </c>
      <c r="F1318" s="10" t="s">
        <v>35</v>
      </c>
      <c r="G1318" s="10" t="s">
        <v>3145</v>
      </c>
      <c r="H1318" s="8" t="s">
        <v>48</v>
      </c>
      <c r="I1318" s="11">
        <v>30.33</v>
      </c>
      <c r="J1318" s="6">
        <v>22.747499999999999</v>
      </c>
      <c r="K1318" s="6">
        <v>0.75</v>
      </c>
      <c r="L1318" s="6">
        <v>28.37</v>
      </c>
      <c r="M1318" s="11">
        <v>21.2775</v>
      </c>
      <c r="N1318" s="11">
        <f t="shared" si="80"/>
        <v>21.278000000000002</v>
      </c>
      <c r="O1318" s="6">
        <v>0.75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1.96</v>
      </c>
      <c r="Z1318" s="6">
        <v>1.47</v>
      </c>
      <c r="AA1318" s="6">
        <v>0.75</v>
      </c>
      <c r="AB1318" s="6">
        <v>-1.9599999999999973</v>
      </c>
      <c r="AC1318" s="6">
        <v>1.9599999999999973</v>
      </c>
      <c r="AD1318" s="22" t="s">
        <v>3140</v>
      </c>
      <c r="AE1318" s="23">
        <f t="shared" si="81"/>
        <v>21.278000000000002</v>
      </c>
      <c r="AF1318" s="24">
        <f t="shared" si="82"/>
        <v>0</v>
      </c>
      <c r="AG1318" s="23">
        <f t="shared" si="83"/>
        <v>2</v>
      </c>
    </row>
    <row r="1319" spans="1:33" ht="12.5" customHeight="1" x14ac:dyDescent="0.25">
      <c r="A1319" s="12" t="s">
        <v>31</v>
      </c>
      <c r="B1319" s="9">
        <v>46193</v>
      </c>
      <c r="C1319" s="12" t="s">
        <v>2063</v>
      </c>
      <c r="D1319" s="10" t="s">
        <v>2064</v>
      </c>
      <c r="E1319" s="10" t="s">
        <v>51</v>
      </c>
      <c r="F1319" s="10" t="s">
        <v>35</v>
      </c>
      <c r="G1319" s="10" t="s">
        <v>3146</v>
      </c>
      <c r="H1319" s="8" t="s">
        <v>36</v>
      </c>
      <c r="I1319" s="11">
        <v>57.73</v>
      </c>
      <c r="J1319" s="6">
        <v>52.938409999999998</v>
      </c>
      <c r="K1319" s="6">
        <v>0.91700000000000004</v>
      </c>
      <c r="L1319" s="6">
        <v>57.73</v>
      </c>
      <c r="M1319" s="11">
        <v>52.938409999999998</v>
      </c>
      <c r="N1319" s="11">
        <f t="shared" si="80"/>
        <v>52.939</v>
      </c>
      <c r="O1319" s="6">
        <v>0.91700000000000004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22" t="s">
        <v>3140</v>
      </c>
      <c r="AE1319" s="23">
        <f t="shared" si="81"/>
        <v>52.939</v>
      </c>
      <c r="AF1319" s="24">
        <f t="shared" si="82"/>
        <v>0</v>
      </c>
      <c r="AG1319" s="23">
        <f t="shared" si="83"/>
        <v>1</v>
      </c>
    </row>
    <row r="1320" spans="1:33" ht="12.5" customHeight="1" x14ac:dyDescent="0.25">
      <c r="A1320" s="12" t="s">
        <v>31</v>
      </c>
      <c r="B1320" s="9">
        <v>46193</v>
      </c>
      <c r="C1320" s="13" t="s">
        <v>2063</v>
      </c>
      <c r="D1320" s="10" t="s">
        <v>2065</v>
      </c>
      <c r="E1320" s="10" t="s">
        <v>51</v>
      </c>
      <c r="F1320" s="10" t="s">
        <v>35</v>
      </c>
      <c r="G1320" s="10" t="s">
        <v>3146</v>
      </c>
      <c r="H1320" s="8" t="s">
        <v>36</v>
      </c>
      <c r="I1320" s="11">
        <v>15.05</v>
      </c>
      <c r="J1320" s="6">
        <v>13.800850000000001</v>
      </c>
      <c r="K1320" s="6">
        <v>0.91700000000000004</v>
      </c>
      <c r="L1320" s="6">
        <v>15.05</v>
      </c>
      <c r="M1320" s="11">
        <v>13.800850000000001</v>
      </c>
      <c r="N1320" s="11">
        <f t="shared" si="80"/>
        <v>13.801</v>
      </c>
      <c r="O1320" s="6">
        <v>0.91700000000000004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22" t="s">
        <v>3140</v>
      </c>
      <c r="AE1320" s="23">
        <f t="shared" si="81"/>
        <v>13.801</v>
      </c>
      <c r="AF1320" s="24">
        <f t="shared" si="82"/>
        <v>0</v>
      </c>
      <c r="AG1320" s="23">
        <f t="shared" si="83"/>
        <v>1</v>
      </c>
    </row>
    <row r="1321" spans="1:33" x14ac:dyDescent="0.25">
      <c r="A1321" s="12" t="s">
        <v>31</v>
      </c>
      <c r="B1321" s="9">
        <v>46193</v>
      </c>
      <c r="C1321" s="10" t="s">
        <v>2066</v>
      </c>
      <c r="D1321" s="10" t="s">
        <v>1972</v>
      </c>
      <c r="E1321" s="10" t="s">
        <v>51</v>
      </c>
      <c r="F1321" s="10" t="s">
        <v>133</v>
      </c>
      <c r="G1321" s="10" t="s">
        <v>3146</v>
      </c>
      <c r="H1321" s="8" t="s">
        <v>36</v>
      </c>
      <c r="I1321" s="11">
        <v>31.86</v>
      </c>
      <c r="J1321" s="6">
        <v>29.215620000000001</v>
      </c>
      <c r="K1321" s="6">
        <v>0.91700000000000004</v>
      </c>
      <c r="L1321" s="6">
        <v>30.12</v>
      </c>
      <c r="M1321" s="11">
        <v>27.620039999999999</v>
      </c>
      <c r="N1321" s="11">
        <f t="shared" si="80"/>
        <v>27.621000000000002</v>
      </c>
      <c r="O1321" s="6">
        <v>0.91699999999999993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1.74</v>
      </c>
      <c r="Z1321" s="6">
        <v>1.59558</v>
      </c>
      <c r="AA1321" s="6">
        <v>0.91700000000000004</v>
      </c>
      <c r="AB1321" s="6">
        <v>-1.7399999999999984</v>
      </c>
      <c r="AC1321" s="6">
        <v>1.7399999999999984</v>
      </c>
      <c r="AD1321" s="23" t="s">
        <v>3142</v>
      </c>
      <c r="AE1321" s="23">
        <f t="shared" si="81"/>
        <v>27.107000000000003</v>
      </c>
      <c r="AF1321" s="24">
        <f t="shared" si="82"/>
        <v>0.51399999999999935</v>
      </c>
      <c r="AG1321" s="23">
        <f t="shared" si="83"/>
        <v>3</v>
      </c>
    </row>
    <row r="1322" spans="1:33" ht="12.5" customHeight="1" x14ac:dyDescent="0.25">
      <c r="A1322" s="12" t="s">
        <v>31</v>
      </c>
      <c r="B1322" s="9">
        <v>46193</v>
      </c>
      <c r="C1322" s="8" t="s">
        <v>2067</v>
      </c>
      <c r="D1322" s="10" t="s">
        <v>2068</v>
      </c>
      <c r="E1322" s="10" t="s">
        <v>51</v>
      </c>
      <c r="F1322" s="10" t="s">
        <v>35</v>
      </c>
      <c r="G1322" s="10" t="s">
        <v>3146</v>
      </c>
      <c r="H1322" s="8" t="s">
        <v>36</v>
      </c>
      <c r="I1322" s="11">
        <v>6.94</v>
      </c>
      <c r="J1322" s="6">
        <v>6.3639799999999997</v>
      </c>
      <c r="K1322" s="6">
        <v>0.91699999999999993</v>
      </c>
      <c r="L1322" s="6">
        <v>6.26</v>
      </c>
      <c r="M1322" s="11">
        <v>5.7404200000000003</v>
      </c>
      <c r="N1322" s="11">
        <f t="shared" si="80"/>
        <v>5.7410000000000005</v>
      </c>
      <c r="O1322" s="6">
        <v>0.91700000000000004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0.68</v>
      </c>
      <c r="Z1322" s="6">
        <v>0.62356</v>
      </c>
      <c r="AA1322" s="6">
        <v>0.91699999999999993</v>
      </c>
      <c r="AB1322" s="6">
        <v>-0.6800000000000006</v>
      </c>
      <c r="AC1322" s="6">
        <v>0.6800000000000006</v>
      </c>
      <c r="AD1322" s="22" t="s">
        <v>3140</v>
      </c>
      <c r="AE1322" s="23">
        <f t="shared" si="81"/>
        <v>5.7410000000000005</v>
      </c>
      <c r="AF1322" s="24">
        <f t="shared" si="82"/>
        <v>0</v>
      </c>
      <c r="AG1322" s="23">
        <f t="shared" si="83"/>
        <v>1</v>
      </c>
    </row>
    <row r="1323" spans="1:33" ht="12.5" customHeight="1" x14ac:dyDescent="0.25">
      <c r="A1323" s="12" t="s">
        <v>31</v>
      </c>
      <c r="B1323" s="9">
        <v>46193</v>
      </c>
      <c r="C1323" s="13" t="s">
        <v>2067</v>
      </c>
      <c r="D1323" s="10" t="s">
        <v>2069</v>
      </c>
      <c r="E1323" s="10" t="s">
        <v>51</v>
      </c>
      <c r="F1323" s="10" t="s">
        <v>35</v>
      </c>
      <c r="G1323" s="10" t="s">
        <v>3146</v>
      </c>
      <c r="H1323" s="8" t="s">
        <v>36</v>
      </c>
      <c r="I1323" s="11">
        <v>8.4700000000000006</v>
      </c>
      <c r="J1323" s="6">
        <v>7.7669899999999998</v>
      </c>
      <c r="K1323" s="6">
        <v>0.91699999999999993</v>
      </c>
      <c r="L1323" s="6">
        <v>7.72</v>
      </c>
      <c r="M1323" s="11">
        <v>7.0792400000000004</v>
      </c>
      <c r="N1323" s="11">
        <f t="shared" si="80"/>
        <v>7.08</v>
      </c>
      <c r="O1323" s="6">
        <v>0.91700000000000004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0.75</v>
      </c>
      <c r="Z1323" s="6">
        <v>0.68774999999999997</v>
      </c>
      <c r="AA1323" s="6">
        <v>0.91699999999999993</v>
      </c>
      <c r="AB1323" s="6">
        <v>-0.75000000000000089</v>
      </c>
      <c r="AC1323" s="6">
        <v>0.75000000000000089</v>
      </c>
      <c r="AD1323" s="22" t="s">
        <v>3140</v>
      </c>
      <c r="AE1323" s="23">
        <f t="shared" si="81"/>
        <v>7.08</v>
      </c>
      <c r="AF1323" s="24">
        <f t="shared" si="82"/>
        <v>0</v>
      </c>
      <c r="AG1323" s="23">
        <f t="shared" si="83"/>
        <v>1</v>
      </c>
    </row>
    <row r="1324" spans="1:33" x14ac:dyDescent="0.25">
      <c r="A1324" s="12" t="s">
        <v>31</v>
      </c>
      <c r="B1324" s="9">
        <v>46193</v>
      </c>
      <c r="C1324" s="10" t="s">
        <v>2070</v>
      </c>
      <c r="D1324" s="10" t="s">
        <v>2071</v>
      </c>
      <c r="E1324" s="10" t="s">
        <v>51</v>
      </c>
      <c r="F1324" s="10" t="s">
        <v>35</v>
      </c>
      <c r="G1324" s="10" t="s">
        <v>3146</v>
      </c>
      <c r="H1324" s="8" t="s">
        <v>36</v>
      </c>
      <c r="I1324" s="11">
        <v>18.170000000000002</v>
      </c>
      <c r="J1324" s="6">
        <v>16.66189</v>
      </c>
      <c r="K1324" s="6">
        <v>0.91699999999999993</v>
      </c>
      <c r="L1324" s="6">
        <v>17.649999999999999</v>
      </c>
      <c r="M1324" s="11">
        <v>16.18505</v>
      </c>
      <c r="N1324" s="11">
        <f t="shared" si="80"/>
        <v>16.186</v>
      </c>
      <c r="O1324" s="6">
        <v>0.91700000000000015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0.52</v>
      </c>
      <c r="Z1324" s="6">
        <v>0.47683999999999999</v>
      </c>
      <c r="AA1324" s="6">
        <v>0.91699999999999993</v>
      </c>
      <c r="AB1324" s="6">
        <v>-0.52000000000000313</v>
      </c>
      <c r="AC1324" s="6">
        <v>0.52000000000000313</v>
      </c>
      <c r="AD1324" s="22" t="s">
        <v>3140</v>
      </c>
      <c r="AE1324" s="23">
        <f t="shared" si="81"/>
        <v>16.186</v>
      </c>
      <c r="AF1324" s="24">
        <f t="shared" si="82"/>
        <v>0</v>
      </c>
      <c r="AG1324" s="23">
        <f t="shared" si="83"/>
        <v>1</v>
      </c>
    </row>
    <row r="1325" spans="1:33" hidden="1" x14ac:dyDescent="0.25">
      <c r="A1325" s="12" t="s">
        <v>31</v>
      </c>
      <c r="B1325" s="9">
        <v>46193</v>
      </c>
      <c r="C1325" s="10" t="s">
        <v>2072</v>
      </c>
      <c r="D1325" s="10" t="s">
        <v>2073</v>
      </c>
      <c r="E1325" s="10" t="s">
        <v>51</v>
      </c>
      <c r="F1325" s="10" t="s">
        <v>35</v>
      </c>
      <c r="G1325" s="10" t="s">
        <v>3145</v>
      </c>
      <c r="H1325" s="8" t="s">
        <v>41</v>
      </c>
      <c r="I1325" s="11">
        <v>5.21</v>
      </c>
      <c r="J1325" s="6">
        <v>3.9075000000000002</v>
      </c>
      <c r="K1325" s="6">
        <v>0.75</v>
      </c>
      <c r="L1325" s="6">
        <v>4.78</v>
      </c>
      <c r="M1325" s="11">
        <v>3.585</v>
      </c>
      <c r="N1325" s="11">
        <f t="shared" si="80"/>
        <v>3.585</v>
      </c>
      <c r="O1325" s="6">
        <v>0.75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0.43</v>
      </c>
      <c r="Z1325" s="6">
        <v>0.32250000000000001</v>
      </c>
      <c r="AA1325" s="6">
        <v>0.75</v>
      </c>
      <c r="AB1325" s="6">
        <v>-0.42999999999999972</v>
      </c>
      <c r="AC1325" s="6">
        <v>0.42999999999999972</v>
      </c>
      <c r="AD1325" s="22" t="s">
        <v>3140</v>
      </c>
      <c r="AE1325" s="23">
        <f t="shared" si="81"/>
        <v>3.585</v>
      </c>
      <c r="AF1325" s="24">
        <f t="shared" si="82"/>
        <v>0</v>
      </c>
      <c r="AG1325" s="23">
        <f t="shared" si="83"/>
        <v>1</v>
      </c>
    </row>
    <row r="1326" spans="1:33" hidden="1" x14ac:dyDescent="0.25">
      <c r="A1326" s="12" t="s">
        <v>31</v>
      </c>
      <c r="B1326" s="9">
        <v>46193</v>
      </c>
      <c r="C1326" s="10" t="s">
        <v>2074</v>
      </c>
      <c r="D1326" s="10" t="s">
        <v>2075</v>
      </c>
      <c r="E1326" s="10" t="s">
        <v>51</v>
      </c>
      <c r="F1326" s="10" t="s">
        <v>35</v>
      </c>
      <c r="G1326" s="10" t="s">
        <v>3145</v>
      </c>
      <c r="H1326" s="8" t="s">
        <v>41</v>
      </c>
      <c r="I1326" s="11">
        <v>5.57</v>
      </c>
      <c r="J1326" s="6">
        <v>4.1775000000000002</v>
      </c>
      <c r="K1326" s="6">
        <v>0.75</v>
      </c>
      <c r="L1326" s="6">
        <v>5.12</v>
      </c>
      <c r="M1326" s="11">
        <v>3.84</v>
      </c>
      <c r="N1326" s="11">
        <f t="shared" si="80"/>
        <v>3.84</v>
      </c>
      <c r="O1326" s="6">
        <v>0.75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0.45</v>
      </c>
      <c r="Z1326" s="6">
        <v>0.33750000000000002</v>
      </c>
      <c r="AA1326" s="6">
        <v>0.75</v>
      </c>
      <c r="AB1326" s="6">
        <v>-0.45000000000000018</v>
      </c>
      <c r="AC1326" s="6">
        <v>0.45000000000000018</v>
      </c>
      <c r="AD1326" s="22" t="s">
        <v>3140</v>
      </c>
      <c r="AE1326" s="23">
        <f t="shared" si="81"/>
        <v>3.84</v>
      </c>
      <c r="AF1326" s="24">
        <f t="shared" si="82"/>
        <v>0</v>
      </c>
      <c r="AG1326" s="23">
        <f t="shared" si="83"/>
        <v>1</v>
      </c>
    </row>
    <row r="1327" spans="1:33" ht="12.5" customHeight="1" x14ac:dyDescent="0.25">
      <c r="A1327" s="12" t="s">
        <v>31</v>
      </c>
      <c r="B1327" s="9">
        <v>46193</v>
      </c>
      <c r="C1327" s="8" t="s">
        <v>2076</v>
      </c>
      <c r="D1327" s="10" t="s">
        <v>2077</v>
      </c>
      <c r="E1327" s="10" t="s">
        <v>51</v>
      </c>
      <c r="F1327" s="10" t="s">
        <v>35</v>
      </c>
      <c r="G1327" s="10" t="s">
        <v>3146</v>
      </c>
      <c r="H1327" s="8" t="s">
        <v>36</v>
      </c>
      <c r="I1327" s="11">
        <v>15.09</v>
      </c>
      <c r="J1327" s="6">
        <v>13.837529999999999</v>
      </c>
      <c r="K1327" s="6">
        <v>0.91699999999999993</v>
      </c>
      <c r="L1327" s="6">
        <v>14.19</v>
      </c>
      <c r="M1327" s="11">
        <v>13.012230000000001</v>
      </c>
      <c r="N1327" s="11">
        <f t="shared" si="80"/>
        <v>13.013</v>
      </c>
      <c r="O1327" s="6">
        <v>0.91700000000000004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0.9</v>
      </c>
      <c r="Z1327" s="6">
        <v>0.82530000000000003</v>
      </c>
      <c r="AA1327" s="6">
        <v>0.91700000000000004</v>
      </c>
      <c r="AB1327" s="6">
        <v>-0.90000000000000036</v>
      </c>
      <c r="AC1327" s="6">
        <v>0.90000000000000036</v>
      </c>
      <c r="AD1327" s="22" t="s">
        <v>3140</v>
      </c>
      <c r="AE1327" s="23">
        <f t="shared" si="81"/>
        <v>13.013</v>
      </c>
      <c r="AF1327" s="24">
        <f t="shared" si="82"/>
        <v>0</v>
      </c>
      <c r="AG1327" s="23">
        <f t="shared" si="83"/>
        <v>1</v>
      </c>
    </row>
    <row r="1328" spans="1:33" ht="12.5" hidden="1" customHeight="1" x14ac:dyDescent="0.25">
      <c r="A1328" s="12" t="s">
        <v>31</v>
      </c>
      <c r="B1328" s="9">
        <v>46193</v>
      </c>
      <c r="C1328" s="13" t="s">
        <v>2076</v>
      </c>
      <c r="D1328" s="10" t="s">
        <v>1978</v>
      </c>
      <c r="E1328" s="10" t="s">
        <v>51</v>
      </c>
      <c r="F1328" s="10" t="s">
        <v>35</v>
      </c>
      <c r="G1328" s="10" t="s">
        <v>3145</v>
      </c>
      <c r="H1328" s="8" t="s">
        <v>48</v>
      </c>
      <c r="I1328" s="11">
        <v>7.84</v>
      </c>
      <c r="J1328" s="6">
        <v>5.88</v>
      </c>
      <c r="K1328" s="6">
        <v>0.75</v>
      </c>
      <c r="L1328" s="6">
        <v>7.8</v>
      </c>
      <c r="M1328" s="11">
        <v>5.85</v>
      </c>
      <c r="N1328" s="11">
        <f t="shared" si="80"/>
        <v>5.85</v>
      </c>
      <c r="O1328" s="6">
        <v>0.75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0.04</v>
      </c>
      <c r="Z1328" s="6">
        <v>0.03</v>
      </c>
      <c r="AA1328" s="6">
        <v>0.75</v>
      </c>
      <c r="AB1328" s="6">
        <v>-4.0000000000000036E-2</v>
      </c>
      <c r="AC1328" s="6">
        <v>4.0000000000000036E-2</v>
      </c>
      <c r="AD1328" s="23" t="s">
        <v>3143</v>
      </c>
      <c r="AE1328" s="23">
        <f t="shared" si="81"/>
        <v>5.79</v>
      </c>
      <c r="AF1328" s="24">
        <f t="shared" si="82"/>
        <v>5.9999999999999609E-2</v>
      </c>
      <c r="AG1328" s="23">
        <f t="shared" si="83"/>
        <v>2</v>
      </c>
    </row>
    <row r="1329" spans="1:33" ht="12.5" customHeight="1" x14ac:dyDescent="0.25">
      <c r="A1329" s="12" t="s">
        <v>31</v>
      </c>
      <c r="B1329" s="9">
        <v>46193</v>
      </c>
      <c r="C1329" s="8" t="s">
        <v>2078</v>
      </c>
      <c r="D1329" s="10" t="s">
        <v>2079</v>
      </c>
      <c r="E1329" s="10" t="s">
        <v>51</v>
      </c>
      <c r="F1329" s="10" t="s">
        <v>35</v>
      </c>
      <c r="G1329" s="10" t="s">
        <v>3146</v>
      </c>
      <c r="H1329" s="8" t="s">
        <v>36</v>
      </c>
      <c r="I1329" s="11">
        <v>75.45</v>
      </c>
      <c r="J1329" s="6">
        <v>69.187650000000005</v>
      </c>
      <c r="K1329" s="6">
        <v>0.91700000000000004</v>
      </c>
      <c r="L1329" s="6">
        <v>71.22</v>
      </c>
      <c r="M1329" s="11">
        <v>65.30874</v>
      </c>
      <c r="N1329" s="11">
        <f t="shared" si="80"/>
        <v>65.309000000000012</v>
      </c>
      <c r="O1329" s="6">
        <v>0.91700000000000004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4.2300000000000004</v>
      </c>
      <c r="Z1329" s="6">
        <v>3.8789099999999999</v>
      </c>
      <c r="AA1329" s="6">
        <v>0.91699999999999993</v>
      </c>
      <c r="AB1329" s="6">
        <v>-4.230000000000004</v>
      </c>
      <c r="AC1329" s="6">
        <v>4.230000000000004</v>
      </c>
      <c r="AD1329" s="22" t="s">
        <v>3140</v>
      </c>
      <c r="AE1329" s="23">
        <f t="shared" si="81"/>
        <v>65.309000000000012</v>
      </c>
      <c r="AF1329" s="24">
        <f t="shared" si="82"/>
        <v>0</v>
      </c>
      <c r="AG1329" s="23">
        <f t="shared" si="83"/>
        <v>1</v>
      </c>
    </row>
    <row r="1330" spans="1:33" ht="12.5" customHeight="1" x14ac:dyDescent="0.25">
      <c r="A1330" s="12" t="s">
        <v>31</v>
      </c>
      <c r="B1330" s="9">
        <v>46193</v>
      </c>
      <c r="C1330" s="13" t="s">
        <v>2078</v>
      </c>
      <c r="D1330" s="10" t="s">
        <v>2080</v>
      </c>
      <c r="E1330" s="10" t="s">
        <v>51</v>
      </c>
      <c r="F1330" s="10" t="s">
        <v>35</v>
      </c>
      <c r="G1330" s="10" t="s">
        <v>3146</v>
      </c>
      <c r="H1330" s="8" t="s">
        <v>36</v>
      </c>
      <c r="I1330" s="11">
        <v>120.53</v>
      </c>
      <c r="J1330" s="6">
        <v>110.52601</v>
      </c>
      <c r="K1330" s="6">
        <v>0.91700000000000004</v>
      </c>
      <c r="L1330" s="6">
        <v>115.22</v>
      </c>
      <c r="M1330" s="11">
        <v>105.65674</v>
      </c>
      <c r="N1330" s="11">
        <f t="shared" si="80"/>
        <v>105.65700000000001</v>
      </c>
      <c r="O1330" s="6">
        <v>0.91700000000000004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5.31</v>
      </c>
      <c r="Z1330" s="6">
        <v>4.8692700000000002</v>
      </c>
      <c r="AA1330" s="6">
        <v>0.91700000000000015</v>
      </c>
      <c r="AB1330" s="6">
        <v>-5.3100000000000023</v>
      </c>
      <c r="AC1330" s="6">
        <v>5.3100000000000023</v>
      </c>
      <c r="AD1330" s="22" t="s">
        <v>3140</v>
      </c>
      <c r="AE1330" s="23">
        <f t="shared" si="81"/>
        <v>105.65700000000001</v>
      </c>
      <c r="AF1330" s="24">
        <f t="shared" si="82"/>
        <v>0</v>
      </c>
      <c r="AG1330" s="23">
        <f t="shared" si="83"/>
        <v>1</v>
      </c>
    </row>
    <row r="1331" spans="1:33" x14ac:dyDescent="0.25">
      <c r="A1331" s="12" t="s">
        <v>31</v>
      </c>
      <c r="B1331" s="9">
        <v>46193</v>
      </c>
      <c r="C1331" s="10" t="s">
        <v>2081</v>
      </c>
      <c r="D1331" s="10" t="s">
        <v>2082</v>
      </c>
      <c r="E1331" s="10" t="s">
        <v>51</v>
      </c>
      <c r="F1331" s="10" t="s">
        <v>35</v>
      </c>
      <c r="G1331" s="10" t="s">
        <v>3146</v>
      </c>
      <c r="H1331" s="8" t="s">
        <v>36</v>
      </c>
      <c r="I1331" s="11">
        <v>87.25</v>
      </c>
      <c r="J1331" s="6">
        <v>80.008250000000004</v>
      </c>
      <c r="K1331" s="6">
        <v>0.91700000000000004</v>
      </c>
      <c r="L1331" s="6">
        <v>80.680000000000007</v>
      </c>
      <c r="M1331" s="11">
        <v>73.983559999999997</v>
      </c>
      <c r="N1331" s="11">
        <f t="shared" si="80"/>
        <v>73.984000000000009</v>
      </c>
      <c r="O1331" s="6">
        <v>0.91699999999999993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6.57</v>
      </c>
      <c r="Z1331" s="6">
        <v>6.0246899999999997</v>
      </c>
      <c r="AA1331" s="6">
        <v>0.91699999999999993</v>
      </c>
      <c r="AB1331" s="6">
        <v>-6.5699999999999932</v>
      </c>
      <c r="AC1331" s="6">
        <v>6.5699999999999932</v>
      </c>
      <c r="AD1331" s="22" t="s">
        <v>3140</v>
      </c>
      <c r="AE1331" s="23">
        <f t="shared" si="81"/>
        <v>73.984000000000009</v>
      </c>
      <c r="AF1331" s="24">
        <f t="shared" si="82"/>
        <v>0</v>
      </c>
      <c r="AG1331" s="23">
        <f t="shared" si="83"/>
        <v>1</v>
      </c>
    </row>
    <row r="1332" spans="1:33" hidden="1" x14ac:dyDescent="0.25">
      <c r="A1332" s="12" t="s">
        <v>31</v>
      </c>
      <c r="B1332" s="9">
        <v>46193</v>
      </c>
      <c r="C1332" s="10" t="s">
        <v>2083</v>
      </c>
      <c r="D1332" s="10" t="s">
        <v>2084</v>
      </c>
      <c r="E1332" s="10" t="s">
        <v>51</v>
      </c>
      <c r="F1332" s="10" t="s">
        <v>35</v>
      </c>
      <c r="G1332" s="10" t="s">
        <v>3145</v>
      </c>
      <c r="H1332" s="8" t="s">
        <v>41</v>
      </c>
      <c r="I1332" s="11">
        <v>33.07</v>
      </c>
      <c r="J1332" s="6">
        <v>24.802499999999998</v>
      </c>
      <c r="K1332" s="6">
        <v>0.75</v>
      </c>
      <c r="L1332" s="6">
        <v>31.48</v>
      </c>
      <c r="M1332" s="11">
        <v>23.61</v>
      </c>
      <c r="N1332" s="11">
        <f t="shared" si="80"/>
        <v>23.61</v>
      </c>
      <c r="O1332" s="6">
        <v>0.75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1.59</v>
      </c>
      <c r="Z1332" s="6">
        <v>1.1924999999999999</v>
      </c>
      <c r="AA1332" s="6">
        <v>0.74999999999999989</v>
      </c>
      <c r="AB1332" s="6">
        <v>-1.59</v>
      </c>
      <c r="AC1332" s="6">
        <v>1.59</v>
      </c>
      <c r="AD1332" s="22" t="s">
        <v>3140</v>
      </c>
      <c r="AE1332" s="23">
        <f t="shared" si="81"/>
        <v>23.61</v>
      </c>
      <c r="AF1332" s="24">
        <f t="shared" si="82"/>
        <v>0</v>
      </c>
      <c r="AG1332" s="23">
        <f t="shared" si="83"/>
        <v>1</v>
      </c>
    </row>
    <row r="1333" spans="1:33" hidden="1" x14ac:dyDescent="0.25">
      <c r="A1333" s="12" t="s">
        <v>31</v>
      </c>
      <c r="B1333" s="9">
        <v>46193</v>
      </c>
      <c r="C1333" s="10" t="s">
        <v>2085</v>
      </c>
      <c r="D1333" s="10" t="s">
        <v>2086</v>
      </c>
      <c r="E1333" s="10" t="s">
        <v>51</v>
      </c>
      <c r="F1333" s="10" t="s">
        <v>35</v>
      </c>
      <c r="G1333" s="10" t="s">
        <v>3145</v>
      </c>
      <c r="H1333" s="8" t="s">
        <v>41</v>
      </c>
      <c r="I1333" s="11">
        <v>32.68</v>
      </c>
      <c r="J1333" s="6">
        <v>24.51</v>
      </c>
      <c r="K1333" s="6">
        <v>0.75</v>
      </c>
      <c r="L1333" s="6">
        <v>30.38</v>
      </c>
      <c r="M1333" s="11">
        <v>22.785</v>
      </c>
      <c r="N1333" s="11">
        <f t="shared" si="80"/>
        <v>22.785</v>
      </c>
      <c r="O1333" s="6">
        <v>0.75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2.2999999999999998</v>
      </c>
      <c r="Z1333" s="6">
        <v>1.7250000000000001</v>
      </c>
      <c r="AA1333" s="6">
        <v>0.75000000000000011</v>
      </c>
      <c r="AB1333" s="6">
        <v>-2.3000000000000007</v>
      </c>
      <c r="AC1333" s="6">
        <v>2.3000000000000007</v>
      </c>
      <c r="AD1333" s="22" t="s">
        <v>3140</v>
      </c>
      <c r="AE1333" s="23">
        <f t="shared" si="81"/>
        <v>22.785</v>
      </c>
      <c r="AF1333" s="24">
        <f t="shared" si="82"/>
        <v>0</v>
      </c>
      <c r="AG1333" s="23">
        <f t="shared" si="83"/>
        <v>1</v>
      </c>
    </row>
    <row r="1334" spans="1:33" x14ac:dyDescent="0.25">
      <c r="A1334" s="12" t="s">
        <v>31</v>
      </c>
      <c r="B1334" s="9">
        <v>46193</v>
      </c>
      <c r="C1334" s="10" t="s">
        <v>2087</v>
      </c>
      <c r="D1334" s="10" t="s">
        <v>2088</v>
      </c>
      <c r="E1334" s="10" t="s">
        <v>51</v>
      </c>
      <c r="F1334" s="10" t="s">
        <v>35</v>
      </c>
      <c r="G1334" s="10" t="s">
        <v>3146</v>
      </c>
      <c r="H1334" s="8" t="s">
        <v>36</v>
      </c>
      <c r="I1334" s="11">
        <v>62.11</v>
      </c>
      <c r="J1334" s="6">
        <v>56.95487</v>
      </c>
      <c r="K1334" s="6">
        <v>0.91700000000000004</v>
      </c>
      <c r="L1334" s="6">
        <v>59.05</v>
      </c>
      <c r="M1334" s="11">
        <v>54.148850000000003</v>
      </c>
      <c r="N1334" s="11">
        <f t="shared" si="80"/>
        <v>54.149000000000001</v>
      </c>
      <c r="O1334" s="6">
        <v>0.91700000000000015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3.06</v>
      </c>
      <c r="Z1334" s="6">
        <v>2.8060200000000002</v>
      </c>
      <c r="AA1334" s="6">
        <v>0.91700000000000004</v>
      </c>
      <c r="AB1334" s="6">
        <v>-3.0600000000000023</v>
      </c>
      <c r="AC1334" s="6">
        <v>3.0600000000000023</v>
      </c>
      <c r="AD1334" s="22" t="s">
        <v>3140</v>
      </c>
      <c r="AE1334" s="23">
        <f t="shared" si="81"/>
        <v>54.149000000000001</v>
      </c>
      <c r="AF1334" s="24">
        <f t="shared" si="82"/>
        <v>0</v>
      </c>
      <c r="AG1334" s="23">
        <f t="shared" si="83"/>
        <v>1</v>
      </c>
    </row>
    <row r="1335" spans="1:33" x14ac:dyDescent="0.25">
      <c r="A1335" s="12" t="s">
        <v>31</v>
      </c>
      <c r="B1335" s="9">
        <v>46193</v>
      </c>
      <c r="C1335" s="10" t="s">
        <v>2089</v>
      </c>
      <c r="D1335" s="10" t="s">
        <v>1972</v>
      </c>
      <c r="E1335" s="10" t="s">
        <v>51</v>
      </c>
      <c r="F1335" s="10" t="s">
        <v>35</v>
      </c>
      <c r="G1335" s="10" t="s">
        <v>3146</v>
      </c>
      <c r="H1335" s="8" t="s">
        <v>36</v>
      </c>
      <c r="I1335" s="11">
        <v>29.58</v>
      </c>
      <c r="J1335" s="6">
        <v>27.124860000000002</v>
      </c>
      <c r="K1335" s="6">
        <v>0.91700000000000015</v>
      </c>
      <c r="L1335" s="6">
        <v>29.56</v>
      </c>
      <c r="M1335" s="11">
        <v>27.10652</v>
      </c>
      <c r="N1335" s="11">
        <f t="shared" si="80"/>
        <v>27.107000000000003</v>
      </c>
      <c r="O1335" s="6">
        <v>0.91700000000000004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0.02</v>
      </c>
      <c r="Z1335" s="6">
        <v>1.8339999999999999E-2</v>
      </c>
      <c r="AA1335" s="6">
        <v>0.91699999999999993</v>
      </c>
      <c r="AB1335" s="6">
        <v>-1.9999999999999574E-2</v>
      </c>
      <c r="AC1335" s="6">
        <v>1.9999999999999574E-2</v>
      </c>
      <c r="AD1335" s="22" t="s">
        <v>3140</v>
      </c>
      <c r="AE1335" s="23">
        <f t="shared" si="81"/>
        <v>27.107000000000003</v>
      </c>
      <c r="AF1335" s="24">
        <f t="shared" si="82"/>
        <v>0</v>
      </c>
      <c r="AG1335" s="23">
        <f t="shared" si="83"/>
        <v>3</v>
      </c>
    </row>
    <row r="1336" spans="1:33" ht="12.5" hidden="1" customHeight="1" x14ac:dyDescent="0.25">
      <c r="A1336" s="12" t="s">
        <v>31</v>
      </c>
      <c r="B1336" s="9">
        <v>46193</v>
      </c>
      <c r="C1336" s="8" t="s">
        <v>2090</v>
      </c>
      <c r="D1336" s="8" t="s">
        <v>338</v>
      </c>
      <c r="E1336" s="8" t="s">
        <v>51</v>
      </c>
      <c r="F1336" s="8" t="s">
        <v>35</v>
      </c>
      <c r="G1336" s="10" t="s">
        <v>3145</v>
      </c>
      <c r="H1336" s="8" t="s">
        <v>48</v>
      </c>
      <c r="I1336" s="11">
        <v>10.8</v>
      </c>
      <c r="J1336" s="6">
        <v>8.1</v>
      </c>
      <c r="K1336" s="6">
        <v>0.74999999999999989</v>
      </c>
      <c r="L1336" s="6">
        <v>9.83</v>
      </c>
      <c r="M1336" s="11">
        <v>7.3724999999999996</v>
      </c>
      <c r="N1336" s="11">
        <f t="shared" si="80"/>
        <v>7.3730000000000002</v>
      </c>
      <c r="O1336" s="6">
        <v>0.75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0.97</v>
      </c>
      <c r="Z1336" s="6">
        <v>0.72750000000000004</v>
      </c>
      <c r="AA1336" s="6">
        <v>0.75000000000000011</v>
      </c>
      <c r="AB1336" s="6">
        <v>-0.97000000000000064</v>
      </c>
      <c r="AC1336" s="6">
        <v>0.97000000000000064</v>
      </c>
      <c r="AD1336" s="23" t="s">
        <v>3143</v>
      </c>
      <c r="AE1336" s="23">
        <f t="shared" si="81"/>
        <v>0</v>
      </c>
      <c r="AF1336" s="24">
        <f t="shared" si="82"/>
        <v>7.3730000000000002</v>
      </c>
      <c r="AG1336" s="23">
        <f t="shared" si="83"/>
        <v>67</v>
      </c>
    </row>
    <row r="1337" spans="1:33" ht="12.5" hidden="1" customHeight="1" x14ac:dyDescent="0.25">
      <c r="A1337" s="12" t="s">
        <v>31</v>
      </c>
      <c r="B1337" s="9">
        <v>46193</v>
      </c>
      <c r="C1337" s="12" t="s">
        <v>2090</v>
      </c>
      <c r="D1337" s="12" t="s">
        <v>338</v>
      </c>
      <c r="E1337" s="12" t="s">
        <v>51</v>
      </c>
      <c r="F1337" s="12" t="s">
        <v>35</v>
      </c>
      <c r="G1337" s="10" t="s">
        <v>3145</v>
      </c>
      <c r="H1337" s="8" t="s">
        <v>41</v>
      </c>
      <c r="I1337" s="11">
        <v>4.82</v>
      </c>
      <c r="J1337" s="6">
        <v>3.6150000000000002</v>
      </c>
      <c r="K1337" s="6">
        <v>0.75</v>
      </c>
      <c r="L1337" s="6">
        <v>4.4800000000000004</v>
      </c>
      <c r="M1337" s="11">
        <v>3.36</v>
      </c>
      <c r="N1337" s="11">
        <f t="shared" si="80"/>
        <v>3.36</v>
      </c>
      <c r="O1337" s="6">
        <v>0.74999999999999989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0.34</v>
      </c>
      <c r="Z1337" s="6">
        <v>0.255</v>
      </c>
      <c r="AA1337" s="6">
        <v>0.75</v>
      </c>
      <c r="AB1337" s="6">
        <v>-0.33999999999999986</v>
      </c>
      <c r="AC1337" s="6">
        <v>0.33999999999999986</v>
      </c>
      <c r="AD1337" s="23" t="s">
        <v>3143</v>
      </c>
      <c r="AE1337" s="23">
        <f t="shared" si="81"/>
        <v>0</v>
      </c>
      <c r="AF1337" s="24">
        <f t="shared" si="82"/>
        <v>3.36</v>
      </c>
      <c r="AG1337" s="23">
        <f t="shared" si="83"/>
        <v>67</v>
      </c>
    </row>
    <row r="1338" spans="1:33" ht="12.5" customHeight="1" x14ac:dyDescent="0.25">
      <c r="A1338" s="12" t="s">
        <v>31</v>
      </c>
      <c r="B1338" s="9">
        <v>46193</v>
      </c>
      <c r="C1338" s="13" t="s">
        <v>2090</v>
      </c>
      <c r="D1338" s="13" t="s">
        <v>338</v>
      </c>
      <c r="E1338" s="13" t="s">
        <v>51</v>
      </c>
      <c r="F1338" s="13" t="s">
        <v>35</v>
      </c>
      <c r="G1338" s="10" t="s">
        <v>3146</v>
      </c>
      <c r="H1338" s="8" t="s">
        <v>36</v>
      </c>
      <c r="I1338" s="11">
        <v>19.190000000000001</v>
      </c>
      <c r="J1338" s="6">
        <v>17.59723</v>
      </c>
      <c r="K1338" s="6">
        <v>0.91699999999999993</v>
      </c>
      <c r="L1338" s="6">
        <v>18.41</v>
      </c>
      <c r="M1338" s="11">
        <v>16.881969999999999</v>
      </c>
      <c r="N1338" s="11">
        <f t="shared" si="80"/>
        <v>16.882000000000001</v>
      </c>
      <c r="O1338" s="6">
        <v>0.91699999999999993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0.78</v>
      </c>
      <c r="Z1338" s="6">
        <v>0.71526000000000001</v>
      </c>
      <c r="AA1338" s="6">
        <v>0.91699999999999993</v>
      </c>
      <c r="AB1338" s="6">
        <v>-0.78000000000000114</v>
      </c>
      <c r="AC1338" s="6">
        <v>0.78000000000000114</v>
      </c>
      <c r="AD1338" s="23" t="s">
        <v>3143</v>
      </c>
      <c r="AE1338" s="23">
        <f t="shared" si="81"/>
        <v>0</v>
      </c>
      <c r="AF1338" s="24">
        <f t="shared" si="82"/>
        <v>16.882000000000001</v>
      </c>
      <c r="AG1338" s="23">
        <f t="shared" si="83"/>
        <v>67</v>
      </c>
    </row>
    <row r="1339" spans="1:33" x14ac:dyDescent="0.25">
      <c r="A1339" s="12" t="s">
        <v>31</v>
      </c>
      <c r="B1339" s="9">
        <v>46193</v>
      </c>
      <c r="C1339" s="10" t="s">
        <v>2091</v>
      </c>
      <c r="D1339" s="10" t="s">
        <v>338</v>
      </c>
      <c r="E1339" s="10" t="s">
        <v>51</v>
      </c>
      <c r="F1339" s="10" t="s">
        <v>35</v>
      </c>
      <c r="G1339" s="10" t="s">
        <v>3146</v>
      </c>
      <c r="H1339" s="8" t="s">
        <v>36</v>
      </c>
      <c r="I1339" s="11">
        <v>2.5099999999999998</v>
      </c>
      <c r="J1339" s="6">
        <v>2.3016700000000001</v>
      </c>
      <c r="K1339" s="6">
        <v>0.91700000000000015</v>
      </c>
      <c r="L1339" s="6">
        <v>2.2999999999999998</v>
      </c>
      <c r="M1339" s="11">
        <v>2.1091000000000002</v>
      </c>
      <c r="N1339" s="11">
        <f t="shared" si="80"/>
        <v>2.11</v>
      </c>
      <c r="O1339" s="6">
        <v>0.91700000000000015</v>
      </c>
      <c r="P1339" s="6">
        <v>0.21</v>
      </c>
      <c r="Q1339" s="6">
        <v>0.19256999999999999</v>
      </c>
      <c r="R1339" s="6">
        <v>0.91700000000000004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-0.41999999999999993</v>
      </c>
      <c r="AC1339" s="6">
        <v>-2.7755575615628914E-17</v>
      </c>
      <c r="AD1339" s="23" t="s">
        <v>3143</v>
      </c>
      <c r="AE1339" s="23">
        <f t="shared" si="81"/>
        <v>0</v>
      </c>
      <c r="AF1339" s="24">
        <f t="shared" si="82"/>
        <v>2.11</v>
      </c>
      <c r="AG1339" s="23">
        <f t="shared" si="83"/>
        <v>67</v>
      </c>
    </row>
    <row r="1340" spans="1:33" ht="12.5" customHeight="1" x14ac:dyDescent="0.25">
      <c r="A1340" s="12" t="s">
        <v>31</v>
      </c>
      <c r="B1340" s="9">
        <v>46195</v>
      </c>
      <c r="C1340" s="10" t="s">
        <v>2092</v>
      </c>
      <c r="D1340" s="10" t="s">
        <v>2093</v>
      </c>
      <c r="E1340" s="10" t="s">
        <v>34</v>
      </c>
      <c r="F1340" s="10" t="s">
        <v>35</v>
      </c>
      <c r="G1340" s="10" t="s">
        <v>3146</v>
      </c>
      <c r="H1340" s="8" t="s">
        <v>36</v>
      </c>
      <c r="I1340" s="11">
        <v>123.04</v>
      </c>
      <c r="J1340" s="6">
        <v>112.82768</v>
      </c>
      <c r="K1340" s="6">
        <v>0.91699999999999993</v>
      </c>
      <c r="L1340" s="6">
        <v>116.16</v>
      </c>
      <c r="M1340" s="11">
        <v>106.51872</v>
      </c>
      <c r="N1340" s="11">
        <f t="shared" si="80"/>
        <v>106.51900000000001</v>
      </c>
      <c r="O1340" s="6">
        <v>0.91700000000000004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6.88</v>
      </c>
      <c r="Z1340" s="6">
        <v>6.3089599999999999</v>
      </c>
      <c r="AA1340" s="6">
        <v>0.91700000000000004</v>
      </c>
      <c r="AB1340" s="6">
        <v>-6.8800000000000097</v>
      </c>
      <c r="AC1340" s="6">
        <v>6.8800000000000097</v>
      </c>
      <c r="AD1340" s="23" t="s">
        <v>3143</v>
      </c>
      <c r="AE1340" s="23">
        <f t="shared" si="81"/>
        <v>106.28100000000001</v>
      </c>
      <c r="AF1340" s="24">
        <f t="shared" si="82"/>
        <v>0.23799999999999955</v>
      </c>
      <c r="AG1340" s="23">
        <f t="shared" si="83"/>
        <v>3</v>
      </c>
    </row>
    <row r="1341" spans="1:33" ht="12.5" customHeight="1" x14ac:dyDescent="0.25">
      <c r="A1341" s="12" t="s">
        <v>31</v>
      </c>
      <c r="B1341" s="9">
        <v>46195</v>
      </c>
      <c r="C1341" s="10" t="s">
        <v>2094</v>
      </c>
      <c r="D1341" s="10" t="s">
        <v>2095</v>
      </c>
      <c r="E1341" s="10" t="s">
        <v>34</v>
      </c>
      <c r="F1341" s="10" t="s">
        <v>35</v>
      </c>
      <c r="G1341" s="10" t="s">
        <v>3146</v>
      </c>
      <c r="H1341" s="8" t="s">
        <v>36</v>
      </c>
      <c r="I1341" s="11">
        <v>171.43</v>
      </c>
      <c r="J1341" s="6">
        <v>157.20131000000001</v>
      </c>
      <c r="K1341" s="6">
        <v>0.91700000000000004</v>
      </c>
      <c r="L1341" s="6">
        <v>162.4</v>
      </c>
      <c r="M1341" s="11">
        <v>148.92080000000001</v>
      </c>
      <c r="N1341" s="11">
        <f t="shared" si="80"/>
        <v>148.92099999999999</v>
      </c>
      <c r="O1341" s="6">
        <v>0.91700000000000004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9.0299999999999994</v>
      </c>
      <c r="Z1341" s="6">
        <v>8.2805099999999996</v>
      </c>
      <c r="AA1341" s="6">
        <v>0.91700000000000004</v>
      </c>
      <c r="AB1341" s="6">
        <v>-9.0300000000000011</v>
      </c>
      <c r="AC1341" s="6">
        <v>9.0300000000000011</v>
      </c>
      <c r="AD1341" s="22" t="s">
        <v>3140</v>
      </c>
      <c r="AE1341" s="23">
        <f t="shared" si="81"/>
        <v>148.92099999999999</v>
      </c>
      <c r="AF1341" s="24">
        <f t="shared" si="82"/>
        <v>0</v>
      </c>
      <c r="AG1341" s="23">
        <f t="shared" si="83"/>
        <v>1</v>
      </c>
    </row>
    <row r="1342" spans="1:33" ht="12.5" customHeight="1" x14ac:dyDescent="0.25">
      <c r="A1342" s="12" t="s">
        <v>31</v>
      </c>
      <c r="B1342" s="9">
        <v>46195</v>
      </c>
      <c r="C1342" s="10" t="s">
        <v>2096</v>
      </c>
      <c r="D1342" s="10" t="s">
        <v>2093</v>
      </c>
      <c r="E1342" s="10" t="s">
        <v>34</v>
      </c>
      <c r="F1342" s="10" t="s">
        <v>133</v>
      </c>
      <c r="G1342" s="10" t="s">
        <v>3146</v>
      </c>
      <c r="H1342" s="8" t="s">
        <v>36</v>
      </c>
      <c r="I1342" s="11">
        <v>115.9</v>
      </c>
      <c r="J1342" s="6">
        <v>106.2803</v>
      </c>
      <c r="K1342" s="6">
        <v>0.91699999999999993</v>
      </c>
      <c r="L1342" s="6">
        <v>115.9</v>
      </c>
      <c r="M1342" s="11">
        <v>106.2803</v>
      </c>
      <c r="N1342" s="11">
        <f t="shared" si="80"/>
        <v>106.28100000000001</v>
      </c>
      <c r="O1342" s="6">
        <v>0.91699999999999993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23" t="s">
        <v>3142</v>
      </c>
      <c r="AE1342" s="23">
        <f t="shared" si="81"/>
        <v>106.28100000000001</v>
      </c>
      <c r="AF1342" s="24">
        <f t="shared" si="82"/>
        <v>0</v>
      </c>
      <c r="AG1342" s="23">
        <f t="shared" si="83"/>
        <v>3</v>
      </c>
    </row>
    <row r="1343" spans="1:33" ht="12.5" customHeight="1" x14ac:dyDescent="0.25">
      <c r="A1343" s="12" t="s">
        <v>31</v>
      </c>
      <c r="B1343" s="9">
        <v>46195</v>
      </c>
      <c r="C1343" s="10" t="s">
        <v>2097</v>
      </c>
      <c r="D1343" s="10" t="s">
        <v>2093</v>
      </c>
      <c r="E1343" s="10" t="s">
        <v>34</v>
      </c>
      <c r="F1343" s="10" t="s">
        <v>35</v>
      </c>
      <c r="G1343" s="10" t="s">
        <v>3146</v>
      </c>
      <c r="H1343" s="8" t="s">
        <v>36</v>
      </c>
      <c r="I1343" s="11">
        <v>115.92</v>
      </c>
      <c r="J1343" s="6">
        <v>106.29864000000001</v>
      </c>
      <c r="K1343" s="6">
        <v>0.91700000000000004</v>
      </c>
      <c r="L1343" s="6">
        <v>115.92</v>
      </c>
      <c r="M1343" s="11">
        <v>106.29864000000001</v>
      </c>
      <c r="N1343" s="11">
        <f t="shared" si="80"/>
        <v>106.29900000000001</v>
      </c>
      <c r="O1343" s="6">
        <v>0.91700000000000004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23" t="s">
        <v>3143</v>
      </c>
      <c r="AE1343" s="23">
        <f t="shared" si="81"/>
        <v>106.28100000000001</v>
      </c>
      <c r="AF1343" s="24">
        <f t="shared" si="82"/>
        <v>1.8000000000000682E-2</v>
      </c>
      <c r="AG1343" s="23">
        <f t="shared" si="83"/>
        <v>3</v>
      </c>
    </row>
    <row r="1344" spans="1:33" ht="12.5" customHeight="1" x14ac:dyDescent="0.25">
      <c r="A1344" s="12" t="s">
        <v>31</v>
      </c>
      <c r="B1344" s="9">
        <v>46195</v>
      </c>
      <c r="C1344" s="10" t="s">
        <v>2098</v>
      </c>
      <c r="D1344" s="10" t="s">
        <v>2099</v>
      </c>
      <c r="E1344" s="10" t="s">
        <v>34</v>
      </c>
      <c r="F1344" s="10" t="s">
        <v>35</v>
      </c>
      <c r="G1344" s="10" t="s">
        <v>3146</v>
      </c>
      <c r="H1344" s="8" t="s">
        <v>36</v>
      </c>
      <c r="I1344" s="11">
        <v>141.35</v>
      </c>
      <c r="J1344" s="6">
        <v>129.61795000000001</v>
      </c>
      <c r="K1344" s="6">
        <v>0.91700000000000004</v>
      </c>
      <c r="L1344" s="6">
        <v>128.93</v>
      </c>
      <c r="M1344" s="11">
        <v>118.22881</v>
      </c>
      <c r="N1344" s="11">
        <f t="shared" si="80"/>
        <v>118.229</v>
      </c>
      <c r="O1344" s="6">
        <v>0.91699999999999993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12.42</v>
      </c>
      <c r="Z1344" s="6">
        <v>11.389139999999999</v>
      </c>
      <c r="AA1344" s="6">
        <v>0.91699999999999993</v>
      </c>
      <c r="AB1344" s="6">
        <v>-12.419999999999987</v>
      </c>
      <c r="AC1344" s="6">
        <v>12.419999999999987</v>
      </c>
      <c r="AD1344" s="22" t="s">
        <v>3140</v>
      </c>
      <c r="AE1344" s="23">
        <f t="shared" si="81"/>
        <v>118.229</v>
      </c>
      <c r="AF1344" s="24">
        <f t="shared" si="82"/>
        <v>0</v>
      </c>
      <c r="AG1344" s="23">
        <f t="shared" si="83"/>
        <v>1</v>
      </c>
    </row>
    <row r="1345" spans="1:33" ht="12.5" customHeight="1" x14ac:dyDescent="0.25">
      <c r="A1345" s="12" t="s">
        <v>31</v>
      </c>
      <c r="B1345" s="9">
        <v>46195</v>
      </c>
      <c r="C1345" s="10" t="s">
        <v>2100</v>
      </c>
      <c r="D1345" s="10" t="s">
        <v>2101</v>
      </c>
      <c r="E1345" s="10" t="s">
        <v>34</v>
      </c>
      <c r="F1345" s="10" t="s">
        <v>35</v>
      </c>
      <c r="G1345" s="10" t="s">
        <v>3146</v>
      </c>
      <c r="H1345" s="8" t="s">
        <v>36</v>
      </c>
      <c r="I1345" s="11">
        <v>236.96</v>
      </c>
      <c r="J1345" s="6">
        <v>217.29231999999999</v>
      </c>
      <c r="K1345" s="6">
        <v>0.91699999999999993</v>
      </c>
      <c r="L1345" s="6">
        <v>226.71</v>
      </c>
      <c r="M1345" s="11">
        <v>207.89306999999999</v>
      </c>
      <c r="N1345" s="11">
        <f t="shared" si="80"/>
        <v>207.89400000000001</v>
      </c>
      <c r="O1345" s="6">
        <v>0.91699999999999993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10.25</v>
      </c>
      <c r="Z1345" s="6">
        <v>9.3992500000000003</v>
      </c>
      <c r="AA1345" s="6">
        <v>0.91700000000000004</v>
      </c>
      <c r="AB1345" s="6">
        <v>-10.25</v>
      </c>
      <c r="AC1345" s="6">
        <v>10.25</v>
      </c>
      <c r="AD1345" s="22" t="s">
        <v>3140</v>
      </c>
      <c r="AE1345" s="23">
        <f t="shared" si="81"/>
        <v>207.89400000000001</v>
      </c>
      <c r="AF1345" s="24">
        <f t="shared" si="82"/>
        <v>0</v>
      </c>
      <c r="AG1345" s="23">
        <f t="shared" si="83"/>
        <v>1</v>
      </c>
    </row>
    <row r="1346" spans="1:33" ht="12.5" hidden="1" customHeight="1" x14ac:dyDescent="0.25">
      <c r="A1346" s="12" t="s">
        <v>31</v>
      </c>
      <c r="B1346" s="9">
        <v>46195</v>
      </c>
      <c r="C1346" s="10" t="s">
        <v>2102</v>
      </c>
      <c r="D1346" s="10" t="s">
        <v>2103</v>
      </c>
      <c r="E1346" s="10" t="s">
        <v>34</v>
      </c>
      <c r="F1346" s="10" t="s">
        <v>35</v>
      </c>
      <c r="G1346" s="10" t="s">
        <v>3145</v>
      </c>
      <c r="H1346" s="8" t="s">
        <v>48</v>
      </c>
      <c r="I1346" s="11">
        <v>52.95</v>
      </c>
      <c r="J1346" s="6">
        <v>39.712499999999999</v>
      </c>
      <c r="K1346" s="6">
        <v>0.74999999999999989</v>
      </c>
      <c r="L1346" s="6">
        <v>47.45</v>
      </c>
      <c r="M1346" s="11">
        <v>35.587499999999999</v>
      </c>
      <c r="N1346" s="11">
        <f t="shared" si="80"/>
        <v>35.588000000000001</v>
      </c>
      <c r="O1346" s="6">
        <v>0.74999999999999989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5.5</v>
      </c>
      <c r="Z1346" s="6">
        <v>4.125</v>
      </c>
      <c r="AA1346" s="6">
        <v>0.75</v>
      </c>
      <c r="AB1346" s="6">
        <v>-5.5</v>
      </c>
      <c r="AC1346" s="6">
        <v>5.5</v>
      </c>
      <c r="AD1346" s="22" t="s">
        <v>3140</v>
      </c>
      <c r="AE1346" s="23">
        <f t="shared" si="81"/>
        <v>35.588000000000001</v>
      </c>
      <c r="AF1346" s="24">
        <f t="shared" si="82"/>
        <v>0</v>
      </c>
      <c r="AG1346" s="23">
        <f t="shared" si="83"/>
        <v>1</v>
      </c>
    </row>
    <row r="1347" spans="1:33" ht="12.5" customHeight="1" x14ac:dyDescent="0.25">
      <c r="A1347" s="12" t="s">
        <v>31</v>
      </c>
      <c r="B1347" s="9">
        <v>46195</v>
      </c>
      <c r="C1347" s="10" t="s">
        <v>2104</v>
      </c>
      <c r="D1347" s="10" t="s">
        <v>2105</v>
      </c>
      <c r="E1347" s="10" t="s">
        <v>34</v>
      </c>
      <c r="F1347" s="10" t="s">
        <v>35</v>
      </c>
      <c r="G1347" s="10" t="s">
        <v>3146</v>
      </c>
      <c r="H1347" s="8" t="s">
        <v>36</v>
      </c>
      <c r="I1347" s="11">
        <v>44.18</v>
      </c>
      <c r="J1347" s="6">
        <v>40.513060000000003</v>
      </c>
      <c r="K1347" s="6">
        <v>0.91700000000000004</v>
      </c>
      <c r="L1347" s="6">
        <v>40.22</v>
      </c>
      <c r="M1347" s="11">
        <v>36.881740000000001</v>
      </c>
      <c r="N1347" s="11">
        <f t="shared" ref="N1347:N1410" si="84">ROUNDUP(M1347,3)</f>
        <v>36.881999999999998</v>
      </c>
      <c r="O1347" s="6">
        <v>0.91700000000000004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3.96</v>
      </c>
      <c r="Z1347" s="6">
        <v>3.6313200000000001</v>
      </c>
      <c r="AA1347" s="6">
        <v>0.91700000000000004</v>
      </c>
      <c r="AB1347" s="6">
        <v>-3.9600000000000009</v>
      </c>
      <c r="AC1347" s="6">
        <v>3.9600000000000009</v>
      </c>
      <c r="AD1347" s="22" t="s">
        <v>3140</v>
      </c>
      <c r="AE1347" s="23">
        <f t="shared" ref="AE1347:AE1410" si="85">_xlfn.MINIFS(N:N,D:D,D1347)</f>
        <v>36.881999999999998</v>
      </c>
      <c r="AF1347" s="24">
        <f t="shared" ref="AF1347:AF1410" si="86">N1347-AE1347</f>
        <v>0</v>
      </c>
      <c r="AG1347" s="23">
        <f t="shared" ref="AG1347:AG1410" si="87">COUNTIF(D:D,D1347)</f>
        <v>1</v>
      </c>
    </row>
    <row r="1348" spans="1:33" ht="12.5" customHeight="1" x14ac:dyDescent="0.25">
      <c r="A1348" s="12" t="s">
        <v>31</v>
      </c>
      <c r="B1348" s="9">
        <v>46195</v>
      </c>
      <c r="C1348" s="10" t="s">
        <v>2106</v>
      </c>
      <c r="D1348" s="10" t="s">
        <v>2107</v>
      </c>
      <c r="E1348" s="10" t="s">
        <v>34</v>
      </c>
      <c r="F1348" s="10" t="s">
        <v>35</v>
      </c>
      <c r="G1348" s="10" t="s">
        <v>3146</v>
      </c>
      <c r="H1348" s="8" t="s">
        <v>36</v>
      </c>
      <c r="I1348" s="11">
        <v>51.4</v>
      </c>
      <c r="J1348" s="6">
        <v>47.133800000000001</v>
      </c>
      <c r="K1348" s="6">
        <v>0.91700000000000004</v>
      </c>
      <c r="L1348" s="6">
        <v>46.75</v>
      </c>
      <c r="M1348" s="11">
        <v>42.869750000000003</v>
      </c>
      <c r="N1348" s="11">
        <f t="shared" si="84"/>
        <v>42.87</v>
      </c>
      <c r="O1348" s="6">
        <v>0.91700000000000004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4.6500000000000004</v>
      </c>
      <c r="Z1348" s="6">
        <v>4.2640500000000001</v>
      </c>
      <c r="AA1348" s="6">
        <v>0.91699999999999993</v>
      </c>
      <c r="AB1348" s="6">
        <v>-4.6499999999999986</v>
      </c>
      <c r="AC1348" s="6">
        <v>4.6499999999999986</v>
      </c>
      <c r="AD1348" s="22" t="s">
        <v>3140</v>
      </c>
      <c r="AE1348" s="23">
        <f t="shared" si="85"/>
        <v>42.87</v>
      </c>
      <c r="AF1348" s="24">
        <f t="shared" si="86"/>
        <v>0</v>
      </c>
      <c r="AG1348" s="23">
        <f t="shared" si="87"/>
        <v>1</v>
      </c>
    </row>
    <row r="1349" spans="1:33" ht="12.5" customHeight="1" x14ac:dyDescent="0.25">
      <c r="A1349" s="12" t="s">
        <v>31</v>
      </c>
      <c r="B1349" s="9">
        <v>46195</v>
      </c>
      <c r="C1349" s="10" t="s">
        <v>2108</v>
      </c>
      <c r="D1349" s="10" t="s">
        <v>2109</v>
      </c>
      <c r="E1349" s="10" t="s">
        <v>51</v>
      </c>
      <c r="F1349" s="10" t="s">
        <v>35</v>
      </c>
      <c r="G1349" s="10" t="s">
        <v>3146</v>
      </c>
      <c r="H1349" s="8" t="s">
        <v>36</v>
      </c>
      <c r="I1349" s="11">
        <v>89.76</v>
      </c>
      <c r="J1349" s="6">
        <v>82.309920000000005</v>
      </c>
      <c r="K1349" s="6">
        <v>0.91700000000000004</v>
      </c>
      <c r="L1349" s="6">
        <v>82.77</v>
      </c>
      <c r="M1349" s="11">
        <v>75.900090000000006</v>
      </c>
      <c r="N1349" s="11">
        <f t="shared" si="84"/>
        <v>75.90100000000001</v>
      </c>
      <c r="O1349" s="6">
        <v>0.91700000000000015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6.99</v>
      </c>
      <c r="Z1349" s="6">
        <v>6.4098300000000004</v>
      </c>
      <c r="AA1349" s="6">
        <v>0.91700000000000004</v>
      </c>
      <c r="AB1349" s="6">
        <v>-6.9900000000000091</v>
      </c>
      <c r="AC1349" s="6">
        <v>6.9900000000000091</v>
      </c>
      <c r="AD1349" s="22" t="s">
        <v>3140</v>
      </c>
      <c r="AE1349" s="23">
        <f t="shared" si="85"/>
        <v>75.90100000000001</v>
      </c>
      <c r="AF1349" s="24">
        <f t="shared" si="86"/>
        <v>0</v>
      </c>
      <c r="AG1349" s="23">
        <f t="shared" si="87"/>
        <v>1</v>
      </c>
    </row>
    <row r="1350" spans="1:33" ht="12.5" hidden="1" customHeight="1" x14ac:dyDescent="0.25">
      <c r="A1350" s="12" t="s">
        <v>31</v>
      </c>
      <c r="B1350" s="9">
        <v>46195</v>
      </c>
      <c r="C1350" s="10" t="s">
        <v>2110</v>
      </c>
      <c r="D1350" s="10" t="s">
        <v>2111</v>
      </c>
      <c r="E1350" s="10" t="s">
        <v>34</v>
      </c>
      <c r="F1350" s="10" t="s">
        <v>35</v>
      </c>
      <c r="G1350" s="10" t="s">
        <v>3145</v>
      </c>
      <c r="H1350" s="8" t="s">
        <v>48</v>
      </c>
      <c r="I1350" s="11">
        <v>72.069999999999993</v>
      </c>
      <c r="J1350" s="6">
        <v>54.052500000000002</v>
      </c>
      <c r="K1350" s="6">
        <v>0.75000000000000011</v>
      </c>
      <c r="L1350" s="6">
        <v>67.900000000000006</v>
      </c>
      <c r="M1350" s="11">
        <v>50.924999999999997</v>
      </c>
      <c r="N1350" s="11">
        <f t="shared" si="84"/>
        <v>50.924999999999997</v>
      </c>
      <c r="O1350" s="6">
        <v>0.74999999999999989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4.17</v>
      </c>
      <c r="Z1350" s="6">
        <v>3.1274999999999999</v>
      </c>
      <c r="AA1350" s="6">
        <v>0.75</v>
      </c>
      <c r="AB1350" s="6">
        <v>-4.1699999999999875</v>
      </c>
      <c r="AC1350" s="6">
        <v>4.1699999999999875</v>
      </c>
      <c r="AD1350" s="22" t="s">
        <v>3140</v>
      </c>
      <c r="AE1350" s="23">
        <f t="shared" si="85"/>
        <v>50.924999999999997</v>
      </c>
      <c r="AF1350" s="24">
        <f t="shared" si="86"/>
        <v>0</v>
      </c>
      <c r="AG1350" s="23">
        <f t="shared" si="87"/>
        <v>1</v>
      </c>
    </row>
    <row r="1351" spans="1:33" ht="12.5" customHeight="1" x14ac:dyDescent="0.25">
      <c r="A1351" s="12" t="s">
        <v>31</v>
      </c>
      <c r="B1351" s="9">
        <v>46195</v>
      </c>
      <c r="C1351" s="10" t="s">
        <v>2112</v>
      </c>
      <c r="D1351" s="10" t="s">
        <v>2113</v>
      </c>
      <c r="E1351" s="10" t="s">
        <v>34</v>
      </c>
      <c r="F1351" s="10" t="s">
        <v>35</v>
      </c>
      <c r="G1351" s="10" t="s">
        <v>3146</v>
      </c>
      <c r="H1351" s="8" t="s">
        <v>36</v>
      </c>
      <c r="I1351" s="11">
        <v>241.99</v>
      </c>
      <c r="J1351" s="6">
        <v>221.90483</v>
      </c>
      <c r="K1351" s="6">
        <v>0.91700000000000004</v>
      </c>
      <c r="L1351" s="6">
        <v>228.75</v>
      </c>
      <c r="M1351" s="11">
        <v>209.76374999999999</v>
      </c>
      <c r="N1351" s="11">
        <f t="shared" si="84"/>
        <v>209.76400000000001</v>
      </c>
      <c r="O1351" s="6">
        <v>0.91699999999999993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13.24</v>
      </c>
      <c r="Z1351" s="6">
        <v>12.141080000000001</v>
      </c>
      <c r="AA1351" s="6">
        <v>0.91700000000000004</v>
      </c>
      <c r="AB1351" s="6">
        <v>-13.240000000000009</v>
      </c>
      <c r="AC1351" s="6">
        <v>13.240000000000009</v>
      </c>
      <c r="AD1351" s="22" t="s">
        <v>3140</v>
      </c>
      <c r="AE1351" s="23">
        <f t="shared" si="85"/>
        <v>209.76400000000001</v>
      </c>
      <c r="AF1351" s="24">
        <f t="shared" si="86"/>
        <v>0</v>
      </c>
      <c r="AG1351" s="23">
        <f t="shared" si="87"/>
        <v>1</v>
      </c>
    </row>
    <row r="1352" spans="1:33" ht="20" hidden="1" customHeight="1" x14ac:dyDescent="0.25">
      <c r="A1352" s="12" t="s">
        <v>31</v>
      </c>
      <c r="B1352" s="9">
        <v>46195</v>
      </c>
      <c r="C1352" s="10" t="s">
        <v>2114</v>
      </c>
      <c r="D1352" s="10" t="s">
        <v>2115</v>
      </c>
      <c r="E1352" s="10" t="s">
        <v>51</v>
      </c>
      <c r="F1352" s="10" t="s">
        <v>35</v>
      </c>
      <c r="G1352" s="10" t="s">
        <v>3145</v>
      </c>
      <c r="H1352" s="8" t="s">
        <v>48</v>
      </c>
      <c r="I1352" s="11">
        <v>27.39</v>
      </c>
      <c r="J1352" s="6">
        <v>20.5425</v>
      </c>
      <c r="K1352" s="6">
        <v>0.75</v>
      </c>
      <c r="L1352" s="6">
        <v>25.41</v>
      </c>
      <c r="M1352" s="11">
        <v>19.057500000000001</v>
      </c>
      <c r="N1352" s="11">
        <f t="shared" si="84"/>
        <v>19.058</v>
      </c>
      <c r="O1352" s="6">
        <v>0.75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1.98</v>
      </c>
      <c r="Z1352" s="6">
        <v>1.4850000000000001</v>
      </c>
      <c r="AA1352" s="6">
        <v>0.75000000000000011</v>
      </c>
      <c r="AB1352" s="6">
        <v>-1.9800000000000004</v>
      </c>
      <c r="AC1352" s="6">
        <v>1.9800000000000004</v>
      </c>
      <c r="AD1352" s="22" t="s">
        <v>3140</v>
      </c>
      <c r="AE1352" s="23">
        <f t="shared" si="85"/>
        <v>19.058</v>
      </c>
      <c r="AF1352" s="24">
        <f t="shared" si="86"/>
        <v>0</v>
      </c>
      <c r="AG1352" s="23">
        <f t="shared" si="87"/>
        <v>1</v>
      </c>
    </row>
    <row r="1353" spans="1:33" x14ac:dyDescent="0.25">
      <c r="A1353" s="12" t="s">
        <v>31</v>
      </c>
      <c r="B1353" s="9">
        <v>46195</v>
      </c>
      <c r="C1353" s="10" t="s">
        <v>2116</v>
      </c>
      <c r="D1353" s="10" t="s">
        <v>2117</v>
      </c>
      <c r="E1353" s="10" t="s">
        <v>51</v>
      </c>
      <c r="F1353" s="10" t="s">
        <v>35</v>
      </c>
      <c r="G1353" s="10" t="s">
        <v>3146</v>
      </c>
      <c r="H1353" s="8" t="s">
        <v>36</v>
      </c>
      <c r="I1353" s="11">
        <v>56.68</v>
      </c>
      <c r="J1353" s="6">
        <v>51.975560000000002</v>
      </c>
      <c r="K1353" s="6">
        <v>0.91700000000000004</v>
      </c>
      <c r="L1353" s="6">
        <v>53.09</v>
      </c>
      <c r="M1353" s="11">
        <v>48.683529999999998</v>
      </c>
      <c r="N1353" s="11">
        <f t="shared" si="84"/>
        <v>48.683999999999997</v>
      </c>
      <c r="O1353" s="6">
        <v>0.91699999999999993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3.59</v>
      </c>
      <c r="Z1353" s="6">
        <v>3.29203</v>
      </c>
      <c r="AA1353" s="6">
        <v>0.91700000000000004</v>
      </c>
      <c r="AB1353" s="6">
        <v>-3.5899999999999963</v>
      </c>
      <c r="AC1353" s="6">
        <v>3.5899999999999963</v>
      </c>
      <c r="AD1353" s="22" t="s">
        <v>3140</v>
      </c>
      <c r="AE1353" s="23">
        <f t="shared" si="85"/>
        <v>48.683999999999997</v>
      </c>
      <c r="AF1353" s="24">
        <f t="shared" si="86"/>
        <v>0</v>
      </c>
      <c r="AG1353" s="23">
        <f t="shared" si="87"/>
        <v>1</v>
      </c>
    </row>
    <row r="1354" spans="1:33" hidden="1" x14ac:dyDescent="0.25">
      <c r="A1354" s="12" t="s">
        <v>31</v>
      </c>
      <c r="B1354" s="9">
        <v>46195</v>
      </c>
      <c r="C1354" s="10" t="s">
        <v>2118</v>
      </c>
      <c r="D1354" s="10" t="s">
        <v>2119</v>
      </c>
      <c r="E1354" s="10" t="s">
        <v>51</v>
      </c>
      <c r="F1354" s="10" t="s">
        <v>35</v>
      </c>
      <c r="G1354" s="10" t="s">
        <v>3145</v>
      </c>
      <c r="H1354" s="8" t="s">
        <v>41</v>
      </c>
      <c r="I1354" s="11">
        <v>21.99</v>
      </c>
      <c r="J1354" s="6">
        <v>16.4925</v>
      </c>
      <c r="K1354" s="6">
        <v>0.75</v>
      </c>
      <c r="L1354" s="6">
        <v>20.76</v>
      </c>
      <c r="M1354" s="11">
        <v>15.57</v>
      </c>
      <c r="N1354" s="11">
        <f t="shared" si="84"/>
        <v>15.57</v>
      </c>
      <c r="O1354" s="6">
        <v>0.75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1.23</v>
      </c>
      <c r="Z1354" s="6">
        <v>0.92249999999999999</v>
      </c>
      <c r="AA1354" s="6">
        <v>0.75</v>
      </c>
      <c r="AB1354" s="6">
        <v>-1.2299999999999969</v>
      </c>
      <c r="AC1354" s="6">
        <v>1.2299999999999969</v>
      </c>
      <c r="AD1354" s="22" t="s">
        <v>3140</v>
      </c>
      <c r="AE1354" s="23">
        <f t="shared" si="85"/>
        <v>15.57</v>
      </c>
      <c r="AF1354" s="24">
        <f t="shared" si="86"/>
        <v>0</v>
      </c>
      <c r="AG1354" s="23">
        <f t="shared" si="87"/>
        <v>1</v>
      </c>
    </row>
    <row r="1355" spans="1:33" hidden="1" x14ac:dyDescent="0.25">
      <c r="A1355" s="12" t="s">
        <v>31</v>
      </c>
      <c r="B1355" s="9">
        <v>46195</v>
      </c>
      <c r="C1355" s="10" t="s">
        <v>2120</v>
      </c>
      <c r="D1355" s="10" t="s">
        <v>2022</v>
      </c>
      <c r="E1355" s="10" t="s">
        <v>51</v>
      </c>
      <c r="F1355" s="10" t="s">
        <v>35</v>
      </c>
      <c r="G1355" s="10" t="s">
        <v>3145</v>
      </c>
      <c r="H1355" s="8" t="s">
        <v>41</v>
      </c>
      <c r="I1355" s="11">
        <v>31.38</v>
      </c>
      <c r="J1355" s="6">
        <v>23.535</v>
      </c>
      <c r="K1355" s="6">
        <v>0.75</v>
      </c>
      <c r="L1355" s="6">
        <v>29.9</v>
      </c>
      <c r="M1355" s="11">
        <v>22.425000000000001</v>
      </c>
      <c r="N1355" s="11">
        <f t="shared" si="84"/>
        <v>22.425000000000001</v>
      </c>
      <c r="O1355" s="6">
        <v>0.75000000000000011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1.48</v>
      </c>
      <c r="Z1355" s="6">
        <v>1.1100000000000001</v>
      </c>
      <c r="AA1355" s="6">
        <v>0.75000000000000011</v>
      </c>
      <c r="AB1355" s="6">
        <v>-1.4800000000000004</v>
      </c>
      <c r="AC1355" s="6">
        <v>1.4800000000000004</v>
      </c>
      <c r="AD1355" s="22" t="s">
        <v>3140</v>
      </c>
      <c r="AE1355" s="23">
        <f t="shared" si="85"/>
        <v>22.425000000000001</v>
      </c>
      <c r="AF1355" s="24">
        <f t="shared" si="86"/>
        <v>0</v>
      </c>
      <c r="AG1355" s="23">
        <f t="shared" si="87"/>
        <v>2</v>
      </c>
    </row>
    <row r="1356" spans="1:33" ht="20" hidden="1" customHeight="1" x14ac:dyDescent="0.25">
      <c r="A1356" s="12" t="s">
        <v>31</v>
      </c>
      <c r="B1356" s="9">
        <v>46195</v>
      </c>
      <c r="C1356" s="10" t="s">
        <v>2121</v>
      </c>
      <c r="D1356" s="10" t="s">
        <v>2122</v>
      </c>
      <c r="E1356" s="10" t="s">
        <v>51</v>
      </c>
      <c r="F1356" s="10" t="s">
        <v>35</v>
      </c>
      <c r="G1356" s="10" t="s">
        <v>3145</v>
      </c>
      <c r="H1356" s="8" t="s">
        <v>48</v>
      </c>
      <c r="I1356" s="11">
        <v>201.99</v>
      </c>
      <c r="J1356" s="6">
        <v>151.49250000000001</v>
      </c>
      <c r="K1356" s="6">
        <v>0.75</v>
      </c>
      <c r="L1356" s="6">
        <v>187.36</v>
      </c>
      <c r="M1356" s="11">
        <v>140.52000000000001</v>
      </c>
      <c r="N1356" s="11">
        <f t="shared" si="84"/>
        <v>140.52000000000001</v>
      </c>
      <c r="O1356" s="6">
        <v>0.75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14.63</v>
      </c>
      <c r="Z1356" s="6">
        <v>10.9725</v>
      </c>
      <c r="AA1356" s="6">
        <v>0.75</v>
      </c>
      <c r="AB1356" s="6">
        <v>-14.629999999999995</v>
      </c>
      <c r="AC1356" s="6">
        <v>14.629999999999995</v>
      </c>
      <c r="AD1356" s="22" t="s">
        <v>3140</v>
      </c>
      <c r="AE1356" s="23">
        <f t="shared" si="85"/>
        <v>140.52000000000001</v>
      </c>
      <c r="AF1356" s="24">
        <f t="shared" si="86"/>
        <v>0</v>
      </c>
      <c r="AG1356" s="23">
        <f t="shared" si="87"/>
        <v>1</v>
      </c>
    </row>
    <row r="1357" spans="1:33" x14ac:dyDescent="0.25">
      <c r="A1357" s="12" t="s">
        <v>31</v>
      </c>
      <c r="B1357" s="9">
        <v>46195</v>
      </c>
      <c r="C1357" s="10" t="s">
        <v>2123</v>
      </c>
      <c r="D1357" s="10" t="s">
        <v>2124</v>
      </c>
      <c r="E1357" s="10" t="s">
        <v>51</v>
      </c>
      <c r="F1357" s="10" t="s">
        <v>35</v>
      </c>
      <c r="G1357" s="10" t="s">
        <v>3146</v>
      </c>
      <c r="H1357" s="8" t="s">
        <v>36</v>
      </c>
      <c r="I1357" s="11">
        <v>135.79</v>
      </c>
      <c r="J1357" s="6">
        <v>124.51943</v>
      </c>
      <c r="K1357" s="6">
        <v>0.91700000000000004</v>
      </c>
      <c r="L1357" s="6">
        <v>128.62</v>
      </c>
      <c r="M1357" s="11">
        <v>117.94454</v>
      </c>
      <c r="N1357" s="11">
        <f t="shared" si="84"/>
        <v>117.94500000000001</v>
      </c>
      <c r="O1357" s="6">
        <v>0.91700000000000004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7.17</v>
      </c>
      <c r="Z1357" s="6">
        <v>6.5748899999999999</v>
      </c>
      <c r="AA1357" s="6">
        <v>0.91700000000000004</v>
      </c>
      <c r="AB1357" s="6">
        <v>-7.1699999999999875</v>
      </c>
      <c r="AC1357" s="6">
        <v>7.1699999999999875</v>
      </c>
      <c r="AD1357" s="22" t="s">
        <v>3140</v>
      </c>
      <c r="AE1357" s="23">
        <f t="shared" si="85"/>
        <v>117.94500000000001</v>
      </c>
      <c r="AF1357" s="24">
        <f t="shared" si="86"/>
        <v>0</v>
      </c>
      <c r="AG1357" s="23">
        <f t="shared" si="87"/>
        <v>1</v>
      </c>
    </row>
    <row r="1358" spans="1:33" x14ac:dyDescent="0.25">
      <c r="A1358" s="12" t="s">
        <v>31</v>
      </c>
      <c r="B1358" s="9">
        <v>46195</v>
      </c>
      <c r="C1358" s="10" t="s">
        <v>2125</v>
      </c>
      <c r="D1358" s="10" t="s">
        <v>2062</v>
      </c>
      <c r="E1358" s="10" t="s">
        <v>51</v>
      </c>
      <c r="F1358" s="10" t="s">
        <v>35</v>
      </c>
      <c r="G1358" s="10" t="s">
        <v>3146</v>
      </c>
      <c r="H1358" s="8" t="s">
        <v>36</v>
      </c>
      <c r="I1358" s="11">
        <v>21.26</v>
      </c>
      <c r="J1358" s="6">
        <v>19.495419999999999</v>
      </c>
      <c r="K1358" s="6">
        <v>0.91699999999999993</v>
      </c>
      <c r="L1358" s="6">
        <v>20.41</v>
      </c>
      <c r="M1358" s="11">
        <v>18.715969999999999</v>
      </c>
      <c r="N1358" s="11">
        <f t="shared" si="84"/>
        <v>18.716000000000001</v>
      </c>
      <c r="O1358" s="6">
        <v>0.91699999999999993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0.85</v>
      </c>
      <c r="Z1358" s="6">
        <v>0.77944999999999998</v>
      </c>
      <c r="AA1358" s="6">
        <v>0.91700000000000004</v>
      </c>
      <c r="AB1358" s="6">
        <v>-0.85000000000000142</v>
      </c>
      <c r="AC1358" s="6">
        <v>0.85000000000000142</v>
      </c>
      <c r="AD1358" s="22" t="s">
        <v>3140</v>
      </c>
      <c r="AE1358" s="23">
        <f t="shared" si="85"/>
        <v>18.716000000000001</v>
      </c>
      <c r="AF1358" s="24">
        <f t="shared" si="86"/>
        <v>0</v>
      </c>
      <c r="AG1358" s="23">
        <f t="shared" si="87"/>
        <v>2</v>
      </c>
    </row>
    <row r="1359" spans="1:33" x14ac:dyDescent="0.25">
      <c r="A1359" s="12" t="s">
        <v>31</v>
      </c>
      <c r="B1359" s="9">
        <v>46195</v>
      </c>
      <c r="C1359" s="10" t="s">
        <v>2126</v>
      </c>
      <c r="D1359" s="10" t="s">
        <v>2054</v>
      </c>
      <c r="E1359" s="10" t="s">
        <v>51</v>
      </c>
      <c r="F1359" s="10" t="s">
        <v>35</v>
      </c>
      <c r="G1359" s="10" t="s">
        <v>3146</v>
      </c>
      <c r="H1359" s="8" t="s">
        <v>36</v>
      </c>
      <c r="I1359" s="11">
        <v>21.65</v>
      </c>
      <c r="J1359" s="6">
        <v>19.85305</v>
      </c>
      <c r="K1359" s="6">
        <v>0.91700000000000004</v>
      </c>
      <c r="L1359" s="6">
        <v>20.74</v>
      </c>
      <c r="M1359" s="11">
        <v>19.01858</v>
      </c>
      <c r="N1359" s="11">
        <f t="shared" si="84"/>
        <v>19.019000000000002</v>
      </c>
      <c r="O1359" s="6">
        <v>0.91700000000000004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0.91</v>
      </c>
      <c r="Z1359" s="6">
        <v>0.83447000000000005</v>
      </c>
      <c r="AA1359" s="6">
        <v>0.91700000000000004</v>
      </c>
      <c r="AB1359" s="6">
        <v>-0.91000000000000014</v>
      </c>
      <c r="AC1359" s="6">
        <v>0.91000000000000014</v>
      </c>
      <c r="AD1359" s="22" t="s">
        <v>3140</v>
      </c>
      <c r="AE1359" s="23">
        <f t="shared" si="85"/>
        <v>19.019000000000002</v>
      </c>
      <c r="AF1359" s="24">
        <f t="shared" si="86"/>
        <v>0</v>
      </c>
      <c r="AG1359" s="23">
        <f t="shared" si="87"/>
        <v>2</v>
      </c>
    </row>
    <row r="1360" spans="1:33" x14ac:dyDescent="0.25">
      <c r="A1360" s="12" t="s">
        <v>31</v>
      </c>
      <c r="B1360" s="9">
        <v>46195</v>
      </c>
      <c r="C1360" s="10" t="s">
        <v>2127</v>
      </c>
      <c r="D1360" s="10" t="s">
        <v>2128</v>
      </c>
      <c r="E1360" s="10" t="s">
        <v>51</v>
      </c>
      <c r="F1360" s="10" t="s">
        <v>35</v>
      </c>
      <c r="G1360" s="10" t="s">
        <v>3146</v>
      </c>
      <c r="H1360" s="8" t="s">
        <v>36</v>
      </c>
      <c r="I1360" s="11">
        <v>18.52</v>
      </c>
      <c r="J1360" s="6">
        <v>16.982839999999999</v>
      </c>
      <c r="K1360" s="6">
        <v>0.91700000000000004</v>
      </c>
      <c r="L1360" s="6">
        <v>17.54</v>
      </c>
      <c r="M1360" s="11">
        <v>16.08418</v>
      </c>
      <c r="N1360" s="11">
        <f t="shared" si="84"/>
        <v>16.085000000000001</v>
      </c>
      <c r="O1360" s="6">
        <v>0.91700000000000004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0.98</v>
      </c>
      <c r="Z1360" s="6">
        <v>0.89866000000000001</v>
      </c>
      <c r="AA1360" s="6">
        <v>0.91700000000000004</v>
      </c>
      <c r="AB1360" s="6">
        <v>-0.98000000000000043</v>
      </c>
      <c r="AC1360" s="6">
        <v>0.98000000000000043</v>
      </c>
      <c r="AD1360" s="22" t="s">
        <v>3140</v>
      </c>
      <c r="AE1360" s="23">
        <f t="shared" si="85"/>
        <v>16.085000000000001</v>
      </c>
      <c r="AF1360" s="24">
        <f t="shared" si="86"/>
        <v>0</v>
      </c>
      <c r="AG1360" s="23">
        <f t="shared" si="87"/>
        <v>1</v>
      </c>
    </row>
    <row r="1361" spans="1:33" x14ac:dyDescent="0.25">
      <c r="A1361" s="12" t="s">
        <v>31</v>
      </c>
      <c r="B1361" s="9">
        <v>46195</v>
      </c>
      <c r="C1361" s="10" t="s">
        <v>2129</v>
      </c>
      <c r="D1361" s="10" t="s">
        <v>2061</v>
      </c>
      <c r="E1361" s="10" t="s">
        <v>51</v>
      </c>
      <c r="F1361" s="10" t="s">
        <v>35</v>
      </c>
      <c r="G1361" s="10" t="s">
        <v>3146</v>
      </c>
      <c r="H1361" s="8" t="s">
        <v>36</v>
      </c>
      <c r="I1361" s="11">
        <v>95.91</v>
      </c>
      <c r="J1361" s="6">
        <v>87.949470000000005</v>
      </c>
      <c r="K1361" s="6">
        <v>0.91700000000000004</v>
      </c>
      <c r="L1361" s="6">
        <v>87.35</v>
      </c>
      <c r="M1361" s="11">
        <v>80.099950000000007</v>
      </c>
      <c r="N1361" s="11">
        <f t="shared" si="84"/>
        <v>80.100000000000009</v>
      </c>
      <c r="O1361" s="6">
        <v>0.91700000000000015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8.56</v>
      </c>
      <c r="Z1361" s="6">
        <v>7.8495200000000001</v>
      </c>
      <c r="AA1361" s="6">
        <v>0.91699999999999993</v>
      </c>
      <c r="AB1361" s="6">
        <v>-8.5600000000000023</v>
      </c>
      <c r="AC1361" s="6">
        <v>8.5600000000000023</v>
      </c>
      <c r="AD1361" s="22" t="s">
        <v>3140</v>
      </c>
      <c r="AE1361" s="23">
        <f t="shared" si="85"/>
        <v>80.100000000000009</v>
      </c>
      <c r="AF1361" s="24">
        <f t="shared" si="86"/>
        <v>0</v>
      </c>
      <c r="AG1361" s="23">
        <f t="shared" si="87"/>
        <v>2</v>
      </c>
    </row>
    <row r="1362" spans="1:33" ht="12.5" hidden="1" customHeight="1" x14ac:dyDescent="0.25">
      <c r="A1362" s="12" t="s">
        <v>31</v>
      </c>
      <c r="B1362" s="9">
        <v>46195</v>
      </c>
      <c r="C1362" s="8" t="s">
        <v>2130</v>
      </c>
      <c r="D1362" s="10" t="s">
        <v>2131</v>
      </c>
      <c r="E1362" s="10" t="s">
        <v>51</v>
      </c>
      <c r="F1362" s="10" t="s">
        <v>35</v>
      </c>
      <c r="G1362" s="10" t="s">
        <v>3145</v>
      </c>
      <c r="H1362" s="8" t="s">
        <v>41</v>
      </c>
      <c r="I1362" s="11">
        <v>7.26</v>
      </c>
      <c r="J1362" s="6">
        <v>5.4450000000000003</v>
      </c>
      <c r="K1362" s="6">
        <v>0.75000000000000011</v>
      </c>
      <c r="L1362" s="6">
        <v>6.81</v>
      </c>
      <c r="M1362" s="11">
        <v>5.1074999999999999</v>
      </c>
      <c r="N1362" s="11">
        <f t="shared" si="84"/>
        <v>5.1080000000000005</v>
      </c>
      <c r="O1362" s="6">
        <v>0.75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0.45</v>
      </c>
      <c r="Z1362" s="6">
        <v>0.33750000000000002</v>
      </c>
      <c r="AA1362" s="6">
        <v>0.75</v>
      </c>
      <c r="AB1362" s="6">
        <v>-0.45000000000000018</v>
      </c>
      <c r="AC1362" s="6">
        <v>0.45000000000000018</v>
      </c>
      <c r="AD1362" s="22" t="s">
        <v>3140</v>
      </c>
      <c r="AE1362" s="23">
        <f t="shared" si="85"/>
        <v>5.1080000000000005</v>
      </c>
      <c r="AF1362" s="24">
        <f t="shared" si="86"/>
        <v>0</v>
      </c>
      <c r="AG1362" s="23">
        <f t="shared" si="87"/>
        <v>1</v>
      </c>
    </row>
    <row r="1363" spans="1:33" ht="12.5" customHeight="1" x14ac:dyDescent="0.25">
      <c r="A1363" s="12" t="s">
        <v>31</v>
      </c>
      <c r="B1363" s="9">
        <v>46195</v>
      </c>
      <c r="C1363" s="13" t="s">
        <v>2130</v>
      </c>
      <c r="D1363" s="10" t="s">
        <v>2132</v>
      </c>
      <c r="E1363" s="10" t="s">
        <v>51</v>
      </c>
      <c r="F1363" s="10" t="s">
        <v>35</v>
      </c>
      <c r="G1363" s="10" t="s">
        <v>3146</v>
      </c>
      <c r="H1363" s="8" t="s">
        <v>36</v>
      </c>
      <c r="I1363" s="11">
        <v>23.19</v>
      </c>
      <c r="J1363" s="6">
        <v>21.265229999999999</v>
      </c>
      <c r="K1363" s="6">
        <v>0.91699999999999993</v>
      </c>
      <c r="L1363" s="6">
        <v>22.04</v>
      </c>
      <c r="M1363" s="11">
        <v>20.21068</v>
      </c>
      <c r="N1363" s="11">
        <f t="shared" si="84"/>
        <v>20.211000000000002</v>
      </c>
      <c r="O1363" s="6">
        <v>0.91700000000000004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1.1499999999999999</v>
      </c>
      <c r="Z1363" s="6">
        <v>1.0545500000000001</v>
      </c>
      <c r="AA1363" s="6">
        <v>0.91700000000000015</v>
      </c>
      <c r="AB1363" s="6">
        <v>-1.1500000000000021</v>
      </c>
      <c r="AC1363" s="6">
        <v>1.1500000000000021</v>
      </c>
      <c r="AD1363" s="22" t="s">
        <v>3140</v>
      </c>
      <c r="AE1363" s="23">
        <f t="shared" si="85"/>
        <v>20.211000000000002</v>
      </c>
      <c r="AF1363" s="24">
        <f t="shared" si="86"/>
        <v>0</v>
      </c>
      <c r="AG1363" s="23">
        <f t="shared" si="87"/>
        <v>1</v>
      </c>
    </row>
    <row r="1364" spans="1:33" ht="12.5" customHeight="1" x14ac:dyDescent="0.25">
      <c r="A1364" s="12" t="s">
        <v>31</v>
      </c>
      <c r="B1364" s="9">
        <v>46195</v>
      </c>
      <c r="C1364" s="8" t="s">
        <v>2133</v>
      </c>
      <c r="D1364" s="10" t="s">
        <v>2134</v>
      </c>
      <c r="E1364" s="10" t="s">
        <v>51</v>
      </c>
      <c r="F1364" s="10" t="s">
        <v>35</v>
      </c>
      <c r="G1364" s="10" t="s">
        <v>3146</v>
      </c>
      <c r="H1364" s="8" t="s">
        <v>36</v>
      </c>
      <c r="I1364" s="11">
        <v>108.12</v>
      </c>
      <c r="J1364" s="6">
        <v>99.146039999999999</v>
      </c>
      <c r="K1364" s="6">
        <v>0.91699999999999993</v>
      </c>
      <c r="L1364" s="6">
        <v>102.08</v>
      </c>
      <c r="M1364" s="11">
        <v>93.60736</v>
      </c>
      <c r="N1364" s="11">
        <f t="shared" si="84"/>
        <v>93.608000000000004</v>
      </c>
      <c r="O1364" s="6">
        <v>0.91700000000000004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6.04</v>
      </c>
      <c r="Z1364" s="6">
        <v>5.5386800000000003</v>
      </c>
      <c r="AA1364" s="6">
        <v>0.91700000000000004</v>
      </c>
      <c r="AB1364" s="6">
        <v>-6.0400000000000063</v>
      </c>
      <c r="AC1364" s="6">
        <v>6.0400000000000063</v>
      </c>
      <c r="AD1364" s="22" t="s">
        <v>3140</v>
      </c>
      <c r="AE1364" s="23">
        <f t="shared" si="85"/>
        <v>93.608000000000004</v>
      </c>
      <c r="AF1364" s="24">
        <f t="shared" si="86"/>
        <v>0</v>
      </c>
      <c r="AG1364" s="23">
        <f t="shared" si="87"/>
        <v>1</v>
      </c>
    </row>
    <row r="1365" spans="1:33" ht="12.5" customHeight="1" x14ac:dyDescent="0.25">
      <c r="A1365" s="12" t="s">
        <v>31</v>
      </c>
      <c r="B1365" s="9">
        <v>46195</v>
      </c>
      <c r="C1365" s="13" t="s">
        <v>2133</v>
      </c>
      <c r="D1365" s="10" t="s">
        <v>2135</v>
      </c>
      <c r="E1365" s="10" t="s">
        <v>51</v>
      </c>
      <c r="F1365" s="10" t="s">
        <v>35</v>
      </c>
      <c r="G1365" s="10" t="s">
        <v>3146</v>
      </c>
      <c r="H1365" s="8" t="s">
        <v>36</v>
      </c>
      <c r="I1365" s="11">
        <v>383.18</v>
      </c>
      <c r="J1365" s="6">
        <v>351.37606</v>
      </c>
      <c r="K1365" s="6">
        <v>0.91699999999999993</v>
      </c>
      <c r="L1365" s="6">
        <v>372.16</v>
      </c>
      <c r="M1365" s="11">
        <v>341.27071999999998</v>
      </c>
      <c r="N1365" s="11">
        <f t="shared" si="84"/>
        <v>341.27099999999996</v>
      </c>
      <c r="O1365" s="6">
        <v>0.91699999999999993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11.02</v>
      </c>
      <c r="Z1365" s="6">
        <v>10.10534</v>
      </c>
      <c r="AA1365" s="6">
        <v>0.91700000000000004</v>
      </c>
      <c r="AB1365" s="6">
        <v>-11.019999999999982</v>
      </c>
      <c r="AC1365" s="6">
        <v>11.019999999999982</v>
      </c>
      <c r="AD1365" s="22" t="s">
        <v>3140</v>
      </c>
      <c r="AE1365" s="23">
        <f t="shared" si="85"/>
        <v>341.27099999999996</v>
      </c>
      <c r="AF1365" s="24">
        <f t="shared" si="86"/>
        <v>0</v>
      </c>
      <c r="AG1365" s="23">
        <f t="shared" si="87"/>
        <v>1</v>
      </c>
    </row>
    <row r="1366" spans="1:33" x14ac:dyDescent="0.25">
      <c r="A1366" s="12" t="s">
        <v>31</v>
      </c>
      <c r="B1366" s="9">
        <v>46195</v>
      </c>
      <c r="C1366" s="10" t="s">
        <v>2136</v>
      </c>
      <c r="D1366" s="10" t="s">
        <v>2137</v>
      </c>
      <c r="E1366" s="10" t="s">
        <v>51</v>
      </c>
      <c r="F1366" s="10" t="s">
        <v>35</v>
      </c>
      <c r="G1366" s="10" t="s">
        <v>3146</v>
      </c>
      <c r="H1366" s="8" t="s">
        <v>36</v>
      </c>
      <c r="I1366" s="11">
        <v>24.01</v>
      </c>
      <c r="J1366" s="6">
        <v>22.01717</v>
      </c>
      <c r="K1366" s="6">
        <v>0.91699999999999993</v>
      </c>
      <c r="L1366" s="6">
        <v>21.2</v>
      </c>
      <c r="M1366" s="11">
        <v>19.4404</v>
      </c>
      <c r="N1366" s="11">
        <f t="shared" si="84"/>
        <v>19.441000000000003</v>
      </c>
      <c r="O1366" s="6">
        <v>0.91700000000000004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2.81</v>
      </c>
      <c r="Z1366" s="6">
        <v>2.5767699999999998</v>
      </c>
      <c r="AA1366" s="6">
        <v>0.91699999999999993</v>
      </c>
      <c r="AB1366" s="6">
        <v>-2.8100000000000023</v>
      </c>
      <c r="AC1366" s="6">
        <v>2.8100000000000023</v>
      </c>
      <c r="AD1366" s="22" t="s">
        <v>3140</v>
      </c>
      <c r="AE1366" s="23">
        <f t="shared" si="85"/>
        <v>19.441000000000003</v>
      </c>
      <c r="AF1366" s="24">
        <f t="shared" si="86"/>
        <v>0</v>
      </c>
      <c r="AG1366" s="23">
        <f t="shared" si="87"/>
        <v>1</v>
      </c>
    </row>
    <row r="1367" spans="1:33" x14ac:dyDescent="0.25">
      <c r="A1367" s="12" t="s">
        <v>31</v>
      </c>
      <c r="B1367" s="9">
        <v>46195</v>
      </c>
      <c r="C1367" s="10" t="s">
        <v>2138</v>
      </c>
      <c r="D1367" s="10" t="s">
        <v>1961</v>
      </c>
      <c r="E1367" s="10" t="s">
        <v>51</v>
      </c>
      <c r="F1367" s="10" t="s">
        <v>35</v>
      </c>
      <c r="G1367" s="10" t="s">
        <v>3146</v>
      </c>
      <c r="H1367" s="8" t="s">
        <v>36</v>
      </c>
      <c r="I1367" s="11">
        <v>64.037999999999997</v>
      </c>
      <c r="J1367" s="6">
        <v>58.722845999999997</v>
      </c>
      <c r="K1367" s="6">
        <v>0.91700000000000004</v>
      </c>
      <c r="L1367" s="6">
        <v>63.798000000000002</v>
      </c>
      <c r="M1367" s="11">
        <v>58.502766000000001</v>
      </c>
      <c r="N1367" s="11">
        <f t="shared" si="84"/>
        <v>58.503</v>
      </c>
      <c r="O1367" s="6">
        <v>0.91700000000000004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0.24</v>
      </c>
      <c r="Z1367" s="6">
        <v>0.22008</v>
      </c>
      <c r="AA1367" s="6">
        <v>0.91700000000000004</v>
      </c>
      <c r="AB1367" s="6">
        <v>-0.23999999999999488</v>
      </c>
      <c r="AC1367" s="6">
        <v>0.23999999999999488</v>
      </c>
      <c r="AD1367" s="22" t="s">
        <v>3140</v>
      </c>
      <c r="AE1367" s="23">
        <f t="shared" si="85"/>
        <v>58.503</v>
      </c>
      <c r="AF1367" s="24">
        <f t="shared" si="86"/>
        <v>0</v>
      </c>
      <c r="AG1367" s="23">
        <f t="shared" si="87"/>
        <v>2</v>
      </c>
    </row>
    <row r="1368" spans="1:33" ht="12.5" hidden="1" customHeight="1" x14ac:dyDescent="0.25">
      <c r="A1368" s="12" t="s">
        <v>31</v>
      </c>
      <c r="B1368" s="9">
        <v>46195</v>
      </c>
      <c r="C1368" s="8" t="s">
        <v>2139</v>
      </c>
      <c r="D1368" s="10" t="s">
        <v>2140</v>
      </c>
      <c r="E1368" s="10" t="s">
        <v>51</v>
      </c>
      <c r="F1368" s="10" t="s">
        <v>35</v>
      </c>
      <c r="G1368" s="10" t="s">
        <v>3145</v>
      </c>
      <c r="H1368" s="8" t="s">
        <v>41</v>
      </c>
      <c r="I1368" s="11">
        <v>18.27</v>
      </c>
      <c r="J1368" s="6">
        <v>13.702500000000001</v>
      </c>
      <c r="K1368" s="6">
        <v>0.75</v>
      </c>
      <c r="L1368" s="6">
        <v>17.34</v>
      </c>
      <c r="M1368" s="11">
        <v>13.005000000000001</v>
      </c>
      <c r="N1368" s="11">
        <f t="shared" si="84"/>
        <v>13.005000000000001</v>
      </c>
      <c r="O1368" s="6">
        <v>0.75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0.93</v>
      </c>
      <c r="Z1368" s="6">
        <v>0.69750000000000001</v>
      </c>
      <c r="AA1368" s="6">
        <v>0.75</v>
      </c>
      <c r="AB1368" s="6">
        <v>-0.92999999999999972</v>
      </c>
      <c r="AC1368" s="6">
        <v>0.92999999999999972</v>
      </c>
      <c r="AD1368" s="22" t="s">
        <v>3140</v>
      </c>
      <c r="AE1368" s="23">
        <f t="shared" si="85"/>
        <v>13.005000000000001</v>
      </c>
      <c r="AF1368" s="24">
        <f t="shared" si="86"/>
        <v>0</v>
      </c>
      <c r="AG1368" s="23">
        <f t="shared" si="87"/>
        <v>1</v>
      </c>
    </row>
    <row r="1369" spans="1:33" ht="12.5" hidden="1" customHeight="1" x14ac:dyDescent="0.25">
      <c r="A1369" s="12" t="s">
        <v>31</v>
      </c>
      <c r="B1369" s="9">
        <v>46195</v>
      </c>
      <c r="C1369" s="13" t="s">
        <v>2139</v>
      </c>
      <c r="D1369" s="10" t="s">
        <v>2141</v>
      </c>
      <c r="E1369" s="10" t="s">
        <v>51</v>
      </c>
      <c r="F1369" s="10" t="s">
        <v>35</v>
      </c>
      <c r="G1369" s="10" t="s">
        <v>3145</v>
      </c>
      <c r="H1369" s="8" t="s">
        <v>41</v>
      </c>
      <c r="I1369" s="11">
        <v>180.51</v>
      </c>
      <c r="J1369" s="6">
        <v>135.38249999999999</v>
      </c>
      <c r="K1369" s="6">
        <v>0.75</v>
      </c>
      <c r="L1369" s="6">
        <v>159.97</v>
      </c>
      <c r="M1369" s="11">
        <v>119.97750000000001</v>
      </c>
      <c r="N1369" s="11">
        <f t="shared" si="84"/>
        <v>119.97800000000001</v>
      </c>
      <c r="O1369" s="6">
        <v>0.75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20.54</v>
      </c>
      <c r="Z1369" s="6">
        <v>15.404999999999999</v>
      </c>
      <c r="AA1369" s="6">
        <v>0.75</v>
      </c>
      <c r="AB1369" s="6">
        <v>-20.539999999999992</v>
      </c>
      <c r="AC1369" s="6">
        <v>20.539999999999992</v>
      </c>
      <c r="AD1369" s="22" t="s">
        <v>3140</v>
      </c>
      <c r="AE1369" s="23">
        <f t="shared" si="85"/>
        <v>119.97800000000001</v>
      </c>
      <c r="AF1369" s="24">
        <f t="shared" si="86"/>
        <v>0</v>
      </c>
      <c r="AG1369" s="23">
        <f t="shared" si="87"/>
        <v>1</v>
      </c>
    </row>
    <row r="1370" spans="1:33" x14ac:dyDescent="0.25">
      <c r="A1370" s="12" t="s">
        <v>31</v>
      </c>
      <c r="B1370" s="9">
        <v>46195</v>
      </c>
      <c r="C1370" s="10" t="s">
        <v>2142</v>
      </c>
      <c r="D1370" s="10" t="s">
        <v>2143</v>
      </c>
      <c r="E1370" s="10" t="s">
        <v>51</v>
      </c>
      <c r="F1370" s="10" t="s">
        <v>35</v>
      </c>
      <c r="G1370" s="10" t="s">
        <v>3146</v>
      </c>
      <c r="H1370" s="8" t="s">
        <v>36</v>
      </c>
      <c r="I1370" s="11">
        <v>57.23</v>
      </c>
      <c r="J1370" s="6">
        <v>52.479909999999997</v>
      </c>
      <c r="K1370" s="6">
        <v>0.91700000000000004</v>
      </c>
      <c r="L1370" s="6">
        <v>53.23</v>
      </c>
      <c r="M1370" s="11">
        <v>48.811909999999997</v>
      </c>
      <c r="N1370" s="11">
        <f t="shared" si="84"/>
        <v>48.811999999999998</v>
      </c>
      <c r="O1370" s="6">
        <v>0.91700000000000004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4</v>
      </c>
      <c r="Z1370" s="6">
        <v>3.6680000000000001</v>
      </c>
      <c r="AA1370" s="6">
        <v>0.91700000000000004</v>
      </c>
      <c r="AB1370" s="6">
        <v>-4</v>
      </c>
      <c r="AC1370" s="6">
        <v>4</v>
      </c>
      <c r="AD1370" s="22" t="s">
        <v>3140</v>
      </c>
      <c r="AE1370" s="23">
        <f t="shared" si="85"/>
        <v>48.811999999999998</v>
      </c>
      <c r="AF1370" s="24">
        <f t="shared" si="86"/>
        <v>0</v>
      </c>
      <c r="AG1370" s="23">
        <f t="shared" si="87"/>
        <v>1</v>
      </c>
    </row>
    <row r="1371" spans="1:33" x14ac:dyDescent="0.25">
      <c r="A1371" s="12" t="s">
        <v>31</v>
      </c>
      <c r="B1371" s="9">
        <v>46195</v>
      </c>
      <c r="C1371" s="10" t="s">
        <v>2144</v>
      </c>
      <c r="D1371" s="10" t="s">
        <v>2145</v>
      </c>
      <c r="E1371" s="10" t="s">
        <v>51</v>
      </c>
      <c r="F1371" s="10" t="s">
        <v>35</v>
      </c>
      <c r="G1371" s="10" t="s">
        <v>3146</v>
      </c>
      <c r="H1371" s="8" t="s">
        <v>36</v>
      </c>
      <c r="I1371" s="11">
        <v>315.77999999999997</v>
      </c>
      <c r="J1371" s="6">
        <v>289.57026000000002</v>
      </c>
      <c r="K1371" s="6">
        <v>0.91700000000000015</v>
      </c>
      <c r="L1371" s="6">
        <v>313.2</v>
      </c>
      <c r="M1371" s="11">
        <v>287.20440000000002</v>
      </c>
      <c r="N1371" s="11">
        <f t="shared" si="84"/>
        <v>287.20499999999998</v>
      </c>
      <c r="O1371" s="6">
        <v>0.91700000000000015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2.58</v>
      </c>
      <c r="Z1371" s="6">
        <v>2.3658600000000001</v>
      </c>
      <c r="AA1371" s="6">
        <v>0.91700000000000004</v>
      </c>
      <c r="AB1371" s="6">
        <v>-2.5799999999999841</v>
      </c>
      <c r="AC1371" s="6">
        <v>2.5799999999999841</v>
      </c>
      <c r="AD1371" s="22" t="s">
        <v>3140</v>
      </c>
      <c r="AE1371" s="23">
        <f t="shared" si="85"/>
        <v>287.20499999999998</v>
      </c>
      <c r="AF1371" s="24">
        <f t="shared" si="86"/>
        <v>0</v>
      </c>
      <c r="AG1371" s="23">
        <f t="shared" si="87"/>
        <v>3</v>
      </c>
    </row>
    <row r="1372" spans="1:33" x14ac:dyDescent="0.25">
      <c r="A1372" s="12" t="s">
        <v>31</v>
      </c>
      <c r="B1372" s="9">
        <v>46195</v>
      </c>
      <c r="C1372" s="10" t="s">
        <v>2146</v>
      </c>
      <c r="D1372" s="10" t="s">
        <v>2147</v>
      </c>
      <c r="E1372" s="10" t="s">
        <v>51</v>
      </c>
      <c r="F1372" s="10" t="s">
        <v>35</v>
      </c>
      <c r="G1372" s="10" t="s">
        <v>3146</v>
      </c>
      <c r="H1372" s="8" t="s">
        <v>36</v>
      </c>
      <c r="I1372" s="11">
        <v>212.17</v>
      </c>
      <c r="J1372" s="6">
        <v>194.55989</v>
      </c>
      <c r="K1372" s="6">
        <v>0.91700000000000004</v>
      </c>
      <c r="L1372" s="6">
        <v>207.58</v>
      </c>
      <c r="M1372" s="11">
        <v>190.35086000000001</v>
      </c>
      <c r="N1372" s="11">
        <f t="shared" si="84"/>
        <v>190.351</v>
      </c>
      <c r="O1372" s="6">
        <v>0.91700000000000004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4.59</v>
      </c>
      <c r="Z1372" s="6">
        <v>4.2090300000000003</v>
      </c>
      <c r="AA1372" s="6">
        <v>0.91700000000000004</v>
      </c>
      <c r="AB1372" s="6">
        <v>-4.589999999999975</v>
      </c>
      <c r="AC1372" s="6">
        <v>4.589999999999975</v>
      </c>
      <c r="AD1372" s="23" t="s">
        <v>3143</v>
      </c>
      <c r="AE1372" s="23">
        <f t="shared" si="85"/>
        <v>190.07599999999999</v>
      </c>
      <c r="AF1372" s="24">
        <f t="shared" si="86"/>
        <v>0.27500000000000568</v>
      </c>
      <c r="AG1372" s="23">
        <f t="shared" si="87"/>
        <v>2</v>
      </c>
    </row>
    <row r="1373" spans="1:33" ht="12.5" customHeight="1" x14ac:dyDescent="0.25">
      <c r="A1373" s="12" t="s">
        <v>31</v>
      </c>
      <c r="B1373" s="9">
        <v>46195</v>
      </c>
      <c r="C1373" s="8" t="s">
        <v>2148</v>
      </c>
      <c r="D1373" s="10" t="s">
        <v>2149</v>
      </c>
      <c r="E1373" s="10" t="s">
        <v>51</v>
      </c>
      <c r="F1373" s="10" t="s">
        <v>35</v>
      </c>
      <c r="G1373" s="10" t="s">
        <v>3146</v>
      </c>
      <c r="H1373" s="8" t="s">
        <v>36</v>
      </c>
      <c r="I1373" s="11">
        <v>39.04</v>
      </c>
      <c r="J1373" s="6">
        <v>35.799680000000002</v>
      </c>
      <c r="K1373" s="6">
        <v>0.91700000000000004</v>
      </c>
      <c r="L1373" s="6">
        <v>35.31</v>
      </c>
      <c r="M1373" s="11">
        <v>32.379269999999998</v>
      </c>
      <c r="N1373" s="11">
        <f t="shared" si="84"/>
        <v>32.379999999999995</v>
      </c>
      <c r="O1373" s="6">
        <v>0.91699999999999993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3.73</v>
      </c>
      <c r="Z1373" s="6">
        <v>3.42041</v>
      </c>
      <c r="AA1373" s="6">
        <v>0.91700000000000004</v>
      </c>
      <c r="AB1373" s="6">
        <v>-3.7299999999999969</v>
      </c>
      <c r="AC1373" s="6">
        <v>3.7299999999999969</v>
      </c>
      <c r="AD1373" s="22" t="s">
        <v>3140</v>
      </c>
      <c r="AE1373" s="23">
        <f t="shared" si="85"/>
        <v>32.379999999999995</v>
      </c>
      <c r="AF1373" s="24">
        <f t="shared" si="86"/>
        <v>0</v>
      </c>
      <c r="AG1373" s="23">
        <f t="shared" si="87"/>
        <v>1</v>
      </c>
    </row>
    <row r="1374" spans="1:33" ht="12.5" customHeight="1" x14ac:dyDescent="0.25">
      <c r="A1374" s="12" t="s">
        <v>31</v>
      </c>
      <c r="B1374" s="9">
        <v>46195</v>
      </c>
      <c r="C1374" s="12" t="s">
        <v>2148</v>
      </c>
      <c r="D1374" s="10" t="s">
        <v>2150</v>
      </c>
      <c r="E1374" s="10" t="s">
        <v>51</v>
      </c>
      <c r="F1374" s="10" t="s">
        <v>35</v>
      </c>
      <c r="G1374" s="10" t="s">
        <v>3146</v>
      </c>
      <c r="H1374" s="8" t="s">
        <v>36</v>
      </c>
      <c r="I1374" s="11">
        <v>59.7</v>
      </c>
      <c r="J1374" s="6">
        <v>54.744900000000001</v>
      </c>
      <c r="K1374" s="6">
        <v>0.91699999999999993</v>
      </c>
      <c r="L1374" s="6">
        <v>55.76</v>
      </c>
      <c r="M1374" s="11">
        <v>51.131920000000001</v>
      </c>
      <c r="N1374" s="11">
        <f t="shared" si="84"/>
        <v>51.131999999999998</v>
      </c>
      <c r="O1374" s="6">
        <v>0.91700000000000004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3.94</v>
      </c>
      <c r="Z1374" s="6">
        <v>3.6129799999999999</v>
      </c>
      <c r="AA1374" s="6">
        <v>0.91699999999999993</v>
      </c>
      <c r="AB1374" s="6">
        <v>-3.9400000000000048</v>
      </c>
      <c r="AC1374" s="6">
        <v>3.9400000000000048</v>
      </c>
      <c r="AD1374" s="22" t="s">
        <v>3140</v>
      </c>
      <c r="AE1374" s="23">
        <f t="shared" si="85"/>
        <v>51.131999999999998</v>
      </c>
      <c r="AF1374" s="24">
        <f t="shared" si="86"/>
        <v>0</v>
      </c>
      <c r="AG1374" s="23">
        <f t="shared" si="87"/>
        <v>1</v>
      </c>
    </row>
    <row r="1375" spans="1:33" ht="12.5" hidden="1" customHeight="1" x14ac:dyDescent="0.25">
      <c r="A1375" s="12" t="s">
        <v>31</v>
      </c>
      <c r="B1375" s="9">
        <v>46195</v>
      </c>
      <c r="C1375" s="12" t="s">
        <v>2148</v>
      </c>
      <c r="D1375" s="10" t="s">
        <v>2151</v>
      </c>
      <c r="E1375" s="10" t="s">
        <v>51</v>
      </c>
      <c r="F1375" s="10" t="s">
        <v>35</v>
      </c>
      <c r="G1375" s="10" t="s">
        <v>3145</v>
      </c>
      <c r="H1375" s="8" t="s">
        <v>41</v>
      </c>
      <c r="I1375" s="11">
        <v>11.15</v>
      </c>
      <c r="J1375" s="6">
        <v>8.3625000000000007</v>
      </c>
      <c r="K1375" s="6">
        <v>0.75</v>
      </c>
      <c r="L1375" s="6">
        <v>10.51</v>
      </c>
      <c r="M1375" s="11">
        <v>7.8825000000000003</v>
      </c>
      <c r="N1375" s="11">
        <f t="shared" si="84"/>
        <v>7.883</v>
      </c>
      <c r="O1375" s="6">
        <v>0.75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0.64</v>
      </c>
      <c r="Z1375" s="6">
        <v>0.48</v>
      </c>
      <c r="AA1375" s="6">
        <v>0.75</v>
      </c>
      <c r="AB1375" s="6">
        <v>-0.64000000000000057</v>
      </c>
      <c r="AC1375" s="6">
        <v>0.64000000000000057</v>
      </c>
      <c r="AD1375" s="22" t="s">
        <v>3140</v>
      </c>
      <c r="AE1375" s="23">
        <f t="shared" si="85"/>
        <v>7.883</v>
      </c>
      <c r="AF1375" s="24">
        <f t="shared" si="86"/>
        <v>0</v>
      </c>
      <c r="AG1375" s="23">
        <f t="shared" si="87"/>
        <v>1</v>
      </c>
    </row>
    <row r="1376" spans="1:33" ht="12.5" customHeight="1" x14ac:dyDescent="0.25">
      <c r="A1376" s="12" t="s">
        <v>31</v>
      </c>
      <c r="B1376" s="9">
        <v>46195</v>
      </c>
      <c r="C1376" s="12" t="s">
        <v>2148</v>
      </c>
      <c r="D1376" s="10" t="s">
        <v>2152</v>
      </c>
      <c r="E1376" s="10" t="s">
        <v>51</v>
      </c>
      <c r="F1376" s="10" t="s">
        <v>35</v>
      </c>
      <c r="G1376" s="10" t="s">
        <v>3146</v>
      </c>
      <c r="H1376" s="8" t="s">
        <v>36</v>
      </c>
      <c r="I1376" s="11">
        <v>14.38</v>
      </c>
      <c r="J1376" s="6">
        <v>13.18646</v>
      </c>
      <c r="K1376" s="6">
        <v>0.91699999999999993</v>
      </c>
      <c r="L1376" s="6">
        <v>13.77</v>
      </c>
      <c r="M1376" s="11">
        <v>12.627090000000001</v>
      </c>
      <c r="N1376" s="11">
        <f t="shared" si="84"/>
        <v>12.628</v>
      </c>
      <c r="O1376" s="6">
        <v>0.91700000000000004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0.61</v>
      </c>
      <c r="Z1376" s="6">
        <v>0.55937000000000003</v>
      </c>
      <c r="AA1376" s="6">
        <v>0.91700000000000004</v>
      </c>
      <c r="AB1376" s="6">
        <v>-0.61000000000000121</v>
      </c>
      <c r="AC1376" s="6">
        <v>0.61000000000000121</v>
      </c>
      <c r="AD1376" s="22" t="s">
        <v>3140</v>
      </c>
      <c r="AE1376" s="23">
        <f t="shared" si="85"/>
        <v>12.628</v>
      </c>
      <c r="AF1376" s="24">
        <f t="shared" si="86"/>
        <v>0</v>
      </c>
      <c r="AG1376" s="23">
        <f t="shared" si="87"/>
        <v>1</v>
      </c>
    </row>
    <row r="1377" spans="1:33" ht="12.5" customHeight="1" x14ac:dyDescent="0.25">
      <c r="A1377" s="12" t="s">
        <v>31</v>
      </c>
      <c r="B1377" s="9">
        <v>46195</v>
      </c>
      <c r="C1377" s="13" t="s">
        <v>2148</v>
      </c>
      <c r="D1377" s="10" t="s">
        <v>2153</v>
      </c>
      <c r="E1377" s="10" t="s">
        <v>51</v>
      </c>
      <c r="F1377" s="10" t="s">
        <v>35</v>
      </c>
      <c r="G1377" s="10" t="s">
        <v>3146</v>
      </c>
      <c r="H1377" s="8" t="s">
        <v>36</v>
      </c>
      <c r="I1377" s="11">
        <v>3.02</v>
      </c>
      <c r="J1377" s="6">
        <v>2.7693400000000001</v>
      </c>
      <c r="K1377" s="6">
        <v>0.91700000000000004</v>
      </c>
      <c r="L1377" s="6">
        <v>2.94</v>
      </c>
      <c r="M1377" s="11">
        <v>2.69598</v>
      </c>
      <c r="N1377" s="11">
        <f t="shared" si="84"/>
        <v>2.6959999999999997</v>
      </c>
      <c r="O1377" s="6">
        <v>0.91700000000000004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0.08</v>
      </c>
      <c r="Z1377" s="6">
        <v>7.3359999999999995E-2</v>
      </c>
      <c r="AA1377" s="6">
        <v>0.91699999999999993</v>
      </c>
      <c r="AB1377" s="6">
        <v>-8.0000000000000071E-2</v>
      </c>
      <c r="AC1377" s="6">
        <v>8.0000000000000071E-2</v>
      </c>
      <c r="AD1377" s="23" t="s">
        <v>3143</v>
      </c>
      <c r="AE1377" s="23">
        <f t="shared" si="85"/>
        <v>1.8439999999999999</v>
      </c>
      <c r="AF1377" s="24">
        <f t="shared" si="86"/>
        <v>0.85199999999999987</v>
      </c>
      <c r="AG1377" s="23">
        <f t="shared" si="87"/>
        <v>2</v>
      </c>
    </row>
    <row r="1378" spans="1:33" x14ac:dyDescent="0.25">
      <c r="A1378" s="12" t="s">
        <v>31</v>
      </c>
      <c r="B1378" s="9">
        <v>46195</v>
      </c>
      <c r="C1378" s="10" t="s">
        <v>2154</v>
      </c>
      <c r="D1378" s="10" t="s">
        <v>2155</v>
      </c>
      <c r="E1378" s="10" t="s">
        <v>51</v>
      </c>
      <c r="F1378" s="10" t="s">
        <v>35</v>
      </c>
      <c r="G1378" s="10" t="s">
        <v>3146</v>
      </c>
      <c r="H1378" s="8" t="s">
        <v>36</v>
      </c>
      <c r="I1378" s="11">
        <v>21</v>
      </c>
      <c r="J1378" s="6">
        <v>19.257000000000001</v>
      </c>
      <c r="K1378" s="6">
        <v>0.91700000000000004</v>
      </c>
      <c r="L1378" s="6">
        <v>18.23</v>
      </c>
      <c r="M1378" s="11">
        <v>16.716909999999999</v>
      </c>
      <c r="N1378" s="11">
        <f t="shared" si="84"/>
        <v>16.717000000000002</v>
      </c>
      <c r="O1378" s="6">
        <v>0.91699999999999993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2.77</v>
      </c>
      <c r="Z1378" s="6">
        <v>2.5400900000000002</v>
      </c>
      <c r="AA1378" s="6">
        <v>0.91700000000000004</v>
      </c>
      <c r="AB1378" s="6">
        <v>-2.7699999999999996</v>
      </c>
      <c r="AC1378" s="6">
        <v>2.7699999999999996</v>
      </c>
      <c r="AD1378" s="22" t="s">
        <v>3140</v>
      </c>
      <c r="AE1378" s="23">
        <f t="shared" si="85"/>
        <v>16.717000000000002</v>
      </c>
      <c r="AF1378" s="24">
        <f t="shared" si="86"/>
        <v>0</v>
      </c>
      <c r="AG1378" s="23">
        <f t="shared" si="87"/>
        <v>1</v>
      </c>
    </row>
    <row r="1379" spans="1:33" hidden="1" x14ac:dyDescent="0.25">
      <c r="A1379" s="12" t="s">
        <v>31</v>
      </c>
      <c r="B1379" s="9">
        <v>46195</v>
      </c>
      <c r="C1379" s="10" t="s">
        <v>2156</v>
      </c>
      <c r="D1379" s="10" t="s">
        <v>2157</v>
      </c>
      <c r="E1379" s="10" t="s">
        <v>51</v>
      </c>
      <c r="F1379" s="10" t="s">
        <v>35</v>
      </c>
      <c r="G1379" s="10" t="s">
        <v>3145</v>
      </c>
      <c r="H1379" s="8" t="s">
        <v>41</v>
      </c>
      <c r="I1379" s="11">
        <v>21.07</v>
      </c>
      <c r="J1379" s="6">
        <v>15.8025</v>
      </c>
      <c r="K1379" s="6">
        <v>0.75</v>
      </c>
      <c r="L1379" s="6">
        <v>18.52</v>
      </c>
      <c r="M1379" s="11">
        <v>13.89</v>
      </c>
      <c r="N1379" s="11">
        <f t="shared" si="84"/>
        <v>13.89</v>
      </c>
      <c r="O1379" s="6">
        <v>0.75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2.5499999999999998</v>
      </c>
      <c r="Z1379" s="6">
        <v>1.9125000000000001</v>
      </c>
      <c r="AA1379" s="6">
        <v>0.75000000000000011</v>
      </c>
      <c r="AB1379" s="6">
        <v>-2.5500000000000007</v>
      </c>
      <c r="AC1379" s="6">
        <v>2.5500000000000007</v>
      </c>
      <c r="AD1379" s="22" t="s">
        <v>3140</v>
      </c>
      <c r="AE1379" s="23">
        <f t="shared" si="85"/>
        <v>13.89</v>
      </c>
      <c r="AF1379" s="24">
        <f t="shared" si="86"/>
        <v>0</v>
      </c>
      <c r="AG1379" s="23">
        <f t="shared" si="87"/>
        <v>1</v>
      </c>
    </row>
    <row r="1380" spans="1:33" x14ac:dyDescent="0.25">
      <c r="A1380" s="12" t="s">
        <v>31</v>
      </c>
      <c r="B1380" s="9">
        <v>46195</v>
      </c>
      <c r="C1380" s="10" t="s">
        <v>2158</v>
      </c>
      <c r="D1380" s="10" t="s">
        <v>2159</v>
      </c>
      <c r="E1380" s="10" t="s">
        <v>51</v>
      </c>
      <c r="F1380" s="10" t="s">
        <v>35</v>
      </c>
      <c r="G1380" s="10" t="s">
        <v>3146</v>
      </c>
      <c r="H1380" s="8" t="s">
        <v>36</v>
      </c>
      <c r="I1380" s="11">
        <v>18.61</v>
      </c>
      <c r="J1380" s="6">
        <v>17.065370000000001</v>
      </c>
      <c r="K1380" s="6">
        <v>0.91700000000000015</v>
      </c>
      <c r="L1380" s="6">
        <v>18.04</v>
      </c>
      <c r="M1380" s="11">
        <v>16.542680000000001</v>
      </c>
      <c r="N1380" s="11">
        <f t="shared" si="84"/>
        <v>16.543000000000003</v>
      </c>
      <c r="O1380" s="6">
        <v>0.91700000000000004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0.56999999999999995</v>
      </c>
      <c r="Z1380" s="6">
        <v>0.52268999999999999</v>
      </c>
      <c r="AA1380" s="6">
        <v>0.91700000000000004</v>
      </c>
      <c r="AB1380" s="6">
        <v>-0.57000000000000028</v>
      </c>
      <c r="AC1380" s="6">
        <v>0.57000000000000028</v>
      </c>
      <c r="AD1380" s="22" t="s">
        <v>3140</v>
      </c>
      <c r="AE1380" s="23">
        <f t="shared" si="85"/>
        <v>16.543000000000003</v>
      </c>
      <c r="AF1380" s="24">
        <f t="shared" si="86"/>
        <v>0</v>
      </c>
      <c r="AG1380" s="23">
        <f t="shared" si="87"/>
        <v>1</v>
      </c>
    </row>
    <row r="1381" spans="1:33" x14ac:dyDescent="0.25">
      <c r="A1381" s="12" t="s">
        <v>31</v>
      </c>
      <c r="B1381" s="9">
        <v>46195</v>
      </c>
      <c r="C1381" s="10" t="s">
        <v>2160</v>
      </c>
      <c r="D1381" s="10" t="s">
        <v>2161</v>
      </c>
      <c r="E1381" s="10" t="s">
        <v>51</v>
      </c>
      <c r="F1381" s="10" t="s">
        <v>35</v>
      </c>
      <c r="G1381" s="10" t="s">
        <v>3146</v>
      </c>
      <c r="H1381" s="8" t="s">
        <v>36</v>
      </c>
      <c r="I1381" s="11">
        <v>23.17</v>
      </c>
      <c r="J1381" s="6">
        <v>21.24689</v>
      </c>
      <c r="K1381" s="6">
        <v>0.91699999999999993</v>
      </c>
      <c r="L1381" s="6">
        <v>22.21</v>
      </c>
      <c r="M1381" s="11">
        <v>20.366569999999999</v>
      </c>
      <c r="N1381" s="11">
        <f t="shared" si="84"/>
        <v>20.367000000000001</v>
      </c>
      <c r="O1381" s="6">
        <v>0.91699999999999993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0.96</v>
      </c>
      <c r="Z1381" s="6">
        <v>0.88031999999999999</v>
      </c>
      <c r="AA1381" s="6">
        <v>0.91700000000000004</v>
      </c>
      <c r="AB1381" s="6">
        <v>-0.96000000000000085</v>
      </c>
      <c r="AC1381" s="6">
        <v>0.96000000000000085</v>
      </c>
      <c r="AD1381" s="22" t="s">
        <v>3140</v>
      </c>
      <c r="AE1381" s="23">
        <f t="shared" si="85"/>
        <v>20.367000000000001</v>
      </c>
      <c r="AF1381" s="24">
        <f t="shared" si="86"/>
        <v>0</v>
      </c>
      <c r="AG1381" s="23">
        <f t="shared" si="87"/>
        <v>1</v>
      </c>
    </row>
    <row r="1382" spans="1:33" ht="12.5" customHeight="1" x14ac:dyDescent="0.25">
      <c r="A1382" s="12" t="s">
        <v>31</v>
      </c>
      <c r="B1382" s="9">
        <v>46195</v>
      </c>
      <c r="C1382" s="8" t="s">
        <v>2162</v>
      </c>
      <c r="D1382" s="10" t="s">
        <v>2163</v>
      </c>
      <c r="E1382" s="10" t="s">
        <v>51</v>
      </c>
      <c r="F1382" s="10" t="s">
        <v>35</v>
      </c>
      <c r="G1382" s="10" t="s">
        <v>3146</v>
      </c>
      <c r="H1382" s="8" t="s">
        <v>36</v>
      </c>
      <c r="I1382" s="11">
        <v>75.38</v>
      </c>
      <c r="J1382" s="6">
        <v>69.123459999999994</v>
      </c>
      <c r="K1382" s="6">
        <v>0.91699999999999993</v>
      </c>
      <c r="L1382" s="6">
        <v>75.28</v>
      </c>
      <c r="M1382" s="11">
        <v>69.031760000000006</v>
      </c>
      <c r="N1382" s="11">
        <f t="shared" si="84"/>
        <v>69.032000000000011</v>
      </c>
      <c r="O1382" s="6">
        <v>0.91700000000000004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0.1</v>
      </c>
      <c r="Z1382" s="6">
        <v>9.1700000000000004E-2</v>
      </c>
      <c r="AA1382" s="6">
        <v>0.91700000000000004</v>
      </c>
      <c r="AB1382" s="6">
        <v>-9.9999999999994316E-2</v>
      </c>
      <c r="AC1382" s="6">
        <v>9.9999999999994316E-2</v>
      </c>
      <c r="AD1382" s="22" t="s">
        <v>3140</v>
      </c>
      <c r="AE1382" s="23">
        <f t="shared" si="85"/>
        <v>69.032000000000011</v>
      </c>
      <c r="AF1382" s="24">
        <f t="shared" si="86"/>
        <v>0</v>
      </c>
      <c r="AG1382" s="23">
        <f t="shared" si="87"/>
        <v>1</v>
      </c>
    </row>
    <row r="1383" spans="1:33" ht="12.5" customHeight="1" x14ac:dyDescent="0.25">
      <c r="A1383" s="12" t="s">
        <v>31</v>
      </c>
      <c r="B1383" s="9">
        <v>46195</v>
      </c>
      <c r="C1383" s="13" t="s">
        <v>2162</v>
      </c>
      <c r="D1383" s="10" t="s">
        <v>2164</v>
      </c>
      <c r="E1383" s="10" t="s">
        <v>51</v>
      </c>
      <c r="F1383" s="10" t="s">
        <v>35</v>
      </c>
      <c r="G1383" s="10" t="s">
        <v>3146</v>
      </c>
      <c r="H1383" s="8" t="s">
        <v>36</v>
      </c>
      <c r="I1383" s="11">
        <v>14.07</v>
      </c>
      <c r="J1383" s="6">
        <v>12.902189999999999</v>
      </c>
      <c r="K1383" s="6">
        <v>0.91699999999999993</v>
      </c>
      <c r="L1383" s="6">
        <v>13.22</v>
      </c>
      <c r="M1383" s="11">
        <v>12.12274</v>
      </c>
      <c r="N1383" s="11">
        <f t="shared" si="84"/>
        <v>12.122999999999999</v>
      </c>
      <c r="O1383" s="6">
        <v>0.91699999999999993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0.85</v>
      </c>
      <c r="Z1383" s="6">
        <v>0.77944999999999998</v>
      </c>
      <c r="AA1383" s="6">
        <v>0.91700000000000004</v>
      </c>
      <c r="AB1383" s="6">
        <v>-0.84999999999999964</v>
      </c>
      <c r="AC1383" s="6">
        <v>0.84999999999999964</v>
      </c>
      <c r="AD1383" s="22" t="s">
        <v>3140</v>
      </c>
      <c r="AE1383" s="23">
        <f t="shared" si="85"/>
        <v>12.122999999999999</v>
      </c>
      <c r="AF1383" s="24">
        <f t="shared" si="86"/>
        <v>0</v>
      </c>
      <c r="AG1383" s="23">
        <f t="shared" si="87"/>
        <v>1</v>
      </c>
    </row>
    <row r="1384" spans="1:33" ht="12.5" customHeight="1" x14ac:dyDescent="0.25">
      <c r="A1384" s="12" t="s">
        <v>31</v>
      </c>
      <c r="B1384" s="9">
        <v>46195</v>
      </c>
      <c r="C1384" s="8" t="s">
        <v>2165</v>
      </c>
      <c r="D1384" s="10" t="s">
        <v>2166</v>
      </c>
      <c r="E1384" s="10" t="s">
        <v>51</v>
      </c>
      <c r="F1384" s="10" t="s">
        <v>35</v>
      </c>
      <c r="G1384" s="10" t="s">
        <v>3146</v>
      </c>
      <c r="H1384" s="8" t="s">
        <v>36</v>
      </c>
      <c r="I1384" s="11">
        <v>13.48</v>
      </c>
      <c r="J1384" s="6">
        <v>12.36116</v>
      </c>
      <c r="K1384" s="6">
        <v>0.91699999999999993</v>
      </c>
      <c r="L1384" s="6">
        <v>12.91</v>
      </c>
      <c r="M1384" s="11">
        <v>11.838469999999999</v>
      </c>
      <c r="N1384" s="11">
        <f t="shared" si="84"/>
        <v>11.838999999999999</v>
      </c>
      <c r="O1384" s="6">
        <v>0.91699999999999993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0.56999999999999995</v>
      </c>
      <c r="Z1384" s="6">
        <v>0.52268999999999999</v>
      </c>
      <c r="AA1384" s="6">
        <v>0.91700000000000004</v>
      </c>
      <c r="AB1384" s="6">
        <v>-0.57000000000000028</v>
      </c>
      <c r="AC1384" s="6">
        <v>0.57000000000000028</v>
      </c>
      <c r="AD1384" s="22" t="s">
        <v>3140</v>
      </c>
      <c r="AE1384" s="23">
        <f t="shared" si="85"/>
        <v>11.838999999999999</v>
      </c>
      <c r="AF1384" s="24">
        <f t="shared" si="86"/>
        <v>0</v>
      </c>
      <c r="AG1384" s="23">
        <f t="shared" si="87"/>
        <v>1</v>
      </c>
    </row>
    <row r="1385" spans="1:33" ht="12.5" hidden="1" customHeight="1" x14ac:dyDescent="0.25">
      <c r="A1385" s="12" t="s">
        <v>31</v>
      </c>
      <c r="B1385" s="9">
        <v>46195</v>
      </c>
      <c r="C1385" s="13" t="s">
        <v>2165</v>
      </c>
      <c r="D1385" s="10" t="s">
        <v>2167</v>
      </c>
      <c r="E1385" s="10" t="s">
        <v>51</v>
      </c>
      <c r="F1385" s="10" t="s">
        <v>35</v>
      </c>
      <c r="G1385" s="10" t="s">
        <v>3145</v>
      </c>
      <c r="H1385" s="8" t="s">
        <v>48</v>
      </c>
      <c r="I1385" s="11">
        <v>28.32</v>
      </c>
      <c r="J1385" s="6">
        <v>21.24</v>
      </c>
      <c r="K1385" s="6">
        <v>0.74999999999999989</v>
      </c>
      <c r="L1385" s="6">
        <v>26.86</v>
      </c>
      <c r="M1385" s="11">
        <v>20.145</v>
      </c>
      <c r="N1385" s="11">
        <f t="shared" si="84"/>
        <v>20.145</v>
      </c>
      <c r="O1385" s="6">
        <v>0.75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1.46</v>
      </c>
      <c r="Z1385" s="6">
        <v>1.095</v>
      </c>
      <c r="AA1385" s="6">
        <v>0.75</v>
      </c>
      <c r="AB1385" s="6">
        <v>-1.4600000000000009</v>
      </c>
      <c r="AC1385" s="6">
        <v>1.4600000000000009</v>
      </c>
      <c r="AD1385" s="22" t="s">
        <v>3140</v>
      </c>
      <c r="AE1385" s="23">
        <f t="shared" si="85"/>
        <v>20.145</v>
      </c>
      <c r="AF1385" s="24">
        <f t="shared" si="86"/>
        <v>0</v>
      </c>
      <c r="AG1385" s="23">
        <f t="shared" si="87"/>
        <v>1</v>
      </c>
    </row>
    <row r="1386" spans="1:33" ht="12.5" customHeight="1" x14ac:dyDescent="0.25">
      <c r="A1386" s="12" t="s">
        <v>31</v>
      </c>
      <c r="B1386" s="9">
        <v>46195</v>
      </c>
      <c r="C1386" s="8" t="s">
        <v>2168</v>
      </c>
      <c r="D1386" s="10" t="s">
        <v>2147</v>
      </c>
      <c r="E1386" s="10" t="s">
        <v>51</v>
      </c>
      <c r="F1386" s="10" t="s">
        <v>35</v>
      </c>
      <c r="G1386" s="10" t="s">
        <v>3146</v>
      </c>
      <c r="H1386" s="8" t="s">
        <v>36</v>
      </c>
      <c r="I1386" s="11">
        <v>207.61</v>
      </c>
      <c r="J1386" s="6">
        <v>190.37836999999999</v>
      </c>
      <c r="K1386" s="6">
        <v>0.91699999999999993</v>
      </c>
      <c r="L1386" s="6">
        <v>207.28</v>
      </c>
      <c r="M1386" s="11">
        <v>190.07576</v>
      </c>
      <c r="N1386" s="11">
        <f t="shared" si="84"/>
        <v>190.07599999999999</v>
      </c>
      <c r="O1386" s="6">
        <v>0.91700000000000004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0.33</v>
      </c>
      <c r="Z1386" s="6">
        <v>0.30260999999999999</v>
      </c>
      <c r="AA1386" s="6">
        <v>0.91699999999999993</v>
      </c>
      <c r="AB1386" s="6">
        <v>-0.33000000000001251</v>
      </c>
      <c r="AC1386" s="6">
        <v>0.33000000000001251</v>
      </c>
      <c r="AD1386" s="22" t="s">
        <v>3140</v>
      </c>
      <c r="AE1386" s="23">
        <f t="shared" si="85"/>
        <v>190.07599999999999</v>
      </c>
      <c r="AF1386" s="24">
        <f t="shared" si="86"/>
        <v>0</v>
      </c>
      <c r="AG1386" s="23">
        <f t="shared" si="87"/>
        <v>2</v>
      </c>
    </row>
    <row r="1387" spans="1:33" ht="12.5" hidden="1" customHeight="1" x14ac:dyDescent="0.25">
      <c r="A1387" s="12" t="s">
        <v>31</v>
      </c>
      <c r="B1387" s="9">
        <v>46195</v>
      </c>
      <c r="C1387" s="12" t="s">
        <v>2168</v>
      </c>
      <c r="D1387" s="10" t="s">
        <v>2169</v>
      </c>
      <c r="E1387" s="10" t="s">
        <v>51</v>
      </c>
      <c r="F1387" s="10" t="s">
        <v>35</v>
      </c>
      <c r="G1387" s="10" t="s">
        <v>3145</v>
      </c>
      <c r="H1387" s="8" t="s">
        <v>48</v>
      </c>
      <c r="I1387" s="11">
        <v>17.510000000000002</v>
      </c>
      <c r="J1387" s="6">
        <v>13.1325</v>
      </c>
      <c r="K1387" s="6">
        <v>0.75</v>
      </c>
      <c r="L1387" s="6">
        <v>15.43</v>
      </c>
      <c r="M1387" s="11">
        <v>11.5725</v>
      </c>
      <c r="N1387" s="11">
        <f t="shared" si="84"/>
        <v>11.572999999999999</v>
      </c>
      <c r="O1387" s="6">
        <v>0.75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2.08</v>
      </c>
      <c r="Z1387" s="6">
        <v>1.56</v>
      </c>
      <c r="AA1387" s="6">
        <v>0.75</v>
      </c>
      <c r="AB1387" s="6">
        <v>-2.0800000000000018</v>
      </c>
      <c r="AC1387" s="6">
        <v>2.0800000000000018</v>
      </c>
      <c r="AD1387" s="22" t="s">
        <v>3140</v>
      </c>
      <c r="AE1387" s="23">
        <f t="shared" si="85"/>
        <v>11.572999999999999</v>
      </c>
      <c r="AF1387" s="24">
        <f t="shared" si="86"/>
        <v>0</v>
      </c>
      <c r="AG1387" s="23">
        <f t="shared" si="87"/>
        <v>1</v>
      </c>
    </row>
    <row r="1388" spans="1:33" ht="12.5" customHeight="1" x14ac:dyDescent="0.25">
      <c r="A1388" s="12" t="s">
        <v>31</v>
      </c>
      <c r="B1388" s="9">
        <v>46195</v>
      </c>
      <c r="C1388" s="12" t="s">
        <v>2168</v>
      </c>
      <c r="D1388" s="10" t="s">
        <v>2170</v>
      </c>
      <c r="E1388" s="10" t="s">
        <v>51</v>
      </c>
      <c r="F1388" s="10" t="s">
        <v>35</v>
      </c>
      <c r="G1388" s="10" t="s">
        <v>3146</v>
      </c>
      <c r="H1388" s="8" t="s">
        <v>36</v>
      </c>
      <c r="I1388" s="11">
        <v>4.6100000000000003</v>
      </c>
      <c r="J1388" s="6">
        <v>4.2273699999999996</v>
      </c>
      <c r="K1388" s="6">
        <v>0.91699999999999982</v>
      </c>
      <c r="L1388" s="6">
        <v>4.2699999999999996</v>
      </c>
      <c r="M1388" s="11">
        <v>3.9155899999999999</v>
      </c>
      <c r="N1388" s="11">
        <f t="shared" si="84"/>
        <v>3.9159999999999999</v>
      </c>
      <c r="O1388" s="6">
        <v>0.91700000000000004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0.34</v>
      </c>
      <c r="Z1388" s="6">
        <v>0.31178</v>
      </c>
      <c r="AA1388" s="6">
        <v>0.91699999999999993</v>
      </c>
      <c r="AB1388" s="6">
        <v>-0.34000000000000075</v>
      </c>
      <c r="AC1388" s="6">
        <v>0.34000000000000075</v>
      </c>
      <c r="AD1388" s="23" t="s">
        <v>3143</v>
      </c>
      <c r="AE1388" s="23">
        <f t="shared" si="85"/>
        <v>3.4299999999999997</v>
      </c>
      <c r="AF1388" s="24">
        <f t="shared" si="86"/>
        <v>0.48600000000000021</v>
      </c>
      <c r="AG1388" s="23">
        <f t="shared" si="87"/>
        <v>2</v>
      </c>
    </row>
    <row r="1389" spans="1:33" ht="12.5" customHeight="1" x14ac:dyDescent="0.25">
      <c r="A1389" s="12" t="s">
        <v>31</v>
      </c>
      <c r="B1389" s="9">
        <v>46195</v>
      </c>
      <c r="C1389" s="13" t="s">
        <v>2168</v>
      </c>
      <c r="D1389" s="10" t="s">
        <v>2171</v>
      </c>
      <c r="E1389" s="10" t="s">
        <v>51</v>
      </c>
      <c r="F1389" s="10" t="s">
        <v>35</v>
      </c>
      <c r="G1389" s="10" t="s">
        <v>3146</v>
      </c>
      <c r="H1389" s="8" t="s">
        <v>36</v>
      </c>
      <c r="I1389" s="11">
        <v>4.42</v>
      </c>
      <c r="J1389" s="6">
        <v>4.05314</v>
      </c>
      <c r="K1389" s="6">
        <v>0.91700000000000004</v>
      </c>
      <c r="L1389" s="6">
        <v>4.22</v>
      </c>
      <c r="M1389" s="11">
        <v>3.8697400000000002</v>
      </c>
      <c r="N1389" s="11">
        <f t="shared" si="84"/>
        <v>3.87</v>
      </c>
      <c r="O1389" s="6">
        <v>0.91700000000000015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0.2</v>
      </c>
      <c r="Z1389" s="6">
        <v>0.18340000000000001</v>
      </c>
      <c r="AA1389" s="6">
        <v>0.91700000000000004</v>
      </c>
      <c r="AB1389" s="6">
        <v>-0.20000000000000018</v>
      </c>
      <c r="AC1389" s="6">
        <v>0.20000000000000018</v>
      </c>
      <c r="AD1389" s="23" t="s">
        <v>3143</v>
      </c>
      <c r="AE1389" s="23">
        <f t="shared" si="85"/>
        <v>2.9990000000000001</v>
      </c>
      <c r="AF1389" s="24">
        <f t="shared" si="86"/>
        <v>0.871</v>
      </c>
      <c r="AG1389" s="23">
        <f t="shared" si="87"/>
        <v>2</v>
      </c>
    </row>
    <row r="1390" spans="1:33" x14ac:dyDescent="0.25">
      <c r="A1390" s="12" t="s">
        <v>31</v>
      </c>
      <c r="B1390" s="9">
        <v>46195</v>
      </c>
      <c r="C1390" s="10" t="s">
        <v>2172</v>
      </c>
      <c r="D1390" s="10" t="s">
        <v>2173</v>
      </c>
      <c r="E1390" s="10" t="s">
        <v>51</v>
      </c>
      <c r="F1390" s="10" t="s">
        <v>35</v>
      </c>
      <c r="G1390" s="10" t="s">
        <v>3146</v>
      </c>
      <c r="H1390" s="8" t="s">
        <v>36</v>
      </c>
      <c r="I1390" s="11">
        <v>4.18</v>
      </c>
      <c r="J1390" s="6">
        <v>3.8330600000000001</v>
      </c>
      <c r="K1390" s="6">
        <v>0.91700000000000015</v>
      </c>
      <c r="L1390" s="6">
        <v>3.95</v>
      </c>
      <c r="M1390" s="11">
        <v>3.62215</v>
      </c>
      <c r="N1390" s="11">
        <f t="shared" si="84"/>
        <v>3.6229999999999998</v>
      </c>
      <c r="O1390" s="6">
        <v>0.91699999999999993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0.23</v>
      </c>
      <c r="Z1390" s="6">
        <v>0.21090999999999999</v>
      </c>
      <c r="AA1390" s="6">
        <v>0.91699999999999993</v>
      </c>
      <c r="AB1390" s="6">
        <v>-0.22999999999999954</v>
      </c>
      <c r="AC1390" s="6">
        <v>0.22999999999999954</v>
      </c>
      <c r="AD1390" s="23" t="s">
        <v>3143</v>
      </c>
      <c r="AE1390" s="23">
        <f t="shared" si="85"/>
        <v>3.0269999999999997</v>
      </c>
      <c r="AF1390" s="24">
        <f t="shared" si="86"/>
        <v>0.59600000000000009</v>
      </c>
      <c r="AG1390" s="23">
        <f t="shared" si="87"/>
        <v>3</v>
      </c>
    </row>
    <row r="1391" spans="1:33" ht="12.5" customHeight="1" x14ac:dyDescent="0.25">
      <c r="A1391" s="12" t="s">
        <v>31</v>
      </c>
      <c r="B1391" s="9">
        <v>46195</v>
      </c>
      <c r="C1391" s="8" t="s">
        <v>2174</v>
      </c>
      <c r="D1391" s="10" t="s">
        <v>2175</v>
      </c>
      <c r="E1391" s="10" t="s">
        <v>51</v>
      </c>
      <c r="F1391" s="10" t="s">
        <v>35</v>
      </c>
      <c r="G1391" s="10" t="s">
        <v>3146</v>
      </c>
      <c r="H1391" s="8" t="s">
        <v>36</v>
      </c>
      <c r="I1391" s="11">
        <v>44.1</v>
      </c>
      <c r="J1391" s="6">
        <v>40.439700000000002</v>
      </c>
      <c r="K1391" s="6">
        <v>0.91700000000000004</v>
      </c>
      <c r="L1391" s="6">
        <v>40.58</v>
      </c>
      <c r="M1391" s="11">
        <v>37.211860000000001</v>
      </c>
      <c r="N1391" s="11">
        <f t="shared" si="84"/>
        <v>37.211999999999996</v>
      </c>
      <c r="O1391" s="6">
        <v>0.91700000000000004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3.52</v>
      </c>
      <c r="Z1391" s="6">
        <v>3.22784</v>
      </c>
      <c r="AA1391" s="6">
        <v>0.91700000000000004</v>
      </c>
      <c r="AB1391" s="6">
        <v>-3.5200000000000031</v>
      </c>
      <c r="AC1391" s="6">
        <v>3.5200000000000031</v>
      </c>
      <c r="AD1391" s="22" t="s">
        <v>3140</v>
      </c>
      <c r="AE1391" s="23">
        <f t="shared" si="85"/>
        <v>37.211999999999996</v>
      </c>
      <c r="AF1391" s="24">
        <f t="shared" si="86"/>
        <v>0</v>
      </c>
      <c r="AG1391" s="23">
        <f t="shared" si="87"/>
        <v>1</v>
      </c>
    </row>
    <row r="1392" spans="1:33" ht="12.5" customHeight="1" x14ac:dyDescent="0.25">
      <c r="A1392" s="12" t="s">
        <v>31</v>
      </c>
      <c r="B1392" s="9">
        <v>46195</v>
      </c>
      <c r="C1392" s="13" t="s">
        <v>2174</v>
      </c>
      <c r="D1392" s="10" t="s">
        <v>2176</v>
      </c>
      <c r="E1392" s="10" t="s">
        <v>51</v>
      </c>
      <c r="F1392" s="10" t="s">
        <v>35</v>
      </c>
      <c r="G1392" s="10" t="s">
        <v>3146</v>
      </c>
      <c r="H1392" s="8" t="s">
        <v>36</v>
      </c>
      <c r="I1392" s="11">
        <v>24.77</v>
      </c>
      <c r="J1392" s="6">
        <v>22.714089999999999</v>
      </c>
      <c r="K1392" s="6">
        <v>0.91699999999999993</v>
      </c>
      <c r="L1392" s="6">
        <v>23.7</v>
      </c>
      <c r="M1392" s="11">
        <v>21.732900000000001</v>
      </c>
      <c r="N1392" s="11">
        <f t="shared" si="84"/>
        <v>21.733000000000001</v>
      </c>
      <c r="O1392" s="6">
        <v>0.91700000000000004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1.07</v>
      </c>
      <c r="Z1392" s="6">
        <v>0.98119000000000001</v>
      </c>
      <c r="AA1392" s="6">
        <v>0.91699999999999993</v>
      </c>
      <c r="AB1392" s="6">
        <v>-1.0700000000000003</v>
      </c>
      <c r="AC1392" s="6">
        <v>1.0700000000000003</v>
      </c>
      <c r="AD1392" s="22" t="s">
        <v>3140</v>
      </c>
      <c r="AE1392" s="23">
        <f t="shared" si="85"/>
        <v>21.733000000000001</v>
      </c>
      <c r="AF1392" s="24">
        <f t="shared" si="86"/>
        <v>0</v>
      </c>
      <c r="AG1392" s="23">
        <f t="shared" si="87"/>
        <v>1</v>
      </c>
    </row>
    <row r="1393" spans="1:33" x14ac:dyDescent="0.25">
      <c r="A1393" s="12" t="s">
        <v>31</v>
      </c>
      <c r="B1393" s="9">
        <v>46195</v>
      </c>
      <c r="C1393" s="10" t="s">
        <v>2177</v>
      </c>
      <c r="D1393" s="10" t="s">
        <v>2178</v>
      </c>
      <c r="E1393" s="10" t="s">
        <v>51</v>
      </c>
      <c r="F1393" s="10" t="s">
        <v>35</v>
      </c>
      <c r="G1393" s="10" t="s">
        <v>3146</v>
      </c>
      <c r="H1393" s="8" t="s">
        <v>36</v>
      </c>
      <c r="I1393" s="11">
        <v>142.51</v>
      </c>
      <c r="J1393" s="6">
        <v>130.68167</v>
      </c>
      <c r="K1393" s="6">
        <v>0.91700000000000004</v>
      </c>
      <c r="L1393" s="6">
        <v>135.01</v>
      </c>
      <c r="M1393" s="11">
        <v>123.80417</v>
      </c>
      <c r="N1393" s="11">
        <f t="shared" si="84"/>
        <v>123.80500000000001</v>
      </c>
      <c r="O1393" s="6">
        <v>0.91700000000000004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7.5</v>
      </c>
      <c r="Z1393" s="6">
        <v>6.8775000000000004</v>
      </c>
      <c r="AA1393" s="6">
        <v>0.91700000000000004</v>
      </c>
      <c r="AB1393" s="6">
        <v>-7.5</v>
      </c>
      <c r="AC1393" s="6">
        <v>7.5</v>
      </c>
      <c r="AD1393" s="22" t="s">
        <v>3140</v>
      </c>
      <c r="AE1393" s="23">
        <f t="shared" si="85"/>
        <v>123.80500000000001</v>
      </c>
      <c r="AF1393" s="24">
        <f t="shared" si="86"/>
        <v>0</v>
      </c>
      <c r="AG1393" s="23">
        <f t="shared" si="87"/>
        <v>1</v>
      </c>
    </row>
    <row r="1394" spans="1:33" x14ac:dyDescent="0.25">
      <c r="A1394" s="12" t="s">
        <v>31</v>
      </c>
      <c r="B1394" s="9">
        <v>46195</v>
      </c>
      <c r="C1394" s="10" t="s">
        <v>2179</v>
      </c>
      <c r="D1394" s="10" t="s">
        <v>2180</v>
      </c>
      <c r="E1394" s="10" t="s">
        <v>51</v>
      </c>
      <c r="F1394" s="10" t="s">
        <v>35</v>
      </c>
      <c r="G1394" s="10" t="s">
        <v>3146</v>
      </c>
      <c r="H1394" s="8" t="s">
        <v>36</v>
      </c>
      <c r="I1394" s="11">
        <v>363.69</v>
      </c>
      <c r="J1394" s="6">
        <v>333.50373000000002</v>
      </c>
      <c r="K1394" s="6">
        <v>0.91700000000000004</v>
      </c>
      <c r="L1394" s="6">
        <v>363.69</v>
      </c>
      <c r="M1394" s="11">
        <v>333.50373000000002</v>
      </c>
      <c r="N1394" s="11">
        <f t="shared" si="84"/>
        <v>333.50399999999996</v>
      </c>
      <c r="O1394" s="6">
        <v>0.91700000000000004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22" t="s">
        <v>3140</v>
      </c>
      <c r="AE1394" s="23">
        <f t="shared" si="85"/>
        <v>333.50399999999996</v>
      </c>
      <c r="AF1394" s="24">
        <f t="shared" si="86"/>
        <v>0</v>
      </c>
      <c r="AG1394" s="23">
        <f t="shared" si="87"/>
        <v>3</v>
      </c>
    </row>
    <row r="1395" spans="1:33" ht="12.5" customHeight="1" x14ac:dyDescent="0.25">
      <c r="A1395" s="12" t="s">
        <v>31</v>
      </c>
      <c r="B1395" s="9">
        <v>46195</v>
      </c>
      <c r="C1395" s="8" t="s">
        <v>2181</v>
      </c>
      <c r="D1395" s="10" t="s">
        <v>2182</v>
      </c>
      <c r="E1395" s="10" t="s">
        <v>51</v>
      </c>
      <c r="F1395" s="10" t="s">
        <v>35</v>
      </c>
      <c r="G1395" s="10" t="s">
        <v>3146</v>
      </c>
      <c r="H1395" s="8" t="s">
        <v>36</v>
      </c>
      <c r="I1395" s="11">
        <v>58.22</v>
      </c>
      <c r="J1395" s="6">
        <v>53.387740000000001</v>
      </c>
      <c r="K1395" s="6">
        <v>0.91700000000000004</v>
      </c>
      <c r="L1395" s="6">
        <v>51.55</v>
      </c>
      <c r="M1395" s="11">
        <v>47.271349999999998</v>
      </c>
      <c r="N1395" s="11">
        <f t="shared" si="84"/>
        <v>47.271999999999998</v>
      </c>
      <c r="O1395" s="6">
        <v>0.91700000000000004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6.67</v>
      </c>
      <c r="Z1395" s="6">
        <v>6.11639</v>
      </c>
      <c r="AA1395" s="6">
        <v>0.91700000000000004</v>
      </c>
      <c r="AB1395" s="6">
        <v>-6.6700000000000017</v>
      </c>
      <c r="AC1395" s="6">
        <v>6.6700000000000017</v>
      </c>
      <c r="AD1395" s="22" t="s">
        <v>3140</v>
      </c>
      <c r="AE1395" s="23">
        <f t="shared" si="85"/>
        <v>47.271999999999998</v>
      </c>
      <c r="AF1395" s="24">
        <f t="shared" si="86"/>
        <v>0</v>
      </c>
      <c r="AG1395" s="23">
        <f t="shared" si="87"/>
        <v>1</v>
      </c>
    </row>
    <row r="1396" spans="1:33" ht="12.5" customHeight="1" x14ac:dyDescent="0.25">
      <c r="A1396" s="12" t="s">
        <v>31</v>
      </c>
      <c r="B1396" s="9">
        <v>46195</v>
      </c>
      <c r="C1396" s="12" t="s">
        <v>2181</v>
      </c>
      <c r="D1396" s="10" t="s">
        <v>2183</v>
      </c>
      <c r="E1396" s="10" t="s">
        <v>51</v>
      </c>
      <c r="F1396" s="10" t="s">
        <v>35</v>
      </c>
      <c r="G1396" s="10" t="s">
        <v>3146</v>
      </c>
      <c r="H1396" s="8" t="s">
        <v>36</v>
      </c>
      <c r="I1396" s="11">
        <v>33.979999999999997</v>
      </c>
      <c r="J1396" s="6">
        <v>31.159659999999999</v>
      </c>
      <c r="K1396" s="6">
        <v>0.91700000000000004</v>
      </c>
      <c r="L1396" s="6">
        <v>33.25</v>
      </c>
      <c r="M1396" s="11">
        <v>30.49025</v>
      </c>
      <c r="N1396" s="11">
        <f t="shared" si="84"/>
        <v>30.491</v>
      </c>
      <c r="O1396" s="6">
        <v>0.91700000000000004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0.73</v>
      </c>
      <c r="Z1396" s="6">
        <v>0.66940999999999995</v>
      </c>
      <c r="AA1396" s="6">
        <v>0.91699999999999993</v>
      </c>
      <c r="AB1396" s="6">
        <v>-0.72999999999999687</v>
      </c>
      <c r="AC1396" s="6">
        <v>0.72999999999999687</v>
      </c>
      <c r="AD1396" s="22" t="s">
        <v>3140</v>
      </c>
      <c r="AE1396" s="23">
        <f t="shared" si="85"/>
        <v>30.491</v>
      </c>
      <c r="AF1396" s="24">
        <f t="shared" si="86"/>
        <v>0</v>
      </c>
      <c r="AG1396" s="23">
        <f t="shared" si="87"/>
        <v>1</v>
      </c>
    </row>
    <row r="1397" spans="1:33" ht="12.5" customHeight="1" x14ac:dyDescent="0.25">
      <c r="A1397" s="12" t="s">
        <v>31</v>
      </c>
      <c r="B1397" s="9">
        <v>46195</v>
      </c>
      <c r="C1397" s="12" t="s">
        <v>2181</v>
      </c>
      <c r="D1397" s="10" t="s">
        <v>2184</v>
      </c>
      <c r="E1397" s="10" t="s">
        <v>51</v>
      </c>
      <c r="F1397" s="10" t="s">
        <v>35</v>
      </c>
      <c r="G1397" s="10" t="s">
        <v>3146</v>
      </c>
      <c r="H1397" s="8" t="s">
        <v>36</v>
      </c>
      <c r="I1397" s="11">
        <v>7.53</v>
      </c>
      <c r="J1397" s="6">
        <v>6.9050099999999999</v>
      </c>
      <c r="K1397" s="6">
        <v>0.91699999999999993</v>
      </c>
      <c r="L1397" s="6">
        <v>6.85</v>
      </c>
      <c r="M1397" s="11">
        <v>6.2814500000000004</v>
      </c>
      <c r="N1397" s="11">
        <f t="shared" si="84"/>
        <v>6.282</v>
      </c>
      <c r="O1397" s="6">
        <v>0.91700000000000015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0.68</v>
      </c>
      <c r="Z1397" s="6">
        <v>0.62356</v>
      </c>
      <c r="AA1397" s="6">
        <v>0.91699999999999993</v>
      </c>
      <c r="AB1397" s="6">
        <v>-0.6800000000000006</v>
      </c>
      <c r="AC1397" s="6">
        <v>0.6800000000000006</v>
      </c>
      <c r="AD1397" s="22" t="s">
        <v>3140</v>
      </c>
      <c r="AE1397" s="23">
        <f t="shared" si="85"/>
        <v>6.282</v>
      </c>
      <c r="AF1397" s="24">
        <f t="shared" si="86"/>
        <v>0</v>
      </c>
      <c r="AG1397" s="23">
        <f t="shared" si="87"/>
        <v>1</v>
      </c>
    </row>
    <row r="1398" spans="1:33" ht="12.5" hidden="1" customHeight="1" x14ac:dyDescent="0.25">
      <c r="A1398" s="12" t="s">
        <v>31</v>
      </c>
      <c r="B1398" s="9">
        <v>46195</v>
      </c>
      <c r="C1398" s="12" t="s">
        <v>2181</v>
      </c>
      <c r="D1398" s="10" t="s">
        <v>2185</v>
      </c>
      <c r="E1398" s="10" t="s">
        <v>51</v>
      </c>
      <c r="F1398" s="10" t="s">
        <v>35</v>
      </c>
      <c r="G1398" s="10" t="s">
        <v>3145</v>
      </c>
      <c r="H1398" s="8" t="s">
        <v>41</v>
      </c>
      <c r="I1398" s="11">
        <v>25.42</v>
      </c>
      <c r="J1398" s="6">
        <v>19.065000000000001</v>
      </c>
      <c r="K1398" s="6">
        <v>0.75</v>
      </c>
      <c r="L1398" s="6">
        <v>23.16</v>
      </c>
      <c r="M1398" s="11">
        <v>17.37</v>
      </c>
      <c r="N1398" s="11">
        <f t="shared" si="84"/>
        <v>17.37</v>
      </c>
      <c r="O1398" s="6">
        <v>0.75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2.2599999999999998</v>
      </c>
      <c r="Z1398" s="6">
        <v>1.6950000000000001</v>
      </c>
      <c r="AA1398" s="6">
        <v>0.75000000000000011</v>
      </c>
      <c r="AB1398" s="6">
        <v>-2.2600000000000016</v>
      </c>
      <c r="AC1398" s="6">
        <v>2.2600000000000016</v>
      </c>
      <c r="AD1398" s="22" t="s">
        <v>3140</v>
      </c>
      <c r="AE1398" s="23">
        <f t="shared" si="85"/>
        <v>17.37</v>
      </c>
      <c r="AF1398" s="24">
        <f t="shared" si="86"/>
        <v>0</v>
      </c>
      <c r="AG1398" s="23">
        <f t="shared" si="87"/>
        <v>1</v>
      </c>
    </row>
    <row r="1399" spans="1:33" ht="12.5" customHeight="1" x14ac:dyDescent="0.25">
      <c r="A1399" s="12" t="s">
        <v>31</v>
      </c>
      <c r="B1399" s="9">
        <v>46195</v>
      </c>
      <c r="C1399" s="13" t="s">
        <v>2181</v>
      </c>
      <c r="D1399" s="10" t="s">
        <v>2186</v>
      </c>
      <c r="E1399" s="10" t="s">
        <v>51</v>
      </c>
      <c r="F1399" s="10" t="s">
        <v>35</v>
      </c>
      <c r="G1399" s="10" t="s">
        <v>3146</v>
      </c>
      <c r="H1399" s="8" t="s">
        <v>36</v>
      </c>
      <c r="I1399" s="11">
        <v>20.23</v>
      </c>
      <c r="J1399" s="6">
        <v>18.550909999999998</v>
      </c>
      <c r="K1399" s="6">
        <v>0.91699999999999993</v>
      </c>
      <c r="L1399" s="6">
        <v>19.350000000000001</v>
      </c>
      <c r="M1399" s="11">
        <v>17.743950000000002</v>
      </c>
      <c r="N1399" s="11">
        <f t="shared" si="84"/>
        <v>17.744</v>
      </c>
      <c r="O1399" s="6">
        <v>0.91700000000000004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0.88</v>
      </c>
      <c r="Z1399" s="6">
        <v>0.80696000000000001</v>
      </c>
      <c r="AA1399" s="6">
        <v>0.91700000000000004</v>
      </c>
      <c r="AB1399" s="6">
        <v>-0.87999999999999901</v>
      </c>
      <c r="AC1399" s="6">
        <v>0.87999999999999901</v>
      </c>
      <c r="AD1399" s="22" t="s">
        <v>3140</v>
      </c>
      <c r="AE1399" s="23">
        <f t="shared" si="85"/>
        <v>17.744</v>
      </c>
      <c r="AF1399" s="24">
        <f t="shared" si="86"/>
        <v>0</v>
      </c>
      <c r="AG1399" s="23">
        <f t="shared" si="87"/>
        <v>1</v>
      </c>
    </row>
    <row r="1400" spans="1:33" ht="12.5" hidden="1" customHeight="1" x14ac:dyDescent="0.25">
      <c r="A1400" s="12" t="s">
        <v>31</v>
      </c>
      <c r="B1400" s="9">
        <v>46195</v>
      </c>
      <c r="C1400" s="8" t="s">
        <v>2187</v>
      </c>
      <c r="D1400" s="10" t="s">
        <v>2188</v>
      </c>
      <c r="E1400" s="10" t="s">
        <v>51</v>
      </c>
      <c r="F1400" s="10" t="s">
        <v>35</v>
      </c>
      <c r="G1400" s="10" t="s">
        <v>3145</v>
      </c>
      <c r="H1400" s="8" t="s">
        <v>48</v>
      </c>
      <c r="I1400" s="11">
        <v>4.0999999999999996</v>
      </c>
      <c r="J1400" s="6">
        <v>3.0750000000000002</v>
      </c>
      <c r="K1400" s="6">
        <v>0.75000000000000011</v>
      </c>
      <c r="L1400" s="6">
        <v>3.62</v>
      </c>
      <c r="M1400" s="11">
        <v>2.7149999999999999</v>
      </c>
      <c r="N1400" s="11">
        <f t="shared" si="84"/>
        <v>2.7149999999999999</v>
      </c>
      <c r="O1400" s="6">
        <v>0.74999999999999989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0.48</v>
      </c>
      <c r="Z1400" s="6">
        <v>0.36</v>
      </c>
      <c r="AA1400" s="6">
        <v>0.75</v>
      </c>
      <c r="AB1400" s="6">
        <v>-0.47999999999999954</v>
      </c>
      <c r="AC1400" s="6">
        <v>0.47999999999999954</v>
      </c>
      <c r="AD1400" s="22" t="s">
        <v>3140</v>
      </c>
      <c r="AE1400" s="23">
        <f t="shared" si="85"/>
        <v>2.7149999999999999</v>
      </c>
      <c r="AF1400" s="24">
        <f t="shared" si="86"/>
        <v>0</v>
      </c>
      <c r="AG1400" s="23">
        <f t="shared" si="87"/>
        <v>1</v>
      </c>
    </row>
    <row r="1401" spans="1:33" ht="12.5" hidden="1" customHeight="1" x14ac:dyDescent="0.25">
      <c r="A1401" s="12" t="s">
        <v>31</v>
      </c>
      <c r="B1401" s="9">
        <v>46195</v>
      </c>
      <c r="C1401" s="12" t="s">
        <v>2187</v>
      </c>
      <c r="D1401" s="10" t="s">
        <v>2189</v>
      </c>
      <c r="E1401" s="10" t="s">
        <v>51</v>
      </c>
      <c r="F1401" s="10" t="s">
        <v>35</v>
      </c>
      <c r="G1401" s="10" t="s">
        <v>3145</v>
      </c>
      <c r="H1401" s="8" t="s">
        <v>48</v>
      </c>
      <c r="I1401" s="11">
        <v>4.07</v>
      </c>
      <c r="J1401" s="6">
        <v>3.0525000000000002</v>
      </c>
      <c r="K1401" s="6">
        <v>0.75</v>
      </c>
      <c r="L1401" s="6">
        <v>3.68</v>
      </c>
      <c r="M1401" s="11">
        <v>2.76</v>
      </c>
      <c r="N1401" s="11">
        <f t="shared" si="84"/>
        <v>2.76</v>
      </c>
      <c r="O1401" s="6">
        <v>0.74999999999999989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0.39</v>
      </c>
      <c r="Z1401" s="6">
        <v>0.29249999999999998</v>
      </c>
      <c r="AA1401" s="6">
        <v>0.74999999999999989</v>
      </c>
      <c r="AB1401" s="6">
        <v>-0.39000000000000012</v>
      </c>
      <c r="AC1401" s="6">
        <v>0.39000000000000012</v>
      </c>
      <c r="AD1401" s="22" t="s">
        <v>3140</v>
      </c>
      <c r="AE1401" s="23">
        <f t="shared" si="85"/>
        <v>2.76</v>
      </c>
      <c r="AF1401" s="24">
        <f t="shared" si="86"/>
        <v>0</v>
      </c>
      <c r="AG1401" s="23">
        <f t="shared" si="87"/>
        <v>1</v>
      </c>
    </row>
    <row r="1402" spans="1:33" ht="12.5" customHeight="1" x14ac:dyDescent="0.25">
      <c r="A1402" s="12" t="s">
        <v>31</v>
      </c>
      <c r="B1402" s="9">
        <v>46195</v>
      </c>
      <c r="C1402" s="13" t="s">
        <v>2187</v>
      </c>
      <c r="D1402" s="10" t="s">
        <v>2190</v>
      </c>
      <c r="E1402" s="10" t="s">
        <v>51</v>
      </c>
      <c r="F1402" s="10" t="s">
        <v>35</v>
      </c>
      <c r="G1402" s="10" t="s">
        <v>3146</v>
      </c>
      <c r="H1402" s="8" t="s">
        <v>36</v>
      </c>
      <c r="I1402" s="11">
        <v>41.89</v>
      </c>
      <c r="J1402" s="6">
        <v>38.413130000000002</v>
      </c>
      <c r="K1402" s="6">
        <v>0.91700000000000004</v>
      </c>
      <c r="L1402" s="6">
        <v>39.21</v>
      </c>
      <c r="M1402" s="11">
        <v>35.955570000000002</v>
      </c>
      <c r="N1402" s="11">
        <f t="shared" si="84"/>
        <v>35.955999999999996</v>
      </c>
      <c r="O1402" s="6">
        <v>0.91700000000000004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2.68</v>
      </c>
      <c r="Z1402" s="6">
        <v>2.45756</v>
      </c>
      <c r="AA1402" s="6">
        <v>0.91699999999999993</v>
      </c>
      <c r="AB1402" s="6">
        <v>-2.68</v>
      </c>
      <c r="AC1402" s="6">
        <v>2.68</v>
      </c>
      <c r="AD1402" s="22" t="s">
        <v>3140</v>
      </c>
      <c r="AE1402" s="23">
        <f t="shared" si="85"/>
        <v>35.955999999999996</v>
      </c>
      <c r="AF1402" s="24">
        <f t="shared" si="86"/>
        <v>0</v>
      </c>
      <c r="AG1402" s="23">
        <f t="shared" si="87"/>
        <v>1</v>
      </c>
    </row>
    <row r="1403" spans="1:33" x14ac:dyDescent="0.25">
      <c r="A1403" s="12" t="s">
        <v>31</v>
      </c>
      <c r="B1403" s="9">
        <v>46195</v>
      </c>
      <c r="C1403" s="10" t="s">
        <v>2191</v>
      </c>
      <c r="D1403" s="10" t="s">
        <v>2059</v>
      </c>
      <c r="E1403" s="10" t="s">
        <v>51</v>
      </c>
      <c r="F1403" s="10" t="s">
        <v>35</v>
      </c>
      <c r="G1403" s="10" t="s">
        <v>3146</v>
      </c>
      <c r="H1403" s="8" t="s">
        <v>36</v>
      </c>
      <c r="I1403" s="11">
        <v>16.07</v>
      </c>
      <c r="J1403" s="6">
        <v>14.736190000000001</v>
      </c>
      <c r="K1403" s="6">
        <v>0.91700000000000004</v>
      </c>
      <c r="L1403" s="6">
        <v>16.07</v>
      </c>
      <c r="M1403" s="11">
        <v>14.736190000000001</v>
      </c>
      <c r="N1403" s="11">
        <f t="shared" si="84"/>
        <v>14.737</v>
      </c>
      <c r="O1403" s="6">
        <v>0.91700000000000004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22" t="s">
        <v>3140</v>
      </c>
      <c r="AE1403" s="23">
        <f t="shared" si="85"/>
        <v>14.737</v>
      </c>
      <c r="AF1403" s="24">
        <f t="shared" si="86"/>
        <v>0</v>
      </c>
      <c r="AG1403" s="23">
        <f t="shared" si="87"/>
        <v>2</v>
      </c>
    </row>
    <row r="1404" spans="1:33" ht="12.5" customHeight="1" x14ac:dyDescent="0.25">
      <c r="A1404" s="12" t="s">
        <v>31</v>
      </c>
      <c r="B1404" s="9">
        <v>46195</v>
      </c>
      <c r="C1404" s="8" t="s">
        <v>2192</v>
      </c>
      <c r="D1404" s="10" t="s">
        <v>2193</v>
      </c>
      <c r="E1404" s="10" t="s">
        <v>51</v>
      </c>
      <c r="F1404" s="10" t="s">
        <v>35</v>
      </c>
      <c r="G1404" s="10" t="s">
        <v>3146</v>
      </c>
      <c r="H1404" s="8" t="s">
        <v>36</v>
      </c>
      <c r="I1404" s="11">
        <v>54.03</v>
      </c>
      <c r="J1404" s="6">
        <v>49.54551</v>
      </c>
      <c r="K1404" s="6">
        <v>0.91700000000000004</v>
      </c>
      <c r="L1404" s="6">
        <v>51.03</v>
      </c>
      <c r="M1404" s="11">
        <v>46.794510000000002</v>
      </c>
      <c r="N1404" s="11">
        <f t="shared" si="84"/>
        <v>46.794999999999995</v>
      </c>
      <c r="O1404" s="6">
        <v>0.91700000000000004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3</v>
      </c>
      <c r="Z1404" s="6">
        <v>2.7509999999999999</v>
      </c>
      <c r="AA1404" s="6">
        <v>0.91699999999999993</v>
      </c>
      <c r="AB1404" s="6">
        <v>-3</v>
      </c>
      <c r="AC1404" s="6">
        <v>3</v>
      </c>
      <c r="AD1404" s="22" t="s">
        <v>3140</v>
      </c>
      <c r="AE1404" s="23">
        <f t="shared" si="85"/>
        <v>46.794999999999995</v>
      </c>
      <c r="AF1404" s="24">
        <f t="shared" si="86"/>
        <v>0</v>
      </c>
      <c r="AG1404" s="23">
        <f t="shared" si="87"/>
        <v>1</v>
      </c>
    </row>
    <row r="1405" spans="1:33" ht="12.5" customHeight="1" x14ac:dyDescent="0.25">
      <c r="A1405" s="12" t="s">
        <v>31</v>
      </c>
      <c r="B1405" s="9">
        <v>46195</v>
      </c>
      <c r="C1405" s="13" t="s">
        <v>2192</v>
      </c>
      <c r="D1405" s="10" t="s">
        <v>2194</v>
      </c>
      <c r="E1405" s="10" t="s">
        <v>51</v>
      </c>
      <c r="F1405" s="10" t="s">
        <v>35</v>
      </c>
      <c r="G1405" s="10" t="s">
        <v>3146</v>
      </c>
      <c r="H1405" s="8" t="s">
        <v>36</v>
      </c>
      <c r="I1405" s="11">
        <v>64.41</v>
      </c>
      <c r="J1405" s="6">
        <v>59.063969999999998</v>
      </c>
      <c r="K1405" s="6">
        <v>0.91700000000000004</v>
      </c>
      <c r="L1405" s="6">
        <v>57.52</v>
      </c>
      <c r="M1405" s="11">
        <v>52.745840000000001</v>
      </c>
      <c r="N1405" s="11">
        <f t="shared" si="84"/>
        <v>52.745999999999995</v>
      </c>
      <c r="O1405" s="6">
        <v>0.91699999999999993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6.89</v>
      </c>
      <c r="Z1405" s="6">
        <v>6.31813</v>
      </c>
      <c r="AA1405" s="6">
        <v>0.91700000000000004</v>
      </c>
      <c r="AB1405" s="6">
        <v>-6.8899999999999935</v>
      </c>
      <c r="AC1405" s="6">
        <v>6.8899999999999935</v>
      </c>
      <c r="AD1405" s="22" t="s">
        <v>3140</v>
      </c>
      <c r="AE1405" s="23">
        <f t="shared" si="85"/>
        <v>52.745999999999995</v>
      </c>
      <c r="AF1405" s="24">
        <f t="shared" si="86"/>
        <v>0</v>
      </c>
      <c r="AG1405" s="23">
        <f t="shared" si="87"/>
        <v>1</v>
      </c>
    </row>
    <row r="1406" spans="1:33" x14ac:dyDescent="0.25">
      <c r="A1406" s="12" t="s">
        <v>31</v>
      </c>
      <c r="B1406" s="9">
        <v>46195</v>
      </c>
      <c r="C1406" s="10" t="s">
        <v>2195</v>
      </c>
      <c r="D1406" s="10" t="s">
        <v>2196</v>
      </c>
      <c r="E1406" s="10" t="s">
        <v>51</v>
      </c>
      <c r="F1406" s="10" t="s">
        <v>35</v>
      </c>
      <c r="G1406" s="10" t="s">
        <v>3146</v>
      </c>
      <c r="H1406" s="8" t="s">
        <v>36</v>
      </c>
      <c r="I1406" s="11">
        <v>31.5</v>
      </c>
      <c r="J1406" s="6">
        <v>28.8855</v>
      </c>
      <c r="K1406" s="6">
        <v>0.91700000000000004</v>
      </c>
      <c r="L1406" s="6">
        <v>31.5</v>
      </c>
      <c r="M1406" s="11">
        <v>28.8855</v>
      </c>
      <c r="N1406" s="11">
        <f t="shared" si="84"/>
        <v>28.886000000000003</v>
      </c>
      <c r="O1406" s="6">
        <v>0.91700000000000004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23" t="s">
        <v>3143</v>
      </c>
      <c r="AE1406" s="23">
        <f t="shared" si="85"/>
        <v>27.024000000000001</v>
      </c>
      <c r="AF1406" s="24">
        <f t="shared" si="86"/>
        <v>1.8620000000000019</v>
      </c>
      <c r="AG1406" s="23">
        <f t="shared" si="87"/>
        <v>2</v>
      </c>
    </row>
    <row r="1407" spans="1:33" ht="12.5" hidden="1" customHeight="1" x14ac:dyDescent="0.25">
      <c r="A1407" s="12" t="s">
        <v>31</v>
      </c>
      <c r="B1407" s="9">
        <v>46195</v>
      </c>
      <c r="C1407" s="8" t="s">
        <v>2197</v>
      </c>
      <c r="D1407" s="8" t="s">
        <v>338</v>
      </c>
      <c r="E1407" s="8" t="s">
        <v>51</v>
      </c>
      <c r="F1407" s="8" t="s">
        <v>35</v>
      </c>
      <c r="G1407" s="10" t="s">
        <v>3145</v>
      </c>
      <c r="H1407" s="8" t="s">
        <v>48</v>
      </c>
      <c r="I1407" s="11">
        <v>9.83</v>
      </c>
      <c r="J1407" s="6">
        <v>7.3724999999999996</v>
      </c>
      <c r="K1407" s="6">
        <v>0.75</v>
      </c>
      <c r="L1407" s="6">
        <v>9.39</v>
      </c>
      <c r="M1407" s="11">
        <v>7.0425000000000004</v>
      </c>
      <c r="N1407" s="11">
        <f t="shared" si="84"/>
        <v>7.0430000000000001</v>
      </c>
      <c r="O1407" s="6">
        <v>0.75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0.44</v>
      </c>
      <c r="Z1407" s="6">
        <v>0.33</v>
      </c>
      <c r="AA1407" s="6">
        <v>0.75</v>
      </c>
      <c r="AB1407" s="6">
        <v>-0.4399999999999995</v>
      </c>
      <c r="AC1407" s="6">
        <v>0.4399999999999995</v>
      </c>
      <c r="AD1407" s="23" t="s">
        <v>3143</v>
      </c>
      <c r="AE1407" s="23">
        <f t="shared" si="85"/>
        <v>0</v>
      </c>
      <c r="AF1407" s="24">
        <f t="shared" si="86"/>
        <v>7.0430000000000001</v>
      </c>
      <c r="AG1407" s="23">
        <f t="shared" si="87"/>
        <v>67</v>
      </c>
    </row>
    <row r="1408" spans="1:33" ht="12.5" hidden="1" customHeight="1" x14ac:dyDescent="0.25">
      <c r="A1408" s="12" t="s">
        <v>31</v>
      </c>
      <c r="B1408" s="9">
        <v>46195</v>
      </c>
      <c r="C1408" s="12" t="s">
        <v>2197</v>
      </c>
      <c r="D1408" s="12" t="s">
        <v>338</v>
      </c>
      <c r="E1408" s="12" t="s">
        <v>51</v>
      </c>
      <c r="F1408" s="12" t="s">
        <v>35</v>
      </c>
      <c r="G1408" s="10" t="s">
        <v>3145</v>
      </c>
      <c r="H1408" s="8" t="s">
        <v>41</v>
      </c>
      <c r="I1408" s="11">
        <v>4.4800000000000004</v>
      </c>
      <c r="J1408" s="6">
        <v>3.36</v>
      </c>
      <c r="K1408" s="6">
        <v>0.74999999999999989</v>
      </c>
      <c r="L1408" s="6">
        <v>4.1900000000000004</v>
      </c>
      <c r="M1408" s="11">
        <v>3.1425000000000001</v>
      </c>
      <c r="N1408" s="11">
        <f t="shared" si="84"/>
        <v>3.1429999999999998</v>
      </c>
      <c r="O1408" s="6">
        <v>0.75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0.28999999999999998</v>
      </c>
      <c r="Z1408" s="6">
        <v>0.2175</v>
      </c>
      <c r="AA1408" s="6">
        <v>0.75</v>
      </c>
      <c r="AB1408" s="6">
        <v>-0.29000000000000004</v>
      </c>
      <c r="AC1408" s="6">
        <v>0.29000000000000004</v>
      </c>
      <c r="AD1408" s="23" t="s">
        <v>3143</v>
      </c>
      <c r="AE1408" s="23">
        <f t="shared" si="85"/>
        <v>0</v>
      </c>
      <c r="AF1408" s="24">
        <f t="shared" si="86"/>
        <v>3.1429999999999998</v>
      </c>
      <c r="AG1408" s="23">
        <f t="shared" si="87"/>
        <v>67</v>
      </c>
    </row>
    <row r="1409" spans="1:33" ht="12.5" customHeight="1" x14ac:dyDescent="0.25">
      <c r="A1409" s="12" t="s">
        <v>31</v>
      </c>
      <c r="B1409" s="9">
        <v>46195</v>
      </c>
      <c r="C1409" s="13" t="s">
        <v>2197</v>
      </c>
      <c r="D1409" s="13" t="s">
        <v>338</v>
      </c>
      <c r="E1409" s="13" t="s">
        <v>51</v>
      </c>
      <c r="F1409" s="13" t="s">
        <v>35</v>
      </c>
      <c r="G1409" s="10" t="s">
        <v>3146</v>
      </c>
      <c r="H1409" s="8" t="s">
        <v>36</v>
      </c>
      <c r="I1409" s="11">
        <v>18.41</v>
      </c>
      <c r="J1409" s="6">
        <v>16.881969999999999</v>
      </c>
      <c r="K1409" s="6">
        <v>0.91699999999999993</v>
      </c>
      <c r="L1409" s="6">
        <v>14.8</v>
      </c>
      <c r="M1409" s="11">
        <v>13.5716</v>
      </c>
      <c r="N1409" s="11">
        <f t="shared" si="84"/>
        <v>13.571999999999999</v>
      </c>
      <c r="O1409" s="6">
        <v>0.91699999999999993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3.61</v>
      </c>
      <c r="Z1409" s="6">
        <v>3.3103699999999998</v>
      </c>
      <c r="AA1409" s="6">
        <v>0.91699999999999993</v>
      </c>
      <c r="AB1409" s="6">
        <v>-3.6099999999999994</v>
      </c>
      <c r="AC1409" s="6">
        <v>3.6099999999999994</v>
      </c>
      <c r="AD1409" s="23" t="s">
        <v>3143</v>
      </c>
      <c r="AE1409" s="23">
        <f t="shared" si="85"/>
        <v>0</v>
      </c>
      <c r="AF1409" s="24">
        <f t="shared" si="86"/>
        <v>13.571999999999999</v>
      </c>
      <c r="AG1409" s="23">
        <f t="shared" si="87"/>
        <v>67</v>
      </c>
    </row>
    <row r="1410" spans="1:33" x14ac:dyDescent="0.25">
      <c r="A1410" s="12" t="s">
        <v>31</v>
      </c>
      <c r="B1410" s="9">
        <v>46195</v>
      </c>
      <c r="C1410" s="10" t="s">
        <v>2198</v>
      </c>
      <c r="D1410" s="10" t="s">
        <v>338</v>
      </c>
      <c r="E1410" s="10" t="s">
        <v>51</v>
      </c>
      <c r="F1410" s="10" t="s">
        <v>35</v>
      </c>
      <c r="G1410" s="10" t="s">
        <v>3146</v>
      </c>
      <c r="H1410" s="8" t="s">
        <v>36</v>
      </c>
      <c r="I1410" s="11">
        <v>2.2999999999999998</v>
      </c>
      <c r="J1410" s="6">
        <v>2.1091000000000002</v>
      </c>
      <c r="K1410" s="6">
        <v>0.91700000000000015</v>
      </c>
      <c r="L1410" s="6">
        <v>2.2799999999999998</v>
      </c>
      <c r="M1410" s="11">
        <v>2.09076</v>
      </c>
      <c r="N1410" s="11">
        <f t="shared" si="84"/>
        <v>2.0909999999999997</v>
      </c>
      <c r="O1410" s="6">
        <v>0.91700000000000004</v>
      </c>
      <c r="P1410" s="6">
        <v>0.02</v>
      </c>
      <c r="Q1410" s="6">
        <v>1.8339999999999999E-2</v>
      </c>
      <c r="R1410" s="6">
        <v>0.91699999999999993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-4.0000000000000022E-2</v>
      </c>
      <c r="AC1410" s="6">
        <v>1.7347234759768071E-17</v>
      </c>
      <c r="AD1410" s="23" t="s">
        <v>3143</v>
      </c>
      <c r="AE1410" s="23">
        <f t="shared" si="85"/>
        <v>0</v>
      </c>
      <c r="AF1410" s="24">
        <f t="shared" si="86"/>
        <v>2.0909999999999997</v>
      </c>
      <c r="AG1410" s="23">
        <f t="shared" si="87"/>
        <v>67</v>
      </c>
    </row>
    <row r="1411" spans="1:33" ht="12.5" customHeight="1" x14ac:dyDescent="0.25">
      <c r="A1411" s="12" t="s">
        <v>31</v>
      </c>
      <c r="B1411" s="9">
        <v>46196</v>
      </c>
      <c r="C1411" s="10" t="s">
        <v>2199</v>
      </c>
      <c r="D1411" s="10" t="s">
        <v>2200</v>
      </c>
      <c r="E1411" s="10" t="s">
        <v>34</v>
      </c>
      <c r="F1411" s="10" t="s">
        <v>35</v>
      </c>
      <c r="G1411" s="10" t="s">
        <v>3146</v>
      </c>
      <c r="H1411" s="8" t="s">
        <v>36</v>
      </c>
      <c r="I1411" s="11">
        <v>29.91</v>
      </c>
      <c r="J1411" s="6">
        <v>27.42747</v>
      </c>
      <c r="K1411" s="6">
        <v>0.91699999999999993</v>
      </c>
      <c r="L1411" s="6">
        <v>27.85</v>
      </c>
      <c r="M1411" s="11">
        <v>25.538450000000001</v>
      </c>
      <c r="N1411" s="11">
        <f t="shared" ref="N1411:N1474" si="88">ROUNDUP(M1411,3)</f>
        <v>25.539000000000001</v>
      </c>
      <c r="O1411" s="6">
        <v>0.91700000000000004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2.06</v>
      </c>
      <c r="Z1411" s="6">
        <v>1.8890199999999999</v>
      </c>
      <c r="AA1411" s="6">
        <v>0.91699999999999993</v>
      </c>
      <c r="AB1411" s="6">
        <v>-2.0599999999999987</v>
      </c>
      <c r="AC1411" s="6">
        <v>2.0599999999999987</v>
      </c>
      <c r="AD1411" s="22" t="s">
        <v>3140</v>
      </c>
      <c r="AE1411" s="23">
        <f t="shared" ref="AE1411:AE1474" si="89">_xlfn.MINIFS(N:N,D:D,D1411)</f>
        <v>25.539000000000001</v>
      </c>
      <c r="AF1411" s="24">
        <f t="shared" ref="AF1411:AF1474" si="90">N1411-AE1411</f>
        <v>0</v>
      </c>
      <c r="AG1411" s="23">
        <f t="shared" ref="AG1411:AG1474" si="91">COUNTIF(D:D,D1411)</f>
        <v>1</v>
      </c>
    </row>
    <row r="1412" spans="1:33" ht="12.5" hidden="1" customHeight="1" x14ac:dyDescent="0.25">
      <c r="A1412" s="12" t="s">
        <v>31</v>
      </c>
      <c r="B1412" s="9">
        <v>46196</v>
      </c>
      <c r="C1412" s="10" t="s">
        <v>2201</v>
      </c>
      <c r="D1412" s="10" t="s">
        <v>2202</v>
      </c>
      <c r="E1412" s="10" t="s">
        <v>34</v>
      </c>
      <c r="F1412" s="10" t="s">
        <v>35</v>
      </c>
      <c r="G1412" s="10" t="s">
        <v>3145</v>
      </c>
      <c r="H1412" s="8" t="s">
        <v>48</v>
      </c>
      <c r="I1412" s="11">
        <v>91.41</v>
      </c>
      <c r="J1412" s="6">
        <v>68.557500000000005</v>
      </c>
      <c r="K1412" s="6">
        <v>0.75000000000000011</v>
      </c>
      <c r="L1412" s="6">
        <v>84.16</v>
      </c>
      <c r="M1412" s="11">
        <v>63.12</v>
      </c>
      <c r="N1412" s="11">
        <f t="shared" si="88"/>
        <v>63.12</v>
      </c>
      <c r="O1412" s="6">
        <v>0.75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7.25</v>
      </c>
      <c r="Z1412" s="6">
        <v>5.4375</v>
      </c>
      <c r="AA1412" s="6">
        <v>0.75</v>
      </c>
      <c r="AB1412" s="6">
        <v>-7.25</v>
      </c>
      <c r="AC1412" s="6">
        <v>7.25</v>
      </c>
      <c r="AD1412" s="22" t="s">
        <v>3140</v>
      </c>
      <c r="AE1412" s="23">
        <f t="shared" si="89"/>
        <v>63.12</v>
      </c>
      <c r="AF1412" s="24">
        <f t="shared" si="90"/>
        <v>0</v>
      </c>
      <c r="AG1412" s="23">
        <f t="shared" si="91"/>
        <v>1</v>
      </c>
    </row>
    <row r="1413" spans="1:33" ht="12.5" customHeight="1" x14ac:dyDescent="0.25">
      <c r="A1413" s="12" t="s">
        <v>31</v>
      </c>
      <c r="B1413" s="9">
        <v>46196</v>
      </c>
      <c r="C1413" s="10" t="s">
        <v>2203</v>
      </c>
      <c r="D1413" s="10" t="s">
        <v>2204</v>
      </c>
      <c r="E1413" s="10" t="s">
        <v>34</v>
      </c>
      <c r="F1413" s="10" t="s">
        <v>35</v>
      </c>
      <c r="G1413" s="10" t="s">
        <v>3146</v>
      </c>
      <c r="H1413" s="8" t="s">
        <v>36</v>
      </c>
      <c r="I1413" s="11">
        <v>98.33</v>
      </c>
      <c r="J1413" s="6">
        <v>90.168610000000001</v>
      </c>
      <c r="K1413" s="6">
        <v>0.91700000000000004</v>
      </c>
      <c r="L1413" s="6">
        <v>93.59</v>
      </c>
      <c r="M1413" s="11">
        <v>85.822029999999998</v>
      </c>
      <c r="N1413" s="11">
        <f t="shared" si="88"/>
        <v>85.823000000000008</v>
      </c>
      <c r="O1413" s="6">
        <v>0.91699999999999993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4.74</v>
      </c>
      <c r="Z1413" s="6">
        <v>4.3465800000000003</v>
      </c>
      <c r="AA1413" s="6">
        <v>0.91700000000000004</v>
      </c>
      <c r="AB1413" s="6">
        <v>-4.7399999999999949</v>
      </c>
      <c r="AC1413" s="6">
        <v>4.7399999999999949</v>
      </c>
      <c r="AD1413" s="22" t="s">
        <v>3140</v>
      </c>
      <c r="AE1413" s="23">
        <f t="shared" si="89"/>
        <v>85.823000000000008</v>
      </c>
      <c r="AF1413" s="24">
        <f t="shared" si="90"/>
        <v>0</v>
      </c>
      <c r="AG1413" s="23">
        <f t="shared" si="91"/>
        <v>1</v>
      </c>
    </row>
    <row r="1414" spans="1:33" ht="12.5" customHeight="1" x14ac:dyDescent="0.25">
      <c r="A1414" s="12" t="s">
        <v>31</v>
      </c>
      <c r="B1414" s="9">
        <v>46196</v>
      </c>
      <c r="C1414" s="10" t="s">
        <v>2205</v>
      </c>
      <c r="D1414" s="10" t="s">
        <v>2206</v>
      </c>
      <c r="E1414" s="10" t="s">
        <v>34</v>
      </c>
      <c r="F1414" s="10" t="s">
        <v>35</v>
      </c>
      <c r="G1414" s="10" t="s">
        <v>3146</v>
      </c>
      <c r="H1414" s="8" t="s">
        <v>36</v>
      </c>
      <c r="I1414" s="11">
        <v>94.68</v>
      </c>
      <c r="J1414" s="6">
        <v>86.821560000000005</v>
      </c>
      <c r="K1414" s="6">
        <v>0.91700000000000004</v>
      </c>
      <c r="L1414" s="6">
        <v>90.21</v>
      </c>
      <c r="M1414" s="11">
        <v>82.722570000000005</v>
      </c>
      <c r="N1414" s="11">
        <f t="shared" si="88"/>
        <v>82.722999999999999</v>
      </c>
      <c r="O1414" s="6">
        <v>0.91700000000000015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4.47</v>
      </c>
      <c r="Z1414" s="6">
        <v>4.0989899999999997</v>
      </c>
      <c r="AA1414" s="6">
        <v>0.91699999999999993</v>
      </c>
      <c r="AB1414" s="6">
        <v>-4.4700000000000131</v>
      </c>
      <c r="AC1414" s="6">
        <v>4.4700000000000131</v>
      </c>
      <c r="AD1414" s="22" t="s">
        <v>3140</v>
      </c>
      <c r="AE1414" s="23">
        <f t="shared" si="89"/>
        <v>82.722999999999999</v>
      </c>
      <c r="AF1414" s="24">
        <f t="shared" si="90"/>
        <v>0</v>
      </c>
      <c r="AG1414" s="23">
        <f t="shared" si="91"/>
        <v>1</v>
      </c>
    </row>
    <row r="1415" spans="1:33" ht="12.5" customHeight="1" x14ac:dyDescent="0.25">
      <c r="A1415" s="12" t="s">
        <v>31</v>
      </c>
      <c r="B1415" s="9">
        <v>46196</v>
      </c>
      <c r="C1415" s="10" t="s">
        <v>2207</v>
      </c>
      <c r="D1415" s="10" t="s">
        <v>2208</v>
      </c>
      <c r="E1415" s="10" t="s">
        <v>34</v>
      </c>
      <c r="F1415" s="10" t="s">
        <v>35</v>
      </c>
      <c r="G1415" s="10" t="s">
        <v>3146</v>
      </c>
      <c r="H1415" s="8" t="s">
        <v>36</v>
      </c>
      <c r="I1415" s="11">
        <v>52.15</v>
      </c>
      <c r="J1415" s="6">
        <v>47.821550000000002</v>
      </c>
      <c r="K1415" s="6">
        <v>0.91700000000000004</v>
      </c>
      <c r="L1415" s="6">
        <v>48.9</v>
      </c>
      <c r="M1415" s="11">
        <v>44.841299999999997</v>
      </c>
      <c r="N1415" s="11">
        <f t="shared" si="88"/>
        <v>44.841999999999999</v>
      </c>
      <c r="O1415" s="6">
        <v>0.91699999999999993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3.25</v>
      </c>
      <c r="Z1415" s="6">
        <v>2.9802499999999998</v>
      </c>
      <c r="AA1415" s="6">
        <v>0.91699999999999993</v>
      </c>
      <c r="AB1415" s="6">
        <v>-3.25</v>
      </c>
      <c r="AC1415" s="6">
        <v>3.25</v>
      </c>
      <c r="AD1415" s="22" t="s">
        <v>3140</v>
      </c>
      <c r="AE1415" s="23">
        <f t="shared" si="89"/>
        <v>44.841999999999999</v>
      </c>
      <c r="AF1415" s="24">
        <f t="shared" si="90"/>
        <v>0</v>
      </c>
      <c r="AG1415" s="23">
        <f t="shared" si="91"/>
        <v>1</v>
      </c>
    </row>
    <row r="1416" spans="1:33" ht="12.5" customHeight="1" x14ac:dyDescent="0.25">
      <c r="A1416" s="12" t="s">
        <v>31</v>
      </c>
      <c r="B1416" s="9">
        <v>46196</v>
      </c>
      <c r="C1416" s="10" t="s">
        <v>2209</v>
      </c>
      <c r="D1416" s="10" t="s">
        <v>2210</v>
      </c>
      <c r="E1416" s="10" t="s">
        <v>34</v>
      </c>
      <c r="F1416" s="10" t="s">
        <v>35</v>
      </c>
      <c r="G1416" s="10" t="s">
        <v>3146</v>
      </c>
      <c r="H1416" s="8" t="s">
        <v>36</v>
      </c>
      <c r="I1416" s="11">
        <v>205.19</v>
      </c>
      <c r="J1416" s="6">
        <v>188.15923000000001</v>
      </c>
      <c r="K1416" s="6">
        <v>0.91700000000000004</v>
      </c>
      <c r="L1416" s="6">
        <v>191.42</v>
      </c>
      <c r="M1416" s="11">
        <v>175.53214</v>
      </c>
      <c r="N1416" s="11">
        <f t="shared" si="88"/>
        <v>175.53300000000002</v>
      </c>
      <c r="O1416" s="6">
        <v>0.91700000000000004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13.77</v>
      </c>
      <c r="Z1416" s="6">
        <v>12.627090000000001</v>
      </c>
      <c r="AA1416" s="6">
        <v>0.91700000000000004</v>
      </c>
      <c r="AB1416" s="6">
        <v>-13.77000000000001</v>
      </c>
      <c r="AC1416" s="6">
        <v>13.77000000000001</v>
      </c>
      <c r="AD1416" s="22" t="s">
        <v>3140</v>
      </c>
      <c r="AE1416" s="23">
        <f t="shared" si="89"/>
        <v>175.53300000000002</v>
      </c>
      <c r="AF1416" s="24">
        <f t="shared" si="90"/>
        <v>0</v>
      </c>
      <c r="AG1416" s="23">
        <f t="shared" si="91"/>
        <v>1</v>
      </c>
    </row>
    <row r="1417" spans="1:33" ht="12.5" customHeight="1" x14ac:dyDescent="0.25">
      <c r="A1417" s="12" t="s">
        <v>31</v>
      </c>
      <c r="B1417" s="9">
        <v>46196</v>
      </c>
      <c r="C1417" s="10" t="s">
        <v>2211</v>
      </c>
      <c r="D1417" s="10" t="s">
        <v>2212</v>
      </c>
      <c r="E1417" s="10" t="s">
        <v>34</v>
      </c>
      <c r="F1417" s="10" t="s">
        <v>35</v>
      </c>
      <c r="G1417" s="10" t="s">
        <v>3146</v>
      </c>
      <c r="H1417" s="8" t="s">
        <v>36</v>
      </c>
      <c r="I1417" s="11">
        <v>225.96</v>
      </c>
      <c r="J1417" s="6">
        <v>207.20532</v>
      </c>
      <c r="K1417" s="6">
        <v>0.91699999999999993</v>
      </c>
      <c r="L1417" s="6">
        <v>204.64</v>
      </c>
      <c r="M1417" s="11">
        <v>187.65487999999999</v>
      </c>
      <c r="N1417" s="11">
        <f t="shared" si="88"/>
        <v>187.655</v>
      </c>
      <c r="O1417" s="6">
        <v>0.91700000000000004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21.32</v>
      </c>
      <c r="Z1417" s="6">
        <v>19.550439999999998</v>
      </c>
      <c r="AA1417" s="6">
        <v>0.91699999999999993</v>
      </c>
      <c r="AB1417" s="6">
        <v>-21.320000000000022</v>
      </c>
      <c r="AC1417" s="6">
        <v>21.320000000000022</v>
      </c>
      <c r="AD1417" s="23" t="s">
        <v>3143</v>
      </c>
      <c r="AE1417" s="23">
        <f t="shared" si="89"/>
        <v>185.345</v>
      </c>
      <c r="AF1417" s="24">
        <f t="shared" si="90"/>
        <v>2.3100000000000023</v>
      </c>
      <c r="AG1417" s="23">
        <f t="shared" si="91"/>
        <v>3</v>
      </c>
    </row>
    <row r="1418" spans="1:33" ht="12.5" hidden="1" customHeight="1" x14ac:dyDescent="0.25">
      <c r="A1418" s="12" t="s">
        <v>31</v>
      </c>
      <c r="B1418" s="9">
        <v>46196</v>
      </c>
      <c r="C1418" s="10" t="s">
        <v>2213</v>
      </c>
      <c r="D1418" s="10" t="s">
        <v>2214</v>
      </c>
      <c r="E1418" s="10" t="s">
        <v>34</v>
      </c>
      <c r="F1418" s="10" t="s">
        <v>35</v>
      </c>
      <c r="G1418" s="10" t="s">
        <v>3145</v>
      </c>
      <c r="H1418" s="8" t="s">
        <v>48</v>
      </c>
      <c r="I1418" s="11">
        <v>123.12</v>
      </c>
      <c r="J1418" s="6">
        <v>92.34</v>
      </c>
      <c r="K1418" s="6">
        <v>0.75</v>
      </c>
      <c r="L1418" s="6">
        <v>114.36</v>
      </c>
      <c r="M1418" s="11">
        <v>85.77</v>
      </c>
      <c r="N1418" s="11">
        <f t="shared" si="88"/>
        <v>85.77</v>
      </c>
      <c r="O1418" s="6">
        <v>0.75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8.76</v>
      </c>
      <c r="Z1418" s="6">
        <v>6.57</v>
      </c>
      <c r="AA1418" s="6">
        <v>0.75</v>
      </c>
      <c r="AB1418" s="6">
        <v>-8.7600000000000051</v>
      </c>
      <c r="AC1418" s="6">
        <v>8.7600000000000051</v>
      </c>
      <c r="AD1418" s="22" t="s">
        <v>3140</v>
      </c>
      <c r="AE1418" s="23">
        <f t="shared" si="89"/>
        <v>85.77</v>
      </c>
      <c r="AF1418" s="24">
        <f t="shared" si="90"/>
        <v>0</v>
      </c>
      <c r="AG1418" s="23">
        <f t="shared" si="91"/>
        <v>1</v>
      </c>
    </row>
    <row r="1419" spans="1:33" ht="12.5" hidden="1" customHeight="1" x14ac:dyDescent="0.25">
      <c r="A1419" s="12" t="s">
        <v>31</v>
      </c>
      <c r="B1419" s="9">
        <v>46196</v>
      </c>
      <c r="C1419" s="10" t="s">
        <v>2215</v>
      </c>
      <c r="D1419" s="10" t="s">
        <v>2216</v>
      </c>
      <c r="E1419" s="10" t="s">
        <v>34</v>
      </c>
      <c r="F1419" s="10" t="s">
        <v>35</v>
      </c>
      <c r="G1419" s="10" t="s">
        <v>3145</v>
      </c>
      <c r="H1419" s="8" t="s">
        <v>48</v>
      </c>
      <c r="I1419" s="11">
        <v>125.7</v>
      </c>
      <c r="J1419" s="6">
        <v>94.275000000000006</v>
      </c>
      <c r="K1419" s="6">
        <v>0.75</v>
      </c>
      <c r="L1419" s="6">
        <v>105.94</v>
      </c>
      <c r="M1419" s="11">
        <v>79.454999999999998</v>
      </c>
      <c r="N1419" s="11">
        <f t="shared" si="88"/>
        <v>79.454999999999998</v>
      </c>
      <c r="O1419" s="6">
        <v>0.75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19.760000000000002</v>
      </c>
      <c r="Z1419" s="6">
        <v>14.82</v>
      </c>
      <c r="AA1419" s="6">
        <v>0.75</v>
      </c>
      <c r="AB1419" s="6">
        <v>-19.760000000000005</v>
      </c>
      <c r="AC1419" s="6">
        <v>19.760000000000005</v>
      </c>
      <c r="AD1419" s="23" t="s">
        <v>3143</v>
      </c>
      <c r="AE1419" s="23">
        <f t="shared" si="89"/>
        <v>79.260000000000005</v>
      </c>
      <c r="AF1419" s="24">
        <f t="shared" si="90"/>
        <v>0.19499999999999318</v>
      </c>
      <c r="AG1419" s="23">
        <f t="shared" si="91"/>
        <v>2</v>
      </c>
    </row>
    <row r="1420" spans="1:33" ht="12.5" customHeight="1" x14ac:dyDescent="0.25">
      <c r="A1420" s="12" t="s">
        <v>31</v>
      </c>
      <c r="B1420" s="9">
        <v>46196</v>
      </c>
      <c r="C1420" s="10" t="s">
        <v>2217</v>
      </c>
      <c r="D1420" s="10" t="s">
        <v>2218</v>
      </c>
      <c r="E1420" s="10" t="s">
        <v>34</v>
      </c>
      <c r="F1420" s="10" t="s">
        <v>35</v>
      </c>
      <c r="G1420" s="10" t="s">
        <v>3146</v>
      </c>
      <c r="H1420" s="8" t="s">
        <v>36</v>
      </c>
      <c r="I1420" s="11">
        <v>232.97</v>
      </c>
      <c r="J1420" s="6">
        <v>213.63348999999999</v>
      </c>
      <c r="K1420" s="6">
        <v>0.91700000000000004</v>
      </c>
      <c r="L1420" s="6">
        <v>232.97</v>
      </c>
      <c r="M1420" s="11">
        <v>213.63348999999999</v>
      </c>
      <c r="N1420" s="11">
        <f t="shared" si="88"/>
        <v>213.63400000000001</v>
      </c>
      <c r="O1420" s="6">
        <v>0.91700000000000004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23" t="s">
        <v>3143</v>
      </c>
      <c r="AE1420" s="23">
        <f t="shared" si="89"/>
        <v>178.916</v>
      </c>
      <c r="AF1420" s="24">
        <f t="shared" si="90"/>
        <v>34.718000000000018</v>
      </c>
      <c r="AG1420" s="23">
        <f t="shared" si="91"/>
        <v>2</v>
      </c>
    </row>
    <row r="1421" spans="1:33" x14ac:dyDescent="0.25">
      <c r="A1421" s="12" t="s">
        <v>31</v>
      </c>
      <c r="B1421" s="9">
        <v>46196</v>
      </c>
      <c r="C1421" s="10" t="s">
        <v>2219</v>
      </c>
      <c r="D1421" s="10" t="s">
        <v>2220</v>
      </c>
      <c r="E1421" s="10" t="s">
        <v>51</v>
      </c>
      <c r="F1421" s="10" t="s">
        <v>35</v>
      </c>
      <c r="G1421" s="10" t="s">
        <v>3146</v>
      </c>
      <c r="H1421" s="8" t="s">
        <v>36</v>
      </c>
      <c r="I1421" s="11">
        <v>24.22</v>
      </c>
      <c r="J1421" s="6">
        <v>22.20974</v>
      </c>
      <c r="K1421" s="6">
        <v>0.91700000000000004</v>
      </c>
      <c r="L1421" s="6">
        <v>22.82</v>
      </c>
      <c r="M1421" s="11">
        <v>20.925940000000001</v>
      </c>
      <c r="N1421" s="11">
        <f t="shared" si="88"/>
        <v>20.926000000000002</v>
      </c>
      <c r="O1421" s="6">
        <v>0.91700000000000004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1.4</v>
      </c>
      <c r="Z1421" s="6">
        <v>1.2838000000000001</v>
      </c>
      <c r="AA1421" s="6">
        <v>0.91700000000000015</v>
      </c>
      <c r="AB1421" s="6">
        <v>-1.3999999999999986</v>
      </c>
      <c r="AC1421" s="6">
        <v>1.3999999999999986</v>
      </c>
      <c r="AD1421" s="22" t="s">
        <v>3140</v>
      </c>
      <c r="AE1421" s="23">
        <f t="shared" si="89"/>
        <v>20.926000000000002</v>
      </c>
      <c r="AF1421" s="24">
        <f t="shared" si="90"/>
        <v>0</v>
      </c>
      <c r="AG1421" s="23">
        <f t="shared" si="91"/>
        <v>1</v>
      </c>
    </row>
    <row r="1422" spans="1:33" x14ac:dyDescent="0.25">
      <c r="A1422" s="12" t="s">
        <v>31</v>
      </c>
      <c r="B1422" s="9">
        <v>46196</v>
      </c>
      <c r="C1422" s="10" t="s">
        <v>2221</v>
      </c>
      <c r="D1422" s="10" t="s">
        <v>2222</v>
      </c>
      <c r="E1422" s="10" t="s">
        <v>51</v>
      </c>
      <c r="F1422" s="10" t="s">
        <v>35</v>
      </c>
      <c r="G1422" s="10" t="s">
        <v>3146</v>
      </c>
      <c r="H1422" s="8" t="s">
        <v>36</v>
      </c>
      <c r="I1422" s="11">
        <v>20.09</v>
      </c>
      <c r="J1422" s="6">
        <v>18.422529999999998</v>
      </c>
      <c r="K1422" s="6">
        <v>0.91699999999999993</v>
      </c>
      <c r="L1422" s="6">
        <v>18.79</v>
      </c>
      <c r="M1422" s="11">
        <v>17.230429999999998</v>
      </c>
      <c r="N1422" s="11">
        <f t="shared" si="88"/>
        <v>17.231000000000002</v>
      </c>
      <c r="O1422" s="6">
        <v>0.91699999999999993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1.3</v>
      </c>
      <c r="Z1422" s="6">
        <v>1.1920999999999999</v>
      </c>
      <c r="AA1422" s="6">
        <v>0.91699999999999993</v>
      </c>
      <c r="AB1422" s="6">
        <v>-1.3000000000000007</v>
      </c>
      <c r="AC1422" s="6">
        <v>1.3000000000000007</v>
      </c>
      <c r="AD1422" s="22" t="s">
        <v>3140</v>
      </c>
      <c r="AE1422" s="23">
        <f t="shared" si="89"/>
        <v>17.231000000000002</v>
      </c>
      <c r="AF1422" s="24">
        <f t="shared" si="90"/>
        <v>0</v>
      </c>
      <c r="AG1422" s="23">
        <f t="shared" si="91"/>
        <v>1</v>
      </c>
    </row>
    <row r="1423" spans="1:33" x14ac:dyDescent="0.25">
      <c r="A1423" s="12" t="s">
        <v>31</v>
      </c>
      <c r="B1423" s="9">
        <v>46196</v>
      </c>
      <c r="C1423" s="10" t="s">
        <v>2223</v>
      </c>
      <c r="D1423" s="10" t="s">
        <v>2224</v>
      </c>
      <c r="E1423" s="10" t="s">
        <v>51</v>
      </c>
      <c r="F1423" s="10" t="s">
        <v>35</v>
      </c>
      <c r="G1423" s="10" t="s">
        <v>3146</v>
      </c>
      <c r="H1423" s="8" t="s">
        <v>36</v>
      </c>
      <c r="I1423" s="11">
        <v>14.2</v>
      </c>
      <c r="J1423" s="6">
        <v>13.0214</v>
      </c>
      <c r="K1423" s="6">
        <v>0.91700000000000004</v>
      </c>
      <c r="L1423" s="6">
        <v>13.29</v>
      </c>
      <c r="M1423" s="11">
        <v>12.18693</v>
      </c>
      <c r="N1423" s="11">
        <f t="shared" si="88"/>
        <v>12.186999999999999</v>
      </c>
      <c r="O1423" s="6">
        <v>0.91700000000000004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0.91</v>
      </c>
      <c r="Z1423" s="6">
        <v>0.83447000000000005</v>
      </c>
      <c r="AA1423" s="6">
        <v>0.91700000000000004</v>
      </c>
      <c r="AB1423" s="6">
        <v>-0.91000000000000014</v>
      </c>
      <c r="AC1423" s="6">
        <v>0.91000000000000014</v>
      </c>
      <c r="AD1423" s="22" t="s">
        <v>3140</v>
      </c>
      <c r="AE1423" s="23">
        <f t="shared" si="89"/>
        <v>12.186999999999999</v>
      </c>
      <c r="AF1423" s="24">
        <f t="shared" si="90"/>
        <v>0</v>
      </c>
      <c r="AG1423" s="23">
        <f t="shared" si="91"/>
        <v>1</v>
      </c>
    </row>
    <row r="1424" spans="1:33" x14ac:dyDescent="0.25">
      <c r="A1424" s="12" t="s">
        <v>31</v>
      </c>
      <c r="B1424" s="9">
        <v>46196</v>
      </c>
      <c r="C1424" s="10" t="s">
        <v>2225</v>
      </c>
      <c r="D1424" s="10" t="s">
        <v>2226</v>
      </c>
      <c r="E1424" s="10" t="s">
        <v>51</v>
      </c>
      <c r="F1424" s="10" t="s">
        <v>35</v>
      </c>
      <c r="G1424" s="10" t="s">
        <v>3146</v>
      </c>
      <c r="H1424" s="8" t="s">
        <v>36</v>
      </c>
      <c r="I1424" s="11">
        <v>48.15</v>
      </c>
      <c r="J1424" s="6">
        <v>44.153550000000003</v>
      </c>
      <c r="K1424" s="6">
        <v>0.91700000000000004</v>
      </c>
      <c r="L1424" s="6">
        <v>44.22</v>
      </c>
      <c r="M1424" s="11">
        <v>40.54974</v>
      </c>
      <c r="N1424" s="11">
        <f t="shared" si="88"/>
        <v>40.549999999999997</v>
      </c>
      <c r="O1424" s="6">
        <v>0.91700000000000004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3.93</v>
      </c>
      <c r="Z1424" s="6">
        <v>3.6038100000000002</v>
      </c>
      <c r="AA1424" s="6">
        <v>0.91700000000000004</v>
      </c>
      <c r="AB1424" s="6">
        <v>-3.93</v>
      </c>
      <c r="AC1424" s="6">
        <v>3.93</v>
      </c>
      <c r="AD1424" s="22" t="s">
        <v>3140</v>
      </c>
      <c r="AE1424" s="23">
        <f t="shared" si="89"/>
        <v>40.549999999999997</v>
      </c>
      <c r="AF1424" s="24">
        <f t="shared" si="90"/>
        <v>0</v>
      </c>
      <c r="AG1424" s="23">
        <f t="shared" si="91"/>
        <v>1</v>
      </c>
    </row>
    <row r="1425" spans="1:33" x14ac:dyDescent="0.25">
      <c r="A1425" s="12" t="s">
        <v>31</v>
      </c>
      <c r="B1425" s="9">
        <v>46196</v>
      </c>
      <c r="C1425" s="10" t="s">
        <v>2227</v>
      </c>
      <c r="D1425" s="10" t="s">
        <v>2173</v>
      </c>
      <c r="E1425" s="10" t="s">
        <v>51</v>
      </c>
      <c r="F1425" s="10" t="s">
        <v>35</v>
      </c>
      <c r="G1425" s="10" t="s">
        <v>3146</v>
      </c>
      <c r="H1425" s="8" t="s">
        <v>36</v>
      </c>
      <c r="I1425" s="11">
        <v>3.99</v>
      </c>
      <c r="J1425" s="6">
        <v>3.65883</v>
      </c>
      <c r="K1425" s="6">
        <v>0.91699999999999993</v>
      </c>
      <c r="L1425" s="6">
        <v>3.97</v>
      </c>
      <c r="M1425" s="11">
        <v>3.6404899999999998</v>
      </c>
      <c r="N1425" s="11">
        <f t="shared" si="88"/>
        <v>3.641</v>
      </c>
      <c r="O1425" s="6">
        <v>0.91699999999999993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0.02</v>
      </c>
      <c r="Z1425" s="6">
        <v>1.8339999999999999E-2</v>
      </c>
      <c r="AA1425" s="6">
        <v>0.91699999999999993</v>
      </c>
      <c r="AB1425" s="6">
        <v>-2.0000000000000018E-2</v>
      </c>
      <c r="AC1425" s="6">
        <v>2.0000000000000018E-2</v>
      </c>
      <c r="AD1425" s="23" t="s">
        <v>3143</v>
      </c>
      <c r="AE1425" s="23">
        <f t="shared" si="89"/>
        <v>3.0269999999999997</v>
      </c>
      <c r="AF1425" s="24">
        <f t="shared" si="90"/>
        <v>0.61400000000000032</v>
      </c>
      <c r="AG1425" s="23">
        <f t="shared" si="91"/>
        <v>3</v>
      </c>
    </row>
    <row r="1426" spans="1:33" x14ac:dyDescent="0.25">
      <c r="A1426" s="12" t="s">
        <v>31</v>
      </c>
      <c r="B1426" s="9">
        <v>46196</v>
      </c>
      <c r="C1426" s="10" t="s">
        <v>2228</v>
      </c>
      <c r="D1426" s="10" t="s">
        <v>2229</v>
      </c>
      <c r="E1426" s="10" t="s">
        <v>51</v>
      </c>
      <c r="F1426" s="10" t="s">
        <v>35</v>
      </c>
      <c r="G1426" s="10" t="s">
        <v>3146</v>
      </c>
      <c r="H1426" s="8" t="s">
        <v>36</v>
      </c>
      <c r="I1426" s="11">
        <v>53.63</v>
      </c>
      <c r="J1426" s="6">
        <v>49.178710000000002</v>
      </c>
      <c r="K1426" s="6">
        <v>0.91700000000000004</v>
      </c>
      <c r="L1426" s="6">
        <v>50.36</v>
      </c>
      <c r="M1426" s="11">
        <v>46.180120000000002</v>
      </c>
      <c r="N1426" s="11">
        <f t="shared" si="88"/>
        <v>46.180999999999997</v>
      </c>
      <c r="O1426" s="6">
        <v>0.91700000000000004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3.27</v>
      </c>
      <c r="Z1426" s="6">
        <v>2.9985900000000001</v>
      </c>
      <c r="AA1426" s="6">
        <v>0.91700000000000004</v>
      </c>
      <c r="AB1426" s="6">
        <v>-3.2700000000000031</v>
      </c>
      <c r="AC1426" s="6">
        <v>3.2700000000000031</v>
      </c>
      <c r="AD1426" s="22" t="s">
        <v>3140</v>
      </c>
      <c r="AE1426" s="23">
        <f t="shared" si="89"/>
        <v>46.180999999999997</v>
      </c>
      <c r="AF1426" s="24">
        <f t="shared" si="90"/>
        <v>0</v>
      </c>
      <c r="AG1426" s="23">
        <f t="shared" si="91"/>
        <v>1</v>
      </c>
    </row>
    <row r="1427" spans="1:33" x14ac:dyDescent="0.25">
      <c r="A1427" s="12" t="s">
        <v>31</v>
      </c>
      <c r="B1427" s="9">
        <v>46196</v>
      </c>
      <c r="C1427" s="10" t="s">
        <v>2230</v>
      </c>
      <c r="D1427" s="10" t="s">
        <v>2231</v>
      </c>
      <c r="E1427" s="10" t="s">
        <v>51</v>
      </c>
      <c r="F1427" s="10" t="s">
        <v>35</v>
      </c>
      <c r="G1427" s="10" t="s">
        <v>3146</v>
      </c>
      <c r="H1427" s="8" t="s">
        <v>36</v>
      </c>
      <c r="I1427" s="11">
        <v>22.39</v>
      </c>
      <c r="J1427" s="6">
        <v>20.53163</v>
      </c>
      <c r="K1427" s="6">
        <v>0.91699999999999993</v>
      </c>
      <c r="L1427" s="6">
        <v>18.89</v>
      </c>
      <c r="M1427" s="11">
        <v>17.322130000000001</v>
      </c>
      <c r="N1427" s="11">
        <f t="shared" si="88"/>
        <v>17.323</v>
      </c>
      <c r="O1427" s="6">
        <v>0.91700000000000004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3.5</v>
      </c>
      <c r="Z1427" s="6">
        <v>3.2094999999999998</v>
      </c>
      <c r="AA1427" s="6">
        <v>0.91699999999999993</v>
      </c>
      <c r="AB1427" s="6">
        <v>-3.5</v>
      </c>
      <c r="AC1427" s="6">
        <v>3.5</v>
      </c>
      <c r="AD1427" s="22" t="s">
        <v>3140</v>
      </c>
      <c r="AE1427" s="23">
        <f t="shared" si="89"/>
        <v>17.323</v>
      </c>
      <c r="AF1427" s="24">
        <f t="shared" si="90"/>
        <v>0</v>
      </c>
      <c r="AG1427" s="23">
        <f t="shared" si="91"/>
        <v>1</v>
      </c>
    </row>
    <row r="1428" spans="1:33" ht="12.5" customHeight="1" x14ac:dyDescent="0.25">
      <c r="A1428" s="12" t="s">
        <v>31</v>
      </c>
      <c r="B1428" s="9">
        <v>46196</v>
      </c>
      <c r="C1428" s="8" t="s">
        <v>2232</v>
      </c>
      <c r="D1428" s="10" t="s">
        <v>2233</v>
      </c>
      <c r="E1428" s="10" t="s">
        <v>51</v>
      </c>
      <c r="F1428" s="10" t="s">
        <v>35</v>
      </c>
      <c r="G1428" s="10" t="s">
        <v>3146</v>
      </c>
      <c r="H1428" s="8" t="s">
        <v>36</v>
      </c>
      <c r="I1428" s="11">
        <v>3.58</v>
      </c>
      <c r="J1428" s="6">
        <v>3.2828599999999999</v>
      </c>
      <c r="K1428" s="6">
        <v>0.91699999999999993</v>
      </c>
      <c r="L1428" s="6">
        <v>3.34</v>
      </c>
      <c r="M1428" s="11">
        <v>3.0627800000000001</v>
      </c>
      <c r="N1428" s="11">
        <f t="shared" si="88"/>
        <v>3.0629999999999997</v>
      </c>
      <c r="O1428" s="6">
        <v>0.91700000000000004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0.24</v>
      </c>
      <c r="Z1428" s="6">
        <v>0.22008</v>
      </c>
      <c r="AA1428" s="6">
        <v>0.91700000000000004</v>
      </c>
      <c r="AB1428" s="6">
        <v>-0.24000000000000021</v>
      </c>
      <c r="AC1428" s="6">
        <v>0.24000000000000021</v>
      </c>
      <c r="AD1428" s="22" t="s">
        <v>3140</v>
      </c>
      <c r="AE1428" s="23">
        <f t="shared" si="89"/>
        <v>3.0629999999999997</v>
      </c>
      <c r="AF1428" s="24">
        <f t="shared" si="90"/>
        <v>0</v>
      </c>
      <c r="AG1428" s="23">
        <f t="shared" si="91"/>
        <v>2</v>
      </c>
    </row>
    <row r="1429" spans="1:33" ht="12.5" customHeight="1" x14ac:dyDescent="0.25">
      <c r="A1429" s="12" t="s">
        <v>31</v>
      </c>
      <c r="B1429" s="9">
        <v>46196</v>
      </c>
      <c r="C1429" s="12" t="s">
        <v>2232</v>
      </c>
      <c r="D1429" s="10" t="s">
        <v>2234</v>
      </c>
      <c r="E1429" s="10" t="s">
        <v>51</v>
      </c>
      <c r="F1429" s="10" t="s">
        <v>35</v>
      </c>
      <c r="G1429" s="10" t="s">
        <v>3146</v>
      </c>
      <c r="H1429" s="8" t="s">
        <v>36</v>
      </c>
      <c r="I1429" s="11">
        <v>8.5399999999999991</v>
      </c>
      <c r="J1429" s="6">
        <v>7.8311799999999998</v>
      </c>
      <c r="K1429" s="6">
        <v>0.91700000000000004</v>
      </c>
      <c r="L1429" s="6">
        <v>7.34</v>
      </c>
      <c r="M1429" s="11">
        <v>6.7307800000000002</v>
      </c>
      <c r="N1429" s="11">
        <f t="shared" si="88"/>
        <v>6.7310000000000008</v>
      </c>
      <c r="O1429" s="6">
        <v>0.91700000000000004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1.2</v>
      </c>
      <c r="Z1429" s="6">
        <v>1.1004</v>
      </c>
      <c r="AA1429" s="6">
        <v>0.91700000000000004</v>
      </c>
      <c r="AB1429" s="6">
        <v>-1.1999999999999993</v>
      </c>
      <c r="AC1429" s="6">
        <v>1.1999999999999993</v>
      </c>
      <c r="AD1429" s="22" t="s">
        <v>3140</v>
      </c>
      <c r="AE1429" s="23">
        <f t="shared" si="89"/>
        <v>6.7310000000000008</v>
      </c>
      <c r="AF1429" s="24">
        <f t="shared" si="90"/>
        <v>0</v>
      </c>
      <c r="AG1429" s="23">
        <f t="shared" si="91"/>
        <v>2</v>
      </c>
    </row>
    <row r="1430" spans="1:33" ht="12.5" customHeight="1" x14ac:dyDescent="0.25">
      <c r="A1430" s="12" t="s">
        <v>31</v>
      </c>
      <c r="B1430" s="9">
        <v>46196</v>
      </c>
      <c r="C1430" s="12" t="s">
        <v>2232</v>
      </c>
      <c r="D1430" s="10" t="s">
        <v>2235</v>
      </c>
      <c r="E1430" s="10" t="s">
        <v>51</v>
      </c>
      <c r="F1430" s="10" t="s">
        <v>35</v>
      </c>
      <c r="G1430" s="10" t="s">
        <v>3146</v>
      </c>
      <c r="H1430" s="8" t="s">
        <v>36</v>
      </c>
      <c r="I1430" s="11">
        <v>44.1</v>
      </c>
      <c r="J1430" s="6">
        <v>40.439700000000002</v>
      </c>
      <c r="K1430" s="6">
        <v>0.91700000000000004</v>
      </c>
      <c r="L1430" s="6">
        <v>43.05</v>
      </c>
      <c r="M1430" s="11">
        <v>39.476849999999999</v>
      </c>
      <c r="N1430" s="11">
        <f t="shared" si="88"/>
        <v>39.476999999999997</v>
      </c>
      <c r="O1430" s="6">
        <v>0.91700000000000004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1.05</v>
      </c>
      <c r="Z1430" s="6">
        <v>0.96284999999999998</v>
      </c>
      <c r="AA1430" s="6">
        <v>0.91699999999999993</v>
      </c>
      <c r="AB1430" s="6">
        <v>-1.0500000000000043</v>
      </c>
      <c r="AC1430" s="6">
        <v>1.0500000000000043</v>
      </c>
      <c r="AD1430" s="22" t="s">
        <v>3140</v>
      </c>
      <c r="AE1430" s="23">
        <f t="shared" si="89"/>
        <v>39.476999999999997</v>
      </c>
      <c r="AF1430" s="24">
        <f t="shared" si="90"/>
        <v>0</v>
      </c>
      <c r="AG1430" s="23">
        <f t="shared" si="91"/>
        <v>1</v>
      </c>
    </row>
    <row r="1431" spans="1:33" ht="12.5" customHeight="1" x14ac:dyDescent="0.25">
      <c r="A1431" s="12" t="s">
        <v>31</v>
      </c>
      <c r="B1431" s="9">
        <v>46196</v>
      </c>
      <c r="C1431" s="12" t="s">
        <v>2232</v>
      </c>
      <c r="D1431" s="10" t="s">
        <v>2236</v>
      </c>
      <c r="E1431" s="10" t="s">
        <v>51</v>
      </c>
      <c r="F1431" s="10" t="s">
        <v>35</v>
      </c>
      <c r="G1431" s="10" t="s">
        <v>3146</v>
      </c>
      <c r="H1431" s="8" t="s">
        <v>36</v>
      </c>
      <c r="I1431" s="11">
        <v>24.06</v>
      </c>
      <c r="J1431" s="6">
        <v>22.063020000000002</v>
      </c>
      <c r="K1431" s="6">
        <v>0.91700000000000015</v>
      </c>
      <c r="L1431" s="6">
        <v>22.56</v>
      </c>
      <c r="M1431" s="11">
        <v>20.687519999999999</v>
      </c>
      <c r="N1431" s="11">
        <f t="shared" si="88"/>
        <v>20.688000000000002</v>
      </c>
      <c r="O1431" s="6">
        <v>0.91700000000000004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1.5</v>
      </c>
      <c r="Z1431" s="6">
        <v>1.3754999999999999</v>
      </c>
      <c r="AA1431" s="6">
        <v>0.91699999999999993</v>
      </c>
      <c r="AB1431" s="6">
        <v>-1.5</v>
      </c>
      <c r="AC1431" s="6">
        <v>1.5</v>
      </c>
      <c r="AD1431" s="22" t="s">
        <v>3140</v>
      </c>
      <c r="AE1431" s="23">
        <f t="shared" si="89"/>
        <v>20.688000000000002</v>
      </c>
      <c r="AF1431" s="24">
        <f t="shared" si="90"/>
        <v>0</v>
      </c>
      <c r="AG1431" s="23">
        <f t="shared" si="91"/>
        <v>1</v>
      </c>
    </row>
    <row r="1432" spans="1:33" ht="12.5" customHeight="1" x14ac:dyDescent="0.25">
      <c r="A1432" s="12" t="s">
        <v>31</v>
      </c>
      <c r="B1432" s="9">
        <v>46196</v>
      </c>
      <c r="C1432" s="13" t="s">
        <v>2232</v>
      </c>
      <c r="D1432" s="10" t="s">
        <v>2237</v>
      </c>
      <c r="E1432" s="10" t="s">
        <v>51</v>
      </c>
      <c r="F1432" s="10" t="s">
        <v>35</v>
      </c>
      <c r="G1432" s="10" t="s">
        <v>3146</v>
      </c>
      <c r="H1432" s="8" t="s">
        <v>36</v>
      </c>
      <c r="I1432" s="11">
        <v>22.06</v>
      </c>
      <c r="J1432" s="6">
        <v>20.229019999999998</v>
      </c>
      <c r="K1432" s="6">
        <v>0.91700000000000004</v>
      </c>
      <c r="L1432" s="6">
        <v>21.22</v>
      </c>
      <c r="M1432" s="11">
        <v>19.458739999999999</v>
      </c>
      <c r="N1432" s="11">
        <f t="shared" si="88"/>
        <v>19.459</v>
      </c>
      <c r="O1432" s="6">
        <v>0.91700000000000004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0.84</v>
      </c>
      <c r="Z1432" s="6">
        <v>0.77027999999999996</v>
      </c>
      <c r="AA1432" s="6">
        <v>0.91700000000000004</v>
      </c>
      <c r="AB1432" s="6">
        <v>-0.83999999999999986</v>
      </c>
      <c r="AC1432" s="6">
        <v>0.83999999999999986</v>
      </c>
      <c r="AD1432" s="22" t="s">
        <v>3140</v>
      </c>
      <c r="AE1432" s="23">
        <f t="shared" si="89"/>
        <v>19.459</v>
      </c>
      <c r="AF1432" s="24">
        <f t="shared" si="90"/>
        <v>0</v>
      </c>
      <c r="AG1432" s="23">
        <f t="shared" si="91"/>
        <v>1</v>
      </c>
    </row>
    <row r="1433" spans="1:33" x14ac:dyDescent="0.25">
      <c r="A1433" s="12" t="s">
        <v>31</v>
      </c>
      <c r="B1433" s="9">
        <v>46196</v>
      </c>
      <c r="C1433" s="10" t="s">
        <v>2238</v>
      </c>
      <c r="D1433" s="10" t="s">
        <v>2239</v>
      </c>
      <c r="E1433" s="10" t="s">
        <v>51</v>
      </c>
      <c r="F1433" s="10" t="s">
        <v>35</v>
      </c>
      <c r="G1433" s="10" t="s">
        <v>3146</v>
      </c>
      <c r="H1433" s="8" t="s">
        <v>36</v>
      </c>
      <c r="I1433" s="11">
        <v>96.78</v>
      </c>
      <c r="J1433" s="6">
        <v>88.747259999999997</v>
      </c>
      <c r="K1433" s="6">
        <v>0.91699999999999993</v>
      </c>
      <c r="L1433" s="6">
        <v>92.55</v>
      </c>
      <c r="M1433" s="11">
        <v>84.868350000000007</v>
      </c>
      <c r="N1433" s="11">
        <f t="shared" si="88"/>
        <v>84.869</v>
      </c>
      <c r="O1433" s="6">
        <v>0.91700000000000015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4.2300000000000004</v>
      </c>
      <c r="Z1433" s="6">
        <v>3.8789099999999999</v>
      </c>
      <c r="AA1433" s="6">
        <v>0.91699999999999993</v>
      </c>
      <c r="AB1433" s="6">
        <v>-4.230000000000004</v>
      </c>
      <c r="AC1433" s="6">
        <v>4.230000000000004</v>
      </c>
      <c r="AD1433" s="22" t="s">
        <v>3140</v>
      </c>
      <c r="AE1433" s="23">
        <f t="shared" si="89"/>
        <v>84.869</v>
      </c>
      <c r="AF1433" s="24">
        <f t="shared" si="90"/>
        <v>0</v>
      </c>
      <c r="AG1433" s="23">
        <f t="shared" si="91"/>
        <v>1</v>
      </c>
    </row>
    <row r="1434" spans="1:33" x14ac:dyDescent="0.25">
      <c r="A1434" s="12" t="s">
        <v>31</v>
      </c>
      <c r="B1434" s="9">
        <v>46196</v>
      </c>
      <c r="C1434" s="10" t="s">
        <v>2240</v>
      </c>
      <c r="D1434" s="10" t="s">
        <v>2241</v>
      </c>
      <c r="E1434" s="10" t="s">
        <v>51</v>
      </c>
      <c r="F1434" s="10" t="s">
        <v>35</v>
      </c>
      <c r="G1434" s="10" t="s">
        <v>3146</v>
      </c>
      <c r="H1434" s="8" t="s">
        <v>36</v>
      </c>
      <c r="I1434" s="11">
        <v>50.15</v>
      </c>
      <c r="J1434" s="6">
        <v>45.987549999999999</v>
      </c>
      <c r="K1434" s="6">
        <v>0.91700000000000004</v>
      </c>
      <c r="L1434" s="6">
        <v>48.49</v>
      </c>
      <c r="M1434" s="11">
        <v>44.465330000000002</v>
      </c>
      <c r="N1434" s="11">
        <f t="shared" si="88"/>
        <v>44.466000000000001</v>
      </c>
      <c r="O1434" s="6">
        <v>0.91700000000000004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1.66</v>
      </c>
      <c r="Z1434" s="6">
        <v>1.5222199999999999</v>
      </c>
      <c r="AA1434" s="6">
        <v>0.91700000000000004</v>
      </c>
      <c r="AB1434" s="6">
        <v>-1.6599999999999966</v>
      </c>
      <c r="AC1434" s="6">
        <v>1.6599999999999966</v>
      </c>
      <c r="AD1434" s="22" t="s">
        <v>3140</v>
      </c>
      <c r="AE1434" s="23">
        <f t="shared" si="89"/>
        <v>44.466000000000001</v>
      </c>
      <c r="AF1434" s="24">
        <f t="shared" si="90"/>
        <v>0</v>
      </c>
      <c r="AG1434" s="23">
        <f t="shared" si="91"/>
        <v>1</v>
      </c>
    </row>
    <row r="1435" spans="1:33" ht="12.5" customHeight="1" x14ac:dyDescent="0.25">
      <c r="A1435" s="12" t="s">
        <v>31</v>
      </c>
      <c r="B1435" s="9">
        <v>46196</v>
      </c>
      <c r="C1435" s="8" t="s">
        <v>2242</v>
      </c>
      <c r="D1435" s="10" t="s">
        <v>2243</v>
      </c>
      <c r="E1435" s="10" t="s">
        <v>51</v>
      </c>
      <c r="F1435" s="10" t="s">
        <v>35</v>
      </c>
      <c r="G1435" s="10" t="s">
        <v>3146</v>
      </c>
      <c r="H1435" s="8" t="s">
        <v>36</v>
      </c>
      <c r="I1435" s="11">
        <v>3.04</v>
      </c>
      <c r="J1435" s="6">
        <v>2.7876799999999999</v>
      </c>
      <c r="K1435" s="6">
        <v>0.91699999999999993</v>
      </c>
      <c r="L1435" s="6">
        <v>2.6</v>
      </c>
      <c r="M1435" s="11">
        <v>2.3841999999999999</v>
      </c>
      <c r="N1435" s="11">
        <f t="shared" si="88"/>
        <v>2.3849999999999998</v>
      </c>
      <c r="O1435" s="6">
        <v>0.91699999999999993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0.44</v>
      </c>
      <c r="Z1435" s="6">
        <v>0.40348000000000001</v>
      </c>
      <c r="AA1435" s="6">
        <v>0.91700000000000004</v>
      </c>
      <c r="AB1435" s="6">
        <v>-0.43999999999999995</v>
      </c>
      <c r="AC1435" s="6">
        <v>0.43999999999999995</v>
      </c>
      <c r="AD1435" s="22" t="s">
        <v>3140</v>
      </c>
      <c r="AE1435" s="23">
        <f t="shared" si="89"/>
        <v>2.3849999999999998</v>
      </c>
      <c r="AF1435" s="24">
        <f t="shared" si="90"/>
        <v>0</v>
      </c>
      <c r="AG1435" s="23">
        <f t="shared" si="91"/>
        <v>2</v>
      </c>
    </row>
    <row r="1436" spans="1:33" ht="12.5" customHeight="1" x14ac:dyDescent="0.25">
      <c r="A1436" s="12" t="s">
        <v>31</v>
      </c>
      <c r="B1436" s="9">
        <v>46196</v>
      </c>
      <c r="C1436" s="12" t="s">
        <v>2242</v>
      </c>
      <c r="D1436" s="10" t="s">
        <v>2244</v>
      </c>
      <c r="E1436" s="10" t="s">
        <v>51</v>
      </c>
      <c r="F1436" s="10" t="s">
        <v>35</v>
      </c>
      <c r="G1436" s="10" t="s">
        <v>3146</v>
      </c>
      <c r="H1436" s="8" t="s">
        <v>36</v>
      </c>
      <c r="I1436" s="11">
        <v>5.17</v>
      </c>
      <c r="J1436" s="6">
        <v>4.7408900000000003</v>
      </c>
      <c r="K1436" s="6">
        <v>0.91700000000000004</v>
      </c>
      <c r="L1436" s="6">
        <v>4.46</v>
      </c>
      <c r="M1436" s="11">
        <v>4.0898199999999996</v>
      </c>
      <c r="N1436" s="11">
        <f t="shared" si="88"/>
        <v>4.0900000000000007</v>
      </c>
      <c r="O1436" s="6">
        <v>0.91699999999999993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0.71</v>
      </c>
      <c r="Z1436" s="6">
        <v>0.65107000000000004</v>
      </c>
      <c r="AA1436" s="6">
        <v>0.91700000000000015</v>
      </c>
      <c r="AB1436" s="6">
        <v>-0.71</v>
      </c>
      <c r="AC1436" s="6">
        <v>0.71</v>
      </c>
      <c r="AD1436" s="22" t="s">
        <v>3140</v>
      </c>
      <c r="AE1436" s="23">
        <f t="shared" si="89"/>
        <v>4.0900000000000007</v>
      </c>
      <c r="AF1436" s="24">
        <f t="shared" si="90"/>
        <v>0</v>
      </c>
      <c r="AG1436" s="23">
        <f t="shared" si="91"/>
        <v>2</v>
      </c>
    </row>
    <row r="1437" spans="1:33" ht="12.5" customHeight="1" x14ac:dyDescent="0.25">
      <c r="A1437" s="12" t="s">
        <v>31</v>
      </c>
      <c r="B1437" s="9">
        <v>46196</v>
      </c>
      <c r="C1437" s="12" t="s">
        <v>2242</v>
      </c>
      <c r="D1437" s="10" t="s">
        <v>2245</v>
      </c>
      <c r="E1437" s="10" t="s">
        <v>51</v>
      </c>
      <c r="F1437" s="10" t="s">
        <v>35</v>
      </c>
      <c r="G1437" s="10" t="s">
        <v>3146</v>
      </c>
      <c r="H1437" s="8" t="s">
        <v>36</v>
      </c>
      <c r="I1437" s="11">
        <v>63.01</v>
      </c>
      <c r="J1437" s="6">
        <v>57.780169999999998</v>
      </c>
      <c r="K1437" s="6">
        <v>0.91700000000000004</v>
      </c>
      <c r="L1437" s="6">
        <v>58.89</v>
      </c>
      <c r="M1437" s="11">
        <v>54.002130000000001</v>
      </c>
      <c r="N1437" s="11">
        <f t="shared" si="88"/>
        <v>54.003</v>
      </c>
      <c r="O1437" s="6">
        <v>0.91700000000000004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4.12</v>
      </c>
      <c r="Z1437" s="6">
        <v>3.7780399999999998</v>
      </c>
      <c r="AA1437" s="6">
        <v>0.91699999999999993</v>
      </c>
      <c r="AB1437" s="6">
        <v>-4.1199999999999974</v>
      </c>
      <c r="AC1437" s="6">
        <v>4.1199999999999974</v>
      </c>
      <c r="AD1437" s="22" t="s">
        <v>3140</v>
      </c>
      <c r="AE1437" s="23">
        <f t="shared" si="89"/>
        <v>54.003</v>
      </c>
      <c r="AF1437" s="24">
        <f t="shared" si="90"/>
        <v>0</v>
      </c>
      <c r="AG1437" s="23">
        <f t="shared" si="91"/>
        <v>1</v>
      </c>
    </row>
    <row r="1438" spans="1:33" ht="12.5" customHeight="1" x14ac:dyDescent="0.25">
      <c r="A1438" s="12" t="s">
        <v>31</v>
      </c>
      <c r="B1438" s="9">
        <v>46196</v>
      </c>
      <c r="C1438" s="13" t="s">
        <v>2242</v>
      </c>
      <c r="D1438" s="10" t="s">
        <v>2246</v>
      </c>
      <c r="E1438" s="10" t="s">
        <v>51</v>
      </c>
      <c r="F1438" s="10" t="s">
        <v>35</v>
      </c>
      <c r="G1438" s="10" t="s">
        <v>3146</v>
      </c>
      <c r="H1438" s="8" t="s">
        <v>36</v>
      </c>
      <c r="I1438" s="11">
        <v>108.86</v>
      </c>
      <c r="J1438" s="6">
        <v>99.824619999999996</v>
      </c>
      <c r="K1438" s="6">
        <v>0.91699999999999993</v>
      </c>
      <c r="L1438" s="6">
        <v>98.66</v>
      </c>
      <c r="M1438" s="11">
        <v>90.471220000000002</v>
      </c>
      <c r="N1438" s="11">
        <f t="shared" si="88"/>
        <v>90.472000000000008</v>
      </c>
      <c r="O1438" s="6">
        <v>0.91700000000000004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10.199999999999999</v>
      </c>
      <c r="Z1438" s="6">
        <v>9.3534000000000006</v>
      </c>
      <c r="AA1438" s="6">
        <v>0.91700000000000015</v>
      </c>
      <c r="AB1438" s="6">
        <v>-10.200000000000003</v>
      </c>
      <c r="AC1438" s="6">
        <v>10.200000000000003</v>
      </c>
      <c r="AD1438" s="22" t="s">
        <v>3140</v>
      </c>
      <c r="AE1438" s="23">
        <f t="shared" si="89"/>
        <v>90.472000000000008</v>
      </c>
      <c r="AF1438" s="24">
        <f t="shared" si="90"/>
        <v>0</v>
      </c>
      <c r="AG1438" s="23">
        <f t="shared" si="91"/>
        <v>1</v>
      </c>
    </row>
    <row r="1439" spans="1:33" ht="12.5" customHeight="1" x14ac:dyDescent="0.25">
      <c r="A1439" s="12" t="s">
        <v>31</v>
      </c>
      <c r="B1439" s="9">
        <v>46196</v>
      </c>
      <c r="C1439" s="8" t="s">
        <v>2247</v>
      </c>
      <c r="D1439" s="10" t="s">
        <v>2248</v>
      </c>
      <c r="E1439" s="10" t="s">
        <v>51</v>
      </c>
      <c r="F1439" s="10" t="s">
        <v>35</v>
      </c>
      <c r="G1439" s="10" t="s">
        <v>3146</v>
      </c>
      <c r="H1439" s="8" t="s">
        <v>36</v>
      </c>
      <c r="I1439" s="11">
        <v>3.52</v>
      </c>
      <c r="J1439" s="6">
        <v>3.22784</v>
      </c>
      <c r="K1439" s="6">
        <v>0.91700000000000004</v>
      </c>
      <c r="L1439" s="6">
        <v>2.83</v>
      </c>
      <c r="M1439" s="11">
        <v>2.59511</v>
      </c>
      <c r="N1439" s="11">
        <f t="shared" si="88"/>
        <v>2.5960000000000001</v>
      </c>
      <c r="O1439" s="6">
        <v>0.91700000000000004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0.69</v>
      </c>
      <c r="Z1439" s="6">
        <v>0.63273000000000001</v>
      </c>
      <c r="AA1439" s="6">
        <v>0.91700000000000004</v>
      </c>
      <c r="AB1439" s="6">
        <v>-0.69</v>
      </c>
      <c r="AC1439" s="6">
        <v>0.69</v>
      </c>
      <c r="AD1439" s="22" t="s">
        <v>3140</v>
      </c>
      <c r="AE1439" s="23">
        <f t="shared" si="89"/>
        <v>2.5960000000000001</v>
      </c>
      <c r="AF1439" s="24">
        <f t="shared" si="90"/>
        <v>0</v>
      </c>
      <c r="AG1439" s="23">
        <f t="shared" si="91"/>
        <v>2</v>
      </c>
    </row>
    <row r="1440" spans="1:33" ht="12.5" hidden="1" customHeight="1" x14ac:dyDescent="0.25">
      <c r="A1440" s="12" t="s">
        <v>31</v>
      </c>
      <c r="B1440" s="9">
        <v>46196</v>
      </c>
      <c r="C1440" s="13" t="s">
        <v>2247</v>
      </c>
      <c r="D1440" s="10" t="s">
        <v>2249</v>
      </c>
      <c r="E1440" s="10" t="s">
        <v>51</v>
      </c>
      <c r="F1440" s="10" t="s">
        <v>35</v>
      </c>
      <c r="G1440" s="10" t="s">
        <v>3145</v>
      </c>
      <c r="H1440" s="8" t="s">
        <v>48</v>
      </c>
      <c r="I1440" s="11">
        <v>50.08</v>
      </c>
      <c r="J1440" s="6">
        <v>37.56</v>
      </c>
      <c r="K1440" s="6">
        <v>0.75000000000000011</v>
      </c>
      <c r="L1440" s="6">
        <v>46.8</v>
      </c>
      <c r="M1440" s="11">
        <v>35.1</v>
      </c>
      <c r="N1440" s="11">
        <f t="shared" si="88"/>
        <v>35.1</v>
      </c>
      <c r="O1440" s="6">
        <v>0.75000000000000011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3.28</v>
      </c>
      <c r="Z1440" s="6">
        <v>2.46</v>
      </c>
      <c r="AA1440" s="6">
        <v>0.75</v>
      </c>
      <c r="AB1440" s="6">
        <v>-3.2800000000000011</v>
      </c>
      <c r="AC1440" s="6">
        <v>3.2800000000000011</v>
      </c>
      <c r="AD1440" s="22" t="s">
        <v>3140</v>
      </c>
      <c r="AE1440" s="23">
        <f t="shared" si="89"/>
        <v>35.1</v>
      </c>
      <c r="AF1440" s="24">
        <f t="shared" si="90"/>
        <v>0</v>
      </c>
      <c r="AG1440" s="23">
        <f t="shared" si="91"/>
        <v>1</v>
      </c>
    </row>
    <row r="1441" spans="1:33" ht="12.5" hidden="1" customHeight="1" x14ac:dyDescent="0.25">
      <c r="A1441" s="12" t="s">
        <v>31</v>
      </c>
      <c r="B1441" s="9">
        <v>46196</v>
      </c>
      <c r="C1441" s="8" t="s">
        <v>2250</v>
      </c>
      <c r="D1441" s="10" t="s">
        <v>2251</v>
      </c>
      <c r="E1441" s="10" t="s">
        <v>51</v>
      </c>
      <c r="F1441" s="10" t="s">
        <v>35</v>
      </c>
      <c r="G1441" s="10" t="s">
        <v>3145</v>
      </c>
      <c r="H1441" s="8" t="s">
        <v>41</v>
      </c>
      <c r="I1441" s="11">
        <v>1.1399999999999999</v>
      </c>
      <c r="J1441" s="6">
        <v>0.85499999999999998</v>
      </c>
      <c r="K1441" s="6">
        <v>0.75</v>
      </c>
      <c r="L1441" s="6">
        <v>1.02</v>
      </c>
      <c r="M1441" s="11">
        <v>0.76500000000000001</v>
      </c>
      <c r="N1441" s="11">
        <f t="shared" si="88"/>
        <v>0.76500000000000001</v>
      </c>
      <c r="O1441" s="6">
        <v>0.75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0.12</v>
      </c>
      <c r="Z1441" s="6">
        <v>0.09</v>
      </c>
      <c r="AA1441" s="6">
        <v>0.75</v>
      </c>
      <c r="AB1441" s="6">
        <v>-0.11999999999999988</v>
      </c>
      <c r="AC1441" s="6">
        <v>0.11999999999999988</v>
      </c>
      <c r="AD1441" s="22" t="s">
        <v>3140</v>
      </c>
      <c r="AE1441" s="23">
        <f t="shared" si="89"/>
        <v>0.76500000000000001</v>
      </c>
      <c r="AF1441" s="24">
        <f t="shared" si="90"/>
        <v>0</v>
      </c>
      <c r="AG1441" s="23">
        <f t="shared" si="91"/>
        <v>1</v>
      </c>
    </row>
    <row r="1442" spans="1:33" ht="12.5" customHeight="1" x14ac:dyDescent="0.25">
      <c r="A1442" s="12" t="s">
        <v>31</v>
      </c>
      <c r="B1442" s="9">
        <v>46196</v>
      </c>
      <c r="C1442" s="13" t="s">
        <v>2250</v>
      </c>
      <c r="D1442" s="10" t="s">
        <v>2252</v>
      </c>
      <c r="E1442" s="10" t="s">
        <v>51</v>
      </c>
      <c r="F1442" s="10" t="s">
        <v>35</v>
      </c>
      <c r="G1442" s="10" t="s">
        <v>3146</v>
      </c>
      <c r="H1442" s="8" t="s">
        <v>36</v>
      </c>
      <c r="I1442" s="11">
        <v>9.4730000000000008</v>
      </c>
      <c r="J1442" s="6">
        <v>8.6867409999999996</v>
      </c>
      <c r="K1442" s="6">
        <v>0.91699999999999993</v>
      </c>
      <c r="L1442" s="6">
        <v>8.7430000000000003</v>
      </c>
      <c r="M1442" s="11">
        <v>8.0173310000000004</v>
      </c>
      <c r="N1442" s="11">
        <f t="shared" si="88"/>
        <v>8.0179999999999989</v>
      </c>
      <c r="O1442" s="6">
        <v>0.91700000000000004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0.73</v>
      </c>
      <c r="Z1442" s="6">
        <v>0.66940999999999995</v>
      </c>
      <c r="AA1442" s="6">
        <v>0.91699999999999993</v>
      </c>
      <c r="AB1442" s="6">
        <v>-0.73000000000000043</v>
      </c>
      <c r="AC1442" s="6">
        <v>0.73000000000000043</v>
      </c>
      <c r="AD1442" s="22" t="s">
        <v>3140</v>
      </c>
      <c r="AE1442" s="23">
        <f t="shared" si="89"/>
        <v>8.0179999999999989</v>
      </c>
      <c r="AF1442" s="24">
        <f t="shared" si="90"/>
        <v>0</v>
      </c>
      <c r="AG1442" s="23">
        <f t="shared" si="91"/>
        <v>1</v>
      </c>
    </row>
    <row r="1443" spans="1:33" ht="12.5" customHeight="1" x14ac:dyDescent="0.25">
      <c r="A1443" s="12" t="s">
        <v>31</v>
      </c>
      <c r="B1443" s="9">
        <v>46196</v>
      </c>
      <c r="C1443" s="8" t="s">
        <v>2253</v>
      </c>
      <c r="D1443" s="10" t="s">
        <v>2254</v>
      </c>
      <c r="E1443" s="10" t="s">
        <v>51</v>
      </c>
      <c r="F1443" s="10" t="s">
        <v>35</v>
      </c>
      <c r="G1443" s="10" t="s">
        <v>3146</v>
      </c>
      <c r="H1443" s="8" t="s">
        <v>36</v>
      </c>
      <c r="I1443" s="11">
        <v>24.46</v>
      </c>
      <c r="J1443" s="6">
        <v>22.429819999999999</v>
      </c>
      <c r="K1443" s="6">
        <v>0.91699999999999993</v>
      </c>
      <c r="L1443" s="6">
        <v>21.85</v>
      </c>
      <c r="M1443" s="11">
        <v>20.036449999999999</v>
      </c>
      <c r="N1443" s="11">
        <f t="shared" si="88"/>
        <v>20.037000000000003</v>
      </c>
      <c r="O1443" s="6">
        <v>0.91699999999999993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2.61</v>
      </c>
      <c r="Z1443" s="6">
        <v>2.39337</v>
      </c>
      <c r="AA1443" s="6">
        <v>0.91700000000000004</v>
      </c>
      <c r="AB1443" s="6">
        <v>-2.6099999999999994</v>
      </c>
      <c r="AC1443" s="6">
        <v>2.6099999999999994</v>
      </c>
      <c r="AD1443" s="22" t="s">
        <v>3140</v>
      </c>
      <c r="AE1443" s="23">
        <f t="shared" si="89"/>
        <v>20.037000000000003</v>
      </c>
      <c r="AF1443" s="24">
        <f t="shared" si="90"/>
        <v>0</v>
      </c>
      <c r="AG1443" s="23">
        <f t="shared" si="91"/>
        <v>1</v>
      </c>
    </row>
    <row r="1444" spans="1:33" ht="12.5" hidden="1" customHeight="1" x14ac:dyDescent="0.25">
      <c r="A1444" s="12" t="s">
        <v>31</v>
      </c>
      <c r="B1444" s="9">
        <v>46196</v>
      </c>
      <c r="C1444" s="13" t="s">
        <v>2253</v>
      </c>
      <c r="D1444" s="10" t="s">
        <v>2255</v>
      </c>
      <c r="E1444" s="10" t="s">
        <v>51</v>
      </c>
      <c r="F1444" s="10" t="s">
        <v>35</v>
      </c>
      <c r="G1444" s="10" t="s">
        <v>3145</v>
      </c>
      <c r="H1444" s="8" t="s">
        <v>48</v>
      </c>
      <c r="I1444" s="11">
        <v>51.98</v>
      </c>
      <c r="J1444" s="6">
        <v>38.984999999999999</v>
      </c>
      <c r="K1444" s="6">
        <v>0.75</v>
      </c>
      <c r="L1444" s="6">
        <v>48.06</v>
      </c>
      <c r="M1444" s="11">
        <v>36.045000000000002</v>
      </c>
      <c r="N1444" s="11">
        <f t="shared" si="88"/>
        <v>36.045000000000002</v>
      </c>
      <c r="O1444" s="6">
        <v>0.75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3.92</v>
      </c>
      <c r="Z1444" s="6">
        <v>2.94</v>
      </c>
      <c r="AA1444" s="6">
        <v>0.75</v>
      </c>
      <c r="AB1444" s="6">
        <v>-3.9199999999999946</v>
      </c>
      <c r="AC1444" s="6">
        <v>3.9199999999999946</v>
      </c>
      <c r="AD1444" s="22" t="s">
        <v>3140</v>
      </c>
      <c r="AE1444" s="23">
        <f t="shared" si="89"/>
        <v>36.045000000000002</v>
      </c>
      <c r="AF1444" s="24">
        <f t="shared" si="90"/>
        <v>0</v>
      </c>
      <c r="AG1444" s="23">
        <f t="shared" si="91"/>
        <v>1</v>
      </c>
    </row>
    <row r="1445" spans="1:33" ht="12.5" customHeight="1" x14ac:dyDescent="0.25">
      <c r="A1445" s="12" t="s">
        <v>31</v>
      </c>
      <c r="B1445" s="9">
        <v>46196</v>
      </c>
      <c r="C1445" s="8" t="s">
        <v>2256</v>
      </c>
      <c r="D1445" s="10" t="s">
        <v>2257</v>
      </c>
      <c r="E1445" s="10" t="s">
        <v>51</v>
      </c>
      <c r="F1445" s="10" t="s">
        <v>35</v>
      </c>
      <c r="G1445" s="10" t="s">
        <v>3146</v>
      </c>
      <c r="H1445" s="8" t="s">
        <v>36</v>
      </c>
      <c r="I1445" s="11">
        <v>59.72</v>
      </c>
      <c r="J1445" s="6">
        <v>54.763240000000003</v>
      </c>
      <c r="K1445" s="6">
        <v>0.91700000000000004</v>
      </c>
      <c r="L1445" s="6">
        <v>55.85</v>
      </c>
      <c r="M1445" s="11">
        <v>51.214449999999999</v>
      </c>
      <c r="N1445" s="11">
        <f t="shared" si="88"/>
        <v>51.214999999999996</v>
      </c>
      <c r="O1445" s="6">
        <v>0.91699999999999993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3.87</v>
      </c>
      <c r="Z1445" s="6">
        <v>3.5487899999999999</v>
      </c>
      <c r="AA1445" s="6">
        <v>0.91699999999999993</v>
      </c>
      <c r="AB1445" s="6">
        <v>-3.8699999999999974</v>
      </c>
      <c r="AC1445" s="6">
        <v>3.8699999999999974</v>
      </c>
      <c r="AD1445" s="22" t="s">
        <v>3140</v>
      </c>
      <c r="AE1445" s="23">
        <f t="shared" si="89"/>
        <v>51.214999999999996</v>
      </c>
      <c r="AF1445" s="24">
        <f t="shared" si="90"/>
        <v>0</v>
      </c>
      <c r="AG1445" s="23">
        <f t="shared" si="91"/>
        <v>1</v>
      </c>
    </row>
    <row r="1446" spans="1:33" ht="12.5" hidden="1" customHeight="1" x14ac:dyDescent="0.25">
      <c r="A1446" s="12" t="s">
        <v>31</v>
      </c>
      <c r="B1446" s="9">
        <v>46196</v>
      </c>
      <c r="C1446" s="13" t="s">
        <v>2256</v>
      </c>
      <c r="D1446" s="10" t="s">
        <v>2258</v>
      </c>
      <c r="E1446" s="10" t="s">
        <v>51</v>
      </c>
      <c r="F1446" s="10" t="s">
        <v>35</v>
      </c>
      <c r="G1446" s="10" t="s">
        <v>3145</v>
      </c>
      <c r="H1446" s="8" t="s">
        <v>41</v>
      </c>
      <c r="I1446" s="11">
        <v>27.03</v>
      </c>
      <c r="J1446" s="6">
        <v>20.272500000000001</v>
      </c>
      <c r="K1446" s="6">
        <v>0.75</v>
      </c>
      <c r="L1446" s="6">
        <v>25.02</v>
      </c>
      <c r="M1446" s="11">
        <v>18.765000000000001</v>
      </c>
      <c r="N1446" s="11">
        <f t="shared" si="88"/>
        <v>18.765000000000001</v>
      </c>
      <c r="O1446" s="6">
        <v>0.75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2.0099999999999998</v>
      </c>
      <c r="Z1446" s="6">
        <v>1.5075000000000001</v>
      </c>
      <c r="AA1446" s="6">
        <v>0.75000000000000011</v>
      </c>
      <c r="AB1446" s="6">
        <v>-2.0100000000000016</v>
      </c>
      <c r="AC1446" s="6">
        <v>2.0100000000000016</v>
      </c>
      <c r="AD1446" s="22" t="s">
        <v>3140</v>
      </c>
      <c r="AE1446" s="23">
        <f t="shared" si="89"/>
        <v>18.765000000000001</v>
      </c>
      <c r="AF1446" s="24">
        <f t="shared" si="90"/>
        <v>0</v>
      </c>
      <c r="AG1446" s="23">
        <f t="shared" si="91"/>
        <v>1</v>
      </c>
    </row>
    <row r="1447" spans="1:33" ht="20" hidden="1" customHeight="1" x14ac:dyDescent="0.25">
      <c r="A1447" s="12" t="s">
        <v>31</v>
      </c>
      <c r="B1447" s="9">
        <v>46196</v>
      </c>
      <c r="C1447" s="10" t="s">
        <v>2259</v>
      </c>
      <c r="D1447" s="10" t="s">
        <v>2260</v>
      </c>
      <c r="E1447" s="10" t="s">
        <v>51</v>
      </c>
      <c r="F1447" s="10" t="s">
        <v>35</v>
      </c>
      <c r="G1447" s="10" t="s">
        <v>3145</v>
      </c>
      <c r="H1447" s="8" t="s">
        <v>48</v>
      </c>
      <c r="I1447" s="11">
        <v>48.27</v>
      </c>
      <c r="J1447" s="6">
        <v>36.202500000000001</v>
      </c>
      <c r="K1447" s="6">
        <v>0.75</v>
      </c>
      <c r="L1447" s="6">
        <v>46.31</v>
      </c>
      <c r="M1447" s="11">
        <v>34.732500000000002</v>
      </c>
      <c r="N1447" s="11">
        <f t="shared" si="88"/>
        <v>34.732999999999997</v>
      </c>
      <c r="O1447" s="6">
        <v>0.75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1.96</v>
      </c>
      <c r="Z1447" s="6">
        <v>1.47</v>
      </c>
      <c r="AA1447" s="6">
        <v>0.75</v>
      </c>
      <c r="AB1447" s="6">
        <v>-1.9600000000000009</v>
      </c>
      <c r="AC1447" s="6">
        <v>1.9600000000000009</v>
      </c>
      <c r="AD1447" s="22" t="s">
        <v>3140</v>
      </c>
      <c r="AE1447" s="23">
        <f t="shared" si="89"/>
        <v>34.732999999999997</v>
      </c>
      <c r="AF1447" s="24">
        <f t="shared" si="90"/>
        <v>0</v>
      </c>
      <c r="AG1447" s="23">
        <f t="shared" si="91"/>
        <v>1</v>
      </c>
    </row>
    <row r="1448" spans="1:33" hidden="1" x14ac:dyDescent="0.25">
      <c r="A1448" s="12" t="s">
        <v>31</v>
      </c>
      <c r="B1448" s="9">
        <v>46196</v>
      </c>
      <c r="C1448" s="10" t="s">
        <v>2261</v>
      </c>
      <c r="D1448" s="10" t="s">
        <v>2262</v>
      </c>
      <c r="E1448" s="10" t="s">
        <v>51</v>
      </c>
      <c r="F1448" s="10" t="s">
        <v>35</v>
      </c>
      <c r="G1448" s="10" t="s">
        <v>3145</v>
      </c>
      <c r="H1448" s="8" t="s">
        <v>41</v>
      </c>
      <c r="I1448" s="11">
        <v>10.4</v>
      </c>
      <c r="J1448" s="6">
        <v>7.8</v>
      </c>
      <c r="K1448" s="6">
        <v>0.75</v>
      </c>
      <c r="L1448" s="6">
        <v>9.6199999999999992</v>
      </c>
      <c r="M1448" s="11">
        <v>7.2149999999999999</v>
      </c>
      <c r="N1448" s="11">
        <f t="shared" si="88"/>
        <v>7.2149999999999999</v>
      </c>
      <c r="O1448" s="6">
        <v>0.75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0.78</v>
      </c>
      <c r="Z1448" s="6">
        <v>0.58499999999999996</v>
      </c>
      <c r="AA1448" s="6">
        <v>0.74999999999999989</v>
      </c>
      <c r="AB1448" s="6">
        <v>-0.78000000000000114</v>
      </c>
      <c r="AC1448" s="6">
        <v>0.78000000000000114</v>
      </c>
      <c r="AD1448" s="22" t="s">
        <v>3140</v>
      </c>
      <c r="AE1448" s="23">
        <f t="shared" si="89"/>
        <v>7.2149999999999999</v>
      </c>
      <c r="AF1448" s="24">
        <f t="shared" si="90"/>
        <v>0</v>
      </c>
      <c r="AG1448" s="23">
        <f t="shared" si="91"/>
        <v>1</v>
      </c>
    </row>
    <row r="1449" spans="1:33" x14ac:dyDescent="0.25">
      <c r="A1449" s="12" t="s">
        <v>31</v>
      </c>
      <c r="B1449" s="9">
        <v>46196</v>
      </c>
      <c r="C1449" s="10" t="s">
        <v>2263</v>
      </c>
      <c r="D1449" s="10" t="s">
        <v>2264</v>
      </c>
      <c r="E1449" s="10" t="s">
        <v>51</v>
      </c>
      <c r="F1449" s="10" t="s">
        <v>35</v>
      </c>
      <c r="G1449" s="10" t="s">
        <v>3146</v>
      </c>
      <c r="H1449" s="8" t="s">
        <v>36</v>
      </c>
      <c r="I1449" s="11">
        <v>84.16</v>
      </c>
      <c r="J1449" s="6">
        <v>77.174719999999994</v>
      </c>
      <c r="K1449" s="6">
        <v>0.91699999999999993</v>
      </c>
      <c r="L1449" s="6">
        <v>77.41</v>
      </c>
      <c r="M1449" s="11">
        <v>70.984970000000004</v>
      </c>
      <c r="N1449" s="11">
        <f t="shared" si="88"/>
        <v>70.984999999999999</v>
      </c>
      <c r="O1449" s="6">
        <v>0.91700000000000015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6.75</v>
      </c>
      <c r="Z1449" s="6">
        <v>6.1897500000000001</v>
      </c>
      <c r="AA1449" s="6">
        <v>0.91700000000000004</v>
      </c>
      <c r="AB1449" s="6">
        <v>-6.75</v>
      </c>
      <c r="AC1449" s="6">
        <v>6.75</v>
      </c>
      <c r="AD1449" s="22" t="s">
        <v>3140</v>
      </c>
      <c r="AE1449" s="23">
        <f t="shared" si="89"/>
        <v>70.984999999999999</v>
      </c>
      <c r="AF1449" s="24">
        <f t="shared" si="90"/>
        <v>0</v>
      </c>
      <c r="AG1449" s="23">
        <f t="shared" si="91"/>
        <v>1</v>
      </c>
    </row>
    <row r="1450" spans="1:33" x14ac:dyDescent="0.25">
      <c r="A1450" s="12" t="s">
        <v>31</v>
      </c>
      <c r="B1450" s="9">
        <v>46196</v>
      </c>
      <c r="C1450" s="10" t="s">
        <v>2265</v>
      </c>
      <c r="D1450" s="10" t="s">
        <v>2266</v>
      </c>
      <c r="E1450" s="10" t="s">
        <v>51</v>
      </c>
      <c r="F1450" s="10" t="s">
        <v>35</v>
      </c>
      <c r="G1450" s="10" t="s">
        <v>3146</v>
      </c>
      <c r="H1450" s="8" t="s">
        <v>36</v>
      </c>
      <c r="I1450" s="11">
        <v>74.67</v>
      </c>
      <c r="J1450" s="6">
        <v>68.472390000000004</v>
      </c>
      <c r="K1450" s="6">
        <v>0.91700000000000004</v>
      </c>
      <c r="L1450" s="6">
        <v>71.45</v>
      </c>
      <c r="M1450" s="11">
        <v>65.519649999999999</v>
      </c>
      <c r="N1450" s="11">
        <f t="shared" si="88"/>
        <v>65.52000000000001</v>
      </c>
      <c r="O1450" s="6">
        <v>0.91699999999999993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3.22</v>
      </c>
      <c r="Z1450" s="6">
        <v>2.9527399999999999</v>
      </c>
      <c r="AA1450" s="6">
        <v>0.91699999999999993</v>
      </c>
      <c r="AB1450" s="6">
        <v>-3.2199999999999989</v>
      </c>
      <c r="AC1450" s="6">
        <v>3.2199999999999989</v>
      </c>
      <c r="AD1450" s="22" t="s">
        <v>3140</v>
      </c>
      <c r="AE1450" s="23">
        <f t="shared" si="89"/>
        <v>65.52000000000001</v>
      </c>
      <c r="AF1450" s="24">
        <f t="shared" si="90"/>
        <v>0</v>
      </c>
      <c r="AG1450" s="23">
        <f t="shared" si="91"/>
        <v>1</v>
      </c>
    </row>
    <row r="1451" spans="1:33" x14ac:dyDescent="0.25">
      <c r="A1451" s="12" t="s">
        <v>31</v>
      </c>
      <c r="B1451" s="9">
        <v>46196</v>
      </c>
      <c r="C1451" s="10" t="s">
        <v>2267</v>
      </c>
      <c r="D1451" s="10" t="s">
        <v>2268</v>
      </c>
      <c r="E1451" s="10" t="s">
        <v>51</v>
      </c>
      <c r="F1451" s="10" t="s">
        <v>35</v>
      </c>
      <c r="G1451" s="10" t="s">
        <v>3146</v>
      </c>
      <c r="H1451" s="8" t="s">
        <v>36</v>
      </c>
      <c r="I1451" s="11">
        <v>26.57</v>
      </c>
      <c r="J1451" s="6">
        <v>24.36469</v>
      </c>
      <c r="K1451" s="6">
        <v>0.91699999999999993</v>
      </c>
      <c r="L1451" s="6">
        <v>25.3</v>
      </c>
      <c r="M1451" s="11">
        <v>23.200099999999999</v>
      </c>
      <c r="N1451" s="11">
        <f t="shared" si="88"/>
        <v>23.201000000000001</v>
      </c>
      <c r="O1451" s="6">
        <v>0.91699999999999993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1.27</v>
      </c>
      <c r="Z1451" s="6">
        <v>1.16459</v>
      </c>
      <c r="AA1451" s="6">
        <v>0.91700000000000004</v>
      </c>
      <c r="AB1451" s="6">
        <v>-1.2699999999999996</v>
      </c>
      <c r="AC1451" s="6">
        <v>1.2699999999999996</v>
      </c>
      <c r="AD1451" s="22" t="s">
        <v>3140</v>
      </c>
      <c r="AE1451" s="23">
        <f t="shared" si="89"/>
        <v>23.201000000000001</v>
      </c>
      <c r="AF1451" s="24">
        <f t="shared" si="90"/>
        <v>0</v>
      </c>
      <c r="AG1451" s="23">
        <f t="shared" si="91"/>
        <v>1</v>
      </c>
    </row>
    <row r="1452" spans="1:33" hidden="1" x14ac:dyDescent="0.25">
      <c r="A1452" s="12" t="s">
        <v>31</v>
      </c>
      <c r="B1452" s="9">
        <v>46196</v>
      </c>
      <c r="C1452" s="10" t="s">
        <v>2269</v>
      </c>
      <c r="D1452" s="10" t="s">
        <v>2270</v>
      </c>
      <c r="E1452" s="10" t="s">
        <v>51</v>
      </c>
      <c r="F1452" s="10" t="s">
        <v>35</v>
      </c>
      <c r="G1452" s="10" t="s">
        <v>3145</v>
      </c>
      <c r="H1452" s="8" t="s">
        <v>41</v>
      </c>
      <c r="I1452" s="11">
        <v>21.61</v>
      </c>
      <c r="J1452" s="6">
        <v>16.2075</v>
      </c>
      <c r="K1452" s="6">
        <v>0.75</v>
      </c>
      <c r="L1452" s="6">
        <v>20.22</v>
      </c>
      <c r="M1452" s="11">
        <v>15.164999999999999</v>
      </c>
      <c r="N1452" s="11">
        <f t="shared" si="88"/>
        <v>15.164999999999999</v>
      </c>
      <c r="O1452" s="6">
        <v>0.75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1.39</v>
      </c>
      <c r="Z1452" s="6">
        <v>1.0425</v>
      </c>
      <c r="AA1452" s="6">
        <v>0.75</v>
      </c>
      <c r="AB1452" s="6">
        <v>-1.3900000000000006</v>
      </c>
      <c r="AC1452" s="6">
        <v>1.3900000000000006</v>
      </c>
      <c r="AD1452" s="22" t="s">
        <v>3140</v>
      </c>
      <c r="AE1452" s="23">
        <f t="shared" si="89"/>
        <v>15.164999999999999</v>
      </c>
      <c r="AF1452" s="24">
        <f t="shared" si="90"/>
        <v>0</v>
      </c>
      <c r="AG1452" s="23">
        <f t="shared" si="91"/>
        <v>1</v>
      </c>
    </row>
    <row r="1453" spans="1:33" x14ac:dyDescent="0.25">
      <c r="A1453" s="12" t="s">
        <v>31</v>
      </c>
      <c r="B1453" s="9">
        <v>46196</v>
      </c>
      <c r="C1453" s="10" t="s">
        <v>2271</v>
      </c>
      <c r="D1453" s="10" t="s">
        <v>2272</v>
      </c>
      <c r="E1453" s="10" t="s">
        <v>51</v>
      </c>
      <c r="F1453" s="10" t="s">
        <v>35</v>
      </c>
      <c r="G1453" s="10" t="s">
        <v>3146</v>
      </c>
      <c r="H1453" s="8" t="s">
        <v>36</v>
      </c>
      <c r="I1453" s="11">
        <v>30.04</v>
      </c>
      <c r="J1453" s="6">
        <v>27.546679999999999</v>
      </c>
      <c r="K1453" s="6">
        <v>0.91699999999999993</v>
      </c>
      <c r="L1453" s="6">
        <v>27.95</v>
      </c>
      <c r="M1453" s="11">
        <v>25.63015</v>
      </c>
      <c r="N1453" s="11">
        <f t="shared" si="88"/>
        <v>25.631</v>
      </c>
      <c r="O1453" s="6">
        <v>0.91700000000000004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2.09</v>
      </c>
      <c r="Z1453" s="6">
        <v>1.9165300000000001</v>
      </c>
      <c r="AA1453" s="6">
        <v>0.91700000000000015</v>
      </c>
      <c r="AB1453" s="6">
        <v>-2.09</v>
      </c>
      <c r="AC1453" s="6">
        <v>2.09</v>
      </c>
      <c r="AD1453" s="22" t="s">
        <v>3140</v>
      </c>
      <c r="AE1453" s="23">
        <f t="shared" si="89"/>
        <v>25.631</v>
      </c>
      <c r="AF1453" s="24">
        <f t="shared" si="90"/>
        <v>0</v>
      </c>
      <c r="AG1453" s="23">
        <f t="shared" si="91"/>
        <v>1</v>
      </c>
    </row>
    <row r="1454" spans="1:33" x14ac:dyDescent="0.25">
      <c r="A1454" s="12" t="s">
        <v>31</v>
      </c>
      <c r="B1454" s="9">
        <v>46196</v>
      </c>
      <c r="C1454" s="10" t="s">
        <v>2273</v>
      </c>
      <c r="D1454" s="10" t="s">
        <v>2274</v>
      </c>
      <c r="E1454" s="10" t="s">
        <v>51</v>
      </c>
      <c r="F1454" s="10" t="s">
        <v>35</v>
      </c>
      <c r="G1454" s="10" t="s">
        <v>3146</v>
      </c>
      <c r="H1454" s="8" t="s">
        <v>36</v>
      </c>
      <c r="I1454" s="11">
        <v>8.74</v>
      </c>
      <c r="J1454" s="6">
        <v>8.0145800000000005</v>
      </c>
      <c r="K1454" s="6">
        <v>0.91700000000000004</v>
      </c>
      <c r="L1454" s="6">
        <v>8.43</v>
      </c>
      <c r="M1454" s="11">
        <v>7.7303100000000002</v>
      </c>
      <c r="N1454" s="11">
        <f t="shared" si="88"/>
        <v>7.7310000000000008</v>
      </c>
      <c r="O1454" s="6">
        <v>0.91700000000000004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0.31</v>
      </c>
      <c r="Z1454" s="6">
        <v>0.28427000000000002</v>
      </c>
      <c r="AA1454" s="6">
        <v>0.91700000000000004</v>
      </c>
      <c r="AB1454" s="6">
        <v>-0.3100000000000005</v>
      </c>
      <c r="AC1454" s="6">
        <v>0.3100000000000005</v>
      </c>
      <c r="AD1454" s="22" t="s">
        <v>3140</v>
      </c>
      <c r="AE1454" s="23">
        <f t="shared" si="89"/>
        <v>7.7310000000000008</v>
      </c>
      <c r="AF1454" s="24">
        <f t="shared" si="90"/>
        <v>0</v>
      </c>
      <c r="AG1454" s="23">
        <f t="shared" si="91"/>
        <v>2</v>
      </c>
    </row>
    <row r="1455" spans="1:33" hidden="1" x14ac:dyDescent="0.25">
      <c r="A1455" s="12" t="s">
        <v>31</v>
      </c>
      <c r="B1455" s="9">
        <v>46196</v>
      </c>
      <c r="C1455" s="10" t="s">
        <v>2275</v>
      </c>
      <c r="D1455" s="10" t="s">
        <v>2276</v>
      </c>
      <c r="E1455" s="10" t="s">
        <v>51</v>
      </c>
      <c r="F1455" s="10" t="s">
        <v>35</v>
      </c>
      <c r="G1455" s="10" t="s">
        <v>3145</v>
      </c>
      <c r="H1455" s="8" t="s">
        <v>41</v>
      </c>
      <c r="I1455" s="11">
        <v>11.07</v>
      </c>
      <c r="J1455" s="6">
        <v>8.3025000000000002</v>
      </c>
      <c r="K1455" s="6">
        <v>0.75</v>
      </c>
      <c r="L1455" s="6">
        <v>10.31</v>
      </c>
      <c r="M1455" s="11">
        <v>7.7324999999999999</v>
      </c>
      <c r="N1455" s="11">
        <f t="shared" si="88"/>
        <v>7.7330000000000005</v>
      </c>
      <c r="O1455" s="6">
        <v>0.75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0.76</v>
      </c>
      <c r="Z1455" s="6">
        <v>0.56999999999999995</v>
      </c>
      <c r="AA1455" s="6">
        <v>0.74999999999999989</v>
      </c>
      <c r="AB1455" s="6">
        <v>-0.75999999999999979</v>
      </c>
      <c r="AC1455" s="6">
        <v>0.75999999999999979</v>
      </c>
      <c r="AD1455" s="22" t="s">
        <v>3140</v>
      </c>
      <c r="AE1455" s="23">
        <f t="shared" si="89"/>
        <v>7.7330000000000005</v>
      </c>
      <c r="AF1455" s="24">
        <f t="shared" si="90"/>
        <v>0</v>
      </c>
      <c r="AG1455" s="23">
        <f t="shared" si="91"/>
        <v>1</v>
      </c>
    </row>
    <row r="1456" spans="1:33" ht="20" hidden="1" customHeight="1" x14ac:dyDescent="0.25">
      <c r="A1456" s="12" t="s">
        <v>31</v>
      </c>
      <c r="B1456" s="9">
        <v>46196</v>
      </c>
      <c r="C1456" s="10" t="s">
        <v>2277</v>
      </c>
      <c r="D1456" s="10" t="s">
        <v>2278</v>
      </c>
      <c r="E1456" s="10" t="s">
        <v>51</v>
      </c>
      <c r="F1456" s="10" t="s">
        <v>35</v>
      </c>
      <c r="G1456" s="10" t="s">
        <v>3145</v>
      </c>
      <c r="H1456" s="8" t="s">
        <v>48</v>
      </c>
      <c r="I1456" s="11">
        <v>19.38</v>
      </c>
      <c r="J1456" s="6">
        <v>14.535</v>
      </c>
      <c r="K1456" s="6">
        <v>0.75</v>
      </c>
      <c r="L1456" s="6">
        <v>16.21</v>
      </c>
      <c r="M1456" s="11">
        <v>12.157500000000001</v>
      </c>
      <c r="N1456" s="11">
        <f t="shared" si="88"/>
        <v>12.157999999999999</v>
      </c>
      <c r="O1456" s="6">
        <v>0.75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3.17</v>
      </c>
      <c r="Z1456" s="6">
        <v>2.3774999999999999</v>
      </c>
      <c r="AA1456" s="6">
        <v>0.75</v>
      </c>
      <c r="AB1456" s="6">
        <v>-3.1699999999999982</v>
      </c>
      <c r="AC1456" s="6">
        <v>3.1699999999999982</v>
      </c>
      <c r="AD1456" s="22" t="s">
        <v>3140</v>
      </c>
      <c r="AE1456" s="23">
        <f t="shared" si="89"/>
        <v>12.157999999999999</v>
      </c>
      <c r="AF1456" s="24">
        <f t="shared" si="90"/>
        <v>0</v>
      </c>
      <c r="AG1456" s="23">
        <f t="shared" si="91"/>
        <v>1</v>
      </c>
    </row>
    <row r="1457" spans="1:33" x14ac:dyDescent="0.25">
      <c r="A1457" s="12" t="s">
        <v>31</v>
      </c>
      <c r="B1457" s="9">
        <v>46196</v>
      </c>
      <c r="C1457" s="10" t="s">
        <v>2279</v>
      </c>
      <c r="D1457" s="10" t="s">
        <v>2280</v>
      </c>
      <c r="E1457" s="10" t="s">
        <v>51</v>
      </c>
      <c r="F1457" s="10" t="s">
        <v>35</v>
      </c>
      <c r="G1457" s="10" t="s">
        <v>3146</v>
      </c>
      <c r="H1457" s="8" t="s">
        <v>36</v>
      </c>
      <c r="I1457" s="11">
        <v>23.87</v>
      </c>
      <c r="J1457" s="6">
        <v>21.88879</v>
      </c>
      <c r="K1457" s="6">
        <v>0.91699999999999993</v>
      </c>
      <c r="L1457" s="6">
        <v>22.07</v>
      </c>
      <c r="M1457" s="11">
        <v>20.238189999999999</v>
      </c>
      <c r="N1457" s="11">
        <f t="shared" si="88"/>
        <v>20.239000000000001</v>
      </c>
      <c r="O1457" s="6">
        <v>0.91699999999999993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1.8</v>
      </c>
      <c r="Z1457" s="6">
        <v>1.6506000000000001</v>
      </c>
      <c r="AA1457" s="6">
        <v>0.91700000000000004</v>
      </c>
      <c r="AB1457" s="6">
        <v>-1.8000000000000007</v>
      </c>
      <c r="AC1457" s="6">
        <v>1.8000000000000007</v>
      </c>
      <c r="AD1457" s="22" t="s">
        <v>3140</v>
      </c>
      <c r="AE1457" s="23">
        <f t="shared" si="89"/>
        <v>20.239000000000001</v>
      </c>
      <c r="AF1457" s="24">
        <f t="shared" si="90"/>
        <v>0</v>
      </c>
      <c r="AG1457" s="23">
        <f t="shared" si="91"/>
        <v>1</v>
      </c>
    </row>
    <row r="1458" spans="1:33" hidden="1" x14ac:dyDescent="0.25">
      <c r="A1458" s="12" t="s">
        <v>31</v>
      </c>
      <c r="B1458" s="9">
        <v>46196</v>
      </c>
      <c r="C1458" s="10" t="s">
        <v>2281</v>
      </c>
      <c r="D1458" s="10" t="s">
        <v>2282</v>
      </c>
      <c r="E1458" s="10" t="s">
        <v>51</v>
      </c>
      <c r="F1458" s="10" t="s">
        <v>35</v>
      </c>
      <c r="G1458" s="10" t="s">
        <v>3145</v>
      </c>
      <c r="H1458" s="8" t="s">
        <v>41</v>
      </c>
      <c r="I1458" s="11">
        <v>15.07</v>
      </c>
      <c r="J1458" s="6">
        <v>11.3025</v>
      </c>
      <c r="K1458" s="6">
        <v>0.75</v>
      </c>
      <c r="L1458" s="6">
        <v>13.44</v>
      </c>
      <c r="M1458" s="11">
        <v>10.08</v>
      </c>
      <c r="N1458" s="11">
        <f t="shared" si="88"/>
        <v>10.08</v>
      </c>
      <c r="O1458" s="6">
        <v>0.75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1.63</v>
      </c>
      <c r="Z1458" s="6">
        <v>1.2224999999999999</v>
      </c>
      <c r="AA1458" s="6">
        <v>0.75</v>
      </c>
      <c r="AB1458" s="6">
        <v>-1.6300000000000008</v>
      </c>
      <c r="AC1458" s="6">
        <v>1.6300000000000008</v>
      </c>
      <c r="AD1458" s="22" t="s">
        <v>3140</v>
      </c>
      <c r="AE1458" s="23">
        <f t="shared" si="89"/>
        <v>10.08</v>
      </c>
      <c r="AF1458" s="24">
        <f t="shared" si="90"/>
        <v>0</v>
      </c>
      <c r="AG1458" s="23">
        <f t="shared" si="91"/>
        <v>1</v>
      </c>
    </row>
    <row r="1459" spans="1:33" x14ac:dyDescent="0.25">
      <c r="A1459" s="12" t="s">
        <v>31</v>
      </c>
      <c r="B1459" s="9">
        <v>46196</v>
      </c>
      <c r="C1459" s="10" t="s">
        <v>2283</v>
      </c>
      <c r="D1459" s="10" t="s">
        <v>2284</v>
      </c>
      <c r="E1459" s="10" t="s">
        <v>51</v>
      </c>
      <c r="F1459" s="10" t="s">
        <v>35</v>
      </c>
      <c r="G1459" s="10" t="s">
        <v>3146</v>
      </c>
      <c r="H1459" s="8" t="s">
        <v>36</v>
      </c>
      <c r="I1459" s="11">
        <v>3.37</v>
      </c>
      <c r="J1459" s="6">
        <v>3.09029</v>
      </c>
      <c r="K1459" s="6">
        <v>0.91699999999999993</v>
      </c>
      <c r="L1459" s="6">
        <v>3.34</v>
      </c>
      <c r="M1459" s="11">
        <v>3.0627800000000001</v>
      </c>
      <c r="N1459" s="11">
        <f t="shared" si="88"/>
        <v>3.0629999999999997</v>
      </c>
      <c r="O1459" s="6">
        <v>0.91700000000000004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0.03</v>
      </c>
      <c r="Z1459" s="6">
        <v>2.751E-2</v>
      </c>
      <c r="AA1459" s="6">
        <v>0.91700000000000004</v>
      </c>
      <c r="AB1459" s="6">
        <v>-3.0000000000000249E-2</v>
      </c>
      <c r="AC1459" s="6">
        <v>3.0000000000000249E-2</v>
      </c>
      <c r="AD1459" s="23" t="s">
        <v>3143</v>
      </c>
      <c r="AE1459" s="23">
        <f t="shared" si="89"/>
        <v>3.0169999999999999</v>
      </c>
      <c r="AF1459" s="24">
        <f t="shared" si="90"/>
        <v>4.5999999999999819E-2</v>
      </c>
      <c r="AG1459" s="23">
        <f t="shared" si="91"/>
        <v>2</v>
      </c>
    </row>
    <row r="1460" spans="1:33" x14ac:dyDescent="0.25">
      <c r="A1460" s="12" t="s">
        <v>31</v>
      </c>
      <c r="B1460" s="9">
        <v>46196</v>
      </c>
      <c r="C1460" s="10" t="s">
        <v>2285</v>
      </c>
      <c r="D1460" s="10" t="s">
        <v>2286</v>
      </c>
      <c r="E1460" s="10" t="s">
        <v>51</v>
      </c>
      <c r="F1460" s="10" t="s">
        <v>35</v>
      </c>
      <c r="G1460" s="10" t="s">
        <v>3146</v>
      </c>
      <c r="H1460" s="8" t="s">
        <v>36</v>
      </c>
      <c r="I1460" s="11">
        <v>2.63</v>
      </c>
      <c r="J1460" s="6">
        <v>2.4117099999999998</v>
      </c>
      <c r="K1460" s="6">
        <v>0.91699999999999993</v>
      </c>
      <c r="L1460" s="6">
        <v>2.59</v>
      </c>
      <c r="M1460" s="11">
        <v>2.3750300000000002</v>
      </c>
      <c r="N1460" s="11">
        <f t="shared" si="88"/>
        <v>2.3759999999999999</v>
      </c>
      <c r="O1460" s="6">
        <v>0.91700000000000015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0.04</v>
      </c>
      <c r="Z1460" s="6">
        <v>3.6679999999999997E-2</v>
      </c>
      <c r="AA1460" s="6">
        <v>0.91699999999999993</v>
      </c>
      <c r="AB1460" s="6">
        <v>-4.0000000000000036E-2</v>
      </c>
      <c r="AC1460" s="6">
        <v>4.0000000000000036E-2</v>
      </c>
      <c r="AD1460" s="23" t="s">
        <v>3143</v>
      </c>
      <c r="AE1460" s="23">
        <f t="shared" si="89"/>
        <v>2.2649999999999997</v>
      </c>
      <c r="AF1460" s="24">
        <f t="shared" si="90"/>
        <v>0.11100000000000021</v>
      </c>
      <c r="AG1460" s="23">
        <f t="shared" si="91"/>
        <v>2</v>
      </c>
    </row>
    <row r="1461" spans="1:33" x14ac:dyDescent="0.25">
      <c r="A1461" s="12" t="s">
        <v>31</v>
      </c>
      <c r="B1461" s="9">
        <v>46196</v>
      </c>
      <c r="C1461" s="10" t="s">
        <v>2287</v>
      </c>
      <c r="D1461" s="10" t="s">
        <v>2288</v>
      </c>
      <c r="E1461" s="10" t="s">
        <v>51</v>
      </c>
      <c r="F1461" s="10" t="s">
        <v>35</v>
      </c>
      <c r="G1461" s="10" t="s">
        <v>3146</v>
      </c>
      <c r="H1461" s="8" t="s">
        <v>36</v>
      </c>
      <c r="I1461" s="11">
        <v>9</v>
      </c>
      <c r="J1461" s="6">
        <v>8.2530000000000001</v>
      </c>
      <c r="K1461" s="6">
        <v>0.91700000000000004</v>
      </c>
      <c r="L1461" s="6">
        <v>8.68</v>
      </c>
      <c r="M1461" s="11">
        <v>7.9595599999999997</v>
      </c>
      <c r="N1461" s="11">
        <f t="shared" si="88"/>
        <v>7.96</v>
      </c>
      <c r="O1461" s="6">
        <v>0.91700000000000004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0.32</v>
      </c>
      <c r="Z1461" s="6">
        <v>0.29343999999999998</v>
      </c>
      <c r="AA1461" s="6">
        <v>0.91699999999999993</v>
      </c>
      <c r="AB1461" s="6">
        <v>-0.32000000000000028</v>
      </c>
      <c r="AC1461" s="6">
        <v>0.32000000000000028</v>
      </c>
      <c r="AD1461" s="23" t="s">
        <v>3143</v>
      </c>
      <c r="AE1461" s="23">
        <f t="shared" si="89"/>
        <v>7.8870000000000005</v>
      </c>
      <c r="AF1461" s="24">
        <f t="shared" si="90"/>
        <v>7.299999999999951E-2</v>
      </c>
      <c r="AG1461" s="23">
        <f t="shared" si="91"/>
        <v>2</v>
      </c>
    </row>
    <row r="1462" spans="1:33" x14ac:dyDescent="0.25">
      <c r="A1462" s="12" t="s">
        <v>31</v>
      </c>
      <c r="B1462" s="9">
        <v>46196</v>
      </c>
      <c r="C1462" s="10" t="s">
        <v>2289</v>
      </c>
      <c r="D1462" s="10" t="s">
        <v>2290</v>
      </c>
      <c r="E1462" s="10" t="s">
        <v>51</v>
      </c>
      <c r="F1462" s="10" t="s">
        <v>35</v>
      </c>
      <c r="G1462" s="10" t="s">
        <v>3146</v>
      </c>
      <c r="H1462" s="8" t="s">
        <v>36</v>
      </c>
      <c r="I1462" s="11">
        <v>11.62</v>
      </c>
      <c r="J1462" s="6">
        <v>10.65554</v>
      </c>
      <c r="K1462" s="6">
        <v>0.91700000000000004</v>
      </c>
      <c r="L1462" s="6">
        <v>11.18</v>
      </c>
      <c r="M1462" s="11">
        <v>10.25206</v>
      </c>
      <c r="N1462" s="11">
        <f t="shared" si="88"/>
        <v>10.253</v>
      </c>
      <c r="O1462" s="6">
        <v>0.91700000000000004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0.44</v>
      </c>
      <c r="Z1462" s="6">
        <v>0.40348000000000001</v>
      </c>
      <c r="AA1462" s="6">
        <v>0.91700000000000004</v>
      </c>
      <c r="AB1462" s="6">
        <v>-0.4399999999999995</v>
      </c>
      <c r="AC1462" s="6">
        <v>0.4399999999999995</v>
      </c>
      <c r="AD1462" s="23" t="s">
        <v>3143</v>
      </c>
      <c r="AE1462" s="23">
        <f t="shared" si="89"/>
        <v>9.9499999999999993</v>
      </c>
      <c r="AF1462" s="24">
        <f t="shared" si="90"/>
        <v>0.30300000000000082</v>
      </c>
      <c r="AG1462" s="23">
        <f t="shared" si="91"/>
        <v>2</v>
      </c>
    </row>
    <row r="1463" spans="1:33" x14ac:dyDescent="0.25">
      <c r="A1463" s="12" t="s">
        <v>31</v>
      </c>
      <c r="B1463" s="9">
        <v>46196</v>
      </c>
      <c r="C1463" s="10" t="s">
        <v>2291</v>
      </c>
      <c r="D1463" s="10" t="s">
        <v>2292</v>
      </c>
      <c r="E1463" s="10" t="s">
        <v>51</v>
      </c>
      <c r="F1463" s="10" t="s">
        <v>35</v>
      </c>
      <c r="G1463" s="10" t="s">
        <v>3146</v>
      </c>
      <c r="H1463" s="8" t="s">
        <v>36</v>
      </c>
      <c r="I1463" s="11">
        <v>30.02</v>
      </c>
      <c r="J1463" s="6">
        <v>27.52834</v>
      </c>
      <c r="K1463" s="6">
        <v>0.91700000000000004</v>
      </c>
      <c r="L1463" s="6">
        <v>30.02</v>
      </c>
      <c r="M1463" s="11">
        <v>27.52834</v>
      </c>
      <c r="N1463" s="11">
        <f t="shared" si="88"/>
        <v>27.529</v>
      </c>
      <c r="O1463" s="6">
        <v>0.91700000000000004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23" t="s">
        <v>3143</v>
      </c>
      <c r="AE1463" s="23">
        <f t="shared" si="89"/>
        <v>25.631</v>
      </c>
      <c r="AF1463" s="24">
        <f t="shared" si="90"/>
        <v>1.8979999999999997</v>
      </c>
      <c r="AG1463" s="23">
        <f t="shared" si="91"/>
        <v>2</v>
      </c>
    </row>
    <row r="1464" spans="1:33" x14ac:dyDescent="0.25">
      <c r="A1464" s="12" t="s">
        <v>31</v>
      </c>
      <c r="B1464" s="9">
        <v>46196</v>
      </c>
      <c r="C1464" s="10" t="s">
        <v>2293</v>
      </c>
      <c r="D1464" s="10" t="s">
        <v>2294</v>
      </c>
      <c r="E1464" s="10" t="s">
        <v>51</v>
      </c>
      <c r="F1464" s="10" t="s">
        <v>35</v>
      </c>
      <c r="G1464" s="10" t="s">
        <v>3146</v>
      </c>
      <c r="H1464" s="8" t="s">
        <v>36</v>
      </c>
      <c r="I1464" s="11">
        <v>22.21</v>
      </c>
      <c r="J1464" s="6">
        <v>20.366569999999999</v>
      </c>
      <c r="K1464" s="6">
        <v>0.91699999999999993</v>
      </c>
      <c r="L1464" s="6">
        <v>22.21</v>
      </c>
      <c r="M1464" s="11">
        <v>20.366569999999999</v>
      </c>
      <c r="N1464" s="11">
        <f t="shared" si="88"/>
        <v>20.367000000000001</v>
      </c>
      <c r="O1464" s="6">
        <v>0.91699999999999993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23" t="s">
        <v>3143</v>
      </c>
      <c r="AE1464" s="23">
        <f t="shared" si="89"/>
        <v>19.349</v>
      </c>
      <c r="AF1464" s="24">
        <f t="shared" si="90"/>
        <v>1.0180000000000007</v>
      </c>
      <c r="AG1464" s="23">
        <f t="shared" si="91"/>
        <v>2</v>
      </c>
    </row>
    <row r="1465" spans="1:33" x14ac:dyDescent="0.25">
      <c r="A1465" s="12" t="s">
        <v>31</v>
      </c>
      <c r="B1465" s="9">
        <v>46196</v>
      </c>
      <c r="C1465" s="10" t="s">
        <v>2295</v>
      </c>
      <c r="D1465" s="10" t="s">
        <v>2296</v>
      </c>
      <c r="E1465" s="10" t="s">
        <v>51</v>
      </c>
      <c r="F1465" s="10" t="s">
        <v>35</v>
      </c>
      <c r="G1465" s="10" t="s">
        <v>3146</v>
      </c>
      <c r="H1465" s="8" t="s">
        <v>36</v>
      </c>
      <c r="I1465" s="11">
        <v>22.71</v>
      </c>
      <c r="J1465" s="6">
        <v>20.82507</v>
      </c>
      <c r="K1465" s="6">
        <v>0.91699999999999993</v>
      </c>
      <c r="L1465" s="6">
        <v>22.71</v>
      </c>
      <c r="M1465" s="11">
        <v>20.82507</v>
      </c>
      <c r="N1465" s="11">
        <f t="shared" si="88"/>
        <v>20.826000000000001</v>
      </c>
      <c r="O1465" s="6">
        <v>0.91699999999999993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23" t="s">
        <v>3143</v>
      </c>
      <c r="AE1465" s="23">
        <f t="shared" si="89"/>
        <v>19.854000000000003</v>
      </c>
      <c r="AF1465" s="24">
        <f t="shared" si="90"/>
        <v>0.97199999999999775</v>
      </c>
      <c r="AG1465" s="23">
        <f t="shared" si="91"/>
        <v>2</v>
      </c>
    </row>
    <row r="1466" spans="1:33" hidden="1" x14ac:dyDescent="0.25">
      <c r="A1466" s="12" t="s">
        <v>31</v>
      </c>
      <c r="B1466" s="9">
        <v>46196</v>
      </c>
      <c r="C1466" s="10" t="s">
        <v>2297</v>
      </c>
      <c r="D1466" s="10" t="s">
        <v>2298</v>
      </c>
      <c r="E1466" s="10" t="s">
        <v>51</v>
      </c>
      <c r="F1466" s="10" t="s">
        <v>35</v>
      </c>
      <c r="G1466" s="10" t="s">
        <v>3145</v>
      </c>
      <c r="H1466" s="8" t="s">
        <v>41</v>
      </c>
      <c r="I1466" s="11">
        <v>33.26</v>
      </c>
      <c r="J1466" s="6">
        <v>24.945</v>
      </c>
      <c r="K1466" s="6">
        <v>0.75</v>
      </c>
      <c r="L1466" s="6">
        <v>30.43</v>
      </c>
      <c r="M1466" s="11">
        <v>22.822500000000002</v>
      </c>
      <c r="N1466" s="11">
        <f t="shared" si="88"/>
        <v>22.823</v>
      </c>
      <c r="O1466" s="6">
        <v>0.75000000000000011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2.83</v>
      </c>
      <c r="Z1466" s="6">
        <v>2.1225000000000001</v>
      </c>
      <c r="AA1466" s="6">
        <v>0.75</v>
      </c>
      <c r="AB1466" s="6">
        <v>-2.8299999999999983</v>
      </c>
      <c r="AC1466" s="6">
        <v>2.8299999999999983</v>
      </c>
      <c r="AD1466" s="22" t="s">
        <v>3140</v>
      </c>
      <c r="AE1466" s="23">
        <f t="shared" si="89"/>
        <v>22.823</v>
      </c>
      <c r="AF1466" s="24">
        <f t="shared" si="90"/>
        <v>0</v>
      </c>
      <c r="AG1466" s="23">
        <f t="shared" si="91"/>
        <v>1</v>
      </c>
    </row>
    <row r="1467" spans="1:33" x14ac:dyDescent="0.25">
      <c r="A1467" s="12" t="s">
        <v>31</v>
      </c>
      <c r="B1467" s="9">
        <v>46196</v>
      </c>
      <c r="C1467" s="10" t="s">
        <v>2299</v>
      </c>
      <c r="D1467" s="10" t="s">
        <v>2300</v>
      </c>
      <c r="E1467" s="10" t="s">
        <v>51</v>
      </c>
      <c r="F1467" s="10" t="s">
        <v>35</v>
      </c>
      <c r="G1467" s="10" t="s">
        <v>3146</v>
      </c>
      <c r="H1467" s="8" t="s">
        <v>36</v>
      </c>
      <c r="I1467" s="11">
        <v>42.9</v>
      </c>
      <c r="J1467" s="6">
        <v>39.339300000000001</v>
      </c>
      <c r="K1467" s="6">
        <v>0.91700000000000004</v>
      </c>
      <c r="L1467" s="6">
        <v>38.119999999999997</v>
      </c>
      <c r="M1467" s="11">
        <v>34.956040000000002</v>
      </c>
      <c r="N1467" s="11">
        <f t="shared" si="88"/>
        <v>34.957000000000001</v>
      </c>
      <c r="O1467" s="6">
        <v>0.91700000000000015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4.78</v>
      </c>
      <c r="Z1467" s="6">
        <v>4.3832599999999999</v>
      </c>
      <c r="AA1467" s="6">
        <v>0.91699999999999993</v>
      </c>
      <c r="AB1467" s="6">
        <v>-4.7800000000000011</v>
      </c>
      <c r="AC1467" s="6">
        <v>4.7800000000000011</v>
      </c>
      <c r="AD1467" s="22" t="s">
        <v>3140</v>
      </c>
      <c r="AE1467" s="23">
        <f t="shared" si="89"/>
        <v>34.957000000000001</v>
      </c>
      <c r="AF1467" s="24">
        <f t="shared" si="90"/>
        <v>0</v>
      </c>
      <c r="AG1467" s="23">
        <f t="shared" si="91"/>
        <v>1</v>
      </c>
    </row>
    <row r="1468" spans="1:33" x14ac:dyDescent="0.25">
      <c r="A1468" s="12" t="s">
        <v>31</v>
      </c>
      <c r="B1468" s="9">
        <v>46196</v>
      </c>
      <c r="C1468" s="10" t="s">
        <v>2301</v>
      </c>
      <c r="D1468" s="10" t="s">
        <v>2302</v>
      </c>
      <c r="E1468" s="10" t="s">
        <v>51</v>
      </c>
      <c r="F1468" s="10" t="s">
        <v>35</v>
      </c>
      <c r="G1468" s="10" t="s">
        <v>3146</v>
      </c>
      <c r="H1468" s="8" t="s">
        <v>36</v>
      </c>
      <c r="I1468" s="11">
        <v>5.8</v>
      </c>
      <c r="J1468" s="6">
        <v>5.3186</v>
      </c>
      <c r="K1468" s="6">
        <v>0.91700000000000004</v>
      </c>
      <c r="L1468" s="6">
        <v>5.8</v>
      </c>
      <c r="M1468" s="11">
        <v>5.3186</v>
      </c>
      <c r="N1468" s="11">
        <f t="shared" si="88"/>
        <v>5.319</v>
      </c>
      <c r="O1468" s="6">
        <v>0.91700000000000004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23" t="s">
        <v>3143</v>
      </c>
      <c r="AE1468" s="23">
        <f t="shared" si="89"/>
        <v>2.3209999999999997</v>
      </c>
      <c r="AF1468" s="24">
        <f t="shared" si="90"/>
        <v>2.9980000000000002</v>
      </c>
      <c r="AG1468" s="23">
        <f t="shared" si="91"/>
        <v>3</v>
      </c>
    </row>
    <row r="1469" spans="1:33" x14ac:dyDescent="0.25">
      <c r="A1469" s="12" t="s">
        <v>31</v>
      </c>
      <c r="B1469" s="9">
        <v>46196</v>
      </c>
      <c r="C1469" s="10" t="s">
        <v>2303</v>
      </c>
      <c r="D1469" s="10" t="s">
        <v>2196</v>
      </c>
      <c r="E1469" s="10" t="s">
        <v>51</v>
      </c>
      <c r="F1469" s="10" t="s">
        <v>35</v>
      </c>
      <c r="G1469" s="10" t="s">
        <v>3146</v>
      </c>
      <c r="H1469" s="8" t="s">
        <v>36</v>
      </c>
      <c r="I1469" s="11">
        <v>31.48</v>
      </c>
      <c r="J1469" s="6">
        <v>28.867159999999998</v>
      </c>
      <c r="K1469" s="6">
        <v>0.91699999999999993</v>
      </c>
      <c r="L1469" s="6">
        <v>29.47</v>
      </c>
      <c r="M1469" s="11">
        <v>27.023990000000001</v>
      </c>
      <c r="N1469" s="11">
        <f t="shared" si="88"/>
        <v>27.024000000000001</v>
      </c>
      <c r="O1469" s="6">
        <v>0.91700000000000004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2.0099999999999998</v>
      </c>
      <c r="Z1469" s="6">
        <v>1.84317</v>
      </c>
      <c r="AA1469" s="6">
        <v>0.91700000000000004</v>
      </c>
      <c r="AB1469" s="6">
        <v>-2.0100000000000016</v>
      </c>
      <c r="AC1469" s="6">
        <v>2.0100000000000016</v>
      </c>
      <c r="AD1469" s="22" t="s">
        <v>3140</v>
      </c>
      <c r="AE1469" s="23">
        <f t="shared" si="89"/>
        <v>27.024000000000001</v>
      </c>
      <c r="AF1469" s="24">
        <f t="shared" si="90"/>
        <v>0</v>
      </c>
      <c r="AG1469" s="23">
        <f t="shared" si="91"/>
        <v>2</v>
      </c>
    </row>
    <row r="1470" spans="1:33" x14ac:dyDescent="0.25">
      <c r="A1470" s="12" t="s">
        <v>31</v>
      </c>
      <c r="B1470" s="9">
        <v>46196</v>
      </c>
      <c r="C1470" s="10" t="s">
        <v>2304</v>
      </c>
      <c r="D1470" s="10" t="s">
        <v>2305</v>
      </c>
      <c r="E1470" s="10" t="s">
        <v>51</v>
      </c>
      <c r="F1470" s="10" t="s">
        <v>35</v>
      </c>
      <c r="G1470" s="10" t="s">
        <v>3146</v>
      </c>
      <c r="H1470" s="8" t="s">
        <v>36</v>
      </c>
      <c r="I1470" s="11">
        <v>15.02</v>
      </c>
      <c r="J1470" s="6">
        <v>13.773339999999999</v>
      </c>
      <c r="K1470" s="6">
        <v>0.91699999999999993</v>
      </c>
      <c r="L1470" s="6">
        <v>12.96</v>
      </c>
      <c r="M1470" s="11">
        <v>11.884320000000001</v>
      </c>
      <c r="N1470" s="11">
        <f t="shared" si="88"/>
        <v>11.885</v>
      </c>
      <c r="O1470" s="6">
        <v>0.91700000000000004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2.06</v>
      </c>
      <c r="Z1470" s="6">
        <v>1.8890199999999999</v>
      </c>
      <c r="AA1470" s="6">
        <v>0.91699999999999993</v>
      </c>
      <c r="AB1470" s="6">
        <v>-2.0599999999999987</v>
      </c>
      <c r="AC1470" s="6">
        <v>2.0599999999999987</v>
      </c>
      <c r="AD1470" s="23" t="s">
        <v>3143</v>
      </c>
      <c r="AE1470" s="23">
        <f t="shared" si="89"/>
        <v>11.766</v>
      </c>
      <c r="AF1470" s="24">
        <f t="shared" si="90"/>
        <v>0.11899999999999977</v>
      </c>
      <c r="AG1470" s="23">
        <f t="shared" si="91"/>
        <v>2</v>
      </c>
    </row>
    <row r="1471" spans="1:33" ht="20" hidden="1" customHeight="1" x14ac:dyDescent="0.25">
      <c r="A1471" s="12" t="s">
        <v>31</v>
      </c>
      <c r="B1471" s="9">
        <v>46196</v>
      </c>
      <c r="C1471" s="10" t="s">
        <v>2306</v>
      </c>
      <c r="D1471" s="10" t="s">
        <v>2307</v>
      </c>
      <c r="E1471" s="10" t="s">
        <v>51</v>
      </c>
      <c r="F1471" s="10" t="s">
        <v>35</v>
      </c>
      <c r="G1471" s="10" t="s">
        <v>3145</v>
      </c>
      <c r="H1471" s="8" t="s">
        <v>48</v>
      </c>
      <c r="I1471" s="11">
        <v>12.19</v>
      </c>
      <c r="J1471" s="6">
        <v>9.1425000000000001</v>
      </c>
      <c r="K1471" s="6">
        <v>0.75</v>
      </c>
      <c r="L1471" s="6">
        <v>11.5</v>
      </c>
      <c r="M1471" s="11">
        <v>8.625</v>
      </c>
      <c r="N1471" s="11">
        <f t="shared" si="88"/>
        <v>8.625</v>
      </c>
      <c r="O1471" s="6">
        <v>0.75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0.69</v>
      </c>
      <c r="Z1471" s="6">
        <v>0.51749999999999996</v>
      </c>
      <c r="AA1471" s="6">
        <v>0.75</v>
      </c>
      <c r="AB1471" s="6">
        <v>-0.6899999999999995</v>
      </c>
      <c r="AC1471" s="6">
        <v>0.6899999999999995</v>
      </c>
      <c r="AD1471" s="22" t="s">
        <v>3140</v>
      </c>
      <c r="AE1471" s="23">
        <f t="shared" si="89"/>
        <v>8.625</v>
      </c>
      <c r="AF1471" s="24">
        <f t="shared" si="90"/>
        <v>0</v>
      </c>
      <c r="AG1471" s="23">
        <f t="shared" si="91"/>
        <v>1</v>
      </c>
    </row>
    <row r="1472" spans="1:33" ht="12.5" customHeight="1" x14ac:dyDescent="0.25">
      <c r="A1472" s="12" t="s">
        <v>31</v>
      </c>
      <c r="B1472" s="9">
        <v>46196</v>
      </c>
      <c r="C1472" s="8" t="s">
        <v>2308</v>
      </c>
      <c r="D1472" s="10" t="s">
        <v>2309</v>
      </c>
      <c r="E1472" s="10" t="s">
        <v>51</v>
      </c>
      <c r="F1472" s="10" t="s">
        <v>35</v>
      </c>
      <c r="G1472" s="10" t="s">
        <v>3146</v>
      </c>
      <c r="H1472" s="8" t="s">
        <v>36</v>
      </c>
      <c r="I1472" s="11">
        <v>48.75</v>
      </c>
      <c r="J1472" s="6">
        <v>44.703749999999999</v>
      </c>
      <c r="K1472" s="6">
        <v>0.91700000000000004</v>
      </c>
      <c r="L1472" s="6">
        <v>46.64</v>
      </c>
      <c r="M1472" s="11">
        <v>42.768880000000003</v>
      </c>
      <c r="N1472" s="11">
        <f t="shared" si="88"/>
        <v>42.768999999999998</v>
      </c>
      <c r="O1472" s="6">
        <v>0.91700000000000004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2.11</v>
      </c>
      <c r="Z1472" s="6">
        <v>1.9348700000000001</v>
      </c>
      <c r="AA1472" s="6">
        <v>0.91700000000000015</v>
      </c>
      <c r="AB1472" s="6">
        <v>-2.1099999999999994</v>
      </c>
      <c r="AC1472" s="6">
        <v>2.1099999999999994</v>
      </c>
      <c r="AD1472" s="22" t="s">
        <v>3140</v>
      </c>
      <c r="AE1472" s="23">
        <f t="shared" si="89"/>
        <v>42.768999999999998</v>
      </c>
      <c r="AF1472" s="24">
        <f t="shared" si="90"/>
        <v>0</v>
      </c>
      <c r="AG1472" s="23">
        <f t="shared" si="91"/>
        <v>1</v>
      </c>
    </row>
    <row r="1473" spans="1:33" ht="12.5" hidden="1" customHeight="1" x14ac:dyDescent="0.25">
      <c r="A1473" s="12" t="s">
        <v>31</v>
      </c>
      <c r="B1473" s="9">
        <v>46196</v>
      </c>
      <c r="C1473" s="12" t="s">
        <v>2308</v>
      </c>
      <c r="D1473" s="10" t="s">
        <v>2310</v>
      </c>
      <c r="E1473" s="10" t="s">
        <v>51</v>
      </c>
      <c r="F1473" s="10" t="s">
        <v>35</v>
      </c>
      <c r="G1473" s="10" t="s">
        <v>3145</v>
      </c>
      <c r="H1473" s="8" t="s">
        <v>48</v>
      </c>
      <c r="I1473" s="11">
        <v>24.08</v>
      </c>
      <c r="J1473" s="6">
        <v>18.059999999999999</v>
      </c>
      <c r="K1473" s="6">
        <v>0.75</v>
      </c>
      <c r="L1473" s="6">
        <v>21.95</v>
      </c>
      <c r="M1473" s="11">
        <v>16.462499999999999</v>
      </c>
      <c r="N1473" s="11">
        <f t="shared" si="88"/>
        <v>16.463000000000001</v>
      </c>
      <c r="O1473" s="6">
        <v>0.75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2.13</v>
      </c>
      <c r="Z1473" s="6">
        <v>1.5974999999999999</v>
      </c>
      <c r="AA1473" s="6">
        <v>0.75</v>
      </c>
      <c r="AB1473" s="6">
        <v>-2.129999999999999</v>
      </c>
      <c r="AC1473" s="6">
        <v>2.129999999999999</v>
      </c>
      <c r="AD1473" s="22" t="s">
        <v>3140</v>
      </c>
      <c r="AE1473" s="23">
        <f t="shared" si="89"/>
        <v>16.463000000000001</v>
      </c>
      <c r="AF1473" s="24">
        <f t="shared" si="90"/>
        <v>0</v>
      </c>
      <c r="AG1473" s="23">
        <f t="shared" si="91"/>
        <v>1</v>
      </c>
    </row>
    <row r="1474" spans="1:33" ht="12.5" hidden="1" customHeight="1" x14ac:dyDescent="0.25">
      <c r="A1474" s="12" t="s">
        <v>31</v>
      </c>
      <c r="B1474" s="9">
        <v>46196</v>
      </c>
      <c r="C1474" s="13" t="s">
        <v>2308</v>
      </c>
      <c r="D1474" s="10" t="s">
        <v>2311</v>
      </c>
      <c r="E1474" s="10" t="s">
        <v>51</v>
      </c>
      <c r="F1474" s="10" t="s">
        <v>35</v>
      </c>
      <c r="G1474" s="10" t="s">
        <v>3145</v>
      </c>
      <c r="H1474" s="8" t="s">
        <v>48</v>
      </c>
      <c r="I1474" s="11">
        <v>7.68</v>
      </c>
      <c r="J1474" s="6">
        <v>5.76</v>
      </c>
      <c r="K1474" s="6">
        <v>0.75</v>
      </c>
      <c r="L1474" s="6">
        <v>7.27</v>
      </c>
      <c r="M1474" s="11">
        <v>5.4524999999999997</v>
      </c>
      <c r="N1474" s="11">
        <f t="shared" si="88"/>
        <v>5.4530000000000003</v>
      </c>
      <c r="O1474" s="6">
        <v>0.75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0.41</v>
      </c>
      <c r="Z1474" s="6">
        <v>0.3075</v>
      </c>
      <c r="AA1474" s="6">
        <v>0.75</v>
      </c>
      <c r="AB1474" s="6">
        <v>-0.41000000000000014</v>
      </c>
      <c r="AC1474" s="6">
        <v>0.41000000000000014</v>
      </c>
      <c r="AD1474" s="22" t="s">
        <v>3140</v>
      </c>
      <c r="AE1474" s="23">
        <f t="shared" si="89"/>
        <v>5.4530000000000003</v>
      </c>
      <c r="AF1474" s="24">
        <f t="shared" si="90"/>
        <v>0</v>
      </c>
      <c r="AG1474" s="23">
        <f t="shared" si="91"/>
        <v>1</v>
      </c>
    </row>
    <row r="1475" spans="1:33" x14ac:dyDescent="0.25">
      <c r="A1475" s="12" t="s">
        <v>31</v>
      </c>
      <c r="B1475" s="9">
        <v>46196</v>
      </c>
      <c r="C1475" s="10" t="s">
        <v>2312</v>
      </c>
      <c r="D1475" s="10" t="s">
        <v>2302</v>
      </c>
      <c r="E1475" s="10" t="s">
        <v>51</v>
      </c>
      <c r="F1475" s="10" t="s">
        <v>35</v>
      </c>
      <c r="G1475" s="10" t="s">
        <v>3146</v>
      </c>
      <c r="H1475" s="8" t="s">
        <v>36</v>
      </c>
      <c r="I1475" s="11">
        <v>5.8</v>
      </c>
      <c r="J1475" s="6">
        <v>5.3186</v>
      </c>
      <c r="K1475" s="6">
        <v>0.91700000000000004</v>
      </c>
      <c r="L1475" s="6">
        <v>5.22</v>
      </c>
      <c r="M1475" s="11">
        <v>4.78674</v>
      </c>
      <c r="N1475" s="11">
        <f t="shared" ref="N1475:N1538" si="92">ROUNDUP(M1475,3)</f>
        <v>4.7869999999999999</v>
      </c>
      <c r="O1475" s="6">
        <v>0.91700000000000004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0.57999999999999996</v>
      </c>
      <c r="Z1475" s="6">
        <v>0.53186</v>
      </c>
      <c r="AA1475" s="6">
        <v>0.91700000000000004</v>
      </c>
      <c r="AB1475" s="6">
        <v>-0.58000000000000007</v>
      </c>
      <c r="AC1475" s="6">
        <v>0.58000000000000007</v>
      </c>
      <c r="AD1475" s="23" t="s">
        <v>3143</v>
      </c>
      <c r="AE1475" s="23">
        <f t="shared" ref="AE1475:AE1538" si="93">_xlfn.MINIFS(N:N,D:D,D1475)</f>
        <v>2.3209999999999997</v>
      </c>
      <c r="AF1475" s="24">
        <f t="shared" ref="AF1475:AF1538" si="94">N1475-AE1475</f>
        <v>2.4660000000000002</v>
      </c>
      <c r="AG1475" s="23">
        <f t="shared" ref="AG1475:AG1538" si="95">COUNTIF(D:D,D1475)</f>
        <v>3</v>
      </c>
    </row>
    <row r="1476" spans="1:33" x14ac:dyDescent="0.25">
      <c r="A1476" s="12" t="s">
        <v>31</v>
      </c>
      <c r="B1476" s="9">
        <v>46196</v>
      </c>
      <c r="C1476" s="10" t="s">
        <v>2313</v>
      </c>
      <c r="D1476" s="10" t="s">
        <v>2302</v>
      </c>
      <c r="E1476" s="10" t="s">
        <v>51</v>
      </c>
      <c r="F1476" s="10" t="s">
        <v>133</v>
      </c>
      <c r="G1476" s="10" t="s">
        <v>3146</v>
      </c>
      <c r="H1476" s="8" t="s">
        <v>36</v>
      </c>
      <c r="I1476" s="11">
        <v>2.5499999999999998</v>
      </c>
      <c r="J1476" s="6">
        <v>2.3383500000000002</v>
      </c>
      <c r="K1476" s="6">
        <v>0.91700000000000015</v>
      </c>
      <c r="L1476" s="6">
        <v>2.5299999999999998</v>
      </c>
      <c r="M1476" s="11">
        <v>2.3200099999999999</v>
      </c>
      <c r="N1476" s="11">
        <f t="shared" si="92"/>
        <v>2.3209999999999997</v>
      </c>
      <c r="O1476" s="6">
        <v>0.91700000000000004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0.02</v>
      </c>
      <c r="Z1476" s="6">
        <v>1.8339999999999999E-2</v>
      </c>
      <c r="AA1476" s="6">
        <v>0.91699999999999993</v>
      </c>
      <c r="AB1476" s="6">
        <v>-2.0000000000000018E-2</v>
      </c>
      <c r="AC1476" s="6">
        <v>2.0000000000000018E-2</v>
      </c>
      <c r="AD1476" s="23" t="s">
        <v>3142</v>
      </c>
      <c r="AE1476" s="23">
        <f t="shared" si="93"/>
        <v>2.3209999999999997</v>
      </c>
      <c r="AF1476" s="24">
        <f t="shared" si="94"/>
        <v>0</v>
      </c>
      <c r="AG1476" s="23">
        <f t="shared" si="95"/>
        <v>3</v>
      </c>
    </row>
    <row r="1477" spans="1:33" x14ac:dyDescent="0.25">
      <c r="A1477" s="12" t="s">
        <v>31</v>
      </c>
      <c r="B1477" s="9">
        <v>46196</v>
      </c>
      <c r="C1477" s="10" t="s">
        <v>2314</v>
      </c>
      <c r="D1477" s="10" t="s">
        <v>2315</v>
      </c>
      <c r="E1477" s="10" t="s">
        <v>51</v>
      </c>
      <c r="F1477" s="10" t="s">
        <v>35</v>
      </c>
      <c r="G1477" s="10" t="s">
        <v>3146</v>
      </c>
      <c r="H1477" s="8" t="s">
        <v>36</v>
      </c>
      <c r="I1477" s="11">
        <v>22.41</v>
      </c>
      <c r="J1477" s="6">
        <v>20.549969999999998</v>
      </c>
      <c r="K1477" s="6">
        <v>0.91699999999999993</v>
      </c>
      <c r="L1477" s="6">
        <v>20.21</v>
      </c>
      <c r="M1477" s="11">
        <v>18.53257</v>
      </c>
      <c r="N1477" s="11">
        <f t="shared" si="92"/>
        <v>18.533000000000001</v>
      </c>
      <c r="O1477" s="6">
        <v>0.91699999999999993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2.2000000000000002</v>
      </c>
      <c r="Z1477" s="6">
        <v>2.0173999999999999</v>
      </c>
      <c r="AA1477" s="6">
        <v>0.91699999999999982</v>
      </c>
      <c r="AB1477" s="6">
        <v>-2.1999999999999993</v>
      </c>
      <c r="AC1477" s="6">
        <v>2.1999999999999993</v>
      </c>
      <c r="AD1477" s="22" t="s">
        <v>3140</v>
      </c>
      <c r="AE1477" s="23">
        <f t="shared" si="93"/>
        <v>18.533000000000001</v>
      </c>
      <c r="AF1477" s="24">
        <f t="shared" si="94"/>
        <v>0</v>
      </c>
      <c r="AG1477" s="23">
        <f t="shared" si="95"/>
        <v>1</v>
      </c>
    </row>
    <row r="1478" spans="1:33" ht="20" hidden="1" customHeight="1" x14ac:dyDescent="0.25">
      <c r="A1478" s="12" t="s">
        <v>31</v>
      </c>
      <c r="B1478" s="9">
        <v>46196</v>
      </c>
      <c r="C1478" s="10" t="s">
        <v>2316</v>
      </c>
      <c r="D1478" s="10" t="s">
        <v>2317</v>
      </c>
      <c r="E1478" s="10" t="s">
        <v>51</v>
      </c>
      <c r="F1478" s="10" t="s">
        <v>35</v>
      </c>
      <c r="G1478" s="10" t="s">
        <v>3145</v>
      </c>
      <c r="H1478" s="8" t="s">
        <v>48</v>
      </c>
      <c r="I1478" s="11">
        <v>65.78</v>
      </c>
      <c r="J1478" s="6">
        <v>49.335000000000001</v>
      </c>
      <c r="K1478" s="6">
        <v>0.75</v>
      </c>
      <c r="L1478" s="6">
        <v>62.11</v>
      </c>
      <c r="M1478" s="11">
        <v>46.582500000000003</v>
      </c>
      <c r="N1478" s="11">
        <f t="shared" si="92"/>
        <v>46.582999999999998</v>
      </c>
      <c r="O1478" s="6">
        <v>0.75000000000000011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3.67</v>
      </c>
      <c r="Z1478" s="6">
        <v>2.7524999999999999</v>
      </c>
      <c r="AA1478" s="6">
        <v>0.75</v>
      </c>
      <c r="AB1478" s="6">
        <v>-3.6700000000000017</v>
      </c>
      <c r="AC1478" s="6">
        <v>3.6700000000000017</v>
      </c>
      <c r="AD1478" s="22" t="s">
        <v>3140</v>
      </c>
      <c r="AE1478" s="23">
        <f t="shared" si="93"/>
        <v>46.582999999999998</v>
      </c>
      <c r="AF1478" s="24">
        <f t="shared" si="94"/>
        <v>0</v>
      </c>
      <c r="AG1478" s="23">
        <f t="shared" si="95"/>
        <v>1</v>
      </c>
    </row>
    <row r="1479" spans="1:33" hidden="1" x14ac:dyDescent="0.25">
      <c r="A1479" s="12" t="s">
        <v>31</v>
      </c>
      <c r="B1479" s="9">
        <v>46196</v>
      </c>
      <c r="C1479" s="10" t="s">
        <v>2318</v>
      </c>
      <c r="D1479" s="10" t="s">
        <v>2319</v>
      </c>
      <c r="E1479" s="10" t="s">
        <v>51</v>
      </c>
      <c r="F1479" s="10" t="s">
        <v>35</v>
      </c>
      <c r="G1479" s="10" t="s">
        <v>3145</v>
      </c>
      <c r="H1479" s="8" t="s">
        <v>41</v>
      </c>
      <c r="I1479" s="11">
        <v>12.25</v>
      </c>
      <c r="J1479" s="6">
        <v>9.1875</v>
      </c>
      <c r="K1479" s="6">
        <v>0.75</v>
      </c>
      <c r="L1479" s="6">
        <v>11.08</v>
      </c>
      <c r="M1479" s="11">
        <v>8.31</v>
      </c>
      <c r="N1479" s="11">
        <f t="shared" si="92"/>
        <v>8.31</v>
      </c>
      <c r="O1479" s="6">
        <v>0.75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1.17</v>
      </c>
      <c r="Z1479" s="6">
        <v>0.87749999999999995</v>
      </c>
      <c r="AA1479" s="6">
        <v>0.75</v>
      </c>
      <c r="AB1479" s="6">
        <v>-1.17</v>
      </c>
      <c r="AC1479" s="6">
        <v>1.17</v>
      </c>
      <c r="AD1479" s="22" t="s">
        <v>3140</v>
      </c>
      <c r="AE1479" s="23">
        <f t="shared" si="93"/>
        <v>8.31</v>
      </c>
      <c r="AF1479" s="24">
        <f t="shared" si="94"/>
        <v>0</v>
      </c>
      <c r="AG1479" s="23">
        <f t="shared" si="95"/>
        <v>1</v>
      </c>
    </row>
    <row r="1480" spans="1:33" ht="20" hidden="1" customHeight="1" x14ac:dyDescent="0.25">
      <c r="A1480" s="12" t="s">
        <v>31</v>
      </c>
      <c r="B1480" s="9">
        <v>46196</v>
      </c>
      <c r="C1480" s="10" t="s">
        <v>2320</v>
      </c>
      <c r="D1480" s="10" t="s">
        <v>2321</v>
      </c>
      <c r="E1480" s="10" t="s">
        <v>51</v>
      </c>
      <c r="F1480" s="10" t="s">
        <v>35</v>
      </c>
      <c r="G1480" s="10" t="s">
        <v>3145</v>
      </c>
      <c r="H1480" s="8" t="s">
        <v>48</v>
      </c>
      <c r="I1480" s="11">
        <v>34.520000000000003</v>
      </c>
      <c r="J1480" s="6">
        <v>25.89</v>
      </c>
      <c r="K1480" s="6">
        <v>0.75</v>
      </c>
      <c r="L1480" s="6">
        <v>29.95</v>
      </c>
      <c r="M1480" s="11">
        <v>22.462499999999999</v>
      </c>
      <c r="N1480" s="11">
        <f t="shared" si="92"/>
        <v>22.463000000000001</v>
      </c>
      <c r="O1480" s="6">
        <v>0.75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4.57</v>
      </c>
      <c r="Z1480" s="6">
        <v>3.4275000000000002</v>
      </c>
      <c r="AA1480" s="6">
        <v>0.75</v>
      </c>
      <c r="AB1480" s="6">
        <v>-4.5700000000000038</v>
      </c>
      <c r="AC1480" s="6">
        <v>4.5700000000000038</v>
      </c>
      <c r="AD1480" s="22" t="s">
        <v>3140</v>
      </c>
      <c r="AE1480" s="23">
        <f t="shared" si="93"/>
        <v>22.463000000000001</v>
      </c>
      <c r="AF1480" s="24">
        <f t="shared" si="94"/>
        <v>0</v>
      </c>
      <c r="AG1480" s="23">
        <f t="shared" si="95"/>
        <v>1</v>
      </c>
    </row>
    <row r="1481" spans="1:33" ht="20" hidden="1" customHeight="1" x14ac:dyDescent="0.25">
      <c r="A1481" s="12" t="s">
        <v>31</v>
      </c>
      <c r="B1481" s="9">
        <v>46196</v>
      </c>
      <c r="C1481" s="10" t="s">
        <v>2322</v>
      </c>
      <c r="D1481" s="10" t="s">
        <v>2323</v>
      </c>
      <c r="E1481" s="10" t="s">
        <v>51</v>
      </c>
      <c r="F1481" s="10" t="s">
        <v>35</v>
      </c>
      <c r="G1481" s="10" t="s">
        <v>3145</v>
      </c>
      <c r="H1481" s="8" t="s">
        <v>48</v>
      </c>
      <c r="I1481" s="11">
        <v>28.53</v>
      </c>
      <c r="J1481" s="6">
        <v>21.397500000000001</v>
      </c>
      <c r="K1481" s="6">
        <v>0.75</v>
      </c>
      <c r="L1481" s="6">
        <v>24.97</v>
      </c>
      <c r="M1481" s="11">
        <v>18.727499999999999</v>
      </c>
      <c r="N1481" s="11">
        <f t="shared" si="92"/>
        <v>18.728000000000002</v>
      </c>
      <c r="O1481" s="6">
        <v>0.75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3.56</v>
      </c>
      <c r="Z1481" s="6">
        <v>2.67</v>
      </c>
      <c r="AA1481" s="6">
        <v>0.75</v>
      </c>
      <c r="AB1481" s="6">
        <v>-3.5600000000000023</v>
      </c>
      <c r="AC1481" s="6">
        <v>3.5600000000000023</v>
      </c>
      <c r="AD1481" s="22" t="s">
        <v>3140</v>
      </c>
      <c r="AE1481" s="23">
        <f t="shared" si="93"/>
        <v>18.728000000000002</v>
      </c>
      <c r="AF1481" s="24">
        <f t="shared" si="94"/>
        <v>0</v>
      </c>
      <c r="AG1481" s="23">
        <f t="shared" si="95"/>
        <v>1</v>
      </c>
    </row>
    <row r="1482" spans="1:33" ht="20" hidden="1" customHeight="1" x14ac:dyDescent="0.25">
      <c r="A1482" s="12" t="s">
        <v>31</v>
      </c>
      <c r="B1482" s="9">
        <v>46196</v>
      </c>
      <c r="C1482" s="10" t="s">
        <v>2324</v>
      </c>
      <c r="D1482" s="10" t="s">
        <v>2325</v>
      </c>
      <c r="E1482" s="10" t="s">
        <v>51</v>
      </c>
      <c r="F1482" s="10" t="s">
        <v>35</v>
      </c>
      <c r="G1482" s="10" t="s">
        <v>3145</v>
      </c>
      <c r="H1482" s="8" t="s">
        <v>48</v>
      </c>
      <c r="I1482" s="11">
        <v>41.82</v>
      </c>
      <c r="J1482" s="6">
        <v>31.364999999999998</v>
      </c>
      <c r="K1482" s="6">
        <v>0.75</v>
      </c>
      <c r="L1482" s="6">
        <v>36.14</v>
      </c>
      <c r="M1482" s="11">
        <v>27.105</v>
      </c>
      <c r="N1482" s="11">
        <f t="shared" si="92"/>
        <v>27.105</v>
      </c>
      <c r="O1482" s="6">
        <v>0.75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5.68</v>
      </c>
      <c r="Z1482" s="6">
        <v>4.26</v>
      </c>
      <c r="AA1482" s="6">
        <v>0.75</v>
      </c>
      <c r="AB1482" s="6">
        <v>-5.68</v>
      </c>
      <c r="AC1482" s="6">
        <v>5.68</v>
      </c>
      <c r="AD1482" s="22" t="s">
        <v>3140</v>
      </c>
      <c r="AE1482" s="23">
        <f t="shared" si="93"/>
        <v>27.105</v>
      </c>
      <c r="AF1482" s="24">
        <f t="shared" si="94"/>
        <v>0</v>
      </c>
      <c r="AG1482" s="23">
        <f t="shared" si="95"/>
        <v>1</v>
      </c>
    </row>
    <row r="1483" spans="1:33" ht="20" hidden="1" customHeight="1" x14ac:dyDescent="0.25">
      <c r="A1483" s="12" t="s">
        <v>31</v>
      </c>
      <c r="B1483" s="9">
        <v>46196</v>
      </c>
      <c r="C1483" s="10" t="s">
        <v>2326</v>
      </c>
      <c r="D1483" s="10" t="s">
        <v>2327</v>
      </c>
      <c r="E1483" s="10" t="s">
        <v>51</v>
      </c>
      <c r="F1483" s="10" t="s">
        <v>35</v>
      </c>
      <c r="G1483" s="10" t="s">
        <v>3145</v>
      </c>
      <c r="H1483" s="8" t="s">
        <v>48</v>
      </c>
      <c r="I1483" s="11">
        <v>45.02</v>
      </c>
      <c r="J1483" s="6">
        <v>33.765000000000001</v>
      </c>
      <c r="K1483" s="6">
        <v>0.75</v>
      </c>
      <c r="L1483" s="6">
        <v>38.85</v>
      </c>
      <c r="M1483" s="11">
        <v>29.137499999999999</v>
      </c>
      <c r="N1483" s="11">
        <f t="shared" si="92"/>
        <v>29.138000000000002</v>
      </c>
      <c r="O1483" s="6">
        <v>0.75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6.17</v>
      </c>
      <c r="Z1483" s="6">
        <v>4.6275000000000004</v>
      </c>
      <c r="AA1483" s="6">
        <v>0.75000000000000011</v>
      </c>
      <c r="AB1483" s="6">
        <v>-6.1700000000000017</v>
      </c>
      <c r="AC1483" s="6">
        <v>6.1700000000000017</v>
      </c>
      <c r="AD1483" s="22" t="s">
        <v>3140</v>
      </c>
      <c r="AE1483" s="23">
        <f t="shared" si="93"/>
        <v>29.138000000000002</v>
      </c>
      <c r="AF1483" s="24">
        <f t="shared" si="94"/>
        <v>0</v>
      </c>
      <c r="AG1483" s="23">
        <f t="shared" si="95"/>
        <v>1</v>
      </c>
    </row>
    <row r="1484" spans="1:33" x14ac:dyDescent="0.25">
      <c r="A1484" s="12" t="s">
        <v>31</v>
      </c>
      <c r="B1484" s="9">
        <v>46196</v>
      </c>
      <c r="C1484" s="10" t="s">
        <v>2328</v>
      </c>
      <c r="D1484" s="10" t="s">
        <v>2329</v>
      </c>
      <c r="E1484" s="10" t="s">
        <v>51</v>
      </c>
      <c r="F1484" s="10" t="s">
        <v>35</v>
      </c>
      <c r="G1484" s="10" t="s">
        <v>3146</v>
      </c>
      <c r="H1484" s="8" t="s">
        <v>36</v>
      </c>
      <c r="I1484" s="11">
        <v>14.609</v>
      </c>
      <c r="J1484" s="6">
        <v>13.396452999999999</v>
      </c>
      <c r="K1484" s="6">
        <v>0.91699999999999993</v>
      </c>
      <c r="L1484" s="6">
        <v>13.109</v>
      </c>
      <c r="M1484" s="11">
        <v>12.020953</v>
      </c>
      <c r="N1484" s="11">
        <f t="shared" si="92"/>
        <v>12.020999999999999</v>
      </c>
      <c r="O1484" s="6">
        <v>0.91700000000000004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1.5</v>
      </c>
      <c r="Z1484" s="6">
        <v>1.3754999999999999</v>
      </c>
      <c r="AA1484" s="6">
        <v>0.91699999999999993</v>
      </c>
      <c r="AB1484" s="6">
        <v>-1.5</v>
      </c>
      <c r="AC1484" s="6">
        <v>1.5</v>
      </c>
      <c r="AD1484" s="22" t="s">
        <v>3140</v>
      </c>
      <c r="AE1484" s="23">
        <f t="shared" si="93"/>
        <v>12.020999999999999</v>
      </c>
      <c r="AF1484" s="24">
        <f t="shared" si="94"/>
        <v>0</v>
      </c>
      <c r="AG1484" s="23">
        <f t="shared" si="95"/>
        <v>1</v>
      </c>
    </row>
    <row r="1485" spans="1:33" hidden="1" x14ac:dyDescent="0.25">
      <c r="A1485" s="12" t="s">
        <v>31</v>
      </c>
      <c r="B1485" s="9">
        <v>46196</v>
      </c>
      <c r="C1485" s="10" t="s">
        <v>2330</v>
      </c>
      <c r="D1485" s="10" t="s">
        <v>2331</v>
      </c>
      <c r="E1485" s="10" t="s">
        <v>51</v>
      </c>
      <c r="F1485" s="10" t="s">
        <v>35</v>
      </c>
      <c r="G1485" s="10" t="s">
        <v>3145</v>
      </c>
      <c r="H1485" s="8" t="s">
        <v>41</v>
      </c>
      <c r="I1485" s="11">
        <v>16.98</v>
      </c>
      <c r="J1485" s="6">
        <v>12.734999999999999</v>
      </c>
      <c r="K1485" s="6">
        <v>0.75</v>
      </c>
      <c r="L1485" s="6">
        <v>16</v>
      </c>
      <c r="M1485" s="11">
        <v>12</v>
      </c>
      <c r="N1485" s="11">
        <f t="shared" si="92"/>
        <v>12</v>
      </c>
      <c r="O1485" s="6">
        <v>0.75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0.98</v>
      </c>
      <c r="Z1485" s="6">
        <v>0.73499999999999999</v>
      </c>
      <c r="AA1485" s="6">
        <v>0.75</v>
      </c>
      <c r="AB1485" s="6">
        <v>-0.98000000000000043</v>
      </c>
      <c r="AC1485" s="6">
        <v>0.98000000000000043</v>
      </c>
      <c r="AD1485" s="22" t="s">
        <v>3140</v>
      </c>
      <c r="AE1485" s="23">
        <f t="shared" si="93"/>
        <v>12</v>
      </c>
      <c r="AF1485" s="24">
        <f t="shared" si="94"/>
        <v>0</v>
      </c>
      <c r="AG1485" s="23">
        <f t="shared" si="95"/>
        <v>2</v>
      </c>
    </row>
    <row r="1486" spans="1:33" ht="20" hidden="1" customHeight="1" x14ac:dyDescent="0.25">
      <c r="A1486" s="12" t="s">
        <v>31</v>
      </c>
      <c r="B1486" s="9">
        <v>46196</v>
      </c>
      <c r="C1486" s="10" t="s">
        <v>2332</v>
      </c>
      <c r="D1486" s="10" t="s">
        <v>2333</v>
      </c>
      <c r="E1486" s="10" t="s">
        <v>51</v>
      </c>
      <c r="F1486" s="10" t="s">
        <v>35</v>
      </c>
      <c r="G1486" s="10" t="s">
        <v>3145</v>
      </c>
      <c r="H1486" s="8" t="s">
        <v>48</v>
      </c>
      <c r="I1486" s="11">
        <v>17.899999999999999</v>
      </c>
      <c r="J1486" s="6">
        <v>13.425000000000001</v>
      </c>
      <c r="K1486" s="6">
        <v>0.75000000000000011</v>
      </c>
      <c r="L1486" s="6">
        <v>16.739999999999998</v>
      </c>
      <c r="M1486" s="11">
        <v>12.555</v>
      </c>
      <c r="N1486" s="11">
        <f t="shared" si="92"/>
        <v>12.555</v>
      </c>
      <c r="O1486" s="6">
        <v>0.75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1.1599999999999999</v>
      </c>
      <c r="Z1486" s="6">
        <v>0.87</v>
      </c>
      <c r="AA1486" s="6">
        <v>0.75</v>
      </c>
      <c r="AB1486" s="6">
        <v>-1.1600000000000001</v>
      </c>
      <c r="AC1486" s="6">
        <v>1.1600000000000001</v>
      </c>
      <c r="AD1486" s="22" t="s">
        <v>3140</v>
      </c>
      <c r="AE1486" s="23">
        <f t="shared" si="93"/>
        <v>12.555</v>
      </c>
      <c r="AF1486" s="24">
        <f t="shared" si="94"/>
        <v>0</v>
      </c>
      <c r="AG1486" s="23">
        <f t="shared" si="95"/>
        <v>1</v>
      </c>
    </row>
    <row r="1487" spans="1:33" ht="20" hidden="1" customHeight="1" x14ac:dyDescent="0.25">
      <c r="A1487" s="12" t="s">
        <v>31</v>
      </c>
      <c r="B1487" s="9">
        <v>46196</v>
      </c>
      <c r="C1487" s="10" t="s">
        <v>2334</v>
      </c>
      <c r="D1487" s="10" t="s">
        <v>2335</v>
      </c>
      <c r="E1487" s="10" t="s">
        <v>51</v>
      </c>
      <c r="F1487" s="10" t="s">
        <v>35</v>
      </c>
      <c r="G1487" s="10" t="s">
        <v>3145</v>
      </c>
      <c r="H1487" s="8" t="s">
        <v>48</v>
      </c>
      <c r="I1487" s="11">
        <v>87.62</v>
      </c>
      <c r="J1487" s="6">
        <v>65.715000000000003</v>
      </c>
      <c r="K1487" s="6">
        <v>0.75</v>
      </c>
      <c r="L1487" s="6">
        <v>82.81</v>
      </c>
      <c r="M1487" s="11">
        <v>62.107500000000002</v>
      </c>
      <c r="N1487" s="11">
        <f t="shared" si="92"/>
        <v>62.107999999999997</v>
      </c>
      <c r="O1487" s="6">
        <v>0.75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4.8099999999999996</v>
      </c>
      <c r="Z1487" s="6">
        <v>3.6074999999999999</v>
      </c>
      <c r="AA1487" s="6">
        <v>0.75</v>
      </c>
      <c r="AB1487" s="6">
        <v>-4.8100000000000023</v>
      </c>
      <c r="AC1487" s="6">
        <v>4.8100000000000023</v>
      </c>
      <c r="AD1487" s="22" t="s">
        <v>3140</v>
      </c>
      <c r="AE1487" s="23">
        <f t="shared" si="93"/>
        <v>62.107999999999997</v>
      </c>
      <c r="AF1487" s="24">
        <f t="shared" si="94"/>
        <v>0</v>
      </c>
      <c r="AG1487" s="23">
        <f t="shared" si="95"/>
        <v>1</v>
      </c>
    </row>
    <row r="1488" spans="1:33" x14ac:dyDescent="0.25">
      <c r="A1488" s="12" t="s">
        <v>31</v>
      </c>
      <c r="B1488" s="9">
        <v>46196</v>
      </c>
      <c r="C1488" s="10" t="s">
        <v>2336</v>
      </c>
      <c r="D1488" s="10" t="s">
        <v>2337</v>
      </c>
      <c r="E1488" s="10" t="s">
        <v>51</v>
      </c>
      <c r="F1488" s="10" t="s">
        <v>35</v>
      </c>
      <c r="G1488" s="10" t="s">
        <v>3146</v>
      </c>
      <c r="H1488" s="8" t="s">
        <v>36</v>
      </c>
      <c r="I1488" s="11">
        <v>21.96</v>
      </c>
      <c r="J1488" s="6">
        <v>20.137319999999999</v>
      </c>
      <c r="K1488" s="6">
        <v>0.91699999999999993</v>
      </c>
      <c r="L1488" s="6">
        <v>20.87</v>
      </c>
      <c r="M1488" s="11">
        <v>19.137789999999999</v>
      </c>
      <c r="N1488" s="11">
        <f t="shared" si="92"/>
        <v>19.138000000000002</v>
      </c>
      <c r="O1488" s="6">
        <v>0.91699999999999993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1.0900000000000001</v>
      </c>
      <c r="Z1488" s="6">
        <v>0.99953000000000003</v>
      </c>
      <c r="AA1488" s="6">
        <v>0.91699999999999993</v>
      </c>
      <c r="AB1488" s="6">
        <v>-1.0899999999999999</v>
      </c>
      <c r="AC1488" s="6">
        <v>1.0899999999999999</v>
      </c>
      <c r="AD1488" s="22" t="s">
        <v>3140</v>
      </c>
      <c r="AE1488" s="23">
        <f t="shared" si="93"/>
        <v>19.138000000000002</v>
      </c>
      <c r="AF1488" s="24">
        <f t="shared" si="94"/>
        <v>0</v>
      </c>
      <c r="AG1488" s="23">
        <f t="shared" si="95"/>
        <v>1</v>
      </c>
    </row>
    <row r="1489" spans="1:33" ht="20" hidden="1" customHeight="1" x14ac:dyDescent="0.25">
      <c r="A1489" s="12" t="s">
        <v>31</v>
      </c>
      <c r="B1489" s="9">
        <v>46196</v>
      </c>
      <c r="C1489" s="10" t="s">
        <v>2338</v>
      </c>
      <c r="D1489" s="10" t="s">
        <v>2339</v>
      </c>
      <c r="E1489" s="10" t="s">
        <v>51</v>
      </c>
      <c r="F1489" s="10" t="s">
        <v>35</v>
      </c>
      <c r="G1489" s="10" t="s">
        <v>3145</v>
      </c>
      <c r="H1489" s="8" t="s">
        <v>48</v>
      </c>
      <c r="I1489" s="11">
        <v>26.84</v>
      </c>
      <c r="J1489" s="6">
        <v>20.13</v>
      </c>
      <c r="K1489" s="6">
        <v>0.75</v>
      </c>
      <c r="L1489" s="6">
        <v>24.98</v>
      </c>
      <c r="M1489" s="11">
        <v>18.734999999999999</v>
      </c>
      <c r="N1489" s="11">
        <f t="shared" si="92"/>
        <v>18.734999999999999</v>
      </c>
      <c r="O1489" s="6">
        <v>0.75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1.86</v>
      </c>
      <c r="Z1489" s="6">
        <v>1.395</v>
      </c>
      <c r="AA1489" s="6">
        <v>0.75</v>
      </c>
      <c r="AB1489" s="6">
        <v>-1.8599999999999994</v>
      </c>
      <c r="AC1489" s="6">
        <v>1.8599999999999994</v>
      </c>
      <c r="AD1489" s="22" t="s">
        <v>3140</v>
      </c>
      <c r="AE1489" s="23">
        <f t="shared" si="93"/>
        <v>18.734999999999999</v>
      </c>
      <c r="AF1489" s="24">
        <f t="shared" si="94"/>
        <v>0</v>
      </c>
      <c r="AG1489" s="23">
        <f t="shared" si="95"/>
        <v>1</v>
      </c>
    </row>
    <row r="1490" spans="1:33" ht="20" hidden="1" customHeight="1" x14ac:dyDescent="0.25">
      <c r="A1490" s="12" t="s">
        <v>31</v>
      </c>
      <c r="B1490" s="9">
        <v>46196</v>
      </c>
      <c r="C1490" s="10" t="s">
        <v>2340</v>
      </c>
      <c r="D1490" s="10" t="s">
        <v>2341</v>
      </c>
      <c r="E1490" s="10" t="s">
        <v>51</v>
      </c>
      <c r="F1490" s="10" t="s">
        <v>35</v>
      </c>
      <c r="G1490" s="10" t="s">
        <v>3145</v>
      </c>
      <c r="H1490" s="8" t="s">
        <v>48</v>
      </c>
      <c r="I1490" s="11">
        <v>7.97</v>
      </c>
      <c r="J1490" s="6">
        <v>5.9775</v>
      </c>
      <c r="K1490" s="6">
        <v>0.75</v>
      </c>
      <c r="L1490" s="6">
        <v>7.6</v>
      </c>
      <c r="M1490" s="11">
        <v>5.7</v>
      </c>
      <c r="N1490" s="11">
        <f t="shared" si="92"/>
        <v>5.7</v>
      </c>
      <c r="O1490" s="6">
        <v>0.75000000000000011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0.37</v>
      </c>
      <c r="Z1490" s="6">
        <v>0.27750000000000002</v>
      </c>
      <c r="AA1490" s="6">
        <v>0.75000000000000011</v>
      </c>
      <c r="AB1490" s="6">
        <v>-0.37000000000000011</v>
      </c>
      <c r="AC1490" s="6">
        <v>0.37000000000000011</v>
      </c>
      <c r="AD1490" s="22" t="s">
        <v>3140</v>
      </c>
      <c r="AE1490" s="23">
        <f t="shared" si="93"/>
        <v>5.7</v>
      </c>
      <c r="AF1490" s="24">
        <f t="shared" si="94"/>
        <v>0</v>
      </c>
      <c r="AG1490" s="23">
        <f t="shared" si="95"/>
        <v>1</v>
      </c>
    </row>
    <row r="1491" spans="1:33" ht="20" hidden="1" customHeight="1" x14ac:dyDescent="0.25">
      <c r="A1491" s="12" t="s">
        <v>31</v>
      </c>
      <c r="B1491" s="9">
        <v>46196</v>
      </c>
      <c r="C1491" s="10" t="s">
        <v>2342</v>
      </c>
      <c r="D1491" s="10" t="s">
        <v>2343</v>
      </c>
      <c r="E1491" s="10" t="s">
        <v>51</v>
      </c>
      <c r="F1491" s="10" t="s">
        <v>35</v>
      </c>
      <c r="G1491" s="10" t="s">
        <v>3145</v>
      </c>
      <c r="H1491" s="8" t="s">
        <v>48</v>
      </c>
      <c r="I1491" s="11">
        <v>8.5399999999999991</v>
      </c>
      <c r="J1491" s="6">
        <v>6.4050000000000002</v>
      </c>
      <c r="K1491" s="6">
        <v>0.75000000000000011</v>
      </c>
      <c r="L1491" s="6">
        <v>8.1199999999999992</v>
      </c>
      <c r="M1491" s="11">
        <v>6.09</v>
      </c>
      <c r="N1491" s="11">
        <f t="shared" si="92"/>
        <v>6.09</v>
      </c>
      <c r="O1491" s="6">
        <v>0.75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0.42</v>
      </c>
      <c r="Z1491" s="6">
        <v>0.315</v>
      </c>
      <c r="AA1491" s="6">
        <v>0.75</v>
      </c>
      <c r="AB1491" s="6">
        <v>-0.41999999999999993</v>
      </c>
      <c r="AC1491" s="6">
        <v>0.41999999999999993</v>
      </c>
      <c r="AD1491" s="22" t="s">
        <v>3140</v>
      </c>
      <c r="AE1491" s="23">
        <f t="shared" si="93"/>
        <v>6.09</v>
      </c>
      <c r="AF1491" s="24">
        <f t="shared" si="94"/>
        <v>0</v>
      </c>
      <c r="AG1491" s="23">
        <f t="shared" si="95"/>
        <v>1</v>
      </c>
    </row>
    <row r="1492" spans="1:33" ht="20" hidden="1" customHeight="1" x14ac:dyDescent="0.25">
      <c r="A1492" s="12" t="s">
        <v>31</v>
      </c>
      <c r="B1492" s="9">
        <v>46196</v>
      </c>
      <c r="C1492" s="10" t="s">
        <v>2344</v>
      </c>
      <c r="D1492" s="10" t="s">
        <v>2345</v>
      </c>
      <c r="E1492" s="10" t="s">
        <v>51</v>
      </c>
      <c r="F1492" s="10" t="s">
        <v>35</v>
      </c>
      <c r="G1492" s="10" t="s">
        <v>3145</v>
      </c>
      <c r="H1492" s="8" t="s">
        <v>48</v>
      </c>
      <c r="I1492" s="11">
        <v>38.57</v>
      </c>
      <c r="J1492" s="6">
        <v>28.927499999999998</v>
      </c>
      <c r="K1492" s="6">
        <v>0.75</v>
      </c>
      <c r="L1492" s="6">
        <v>37.119999999999997</v>
      </c>
      <c r="M1492" s="11">
        <v>27.84</v>
      </c>
      <c r="N1492" s="11">
        <f t="shared" si="92"/>
        <v>27.84</v>
      </c>
      <c r="O1492" s="6">
        <v>0.75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1.45</v>
      </c>
      <c r="Z1492" s="6">
        <v>1.0874999999999999</v>
      </c>
      <c r="AA1492" s="6">
        <v>0.75</v>
      </c>
      <c r="AB1492" s="6">
        <v>-1.4500000000000028</v>
      </c>
      <c r="AC1492" s="6">
        <v>1.4500000000000028</v>
      </c>
      <c r="AD1492" s="22" t="s">
        <v>3140</v>
      </c>
      <c r="AE1492" s="23">
        <f t="shared" si="93"/>
        <v>27.84</v>
      </c>
      <c r="AF1492" s="24">
        <f t="shared" si="94"/>
        <v>0</v>
      </c>
      <c r="AG1492" s="23">
        <f t="shared" si="95"/>
        <v>1</v>
      </c>
    </row>
    <row r="1493" spans="1:33" ht="20" hidden="1" customHeight="1" x14ac:dyDescent="0.25">
      <c r="A1493" s="12" t="s">
        <v>31</v>
      </c>
      <c r="B1493" s="9">
        <v>46196</v>
      </c>
      <c r="C1493" s="10" t="s">
        <v>2346</v>
      </c>
      <c r="D1493" s="10" t="s">
        <v>2347</v>
      </c>
      <c r="E1493" s="10" t="s">
        <v>51</v>
      </c>
      <c r="F1493" s="10" t="s">
        <v>35</v>
      </c>
      <c r="G1493" s="10" t="s">
        <v>3145</v>
      </c>
      <c r="H1493" s="8" t="s">
        <v>48</v>
      </c>
      <c r="I1493" s="11">
        <v>19.5</v>
      </c>
      <c r="J1493" s="6">
        <v>14.625</v>
      </c>
      <c r="K1493" s="6">
        <v>0.75</v>
      </c>
      <c r="L1493" s="6">
        <v>18.649999999999999</v>
      </c>
      <c r="M1493" s="11">
        <v>13.987500000000001</v>
      </c>
      <c r="N1493" s="11">
        <f t="shared" si="92"/>
        <v>13.988</v>
      </c>
      <c r="O1493" s="6">
        <v>0.75000000000000011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0.85</v>
      </c>
      <c r="Z1493" s="6">
        <v>0.63749999999999996</v>
      </c>
      <c r="AA1493" s="6">
        <v>0.75</v>
      </c>
      <c r="AB1493" s="6">
        <v>-0.85000000000000142</v>
      </c>
      <c r="AC1493" s="6">
        <v>0.85000000000000142</v>
      </c>
      <c r="AD1493" s="22" t="s">
        <v>3140</v>
      </c>
      <c r="AE1493" s="23">
        <f t="shared" si="93"/>
        <v>13.988</v>
      </c>
      <c r="AF1493" s="24">
        <f t="shared" si="94"/>
        <v>0</v>
      </c>
      <c r="AG1493" s="23">
        <f t="shared" si="95"/>
        <v>1</v>
      </c>
    </row>
    <row r="1494" spans="1:33" x14ac:dyDescent="0.25">
      <c r="A1494" s="12" t="s">
        <v>31</v>
      </c>
      <c r="B1494" s="9">
        <v>46196</v>
      </c>
      <c r="C1494" s="10" t="s">
        <v>2348</v>
      </c>
      <c r="D1494" s="10" t="s">
        <v>2180</v>
      </c>
      <c r="E1494" s="10" t="s">
        <v>51</v>
      </c>
      <c r="F1494" s="10" t="s">
        <v>35</v>
      </c>
      <c r="G1494" s="10" t="s">
        <v>3146</v>
      </c>
      <c r="H1494" s="8" t="s">
        <v>36</v>
      </c>
      <c r="I1494" s="11">
        <v>373.24</v>
      </c>
      <c r="J1494" s="6">
        <v>342.26107999999999</v>
      </c>
      <c r="K1494" s="6">
        <v>0.91699999999999993</v>
      </c>
      <c r="L1494" s="6">
        <v>365.04</v>
      </c>
      <c r="M1494" s="11">
        <v>334.74167999999997</v>
      </c>
      <c r="N1494" s="11">
        <f t="shared" si="92"/>
        <v>334.74199999999996</v>
      </c>
      <c r="O1494" s="6">
        <v>0.91699999999999993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8.1999999999999993</v>
      </c>
      <c r="Z1494" s="6">
        <v>7.5194000000000001</v>
      </c>
      <c r="AA1494" s="6">
        <v>0.91700000000000004</v>
      </c>
      <c r="AB1494" s="6">
        <v>-8.1999999999999886</v>
      </c>
      <c r="AC1494" s="6">
        <v>8.1999999999999886</v>
      </c>
      <c r="AD1494" s="23" t="s">
        <v>3143</v>
      </c>
      <c r="AE1494" s="23">
        <f t="shared" si="93"/>
        <v>333.50399999999996</v>
      </c>
      <c r="AF1494" s="24">
        <f t="shared" si="94"/>
        <v>1.2379999999999995</v>
      </c>
      <c r="AG1494" s="23">
        <f t="shared" si="95"/>
        <v>3</v>
      </c>
    </row>
    <row r="1495" spans="1:33" x14ac:dyDescent="0.25">
      <c r="A1495" s="12" t="s">
        <v>31</v>
      </c>
      <c r="B1495" s="9">
        <v>46196</v>
      </c>
      <c r="C1495" s="10" t="s">
        <v>2349</v>
      </c>
      <c r="D1495" s="10" t="s">
        <v>2145</v>
      </c>
      <c r="E1495" s="10" t="s">
        <v>51</v>
      </c>
      <c r="F1495" s="10" t="s">
        <v>35</v>
      </c>
      <c r="G1495" s="10" t="s">
        <v>3146</v>
      </c>
      <c r="H1495" s="8" t="s">
        <v>36</v>
      </c>
      <c r="I1495" s="11">
        <v>333.51</v>
      </c>
      <c r="J1495" s="6">
        <v>305.82866999999999</v>
      </c>
      <c r="K1495" s="6">
        <v>0.91700000000000004</v>
      </c>
      <c r="L1495" s="6">
        <v>316.05</v>
      </c>
      <c r="M1495" s="11">
        <v>289.81785000000002</v>
      </c>
      <c r="N1495" s="11">
        <f t="shared" si="92"/>
        <v>289.81799999999998</v>
      </c>
      <c r="O1495" s="6">
        <v>0.91700000000000004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17.46</v>
      </c>
      <c r="Z1495" s="6">
        <v>16.010819999999999</v>
      </c>
      <c r="AA1495" s="6">
        <v>0.91699999999999993</v>
      </c>
      <c r="AB1495" s="6">
        <v>-17.45999999999998</v>
      </c>
      <c r="AC1495" s="6">
        <v>17.45999999999998</v>
      </c>
      <c r="AD1495" s="23" t="s">
        <v>3143</v>
      </c>
      <c r="AE1495" s="23">
        <f t="shared" si="93"/>
        <v>287.20499999999998</v>
      </c>
      <c r="AF1495" s="24">
        <f t="shared" si="94"/>
        <v>2.6129999999999995</v>
      </c>
      <c r="AG1495" s="23">
        <f t="shared" si="95"/>
        <v>3</v>
      </c>
    </row>
    <row r="1496" spans="1:33" ht="12.5" hidden="1" customHeight="1" x14ac:dyDescent="0.25">
      <c r="A1496" s="12" t="s">
        <v>31</v>
      </c>
      <c r="B1496" s="9">
        <v>46196</v>
      </c>
      <c r="C1496" s="8" t="s">
        <v>2350</v>
      </c>
      <c r="D1496" s="8" t="s">
        <v>338</v>
      </c>
      <c r="E1496" s="8" t="s">
        <v>51</v>
      </c>
      <c r="F1496" s="8" t="s">
        <v>35</v>
      </c>
      <c r="G1496" s="10" t="s">
        <v>3145</v>
      </c>
      <c r="H1496" s="8" t="s">
        <v>48</v>
      </c>
      <c r="I1496" s="11">
        <v>9.39</v>
      </c>
      <c r="J1496" s="6">
        <v>7.0425000000000004</v>
      </c>
      <c r="K1496" s="6">
        <v>0.75</v>
      </c>
      <c r="L1496" s="6">
        <v>8.7100000000000009</v>
      </c>
      <c r="M1496" s="11">
        <v>6.5324999999999998</v>
      </c>
      <c r="N1496" s="11">
        <f t="shared" si="92"/>
        <v>6.5330000000000004</v>
      </c>
      <c r="O1496" s="6">
        <v>0.74999999999999989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0.68</v>
      </c>
      <c r="Z1496" s="6">
        <v>0.51</v>
      </c>
      <c r="AA1496" s="6">
        <v>0.75</v>
      </c>
      <c r="AB1496" s="6">
        <v>-0.67999999999999972</v>
      </c>
      <c r="AC1496" s="6">
        <v>0.67999999999999972</v>
      </c>
      <c r="AD1496" s="23" t="s">
        <v>3143</v>
      </c>
      <c r="AE1496" s="23">
        <f t="shared" si="93"/>
        <v>0</v>
      </c>
      <c r="AF1496" s="24">
        <f t="shared" si="94"/>
        <v>6.5330000000000004</v>
      </c>
      <c r="AG1496" s="23">
        <f t="shared" si="95"/>
        <v>67</v>
      </c>
    </row>
    <row r="1497" spans="1:33" ht="12.5" hidden="1" customHeight="1" x14ac:dyDescent="0.25">
      <c r="A1497" s="12" t="s">
        <v>31</v>
      </c>
      <c r="B1497" s="9">
        <v>46196</v>
      </c>
      <c r="C1497" s="12" t="s">
        <v>2350</v>
      </c>
      <c r="D1497" s="12" t="s">
        <v>338</v>
      </c>
      <c r="E1497" s="12" t="s">
        <v>51</v>
      </c>
      <c r="F1497" s="12" t="s">
        <v>35</v>
      </c>
      <c r="G1497" s="10" t="s">
        <v>3145</v>
      </c>
      <c r="H1497" s="8" t="s">
        <v>41</v>
      </c>
      <c r="I1497" s="11">
        <v>4.1900000000000004</v>
      </c>
      <c r="J1497" s="6">
        <v>3.1425000000000001</v>
      </c>
      <c r="K1497" s="6">
        <v>0.75</v>
      </c>
      <c r="L1497" s="6">
        <v>3.82</v>
      </c>
      <c r="M1497" s="11">
        <v>2.8650000000000002</v>
      </c>
      <c r="N1497" s="11">
        <f t="shared" si="92"/>
        <v>2.8650000000000002</v>
      </c>
      <c r="O1497" s="6">
        <v>0.75000000000000011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0.37</v>
      </c>
      <c r="Z1497" s="6">
        <v>0.27750000000000002</v>
      </c>
      <c r="AA1497" s="6">
        <v>0.75000000000000011</v>
      </c>
      <c r="AB1497" s="6">
        <v>-0.37000000000000055</v>
      </c>
      <c r="AC1497" s="6">
        <v>0.37000000000000055</v>
      </c>
      <c r="AD1497" s="23" t="s">
        <v>3143</v>
      </c>
      <c r="AE1497" s="23">
        <f t="shared" si="93"/>
        <v>0</v>
      </c>
      <c r="AF1497" s="24">
        <f t="shared" si="94"/>
        <v>2.8650000000000002</v>
      </c>
      <c r="AG1497" s="23">
        <f t="shared" si="95"/>
        <v>67</v>
      </c>
    </row>
    <row r="1498" spans="1:33" ht="12.5" customHeight="1" x14ac:dyDescent="0.25">
      <c r="A1498" s="12" t="s">
        <v>31</v>
      </c>
      <c r="B1498" s="9">
        <v>46196</v>
      </c>
      <c r="C1498" s="13" t="s">
        <v>2350</v>
      </c>
      <c r="D1498" s="13" t="s">
        <v>338</v>
      </c>
      <c r="E1498" s="13" t="s">
        <v>51</v>
      </c>
      <c r="F1498" s="13" t="s">
        <v>35</v>
      </c>
      <c r="G1498" s="10" t="s">
        <v>3146</v>
      </c>
      <c r="H1498" s="8" t="s">
        <v>36</v>
      </c>
      <c r="I1498" s="11">
        <v>14.8</v>
      </c>
      <c r="J1498" s="6">
        <v>13.5716</v>
      </c>
      <c r="K1498" s="6">
        <v>0.91699999999999993</v>
      </c>
      <c r="L1498" s="6">
        <v>10.61</v>
      </c>
      <c r="M1498" s="11">
        <v>9.7293699999999994</v>
      </c>
      <c r="N1498" s="11">
        <f t="shared" si="92"/>
        <v>9.7299999999999986</v>
      </c>
      <c r="O1498" s="6">
        <v>0.91700000000000004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4.1900000000000004</v>
      </c>
      <c r="Z1498" s="6">
        <v>3.8422299999999998</v>
      </c>
      <c r="AA1498" s="6">
        <v>0.91699999999999982</v>
      </c>
      <c r="AB1498" s="6">
        <v>-4.1900000000000013</v>
      </c>
      <c r="AC1498" s="6">
        <v>4.1900000000000013</v>
      </c>
      <c r="AD1498" s="23" t="s">
        <v>3143</v>
      </c>
      <c r="AE1498" s="23">
        <f t="shared" si="93"/>
        <v>0</v>
      </c>
      <c r="AF1498" s="24">
        <f t="shared" si="94"/>
        <v>9.7299999999999986</v>
      </c>
      <c r="AG1498" s="23">
        <f t="shared" si="95"/>
        <v>67</v>
      </c>
    </row>
    <row r="1499" spans="1:33" ht="12.5" customHeight="1" x14ac:dyDescent="0.25">
      <c r="A1499" s="12" t="s">
        <v>31</v>
      </c>
      <c r="B1499" s="9">
        <v>46197</v>
      </c>
      <c r="C1499" s="10" t="s">
        <v>2351</v>
      </c>
      <c r="D1499" s="10" t="s">
        <v>2212</v>
      </c>
      <c r="E1499" s="10" t="s">
        <v>34</v>
      </c>
      <c r="F1499" s="10" t="s">
        <v>35</v>
      </c>
      <c r="G1499" s="10" t="s">
        <v>3146</v>
      </c>
      <c r="H1499" s="8" t="s">
        <v>36</v>
      </c>
      <c r="I1499" s="11">
        <v>204.41</v>
      </c>
      <c r="J1499" s="6">
        <v>187.44397000000001</v>
      </c>
      <c r="K1499" s="6">
        <v>0.91700000000000004</v>
      </c>
      <c r="L1499" s="6">
        <v>204.38</v>
      </c>
      <c r="M1499" s="11">
        <v>187.41646</v>
      </c>
      <c r="N1499" s="11">
        <f t="shared" si="92"/>
        <v>187.417</v>
      </c>
      <c r="O1499" s="6">
        <v>0.91700000000000004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0.03</v>
      </c>
      <c r="Z1499" s="6">
        <v>2.751E-2</v>
      </c>
      <c r="AA1499" s="6">
        <v>0.91700000000000004</v>
      </c>
      <c r="AB1499" s="6">
        <v>-3.0000000000001137E-2</v>
      </c>
      <c r="AC1499" s="6">
        <v>3.0000000000001137E-2</v>
      </c>
      <c r="AD1499" s="23" t="s">
        <v>3143</v>
      </c>
      <c r="AE1499" s="23">
        <f t="shared" si="93"/>
        <v>185.345</v>
      </c>
      <c r="AF1499" s="24">
        <f t="shared" si="94"/>
        <v>2.0720000000000027</v>
      </c>
      <c r="AG1499" s="23">
        <f t="shared" si="95"/>
        <v>3</v>
      </c>
    </row>
    <row r="1500" spans="1:33" ht="12.5" hidden="1" customHeight="1" x14ac:dyDescent="0.25">
      <c r="A1500" s="12" t="s">
        <v>31</v>
      </c>
      <c r="B1500" s="9">
        <v>46197</v>
      </c>
      <c r="C1500" s="10" t="s">
        <v>2352</v>
      </c>
      <c r="D1500" s="10" t="s">
        <v>2353</v>
      </c>
      <c r="E1500" s="10" t="s">
        <v>34</v>
      </c>
      <c r="F1500" s="10" t="s">
        <v>35</v>
      </c>
      <c r="G1500" s="10" t="s">
        <v>3145</v>
      </c>
      <c r="H1500" s="8" t="s">
        <v>48</v>
      </c>
      <c r="I1500" s="11">
        <v>79.63</v>
      </c>
      <c r="J1500" s="6">
        <v>59.722499999999997</v>
      </c>
      <c r="K1500" s="6">
        <v>0.75</v>
      </c>
      <c r="L1500" s="6">
        <v>67.23</v>
      </c>
      <c r="M1500" s="11">
        <v>50.422499999999999</v>
      </c>
      <c r="N1500" s="11">
        <f t="shared" si="92"/>
        <v>50.422999999999995</v>
      </c>
      <c r="O1500" s="6">
        <v>0.75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12.4</v>
      </c>
      <c r="Z1500" s="6">
        <v>9.3000000000000007</v>
      </c>
      <c r="AA1500" s="6">
        <v>0.75</v>
      </c>
      <c r="AB1500" s="6">
        <v>-12.399999999999991</v>
      </c>
      <c r="AC1500" s="6">
        <v>12.399999999999991</v>
      </c>
      <c r="AD1500" s="22" t="s">
        <v>3140</v>
      </c>
      <c r="AE1500" s="23">
        <f t="shared" si="93"/>
        <v>50.422999999999995</v>
      </c>
      <c r="AF1500" s="24">
        <f t="shared" si="94"/>
        <v>0</v>
      </c>
      <c r="AG1500" s="23">
        <f t="shared" si="95"/>
        <v>1</v>
      </c>
    </row>
    <row r="1501" spans="1:33" ht="12.5" hidden="1" customHeight="1" x14ac:dyDescent="0.25">
      <c r="A1501" s="12" t="s">
        <v>31</v>
      </c>
      <c r="B1501" s="9">
        <v>46197</v>
      </c>
      <c r="C1501" s="10" t="s">
        <v>2354</v>
      </c>
      <c r="D1501" s="10" t="s">
        <v>2355</v>
      </c>
      <c r="E1501" s="10" t="s">
        <v>34</v>
      </c>
      <c r="F1501" s="10" t="s">
        <v>35</v>
      </c>
      <c r="G1501" s="10" t="s">
        <v>3145</v>
      </c>
      <c r="H1501" s="8" t="s">
        <v>48</v>
      </c>
      <c r="I1501" s="11">
        <v>79.78</v>
      </c>
      <c r="J1501" s="6">
        <v>59.835000000000001</v>
      </c>
      <c r="K1501" s="6">
        <v>0.75</v>
      </c>
      <c r="L1501" s="6">
        <v>74.62</v>
      </c>
      <c r="M1501" s="11">
        <v>55.965000000000003</v>
      </c>
      <c r="N1501" s="11">
        <f t="shared" si="92"/>
        <v>55.965000000000003</v>
      </c>
      <c r="O1501" s="6">
        <v>0.75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5.16</v>
      </c>
      <c r="Z1501" s="6">
        <v>3.87</v>
      </c>
      <c r="AA1501" s="6">
        <v>0.75</v>
      </c>
      <c r="AB1501" s="6">
        <v>-5.1599999999999966</v>
      </c>
      <c r="AC1501" s="6">
        <v>5.1599999999999966</v>
      </c>
      <c r="AD1501" s="22" t="s">
        <v>3140</v>
      </c>
      <c r="AE1501" s="23">
        <f t="shared" si="93"/>
        <v>55.965000000000003</v>
      </c>
      <c r="AF1501" s="24">
        <f t="shared" si="94"/>
        <v>0</v>
      </c>
      <c r="AG1501" s="23">
        <f t="shared" si="95"/>
        <v>1</v>
      </c>
    </row>
    <row r="1502" spans="1:33" x14ac:dyDescent="0.25">
      <c r="A1502" s="12" t="s">
        <v>31</v>
      </c>
      <c r="B1502" s="9">
        <v>46197</v>
      </c>
      <c r="C1502" s="10" t="s">
        <v>2356</v>
      </c>
      <c r="D1502" s="10" t="s">
        <v>2180</v>
      </c>
      <c r="E1502" s="10" t="s">
        <v>51</v>
      </c>
      <c r="F1502" s="10" t="s">
        <v>35</v>
      </c>
      <c r="G1502" s="10" t="s">
        <v>3146</v>
      </c>
      <c r="H1502" s="8" t="s">
        <v>36</v>
      </c>
      <c r="I1502" s="11">
        <v>365.04</v>
      </c>
      <c r="J1502" s="6">
        <v>334.74167999999997</v>
      </c>
      <c r="K1502" s="6">
        <v>0.91699999999999993</v>
      </c>
      <c r="L1502" s="6">
        <v>364.86</v>
      </c>
      <c r="M1502" s="11">
        <v>334.57661999999999</v>
      </c>
      <c r="N1502" s="11">
        <f t="shared" si="92"/>
        <v>334.577</v>
      </c>
      <c r="O1502" s="6">
        <v>0.91699999999999993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0.18</v>
      </c>
      <c r="Z1502" s="6">
        <v>0.16506000000000001</v>
      </c>
      <c r="AA1502" s="6">
        <v>0.91700000000000015</v>
      </c>
      <c r="AB1502" s="6">
        <v>-0.18000000000000682</v>
      </c>
      <c r="AC1502" s="6">
        <v>0.18000000000000682</v>
      </c>
      <c r="AD1502" s="23" t="s">
        <v>3143</v>
      </c>
      <c r="AE1502" s="23">
        <f t="shared" si="93"/>
        <v>333.50399999999996</v>
      </c>
      <c r="AF1502" s="24">
        <f t="shared" si="94"/>
        <v>1.0730000000000359</v>
      </c>
      <c r="AG1502" s="23">
        <f t="shared" si="95"/>
        <v>3</v>
      </c>
    </row>
    <row r="1503" spans="1:33" x14ac:dyDescent="0.25">
      <c r="A1503" s="12" t="s">
        <v>31</v>
      </c>
      <c r="B1503" s="9">
        <v>46197</v>
      </c>
      <c r="C1503" s="10" t="s">
        <v>2357</v>
      </c>
      <c r="D1503" s="10" t="s">
        <v>2358</v>
      </c>
      <c r="E1503" s="10" t="s">
        <v>51</v>
      </c>
      <c r="F1503" s="10" t="s">
        <v>35</v>
      </c>
      <c r="G1503" s="10" t="s">
        <v>3146</v>
      </c>
      <c r="H1503" s="8" t="s">
        <v>36</v>
      </c>
      <c r="I1503" s="11">
        <v>51.02</v>
      </c>
      <c r="J1503" s="6">
        <v>46.785339999999998</v>
      </c>
      <c r="K1503" s="6">
        <v>0.91699999999999993</v>
      </c>
      <c r="L1503" s="6">
        <v>46.47</v>
      </c>
      <c r="M1503" s="11">
        <v>42.612990000000003</v>
      </c>
      <c r="N1503" s="11">
        <f t="shared" si="92"/>
        <v>42.613</v>
      </c>
      <c r="O1503" s="6">
        <v>0.91700000000000015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4.55</v>
      </c>
      <c r="Z1503" s="6">
        <v>4.1723499999999998</v>
      </c>
      <c r="AA1503" s="6">
        <v>0.91700000000000004</v>
      </c>
      <c r="AB1503" s="6">
        <v>-4.5500000000000043</v>
      </c>
      <c r="AC1503" s="6">
        <v>4.5500000000000043</v>
      </c>
      <c r="AD1503" s="22" t="s">
        <v>3140</v>
      </c>
      <c r="AE1503" s="23">
        <f t="shared" si="93"/>
        <v>42.613</v>
      </c>
      <c r="AF1503" s="24">
        <f t="shared" si="94"/>
        <v>0</v>
      </c>
      <c r="AG1503" s="23">
        <f t="shared" si="95"/>
        <v>1</v>
      </c>
    </row>
    <row r="1504" spans="1:33" ht="20" hidden="1" customHeight="1" x14ac:dyDescent="0.25">
      <c r="A1504" s="12" t="s">
        <v>31</v>
      </c>
      <c r="B1504" s="9">
        <v>46197</v>
      </c>
      <c r="C1504" s="10" t="s">
        <v>2359</v>
      </c>
      <c r="D1504" s="10" t="s">
        <v>2360</v>
      </c>
      <c r="E1504" s="10" t="s">
        <v>51</v>
      </c>
      <c r="F1504" s="10" t="s">
        <v>35</v>
      </c>
      <c r="G1504" s="10" t="s">
        <v>3145</v>
      </c>
      <c r="H1504" s="8" t="s">
        <v>48</v>
      </c>
      <c r="I1504" s="11">
        <v>36.380000000000003</v>
      </c>
      <c r="J1504" s="6">
        <v>27.285</v>
      </c>
      <c r="K1504" s="6">
        <v>0.75</v>
      </c>
      <c r="L1504" s="6">
        <v>33.340000000000003</v>
      </c>
      <c r="M1504" s="11">
        <v>25.004999999999999</v>
      </c>
      <c r="N1504" s="11">
        <f t="shared" si="92"/>
        <v>25.004999999999999</v>
      </c>
      <c r="O1504" s="6">
        <v>0.74999999999999989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3.04</v>
      </c>
      <c r="Z1504" s="6">
        <v>2.2799999999999998</v>
      </c>
      <c r="AA1504" s="6">
        <v>0.74999999999999989</v>
      </c>
      <c r="AB1504" s="6">
        <v>-3.0399999999999991</v>
      </c>
      <c r="AC1504" s="6">
        <v>3.0399999999999991</v>
      </c>
      <c r="AD1504" s="22" t="s">
        <v>3140</v>
      </c>
      <c r="AE1504" s="23">
        <f t="shared" si="93"/>
        <v>25.004999999999999</v>
      </c>
      <c r="AF1504" s="24">
        <f t="shared" si="94"/>
        <v>0</v>
      </c>
      <c r="AG1504" s="23">
        <f t="shared" si="95"/>
        <v>1</v>
      </c>
    </row>
    <row r="1505" spans="1:33" ht="20" hidden="1" customHeight="1" x14ac:dyDescent="0.25">
      <c r="A1505" s="12" t="s">
        <v>31</v>
      </c>
      <c r="B1505" s="9">
        <v>46197</v>
      </c>
      <c r="C1505" s="10" t="s">
        <v>2361</v>
      </c>
      <c r="D1505" s="10" t="s">
        <v>2362</v>
      </c>
      <c r="E1505" s="10" t="s">
        <v>51</v>
      </c>
      <c r="F1505" s="10" t="s">
        <v>35</v>
      </c>
      <c r="G1505" s="10" t="s">
        <v>3145</v>
      </c>
      <c r="H1505" s="8" t="s">
        <v>48</v>
      </c>
      <c r="I1505" s="11">
        <v>18.829999999999998</v>
      </c>
      <c r="J1505" s="6">
        <v>14.1225</v>
      </c>
      <c r="K1505" s="6">
        <v>0.75000000000000011</v>
      </c>
      <c r="L1505" s="6">
        <v>16.73</v>
      </c>
      <c r="M1505" s="11">
        <v>12.547499999999999</v>
      </c>
      <c r="N1505" s="11">
        <f t="shared" si="92"/>
        <v>12.548</v>
      </c>
      <c r="O1505" s="6">
        <v>0.75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2.1</v>
      </c>
      <c r="Z1505" s="6">
        <v>1.575</v>
      </c>
      <c r="AA1505" s="6">
        <v>0.75</v>
      </c>
      <c r="AB1505" s="6">
        <v>-2.0999999999999979</v>
      </c>
      <c r="AC1505" s="6">
        <v>2.0999999999999979</v>
      </c>
      <c r="AD1505" s="22" t="s">
        <v>3140</v>
      </c>
      <c r="AE1505" s="23">
        <f t="shared" si="93"/>
        <v>12.548</v>
      </c>
      <c r="AF1505" s="24">
        <f t="shared" si="94"/>
        <v>0</v>
      </c>
      <c r="AG1505" s="23">
        <f t="shared" si="95"/>
        <v>1</v>
      </c>
    </row>
    <row r="1506" spans="1:33" x14ac:dyDescent="0.25">
      <c r="A1506" s="12" t="s">
        <v>31</v>
      </c>
      <c r="B1506" s="9">
        <v>46197</v>
      </c>
      <c r="C1506" s="10" t="s">
        <v>2363</v>
      </c>
      <c r="D1506" s="10" t="s">
        <v>2364</v>
      </c>
      <c r="E1506" s="10" t="s">
        <v>51</v>
      </c>
      <c r="F1506" s="10" t="s">
        <v>35</v>
      </c>
      <c r="G1506" s="10" t="s">
        <v>3146</v>
      </c>
      <c r="H1506" s="8" t="s">
        <v>36</v>
      </c>
      <c r="I1506" s="11">
        <v>113.14</v>
      </c>
      <c r="J1506" s="6">
        <v>103.74938</v>
      </c>
      <c r="K1506" s="6">
        <v>0.91700000000000004</v>
      </c>
      <c r="L1506" s="6">
        <v>105.81</v>
      </c>
      <c r="M1506" s="11">
        <v>97.027770000000004</v>
      </c>
      <c r="N1506" s="11">
        <f t="shared" si="92"/>
        <v>97.028000000000006</v>
      </c>
      <c r="O1506" s="6">
        <v>0.91700000000000004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7.33</v>
      </c>
      <c r="Z1506" s="6">
        <v>6.7216100000000001</v>
      </c>
      <c r="AA1506" s="6">
        <v>0.91700000000000004</v>
      </c>
      <c r="AB1506" s="6">
        <v>-7.3299999999999983</v>
      </c>
      <c r="AC1506" s="6">
        <v>7.3299999999999983</v>
      </c>
      <c r="AD1506" s="22" t="s">
        <v>3140</v>
      </c>
      <c r="AE1506" s="23">
        <f t="shared" si="93"/>
        <v>97.028000000000006</v>
      </c>
      <c r="AF1506" s="24">
        <f t="shared" si="94"/>
        <v>0</v>
      </c>
      <c r="AG1506" s="23">
        <f t="shared" si="95"/>
        <v>1</v>
      </c>
    </row>
    <row r="1507" spans="1:33" x14ac:dyDescent="0.25">
      <c r="A1507" s="12" t="s">
        <v>31</v>
      </c>
      <c r="B1507" s="9">
        <v>46197</v>
      </c>
      <c r="C1507" s="10" t="s">
        <v>2365</v>
      </c>
      <c r="D1507" s="10" t="s">
        <v>2366</v>
      </c>
      <c r="E1507" s="10" t="s">
        <v>51</v>
      </c>
      <c r="F1507" s="10" t="s">
        <v>35</v>
      </c>
      <c r="G1507" s="10" t="s">
        <v>3146</v>
      </c>
      <c r="H1507" s="8" t="s">
        <v>36</v>
      </c>
      <c r="I1507" s="11">
        <v>1.93</v>
      </c>
      <c r="J1507" s="6">
        <v>1.7698100000000001</v>
      </c>
      <c r="K1507" s="6">
        <v>0.91700000000000004</v>
      </c>
      <c r="L1507" s="6">
        <v>1.88</v>
      </c>
      <c r="M1507" s="11">
        <v>1.7239599999999999</v>
      </c>
      <c r="N1507" s="11">
        <f t="shared" si="92"/>
        <v>1.724</v>
      </c>
      <c r="O1507" s="6">
        <v>0.91700000000000004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0.05</v>
      </c>
      <c r="Z1507" s="6">
        <v>4.5850000000000002E-2</v>
      </c>
      <c r="AA1507" s="6">
        <v>0.91700000000000004</v>
      </c>
      <c r="AB1507" s="6">
        <v>-5.0000000000000044E-2</v>
      </c>
      <c r="AC1507" s="6">
        <v>5.0000000000000044E-2</v>
      </c>
      <c r="AD1507" s="22" t="s">
        <v>3140</v>
      </c>
      <c r="AE1507" s="23">
        <f t="shared" si="93"/>
        <v>1.724</v>
      </c>
      <c r="AF1507" s="24">
        <f t="shared" si="94"/>
        <v>0</v>
      </c>
      <c r="AG1507" s="23">
        <f t="shared" si="95"/>
        <v>1</v>
      </c>
    </row>
    <row r="1508" spans="1:33" x14ac:dyDescent="0.25">
      <c r="A1508" s="12" t="s">
        <v>31</v>
      </c>
      <c r="B1508" s="9">
        <v>46197</v>
      </c>
      <c r="C1508" s="10" t="s">
        <v>2367</v>
      </c>
      <c r="D1508" s="10" t="s">
        <v>2368</v>
      </c>
      <c r="E1508" s="10" t="s">
        <v>51</v>
      </c>
      <c r="F1508" s="10" t="s">
        <v>35</v>
      </c>
      <c r="G1508" s="10" t="s">
        <v>3146</v>
      </c>
      <c r="H1508" s="8" t="s">
        <v>36</v>
      </c>
      <c r="I1508" s="11">
        <v>2.37</v>
      </c>
      <c r="J1508" s="6">
        <v>2.1732900000000002</v>
      </c>
      <c r="K1508" s="6">
        <v>0.91700000000000004</v>
      </c>
      <c r="L1508" s="6">
        <v>2.29</v>
      </c>
      <c r="M1508" s="11">
        <v>2.0999300000000001</v>
      </c>
      <c r="N1508" s="11">
        <f t="shared" si="92"/>
        <v>2.1</v>
      </c>
      <c r="O1508" s="6">
        <v>0.91700000000000004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0.08</v>
      </c>
      <c r="Z1508" s="6">
        <v>7.3359999999999995E-2</v>
      </c>
      <c r="AA1508" s="6">
        <v>0.91699999999999993</v>
      </c>
      <c r="AB1508" s="6">
        <v>-8.0000000000000071E-2</v>
      </c>
      <c r="AC1508" s="6">
        <v>8.0000000000000071E-2</v>
      </c>
      <c r="AD1508" s="22" t="s">
        <v>3140</v>
      </c>
      <c r="AE1508" s="23">
        <f t="shared" si="93"/>
        <v>2.1</v>
      </c>
      <c r="AF1508" s="24">
        <f t="shared" si="94"/>
        <v>0</v>
      </c>
      <c r="AG1508" s="23">
        <f t="shared" si="95"/>
        <v>1</v>
      </c>
    </row>
    <row r="1509" spans="1:33" hidden="1" x14ac:dyDescent="0.25">
      <c r="A1509" s="12" t="s">
        <v>31</v>
      </c>
      <c r="B1509" s="9">
        <v>46197</v>
      </c>
      <c r="C1509" s="10" t="s">
        <v>2369</v>
      </c>
      <c r="D1509" s="10" t="s">
        <v>2370</v>
      </c>
      <c r="E1509" s="10" t="s">
        <v>51</v>
      </c>
      <c r="F1509" s="10" t="s">
        <v>35</v>
      </c>
      <c r="G1509" s="10" t="s">
        <v>3145</v>
      </c>
      <c r="H1509" s="8" t="s">
        <v>41</v>
      </c>
      <c r="I1509" s="11">
        <v>24.72</v>
      </c>
      <c r="J1509" s="6">
        <v>18.54</v>
      </c>
      <c r="K1509" s="6">
        <v>0.75</v>
      </c>
      <c r="L1509" s="6">
        <v>22.52</v>
      </c>
      <c r="M1509" s="11">
        <v>16.89</v>
      </c>
      <c r="N1509" s="11">
        <f t="shared" si="92"/>
        <v>16.89</v>
      </c>
      <c r="O1509" s="6">
        <v>0.75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2.2000000000000002</v>
      </c>
      <c r="Z1509" s="6">
        <v>1.65</v>
      </c>
      <c r="AA1509" s="6">
        <v>0.74999999999999989</v>
      </c>
      <c r="AB1509" s="6">
        <v>-2.1999999999999993</v>
      </c>
      <c r="AC1509" s="6">
        <v>2.1999999999999993</v>
      </c>
      <c r="AD1509" s="22" t="s">
        <v>3140</v>
      </c>
      <c r="AE1509" s="23">
        <f t="shared" si="93"/>
        <v>16.89</v>
      </c>
      <c r="AF1509" s="24">
        <f t="shared" si="94"/>
        <v>0</v>
      </c>
      <c r="AG1509" s="23">
        <f t="shared" si="95"/>
        <v>1</v>
      </c>
    </row>
    <row r="1510" spans="1:33" x14ac:dyDescent="0.25">
      <c r="A1510" s="12" t="s">
        <v>31</v>
      </c>
      <c r="B1510" s="9">
        <v>46197</v>
      </c>
      <c r="C1510" s="10" t="s">
        <v>2371</v>
      </c>
      <c r="D1510" s="10" t="s">
        <v>2372</v>
      </c>
      <c r="E1510" s="10" t="s">
        <v>51</v>
      </c>
      <c r="F1510" s="10" t="s">
        <v>35</v>
      </c>
      <c r="G1510" s="10" t="s">
        <v>3146</v>
      </c>
      <c r="H1510" s="8" t="s">
        <v>36</v>
      </c>
      <c r="I1510" s="11">
        <v>45.47</v>
      </c>
      <c r="J1510" s="6">
        <v>41.695990000000002</v>
      </c>
      <c r="K1510" s="6">
        <v>0.91700000000000004</v>
      </c>
      <c r="L1510" s="6">
        <v>43.11</v>
      </c>
      <c r="M1510" s="11">
        <v>39.531869999999998</v>
      </c>
      <c r="N1510" s="11">
        <f t="shared" si="92"/>
        <v>39.531999999999996</v>
      </c>
      <c r="O1510" s="6">
        <v>0.91699999999999993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2.36</v>
      </c>
      <c r="Z1510" s="6">
        <v>2.16412</v>
      </c>
      <c r="AA1510" s="6">
        <v>0.91700000000000004</v>
      </c>
      <c r="AB1510" s="6">
        <v>-2.3599999999999994</v>
      </c>
      <c r="AC1510" s="6">
        <v>2.3599999999999994</v>
      </c>
      <c r="AD1510" s="22" t="s">
        <v>3140</v>
      </c>
      <c r="AE1510" s="23">
        <f t="shared" si="93"/>
        <v>39.531999999999996</v>
      </c>
      <c r="AF1510" s="24">
        <f t="shared" si="94"/>
        <v>0</v>
      </c>
      <c r="AG1510" s="23">
        <f t="shared" si="95"/>
        <v>1</v>
      </c>
    </row>
    <row r="1511" spans="1:33" x14ac:dyDescent="0.25">
      <c r="A1511" s="12" t="s">
        <v>31</v>
      </c>
      <c r="B1511" s="9">
        <v>46197</v>
      </c>
      <c r="C1511" s="10" t="s">
        <v>2373</v>
      </c>
      <c r="D1511" s="10" t="s">
        <v>2374</v>
      </c>
      <c r="E1511" s="10" t="s">
        <v>51</v>
      </c>
      <c r="F1511" s="10" t="s">
        <v>35</v>
      </c>
      <c r="G1511" s="10" t="s">
        <v>3146</v>
      </c>
      <c r="H1511" s="8" t="s">
        <v>36</v>
      </c>
      <c r="I1511" s="11">
        <v>57.5</v>
      </c>
      <c r="J1511" s="6">
        <v>52.727499999999999</v>
      </c>
      <c r="K1511" s="6">
        <v>0.91700000000000004</v>
      </c>
      <c r="L1511" s="6">
        <v>54.76</v>
      </c>
      <c r="M1511" s="11">
        <v>50.214919999999999</v>
      </c>
      <c r="N1511" s="11">
        <f t="shared" si="92"/>
        <v>50.214999999999996</v>
      </c>
      <c r="O1511" s="6">
        <v>0.91700000000000004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2.74</v>
      </c>
      <c r="Z1511" s="6">
        <v>2.5125799999999998</v>
      </c>
      <c r="AA1511" s="6">
        <v>0.91699999999999982</v>
      </c>
      <c r="AB1511" s="6">
        <v>-2.740000000000002</v>
      </c>
      <c r="AC1511" s="6">
        <v>2.740000000000002</v>
      </c>
      <c r="AD1511" s="22" t="s">
        <v>3140</v>
      </c>
      <c r="AE1511" s="23">
        <f t="shared" si="93"/>
        <v>50.214999999999996</v>
      </c>
      <c r="AF1511" s="24">
        <f t="shared" si="94"/>
        <v>0</v>
      </c>
      <c r="AG1511" s="23">
        <f t="shared" si="95"/>
        <v>1</v>
      </c>
    </row>
    <row r="1512" spans="1:33" x14ac:dyDescent="0.25">
      <c r="A1512" s="12" t="s">
        <v>31</v>
      </c>
      <c r="B1512" s="9">
        <v>46197</v>
      </c>
      <c r="C1512" s="10" t="s">
        <v>2375</v>
      </c>
      <c r="D1512" s="10" t="s">
        <v>2376</v>
      </c>
      <c r="E1512" s="10" t="s">
        <v>51</v>
      </c>
      <c r="F1512" s="10" t="s">
        <v>35</v>
      </c>
      <c r="G1512" s="10" t="s">
        <v>3146</v>
      </c>
      <c r="H1512" s="8" t="s">
        <v>36</v>
      </c>
      <c r="I1512" s="11">
        <v>22.45</v>
      </c>
      <c r="J1512" s="6">
        <v>20.586649999999999</v>
      </c>
      <c r="K1512" s="6">
        <v>0.91699999999999993</v>
      </c>
      <c r="L1512" s="6">
        <v>21.55</v>
      </c>
      <c r="M1512" s="11">
        <v>19.76135</v>
      </c>
      <c r="N1512" s="11">
        <f t="shared" si="92"/>
        <v>19.762</v>
      </c>
      <c r="O1512" s="6">
        <v>0.91699999999999993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0.9</v>
      </c>
      <c r="Z1512" s="6">
        <v>0.82530000000000003</v>
      </c>
      <c r="AA1512" s="6">
        <v>0.91700000000000004</v>
      </c>
      <c r="AB1512" s="6">
        <v>-0.89999999999999858</v>
      </c>
      <c r="AC1512" s="6">
        <v>0.89999999999999858</v>
      </c>
      <c r="AD1512" s="22" t="s">
        <v>3140</v>
      </c>
      <c r="AE1512" s="23">
        <f t="shared" si="93"/>
        <v>19.762</v>
      </c>
      <c r="AF1512" s="24">
        <f t="shared" si="94"/>
        <v>0</v>
      </c>
      <c r="AG1512" s="23">
        <f t="shared" si="95"/>
        <v>1</v>
      </c>
    </row>
    <row r="1513" spans="1:33" x14ac:dyDescent="0.25">
      <c r="A1513" s="12" t="s">
        <v>31</v>
      </c>
      <c r="B1513" s="9">
        <v>46197</v>
      </c>
      <c r="C1513" s="10" t="s">
        <v>2377</v>
      </c>
      <c r="D1513" s="10" t="s">
        <v>2378</v>
      </c>
      <c r="E1513" s="10" t="s">
        <v>51</v>
      </c>
      <c r="F1513" s="10" t="s">
        <v>35</v>
      </c>
      <c r="G1513" s="10" t="s">
        <v>3146</v>
      </c>
      <c r="H1513" s="8" t="s">
        <v>36</v>
      </c>
      <c r="I1513" s="11">
        <v>2.08</v>
      </c>
      <c r="J1513" s="6">
        <v>1.9073599999999999</v>
      </c>
      <c r="K1513" s="6">
        <v>0.91699999999999993</v>
      </c>
      <c r="L1513" s="6">
        <v>2.06</v>
      </c>
      <c r="M1513" s="11">
        <v>1.8890199999999999</v>
      </c>
      <c r="N1513" s="11">
        <f t="shared" si="92"/>
        <v>1.89</v>
      </c>
      <c r="O1513" s="6">
        <v>0.91699999999999993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0.02</v>
      </c>
      <c r="Z1513" s="6">
        <v>1.8339999999999999E-2</v>
      </c>
      <c r="AA1513" s="6">
        <v>0.91699999999999993</v>
      </c>
      <c r="AB1513" s="6">
        <v>-2.0000000000000018E-2</v>
      </c>
      <c r="AC1513" s="6">
        <v>2.0000000000000018E-2</v>
      </c>
      <c r="AD1513" s="22" t="s">
        <v>3140</v>
      </c>
      <c r="AE1513" s="23">
        <f t="shared" si="93"/>
        <v>1.89</v>
      </c>
      <c r="AF1513" s="24">
        <f t="shared" si="94"/>
        <v>0</v>
      </c>
      <c r="AG1513" s="23">
        <f t="shared" si="95"/>
        <v>1</v>
      </c>
    </row>
    <row r="1514" spans="1:33" hidden="1" x14ac:dyDescent="0.25">
      <c r="A1514" s="12" t="s">
        <v>31</v>
      </c>
      <c r="B1514" s="9">
        <v>46197</v>
      </c>
      <c r="C1514" s="10" t="s">
        <v>2379</v>
      </c>
      <c r="D1514" s="10" t="s">
        <v>2380</v>
      </c>
      <c r="E1514" s="10" t="s">
        <v>51</v>
      </c>
      <c r="F1514" s="10" t="s">
        <v>35</v>
      </c>
      <c r="G1514" s="10" t="s">
        <v>3145</v>
      </c>
      <c r="H1514" s="8" t="s">
        <v>41</v>
      </c>
      <c r="I1514" s="11">
        <v>26.44</v>
      </c>
      <c r="J1514" s="6">
        <v>19.829999999999998</v>
      </c>
      <c r="K1514" s="6">
        <v>0.74999999999999989</v>
      </c>
      <c r="L1514" s="6">
        <v>24.94</v>
      </c>
      <c r="M1514" s="11">
        <v>18.704999999999998</v>
      </c>
      <c r="N1514" s="11">
        <f t="shared" si="92"/>
        <v>18.704999999999998</v>
      </c>
      <c r="O1514" s="6">
        <v>0.74999999999999989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1.5</v>
      </c>
      <c r="Z1514" s="6">
        <v>1.125</v>
      </c>
      <c r="AA1514" s="6">
        <v>0.75</v>
      </c>
      <c r="AB1514" s="6">
        <v>-1.5</v>
      </c>
      <c r="AC1514" s="6">
        <v>1.5</v>
      </c>
      <c r="AD1514" s="22" t="s">
        <v>3140</v>
      </c>
      <c r="AE1514" s="23">
        <f t="shared" si="93"/>
        <v>18.704999999999998</v>
      </c>
      <c r="AF1514" s="24">
        <f t="shared" si="94"/>
        <v>0</v>
      </c>
      <c r="AG1514" s="23">
        <f t="shared" si="95"/>
        <v>1</v>
      </c>
    </row>
    <row r="1515" spans="1:33" x14ac:dyDescent="0.25">
      <c r="A1515" s="12" t="s">
        <v>31</v>
      </c>
      <c r="B1515" s="9">
        <v>46197</v>
      </c>
      <c r="C1515" s="10" t="s">
        <v>2381</v>
      </c>
      <c r="D1515" s="10" t="s">
        <v>2382</v>
      </c>
      <c r="E1515" s="10" t="s">
        <v>51</v>
      </c>
      <c r="F1515" s="10" t="s">
        <v>35</v>
      </c>
      <c r="G1515" s="10" t="s">
        <v>3146</v>
      </c>
      <c r="H1515" s="8" t="s">
        <v>36</v>
      </c>
      <c r="I1515" s="11">
        <v>37.840000000000003</v>
      </c>
      <c r="J1515" s="6">
        <v>34.699280000000002</v>
      </c>
      <c r="K1515" s="6">
        <v>0.91699999999999993</v>
      </c>
      <c r="L1515" s="6">
        <v>36.53</v>
      </c>
      <c r="M1515" s="11">
        <v>33.498010000000001</v>
      </c>
      <c r="N1515" s="11">
        <f t="shared" si="92"/>
        <v>33.498999999999995</v>
      </c>
      <c r="O1515" s="6">
        <v>0.91700000000000004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1.31</v>
      </c>
      <c r="Z1515" s="6">
        <v>1.2012700000000001</v>
      </c>
      <c r="AA1515" s="6">
        <v>0.91700000000000004</v>
      </c>
      <c r="AB1515" s="6">
        <v>-1.3100000000000023</v>
      </c>
      <c r="AC1515" s="6">
        <v>1.3100000000000023</v>
      </c>
      <c r="AD1515" s="22" t="s">
        <v>3140</v>
      </c>
      <c r="AE1515" s="23">
        <f t="shared" si="93"/>
        <v>33.498999999999995</v>
      </c>
      <c r="AF1515" s="24">
        <f t="shared" si="94"/>
        <v>0</v>
      </c>
      <c r="AG1515" s="23">
        <f t="shared" si="95"/>
        <v>1</v>
      </c>
    </row>
    <row r="1516" spans="1:33" x14ac:dyDescent="0.25">
      <c r="A1516" s="12" t="s">
        <v>31</v>
      </c>
      <c r="B1516" s="9">
        <v>46197</v>
      </c>
      <c r="C1516" s="10" t="s">
        <v>2383</v>
      </c>
      <c r="D1516" s="10" t="s">
        <v>2384</v>
      </c>
      <c r="E1516" s="10" t="s">
        <v>51</v>
      </c>
      <c r="F1516" s="10" t="s">
        <v>35</v>
      </c>
      <c r="G1516" s="10" t="s">
        <v>3146</v>
      </c>
      <c r="H1516" s="8" t="s">
        <v>36</v>
      </c>
      <c r="I1516" s="11">
        <v>1.97</v>
      </c>
      <c r="J1516" s="6">
        <v>1.8064899999999999</v>
      </c>
      <c r="K1516" s="6">
        <v>0.91699999999999993</v>
      </c>
      <c r="L1516" s="6">
        <v>1.91</v>
      </c>
      <c r="M1516" s="11">
        <v>1.7514700000000001</v>
      </c>
      <c r="N1516" s="11">
        <f t="shared" si="92"/>
        <v>1.7519999999999998</v>
      </c>
      <c r="O1516" s="6">
        <v>0.91700000000000004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0.06</v>
      </c>
      <c r="Z1516" s="6">
        <v>5.5019999999999999E-2</v>
      </c>
      <c r="AA1516" s="6">
        <v>0.91700000000000004</v>
      </c>
      <c r="AB1516" s="6">
        <v>-6.0000000000000053E-2</v>
      </c>
      <c r="AC1516" s="6">
        <v>6.0000000000000053E-2</v>
      </c>
      <c r="AD1516" s="22" t="s">
        <v>3140</v>
      </c>
      <c r="AE1516" s="23">
        <f t="shared" si="93"/>
        <v>1.7519999999999998</v>
      </c>
      <c r="AF1516" s="24">
        <f t="shared" si="94"/>
        <v>0</v>
      </c>
      <c r="AG1516" s="23">
        <f t="shared" si="95"/>
        <v>1</v>
      </c>
    </row>
    <row r="1517" spans="1:33" x14ac:dyDescent="0.25">
      <c r="A1517" s="12" t="s">
        <v>31</v>
      </c>
      <c r="B1517" s="9">
        <v>46197</v>
      </c>
      <c r="C1517" s="10" t="s">
        <v>2385</v>
      </c>
      <c r="D1517" s="10" t="s">
        <v>2305</v>
      </c>
      <c r="E1517" s="10" t="s">
        <v>51</v>
      </c>
      <c r="F1517" s="10" t="s">
        <v>35</v>
      </c>
      <c r="G1517" s="10" t="s">
        <v>3146</v>
      </c>
      <c r="H1517" s="8" t="s">
        <v>36</v>
      </c>
      <c r="I1517" s="11">
        <v>12.96</v>
      </c>
      <c r="J1517" s="6">
        <v>11.884320000000001</v>
      </c>
      <c r="K1517" s="6">
        <v>0.91700000000000004</v>
      </c>
      <c r="L1517" s="6">
        <v>12.83</v>
      </c>
      <c r="M1517" s="11">
        <v>11.76511</v>
      </c>
      <c r="N1517" s="11">
        <f t="shared" si="92"/>
        <v>11.766</v>
      </c>
      <c r="O1517" s="6">
        <v>0.91700000000000004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0.13</v>
      </c>
      <c r="Z1517" s="6">
        <v>0.11921</v>
      </c>
      <c r="AA1517" s="6">
        <v>0.91699999999999993</v>
      </c>
      <c r="AB1517" s="6">
        <v>-0.13000000000000078</v>
      </c>
      <c r="AC1517" s="6">
        <v>0.13000000000000078</v>
      </c>
      <c r="AD1517" s="22" t="s">
        <v>3140</v>
      </c>
      <c r="AE1517" s="23">
        <f t="shared" si="93"/>
        <v>11.766</v>
      </c>
      <c r="AF1517" s="24">
        <f t="shared" si="94"/>
        <v>0</v>
      </c>
      <c r="AG1517" s="23">
        <f t="shared" si="95"/>
        <v>2</v>
      </c>
    </row>
    <row r="1518" spans="1:33" x14ac:dyDescent="0.25">
      <c r="A1518" s="12" t="s">
        <v>31</v>
      </c>
      <c r="B1518" s="9">
        <v>46197</v>
      </c>
      <c r="C1518" s="10" t="s">
        <v>2386</v>
      </c>
      <c r="D1518" s="10" t="s">
        <v>2387</v>
      </c>
      <c r="E1518" s="10" t="s">
        <v>51</v>
      </c>
      <c r="F1518" s="10" t="s">
        <v>35</v>
      </c>
      <c r="G1518" s="10" t="s">
        <v>3146</v>
      </c>
      <c r="H1518" s="8" t="s">
        <v>36</v>
      </c>
      <c r="I1518" s="11">
        <v>32.43</v>
      </c>
      <c r="J1518" s="6">
        <v>29.738309999999998</v>
      </c>
      <c r="K1518" s="6">
        <v>0.91699999999999993</v>
      </c>
      <c r="L1518" s="6">
        <v>29.91</v>
      </c>
      <c r="M1518" s="11">
        <v>27.42747</v>
      </c>
      <c r="N1518" s="11">
        <f t="shared" si="92"/>
        <v>27.428000000000001</v>
      </c>
      <c r="O1518" s="6">
        <v>0.91699999999999993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2.52</v>
      </c>
      <c r="Z1518" s="6">
        <v>2.3108399999999998</v>
      </c>
      <c r="AA1518" s="6">
        <v>0.91699999999999993</v>
      </c>
      <c r="AB1518" s="6">
        <v>-2.5199999999999996</v>
      </c>
      <c r="AC1518" s="6">
        <v>2.5199999999999996</v>
      </c>
      <c r="AD1518" s="22" t="s">
        <v>3140</v>
      </c>
      <c r="AE1518" s="23">
        <f t="shared" si="93"/>
        <v>27.428000000000001</v>
      </c>
      <c r="AF1518" s="24">
        <f t="shared" si="94"/>
        <v>0</v>
      </c>
      <c r="AG1518" s="23">
        <f t="shared" si="95"/>
        <v>1</v>
      </c>
    </row>
    <row r="1519" spans="1:33" hidden="1" x14ac:dyDescent="0.25">
      <c r="A1519" s="12" t="s">
        <v>31</v>
      </c>
      <c r="B1519" s="9">
        <v>46197</v>
      </c>
      <c r="C1519" s="10" t="s">
        <v>2388</v>
      </c>
      <c r="D1519" s="10" t="s">
        <v>2389</v>
      </c>
      <c r="E1519" s="10" t="s">
        <v>51</v>
      </c>
      <c r="F1519" s="10" t="s">
        <v>35</v>
      </c>
      <c r="G1519" s="10" t="s">
        <v>3145</v>
      </c>
      <c r="H1519" s="8" t="s">
        <v>41</v>
      </c>
      <c r="I1519" s="11">
        <v>27.93</v>
      </c>
      <c r="J1519" s="6">
        <v>20.947500000000002</v>
      </c>
      <c r="K1519" s="6">
        <v>0.75000000000000011</v>
      </c>
      <c r="L1519" s="6">
        <v>26.41</v>
      </c>
      <c r="M1519" s="11">
        <v>19.807500000000001</v>
      </c>
      <c r="N1519" s="11">
        <f t="shared" si="92"/>
        <v>19.808</v>
      </c>
      <c r="O1519" s="6">
        <v>0.75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1.52</v>
      </c>
      <c r="Z1519" s="6">
        <v>1.1399999999999999</v>
      </c>
      <c r="AA1519" s="6">
        <v>0.74999999999999989</v>
      </c>
      <c r="AB1519" s="6">
        <v>-1.5199999999999996</v>
      </c>
      <c r="AC1519" s="6">
        <v>1.5199999999999996</v>
      </c>
      <c r="AD1519" s="22" t="s">
        <v>3140</v>
      </c>
      <c r="AE1519" s="23">
        <f t="shared" si="93"/>
        <v>19.808</v>
      </c>
      <c r="AF1519" s="24">
        <f t="shared" si="94"/>
        <v>0</v>
      </c>
      <c r="AG1519" s="23">
        <f t="shared" si="95"/>
        <v>1</v>
      </c>
    </row>
    <row r="1520" spans="1:33" hidden="1" x14ac:dyDescent="0.25">
      <c r="A1520" s="12" t="s">
        <v>31</v>
      </c>
      <c r="B1520" s="9">
        <v>46197</v>
      </c>
      <c r="C1520" s="10" t="s">
        <v>2390</v>
      </c>
      <c r="D1520" s="10" t="s">
        <v>2391</v>
      </c>
      <c r="E1520" s="10" t="s">
        <v>51</v>
      </c>
      <c r="F1520" s="10" t="s">
        <v>35</v>
      </c>
      <c r="G1520" s="10" t="s">
        <v>3145</v>
      </c>
      <c r="H1520" s="8" t="s">
        <v>41</v>
      </c>
      <c r="I1520" s="11">
        <v>22.82</v>
      </c>
      <c r="J1520" s="6">
        <v>17.114999999999998</v>
      </c>
      <c r="K1520" s="6">
        <v>0.74999999999999989</v>
      </c>
      <c r="L1520" s="6">
        <v>21.42</v>
      </c>
      <c r="M1520" s="11">
        <v>16.065000000000001</v>
      </c>
      <c r="N1520" s="11">
        <f t="shared" si="92"/>
        <v>16.065000000000001</v>
      </c>
      <c r="O1520" s="6">
        <v>0.75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1.4</v>
      </c>
      <c r="Z1520" s="6">
        <v>1.05</v>
      </c>
      <c r="AA1520" s="6">
        <v>0.75000000000000011</v>
      </c>
      <c r="AB1520" s="6">
        <v>-1.3999999999999986</v>
      </c>
      <c r="AC1520" s="6">
        <v>1.3999999999999986</v>
      </c>
      <c r="AD1520" s="22" t="s">
        <v>3140</v>
      </c>
      <c r="AE1520" s="23">
        <f t="shared" si="93"/>
        <v>16.065000000000001</v>
      </c>
      <c r="AF1520" s="24">
        <f t="shared" si="94"/>
        <v>0</v>
      </c>
      <c r="AG1520" s="23">
        <f t="shared" si="95"/>
        <v>1</v>
      </c>
    </row>
    <row r="1521" spans="1:33" x14ac:dyDescent="0.25">
      <c r="A1521" s="12" t="s">
        <v>31</v>
      </c>
      <c r="B1521" s="9">
        <v>46197</v>
      </c>
      <c r="C1521" s="10" t="s">
        <v>2392</v>
      </c>
      <c r="D1521" s="10" t="s">
        <v>2393</v>
      </c>
      <c r="E1521" s="10" t="s">
        <v>51</v>
      </c>
      <c r="F1521" s="10" t="s">
        <v>35</v>
      </c>
      <c r="G1521" s="10" t="s">
        <v>3146</v>
      </c>
      <c r="H1521" s="8" t="s">
        <v>36</v>
      </c>
      <c r="I1521" s="11">
        <v>55.37</v>
      </c>
      <c r="J1521" s="6">
        <v>50.774290000000001</v>
      </c>
      <c r="K1521" s="6">
        <v>0.91700000000000004</v>
      </c>
      <c r="L1521" s="6">
        <v>51.37</v>
      </c>
      <c r="M1521" s="11">
        <v>47.106290000000001</v>
      </c>
      <c r="N1521" s="11">
        <f t="shared" si="92"/>
        <v>47.106999999999999</v>
      </c>
      <c r="O1521" s="6">
        <v>0.91700000000000004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4</v>
      </c>
      <c r="Z1521" s="6">
        <v>3.6680000000000001</v>
      </c>
      <c r="AA1521" s="6">
        <v>0.91700000000000004</v>
      </c>
      <c r="AB1521" s="6">
        <v>-4</v>
      </c>
      <c r="AC1521" s="6">
        <v>4</v>
      </c>
      <c r="AD1521" s="22" t="s">
        <v>3140</v>
      </c>
      <c r="AE1521" s="23">
        <f t="shared" si="93"/>
        <v>47.106999999999999</v>
      </c>
      <c r="AF1521" s="24">
        <f t="shared" si="94"/>
        <v>0</v>
      </c>
      <c r="AG1521" s="23">
        <f t="shared" si="95"/>
        <v>2</v>
      </c>
    </row>
    <row r="1522" spans="1:33" x14ac:dyDescent="0.25">
      <c r="A1522" s="12" t="s">
        <v>31</v>
      </c>
      <c r="B1522" s="9">
        <v>46197</v>
      </c>
      <c r="C1522" s="10" t="s">
        <v>2394</v>
      </c>
      <c r="D1522" s="10" t="s">
        <v>2395</v>
      </c>
      <c r="E1522" s="10" t="s">
        <v>51</v>
      </c>
      <c r="F1522" s="10" t="s">
        <v>35</v>
      </c>
      <c r="G1522" s="10" t="s">
        <v>3146</v>
      </c>
      <c r="H1522" s="8" t="s">
        <v>36</v>
      </c>
      <c r="I1522" s="11">
        <v>3.04</v>
      </c>
      <c r="J1522" s="6">
        <v>2.7876799999999999</v>
      </c>
      <c r="K1522" s="6">
        <v>0.91699999999999993</v>
      </c>
      <c r="L1522" s="6">
        <v>2.92</v>
      </c>
      <c r="M1522" s="11">
        <v>2.6776399999999998</v>
      </c>
      <c r="N1522" s="11">
        <f t="shared" si="92"/>
        <v>2.6779999999999999</v>
      </c>
      <c r="O1522" s="6">
        <v>0.91699999999999993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0.12</v>
      </c>
      <c r="Z1522" s="6">
        <v>0.11004</v>
      </c>
      <c r="AA1522" s="6">
        <v>0.91700000000000004</v>
      </c>
      <c r="AB1522" s="6">
        <v>-0.12000000000000011</v>
      </c>
      <c r="AC1522" s="6">
        <v>0.12000000000000011</v>
      </c>
      <c r="AD1522" s="22" t="s">
        <v>3140</v>
      </c>
      <c r="AE1522" s="23">
        <f t="shared" si="93"/>
        <v>2.6779999999999999</v>
      </c>
      <c r="AF1522" s="24">
        <f t="shared" si="94"/>
        <v>0</v>
      </c>
      <c r="AG1522" s="23">
        <f t="shared" si="95"/>
        <v>1</v>
      </c>
    </row>
    <row r="1523" spans="1:33" x14ac:dyDescent="0.25">
      <c r="A1523" s="12" t="s">
        <v>31</v>
      </c>
      <c r="B1523" s="9">
        <v>46197</v>
      </c>
      <c r="C1523" s="10" t="s">
        <v>2396</v>
      </c>
      <c r="D1523" s="10" t="s">
        <v>2397</v>
      </c>
      <c r="E1523" s="10" t="s">
        <v>51</v>
      </c>
      <c r="F1523" s="10" t="s">
        <v>35</v>
      </c>
      <c r="G1523" s="10" t="s">
        <v>3146</v>
      </c>
      <c r="H1523" s="8" t="s">
        <v>36</v>
      </c>
      <c r="I1523" s="11">
        <v>2.1800000000000002</v>
      </c>
      <c r="J1523" s="6">
        <v>1.9990600000000001</v>
      </c>
      <c r="K1523" s="6">
        <v>0.91699999999999993</v>
      </c>
      <c r="L1523" s="6">
        <v>2.06</v>
      </c>
      <c r="M1523" s="11">
        <v>1.8890199999999999</v>
      </c>
      <c r="N1523" s="11">
        <f t="shared" si="92"/>
        <v>1.89</v>
      </c>
      <c r="O1523" s="6">
        <v>0.91699999999999993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0.12</v>
      </c>
      <c r="Z1523" s="6">
        <v>0.11004</v>
      </c>
      <c r="AA1523" s="6">
        <v>0.91700000000000004</v>
      </c>
      <c r="AB1523" s="6">
        <v>-0.12000000000000011</v>
      </c>
      <c r="AC1523" s="6">
        <v>0.12000000000000011</v>
      </c>
      <c r="AD1523" s="22" t="s">
        <v>3140</v>
      </c>
      <c r="AE1523" s="23">
        <f t="shared" si="93"/>
        <v>1.89</v>
      </c>
      <c r="AF1523" s="24">
        <f t="shared" si="94"/>
        <v>0</v>
      </c>
      <c r="AG1523" s="23">
        <f t="shared" si="95"/>
        <v>1</v>
      </c>
    </row>
    <row r="1524" spans="1:33" x14ac:dyDescent="0.25">
      <c r="A1524" s="12" t="s">
        <v>31</v>
      </c>
      <c r="B1524" s="9">
        <v>46197</v>
      </c>
      <c r="C1524" s="10" t="s">
        <v>2398</v>
      </c>
      <c r="D1524" s="10" t="s">
        <v>2145</v>
      </c>
      <c r="E1524" s="10" t="s">
        <v>51</v>
      </c>
      <c r="F1524" s="10" t="s">
        <v>35</v>
      </c>
      <c r="G1524" s="10" t="s">
        <v>3146</v>
      </c>
      <c r="H1524" s="8" t="s">
        <v>36</v>
      </c>
      <c r="I1524" s="11">
        <v>314.85000000000002</v>
      </c>
      <c r="J1524" s="6">
        <v>288.71744999999999</v>
      </c>
      <c r="K1524" s="6">
        <v>0.91699999999999993</v>
      </c>
      <c r="L1524" s="6">
        <v>314.10000000000002</v>
      </c>
      <c r="M1524" s="11">
        <v>288.02969999999999</v>
      </c>
      <c r="N1524" s="11">
        <f t="shared" si="92"/>
        <v>288.02999999999997</v>
      </c>
      <c r="O1524" s="6">
        <v>0.91699999999999993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0.75</v>
      </c>
      <c r="Z1524" s="6">
        <v>0.68774999999999997</v>
      </c>
      <c r="AA1524" s="6">
        <v>0.91699999999999993</v>
      </c>
      <c r="AB1524" s="6">
        <v>-0.75</v>
      </c>
      <c r="AC1524" s="6">
        <v>0.75</v>
      </c>
      <c r="AD1524" s="23" t="s">
        <v>3143</v>
      </c>
      <c r="AE1524" s="23">
        <f t="shared" si="93"/>
        <v>287.20499999999998</v>
      </c>
      <c r="AF1524" s="24">
        <f t="shared" si="94"/>
        <v>0.82499999999998863</v>
      </c>
      <c r="AG1524" s="23">
        <f t="shared" si="95"/>
        <v>3</v>
      </c>
    </row>
    <row r="1525" spans="1:33" ht="12.5" customHeight="1" x14ac:dyDescent="0.25">
      <c r="A1525" s="12" t="s">
        <v>31</v>
      </c>
      <c r="B1525" s="9">
        <v>46197</v>
      </c>
      <c r="C1525" s="8" t="s">
        <v>2399</v>
      </c>
      <c r="D1525" s="10" t="s">
        <v>2400</v>
      </c>
      <c r="E1525" s="10" t="s">
        <v>51</v>
      </c>
      <c r="F1525" s="10" t="s">
        <v>35</v>
      </c>
      <c r="G1525" s="10" t="s">
        <v>3146</v>
      </c>
      <c r="H1525" s="8" t="s">
        <v>36</v>
      </c>
      <c r="I1525" s="11">
        <v>2.27</v>
      </c>
      <c r="J1525" s="6">
        <v>2.0815899999999998</v>
      </c>
      <c r="K1525" s="6">
        <v>0.91699999999999993</v>
      </c>
      <c r="L1525" s="6">
        <v>2.17</v>
      </c>
      <c r="M1525" s="11">
        <v>1.9898899999999999</v>
      </c>
      <c r="N1525" s="11">
        <f t="shared" si="92"/>
        <v>1.99</v>
      </c>
      <c r="O1525" s="6">
        <v>0.91700000000000004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0.1</v>
      </c>
      <c r="Z1525" s="6">
        <v>9.1700000000000004E-2</v>
      </c>
      <c r="AA1525" s="6">
        <v>0.91700000000000004</v>
      </c>
      <c r="AB1525" s="6">
        <v>-0.10000000000000009</v>
      </c>
      <c r="AC1525" s="6">
        <v>0.10000000000000009</v>
      </c>
      <c r="AD1525" s="22" t="s">
        <v>3140</v>
      </c>
      <c r="AE1525" s="23">
        <f t="shared" si="93"/>
        <v>1.99</v>
      </c>
      <c r="AF1525" s="24">
        <f t="shared" si="94"/>
        <v>0</v>
      </c>
      <c r="AG1525" s="23">
        <f t="shared" si="95"/>
        <v>1</v>
      </c>
    </row>
    <row r="1526" spans="1:33" ht="12.5" customHeight="1" x14ac:dyDescent="0.25">
      <c r="A1526" s="12" t="s">
        <v>31</v>
      </c>
      <c r="B1526" s="9">
        <v>46197</v>
      </c>
      <c r="C1526" s="13" t="s">
        <v>2399</v>
      </c>
      <c r="D1526" s="10" t="s">
        <v>2401</v>
      </c>
      <c r="E1526" s="10" t="s">
        <v>51</v>
      </c>
      <c r="F1526" s="10" t="s">
        <v>35</v>
      </c>
      <c r="G1526" s="10" t="s">
        <v>3146</v>
      </c>
      <c r="H1526" s="8" t="s">
        <v>36</v>
      </c>
      <c r="I1526" s="11">
        <v>132.33000000000001</v>
      </c>
      <c r="J1526" s="6">
        <v>121.34661</v>
      </c>
      <c r="K1526" s="6">
        <v>0.91699999999999993</v>
      </c>
      <c r="L1526" s="6">
        <v>120.87</v>
      </c>
      <c r="M1526" s="11">
        <v>110.83779</v>
      </c>
      <c r="N1526" s="11">
        <f t="shared" si="92"/>
        <v>110.83800000000001</v>
      </c>
      <c r="O1526" s="6">
        <v>0.91699999999999993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11.46</v>
      </c>
      <c r="Z1526" s="6">
        <v>10.50882</v>
      </c>
      <c r="AA1526" s="6">
        <v>0.91699999999999993</v>
      </c>
      <c r="AB1526" s="6">
        <v>-11.460000000000008</v>
      </c>
      <c r="AC1526" s="6">
        <v>11.460000000000008</v>
      </c>
      <c r="AD1526" s="23" t="s">
        <v>3143</v>
      </c>
      <c r="AE1526" s="23">
        <f t="shared" si="93"/>
        <v>104.15300000000001</v>
      </c>
      <c r="AF1526" s="24">
        <f t="shared" si="94"/>
        <v>6.6850000000000023</v>
      </c>
      <c r="AG1526" s="23">
        <f t="shared" si="95"/>
        <v>2</v>
      </c>
    </row>
    <row r="1527" spans="1:33" x14ac:dyDescent="0.25">
      <c r="A1527" s="12" t="s">
        <v>31</v>
      </c>
      <c r="B1527" s="9">
        <v>46197</v>
      </c>
      <c r="C1527" s="10" t="s">
        <v>2402</v>
      </c>
      <c r="D1527" s="10" t="s">
        <v>2403</v>
      </c>
      <c r="E1527" s="10" t="s">
        <v>51</v>
      </c>
      <c r="F1527" s="10" t="s">
        <v>35</v>
      </c>
      <c r="G1527" s="10" t="s">
        <v>3146</v>
      </c>
      <c r="H1527" s="8" t="s">
        <v>36</v>
      </c>
      <c r="I1527" s="11">
        <v>3.72</v>
      </c>
      <c r="J1527" s="6">
        <v>3.4112399999999998</v>
      </c>
      <c r="K1527" s="6">
        <v>0.91699999999999993</v>
      </c>
      <c r="L1527" s="6">
        <v>3.14</v>
      </c>
      <c r="M1527" s="11">
        <v>2.8793799999999998</v>
      </c>
      <c r="N1527" s="11">
        <f t="shared" si="92"/>
        <v>2.88</v>
      </c>
      <c r="O1527" s="6">
        <v>0.91699999999999993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0.57999999999999996</v>
      </c>
      <c r="Z1527" s="6">
        <v>0.53186</v>
      </c>
      <c r="AA1527" s="6">
        <v>0.91700000000000004</v>
      </c>
      <c r="AB1527" s="6">
        <v>-0.58000000000000007</v>
      </c>
      <c r="AC1527" s="6">
        <v>0.58000000000000007</v>
      </c>
      <c r="AD1527" s="22" t="s">
        <v>3140</v>
      </c>
      <c r="AE1527" s="23">
        <f t="shared" si="93"/>
        <v>2.88</v>
      </c>
      <c r="AF1527" s="24">
        <f t="shared" si="94"/>
        <v>0</v>
      </c>
      <c r="AG1527" s="23">
        <f t="shared" si="95"/>
        <v>2</v>
      </c>
    </row>
    <row r="1528" spans="1:33" x14ac:dyDescent="0.25">
      <c r="A1528" s="12" t="s">
        <v>31</v>
      </c>
      <c r="B1528" s="9">
        <v>46197</v>
      </c>
      <c r="C1528" s="10" t="s">
        <v>2404</v>
      </c>
      <c r="D1528" s="10" t="s">
        <v>2405</v>
      </c>
      <c r="E1528" s="10" t="s">
        <v>51</v>
      </c>
      <c r="F1528" s="10" t="s">
        <v>35</v>
      </c>
      <c r="G1528" s="10" t="s">
        <v>3146</v>
      </c>
      <c r="H1528" s="8" t="s">
        <v>36</v>
      </c>
      <c r="I1528" s="11">
        <v>44.18</v>
      </c>
      <c r="J1528" s="6">
        <v>40.513060000000003</v>
      </c>
      <c r="K1528" s="6">
        <v>0.91700000000000004</v>
      </c>
      <c r="L1528" s="6">
        <v>41.98</v>
      </c>
      <c r="M1528" s="11">
        <v>38.495660000000001</v>
      </c>
      <c r="N1528" s="11">
        <f t="shared" si="92"/>
        <v>38.495999999999995</v>
      </c>
      <c r="O1528" s="6">
        <v>0.91700000000000004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2.2000000000000002</v>
      </c>
      <c r="Z1528" s="6">
        <v>2.0173999999999999</v>
      </c>
      <c r="AA1528" s="6">
        <v>0.91699999999999982</v>
      </c>
      <c r="AB1528" s="6">
        <v>-2.2000000000000028</v>
      </c>
      <c r="AC1528" s="6">
        <v>2.2000000000000028</v>
      </c>
      <c r="AD1528" s="22" t="s">
        <v>3140</v>
      </c>
      <c r="AE1528" s="23">
        <f t="shared" si="93"/>
        <v>38.495999999999995</v>
      </c>
      <c r="AF1528" s="24">
        <f t="shared" si="94"/>
        <v>0</v>
      </c>
      <c r="AG1528" s="23">
        <f t="shared" si="95"/>
        <v>1</v>
      </c>
    </row>
    <row r="1529" spans="1:33" x14ac:dyDescent="0.25">
      <c r="A1529" s="12" t="s">
        <v>31</v>
      </c>
      <c r="B1529" s="9">
        <v>46197</v>
      </c>
      <c r="C1529" s="10" t="s">
        <v>2406</v>
      </c>
      <c r="D1529" s="10" t="s">
        <v>2407</v>
      </c>
      <c r="E1529" s="10" t="s">
        <v>51</v>
      </c>
      <c r="F1529" s="10" t="s">
        <v>35</v>
      </c>
      <c r="G1529" s="10" t="s">
        <v>3146</v>
      </c>
      <c r="H1529" s="8" t="s">
        <v>36</v>
      </c>
      <c r="I1529" s="11">
        <v>62.18</v>
      </c>
      <c r="J1529" s="6">
        <v>57.019060000000003</v>
      </c>
      <c r="K1529" s="6">
        <v>0.91700000000000004</v>
      </c>
      <c r="L1529" s="6">
        <v>58.6</v>
      </c>
      <c r="M1529" s="11">
        <v>53.736199999999997</v>
      </c>
      <c r="N1529" s="11">
        <f t="shared" si="92"/>
        <v>53.736999999999995</v>
      </c>
      <c r="O1529" s="6">
        <v>0.91699999999999993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3.58</v>
      </c>
      <c r="Z1529" s="6">
        <v>3.2828599999999999</v>
      </c>
      <c r="AA1529" s="6">
        <v>0.91699999999999993</v>
      </c>
      <c r="AB1529" s="6">
        <v>-3.5799999999999983</v>
      </c>
      <c r="AC1529" s="6">
        <v>3.5799999999999983</v>
      </c>
      <c r="AD1529" s="22" t="s">
        <v>3140</v>
      </c>
      <c r="AE1529" s="23">
        <f t="shared" si="93"/>
        <v>53.736999999999995</v>
      </c>
      <c r="AF1529" s="24">
        <f t="shared" si="94"/>
        <v>0</v>
      </c>
      <c r="AG1529" s="23">
        <f t="shared" si="95"/>
        <v>1</v>
      </c>
    </row>
    <row r="1530" spans="1:33" x14ac:dyDescent="0.25">
      <c r="A1530" s="12" t="s">
        <v>31</v>
      </c>
      <c r="B1530" s="9">
        <v>46197</v>
      </c>
      <c r="C1530" s="10" t="s">
        <v>2408</v>
      </c>
      <c r="D1530" s="10" t="s">
        <v>2409</v>
      </c>
      <c r="E1530" s="10" t="s">
        <v>51</v>
      </c>
      <c r="F1530" s="10" t="s">
        <v>35</v>
      </c>
      <c r="G1530" s="10" t="s">
        <v>3146</v>
      </c>
      <c r="H1530" s="8" t="s">
        <v>36</v>
      </c>
      <c r="I1530" s="11">
        <v>12.34</v>
      </c>
      <c r="J1530" s="6">
        <v>11.31578</v>
      </c>
      <c r="K1530" s="6">
        <v>0.91700000000000004</v>
      </c>
      <c r="L1530" s="6">
        <v>11.83</v>
      </c>
      <c r="M1530" s="11">
        <v>10.84811</v>
      </c>
      <c r="N1530" s="11">
        <f t="shared" si="92"/>
        <v>10.849</v>
      </c>
      <c r="O1530" s="6">
        <v>0.91700000000000004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0.51</v>
      </c>
      <c r="Z1530" s="6">
        <v>0.46766999999999997</v>
      </c>
      <c r="AA1530" s="6">
        <v>0.91699999999999993</v>
      </c>
      <c r="AB1530" s="6">
        <v>-0.50999999999999979</v>
      </c>
      <c r="AC1530" s="6">
        <v>0.50999999999999979</v>
      </c>
      <c r="AD1530" s="23" t="s">
        <v>3143</v>
      </c>
      <c r="AE1530" s="23">
        <f t="shared" si="93"/>
        <v>10.619</v>
      </c>
      <c r="AF1530" s="24">
        <f t="shared" si="94"/>
        <v>0.23000000000000043</v>
      </c>
      <c r="AG1530" s="23">
        <f t="shared" si="95"/>
        <v>2</v>
      </c>
    </row>
    <row r="1531" spans="1:33" x14ac:dyDescent="0.25">
      <c r="A1531" s="12" t="s">
        <v>31</v>
      </c>
      <c r="B1531" s="9">
        <v>46197</v>
      </c>
      <c r="C1531" s="10" t="s">
        <v>2410</v>
      </c>
      <c r="D1531" s="10" t="s">
        <v>2411</v>
      </c>
      <c r="E1531" s="10" t="s">
        <v>51</v>
      </c>
      <c r="F1531" s="10" t="s">
        <v>35</v>
      </c>
      <c r="G1531" s="10" t="s">
        <v>3146</v>
      </c>
      <c r="H1531" s="8" t="s">
        <v>36</v>
      </c>
      <c r="I1531" s="11">
        <v>15.3</v>
      </c>
      <c r="J1531" s="6">
        <v>14.030099999999999</v>
      </c>
      <c r="K1531" s="6">
        <v>0.91699999999999993</v>
      </c>
      <c r="L1531" s="6">
        <v>14.75</v>
      </c>
      <c r="M1531" s="11">
        <v>13.52575</v>
      </c>
      <c r="N1531" s="11">
        <f t="shared" si="92"/>
        <v>13.526</v>
      </c>
      <c r="O1531" s="6">
        <v>0.91700000000000004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0.55000000000000004</v>
      </c>
      <c r="Z1531" s="6">
        <v>0.50434999999999997</v>
      </c>
      <c r="AA1531" s="6">
        <v>0.91699999999999982</v>
      </c>
      <c r="AB1531" s="6">
        <v>-0.55000000000000071</v>
      </c>
      <c r="AC1531" s="6">
        <v>0.55000000000000071</v>
      </c>
      <c r="AD1531" s="23" t="s">
        <v>3143</v>
      </c>
      <c r="AE1531" s="23">
        <f t="shared" si="93"/>
        <v>13.141</v>
      </c>
      <c r="AF1531" s="24">
        <f t="shared" si="94"/>
        <v>0.38499999999999979</v>
      </c>
      <c r="AG1531" s="23">
        <f t="shared" si="95"/>
        <v>2</v>
      </c>
    </row>
    <row r="1532" spans="1:33" x14ac:dyDescent="0.25">
      <c r="A1532" s="12" t="s">
        <v>31</v>
      </c>
      <c r="B1532" s="9">
        <v>46197</v>
      </c>
      <c r="C1532" s="10" t="s">
        <v>2412</v>
      </c>
      <c r="D1532" s="10" t="s">
        <v>2413</v>
      </c>
      <c r="E1532" s="10" t="s">
        <v>51</v>
      </c>
      <c r="F1532" s="10" t="s">
        <v>35</v>
      </c>
      <c r="G1532" s="10" t="s">
        <v>3146</v>
      </c>
      <c r="H1532" s="8" t="s">
        <v>36</v>
      </c>
      <c r="I1532" s="11">
        <v>35.74</v>
      </c>
      <c r="J1532" s="6">
        <v>32.773580000000003</v>
      </c>
      <c r="K1532" s="6">
        <v>0.91700000000000004</v>
      </c>
      <c r="L1532" s="6">
        <v>32.74</v>
      </c>
      <c r="M1532" s="11">
        <v>30.022580000000001</v>
      </c>
      <c r="N1532" s="11">
        <f t="shared" si="92"/>
        <v>30.023</v>
      </c>
      <c r="O1532" s="6">
        <v>0.91700000000000004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3</v>
      </c>
      <c r="Z1532" s="6">
        <v>2.7509999999999999</v>
      </c>
      <c r="AA1532" s="6">
        <v>0.91699999999999993</v>
      </c>
      <c r="AB1532" s="6">
        <v>-3</v>
      </c>
      <c r="AC1532" s="6">
        <v>3</v>
      </c>
      <c r="AD1532" s="22" t="s">
        <v>3140</v>
      </c>
      <c r="AE1532" s="23">
        <f t="shared" si="93"/>
        <v>30.023</v>
      </c>
      <c r="AF1532" s="24">
        <f t="shared" si="94"/>
        <v>0</v>
      </c>
      <c r="AG1532" s="23">
        <f t="shared" si="95"/>
        <v>1</v>
      </c>
    </row>
    <row r="1533" spans="1:33" x14ac:dyDescent="0.25">
      <c r="A1533" s="12" t="s">
        <v>31</v>
      </c>
      <c r="B1533" s="9">
        <v>46197</v>
      </c>
      <c r="C1533" s="10" t="s">
        <v>2414</v>
      </c>
      <c r="D1533" s="10" t="s">
        <v>2415</v>
      </c>
      <c r="E1533" s="10" t="s">
        <v>51</v>
      </c>
      <c r="F1533" s="10" t="s">
        <v>35</v>
      </c>
      <c r="G1533" s="10" t="s">
        <v>3146</v>
      </c>
      <c r="H1533" s="8" t="s">
        <v>36</v>
      </c>
      <c r="I1533" s="11">
        <v>200.08</v>
      </c>
      <c r="J1533" s="6">
        <v>183.47336000000001</v>
      </c>
      <c r="K1533" s="6">
        <v>0.91700000000000004</v>
      </c>
      <c r="L1533" s="6">
        <v>191.19</v>
      </c>
      <c r="M1533" s="11">
        <v>175.32123000000001</v>
      </c>
      <c r="N1533" s="11">
        <f t="shared" si="92"/>
        <v>175.322</v>
      </c>
      <c r="O1533" s="6">
        <v>0.91700000000000004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8.89</v>
      </c>
      <c r="Z1533" s="6">
        <v>8.1521299999999997</v>
      </c>
      <c r="AA1533" s="6">
        <v>0.91699999999999993</v>
      </c>
      <c r="AB1533" s="6">
        <v>-8.8900000000000148</v>
      </c>
      <c r="AC1533" s="6">
        <v>8.8900000000000148</v>
      </c>
      <c r="AD1533" s="22" t="s">
        <v>3140</v>
      </c>
      <c r="AE1533" s="23">
        <f t="shared" si="93"/>
        <v>175.322</v>
      </c>
      <c r="AF1533" s="24">
        <f t="shared" si="94"/>
        <v>0</v>
      </c>
      <c r="AG1533" s="23">
        <f t="shared" si="95"/>
        <v>1</v>
      </c>
    </row>
    <row r="1534" spans="1:33" ht="20" hidden="1" customHeight="1" x14ac:dyDescent="0.25">
      <c r="A1534" s="12" t="s">
        <v>31</v>
      </c>
      <c r="B1534" s="9">
        <v>46197</v>
      </c>
      <c r="C1534" s="10" t="s">
        <v>2416</v>
      </c>
      <c r="D1534" s="10" t="s">
        <v>2417</v>
      </c>
      <c r="E1534" s="10" t="s">
        <v>51</v>
      </c>
      <c r="F1534" s="10" t="s">
        <v>35</v>
      </c>
      <c r="G1534" s="10" t="s">
        <v>3145</v>
      </c>
      <c r="H1534" s="8" t="s">
        <v>48</v>
      </c>
      <c r="I1534" s="11">
        <v>43.2</v>
      </c>
      <c r="J1534" s="6">
        <v>32.4</v>
      </c>
      <c r="K1534" s="6">
        <v>0.74999999999999989</v>
      </c>
      <c r="L1534" s="6">
        <v>41.32</v>
      </c>
      <c r="M1534" s="11">
        <v>30.99</v>
      </c>
      <c r="N1534" s="11">
        <f t="shared" si="92"/>
        <v>30.99</v>
      </c>
      <c r="O1534" s="6">
        <v>0.75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1.88</v>
      </c>
      <c r="Z1534" s="6">
        <v>1.41</v>
      </c>
      <c r="AA1534" s="6">
        <v>0.75</v>
      </c>
      <c r="AB1534" s="6">
        <v>-1.8800000000000026</v>
      </c>
      <c r="AC1534" s="6">
        <v>1.8800000000000026</v>
      </c>
      <c r="AD1534" s="22" t="s">
        <v>3140</v>
      </c>
      <c r="AE1534" s="23">
        <f t="shared" si="93"/>
        <v>30.99</v>
      </c>
      <c r="AF1534" s="24">
        <f t="shared" si="94"/>
        <v>0</v>
      </c>
      <c r="AG1534" s="23">
        <f t="shared" si="95"/>
        <v>1</v>
      </c>
    </row>
    <row r="1535" spans="1:33" x14ac:dyDescent="0.25">
      <c r="A1535" s="12" t="s">
        <v>31</v>
      </c>
      <c r="B1535" s="9">
        <v>46197</v>
      </c>
      <c r="C1535" s="10" t="s">
        <v>2418</v>
      </c>
      <c r="D1535" s="10" t="s">
        <v>2419</v>
      </c>
      <c r="E1535" s="10" t="s">
        <v>51</v>
      </c>
      <c r="F1535" s="10" t="s">
        <v>35</v>
      </c>
      <c r="G1535" s="10" t="s">
        <v>3146</v>
      </c>
      <c r="H1535" s="8" t="s">
        <v>36</v>
      </c>
      <c r="I1535" s="11">
        <v>9.6560000000000006</v>
      </c>
      <c r="J1535" s="6">
        <v>8.854552</v>
      </c>
      <c r="K1535" s="6">
        <v>0.91699999999999993</v>
      </c>
      <c r="L1535" s="6">
        <v>8.9659999999999993</v>
      </c>
      <c r="M1535" s="11">
        <v>8.2218219999999995</v>
      </c>
      <c r="N1535" s="11">
        <f t="shared" si="92"/>
        <v>8.2219999999999995</v>
      </c>
      <c r="O1535" s="6">
        <v>0.91700000000000004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0.69</v>
      </c>
      <c r="Z1535" s="6">
        <v>0.63273000000000001</v>
      </c>
      <c r="AA1535" s="6">
        <v>0.91700000000000004</v>
      </c>
      <c r="AB1535" s="6">
        <v>-0.69000000000000128</v>
      </c>
      <c r="AC1535" s="6">
        <v>0.69000000000000128</v>
      </c>
      <c r="AD1535" s="22" t="s">
        <v>3140</v>
      </c>
      <c r="AE1535" s="23">
        <f t="shared" si="93"/>
        <v>8.2219999999999995</v>
      </c>
      <c r="AF1535" s="24">
        <f t="shared" si="94"/>
        <v>0</v>
      </c>
      <c r="AG1535" s="23">
        <f t="shared" si="95"/>
        <v>1</v>
      </c>
    </row>
    <row r="1536" spans="1:33" x14ac:dyDescent="0.25">
      <c r="A1536" s="12" t="s">
        <v>31</v>
      </c>
      <c r="B1536" s="9">
        <v>46197</v>
      </c>
      <c r="C1536" s="10" t="s">
        <v>2420</v>
      </c>
      <c r="D1536" s="10" t="s">
        <v>2421</v>
      </c>
      <c r="E1536" s="10" t="s">
        <v>51</v>
      </c>
      <c r="F1536" s="10" t="s">
        <v>35</v>
      </c>
      <c r="G1536" s="10" t="s">
        <v>3146</v>
      </c>
      <c r="H1536" s="8" t="s">
        <v>36</v>
      </c>
      <c r="I1536" s="11">
        <v>9.02</v>
      </c>
      <c r="J1536" s="6">
        <v>8.2713400000000004</v>
      </c>
      <c r="K1536" s="6">
        <v>0.91700000000000004</v>
      </c>
      <c r="L1536" s="6">
        <v>8.8000000000000007</v>
      </c>
      <c r="M1536" s="11">
        <v>8.0695999999999994</v>
      </c>
      <c r="N1536" s="11">
        <f t="shared" si="92"/>
        <v>8.07</v>
      </c>
      <c r="O1536" s="6">
        <v>0.91699999999999982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0.22</v>
      </c>
      <c r="Z1536" s="6">
        <v>0.20174</v>
      </c>
      <c r="AA1536" s="6">
        <v>0.91700000000000004</v>
      </c>
      <c r="AB1536" s="6">
        <v>-0.21999999999999886</v>
      </c>
      <c r="AC1536" s="6">
        <v>0.21999999999999886</v>
      </c>
      <c r="AD1536" s="22" t="s">
        <v>3140</v>
      </c>
      <c r="AE1536" s="23">
        <f t="shared" si="93"/>
        <v>8.07</v>
      </c>
      <c r="AF1536" s="24">
        <f t="shared" si="94"/>
        <v>0</v>
      </c>
      <c r="AG1536" s="23">
        <f t="shared" si="95"/>
        <v>1</v>
      </c>
    </row>
    <row r="1537" spans="1:33" x14ac:dyDescent="0.25">
      <c r="A1537" s="12" t="s">
        <v>31</v>
      </c>
      <c r="B1537" s="9">
        <v>46197</v>
      </c>
      <c r="C1537" s="10" t="s">
        <v>2422</v>
      </c>
      <c r="D1537" s="10" t="s">
        <v>2296</v>
      </c>
      <c r="E1537" s="10" t="s">
        <v>51</v>
      </c>
      <c r="F1537" s="10" t="s">
        <v>35</v>
      </c>
      <c r="G1537" s="10" t="s">
        <v>3146</v>
      </c>
      <c r="H1537" s="8" t="s">
        <v>36</v>
      </c>
      <c r="I1537" s="11">
        <v>22.71</v>
      </c>
      <c r="J1537" s="6">
        <v>20.82507</v>
      </c>
      <c r="K1537" s="6">
        <v>0.91699999999999993</v>
      </c>
      <c r="L1537" s="6">
        <v>21.65</v>
      </c>
      <c r="M1537" s="11">
        <v>19.85305</v>
      </c>
      <c r="N1537" s="11">
        <f t="shared" si="92"/>
        <v>19.854000000000003</v>
      </c>
      <c r="O1537" s="6">
        <v>0.91700000000000004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1.06</v>
      </c>
      <c r="Z1537" s="6">
        <v>0.97202</v>
      </c>
      <c r="AA1537" s="6">
        <v>0.91699999999999993</v>
      </c>
      <c r="AB1537" s="6">
        <v>-1.0600000000000023</v>
      </c>
      <c r="AC1537" s="6">
        <v>1.0600000000000023</v>
      </c>
      <c r="AD1537" s="22" t="s">
        <v>3140</v>
      </c>
      <c r="AE1537" s="23">
        <f t="shared" si="93"/>
        <v>19.854000000000003</v>
      </c>
      <c r="AF1537" s="24">
        <f t="shared" si="94"/>
        <v>0</v>
      </c>
      <c r="AG1537" s="23">
        <f t="shared" si="95"/>
        <v>2</v>
      </c>
    </row>
    <row r="1538" spans="1:33" ht="12.5" customHeight="1" x14ac:dyDescent="0.25">
      <c r="A1538" s="12" t="s">
        <v>31</v>
      </c>
      <c r="B1538" s="9">
        <v>46197</v>
      </c>
      <c r="C1538" s="8" t="s">
        <v>2423</v>
      </c>
      <c r="D1538" s="10" t="s">
        <v>2424</v>
      </c>
      <c r="E1538" s="10" t="s">
        <v>51</v>
      </c>
      <c r="F1538" s="10" t="s">
        <v>35</v>
      </c>
      <c r="G1538" s="10" t="s">
        <v>3146</v>
      </c>
      <c r="H1538" s="8" t="s">
        <v>36</v>
      </c>
      <c r="I1538" s="11">
        <v>49.08</v>
      </c>
      <c r="J1538" s="6">
        <v>45.006360000000001</v>
      </c>
      <c r="K1538" s="6">
        <v>0.91700000000000004</v>
      </c>
      <c r="L1538" s="6">
        <v>45.05</v>
      </c>
      <c r="M1538" s="11">
        <v>41.310850000000002</v>
      </c>
      <c r="N1538" s="11">
        <f t="shared" si="92"/>
        <v>41.311</v>
      </c>
      <c r="O1538" s="6">
        <v>0.91700000000000015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4.03</v>
      </c>
      <c r="Z1538" s="6">
        <v>3.6955100000000001</v>
      </c>
      <c r="AA1538" s="6">
        <v>0.91699999999999993</v>
      </c>
      <c r="AB1538" s="6">
        <v>-4.0300000000000011</v>
      </c>
      <c r="AC1538" s="6">
        <v>4.0300000000000011</v>
      </c>
      <c r="AD1538" s="22" t="s">
        <v>3140</v>
      </c>
      <c r="AE1538" s="23">
        <f t="shared" si="93"/>
        <v>41.311</v>
      </c>
      <c r="AF1538" s="24">
        <f t="shared" si="94"/>
        <v>0</v>
      </c>
      <c r="AG1538" s="23">
        <f t="shared" si="95"/>
        <v>1</v>
      </c>
    </row>
    <row r="1539" spans="1:33" ht="12.5" customHeight="1" x14ac:dyDescent="0.25">
      <c r="A1539" s="12" t="s">
        <v>31</v>
      </c>
      <c r="B1539" s="9">
        <v>46197</v>
      </c>
      <c r="C1539" s="13" t="s">
        <v>2423</v>
      </c>
      <c r="D1539" s="10" t="s">
        <v>2425</v>
      </c>
      <c r="E1539" s="10" t="s">
        <v>51</v>
      </c>
      <c r="F1539" s="10" t="s">
        <v>35</v>
      </c>
      <c r="G1539" s="10" t="s">
        <v>3146</v>
      </c>
      <c r="H1539" s="8" t="s">
        <v>36</v>
      </c>
      <c r="I1539" s="11">
        <v>21.8</v>
      </c>
      <c r="J1539" s="6">
        <v>19.990600000000001</v>
      </c>
      <c r="K1539" s="6">
        <v>0.91700000000000004</v>
      </c>
      <c r="L1539" s="6">
        <v>20.67</v>
      </c>
      <c r="M1539" s="11">
        <v>18.95439</v>
      </c>
      <c r="N1539" s="11">
        <f t="shared" ref="N1539:N1602" si="96">ROUNDUP(M1539,3)</f>
        <v>18.955000000000002</v>
      </c>
      <c r="O1539" s="6">
        <v>0.91699999999999993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1.1299999999999999</v>
      </c>
      <c r="Z1539" s="6">
        <v>1.0362100000000001</v>
      </c>
      <c r="AA1539" s="6">
        <v>0.91700000000000015</v>
      </c>
      <c r="AB1539" s="6">
        <v>-1.129999999999999</v>
      </c>
      <c r="AC1539" s="6">
        <v>1.129999999999999</v>
      </c>
      <c r="AD1539" s="22" t="s">
        <v>3140</v>
      </c>
      <c r="AE1539" s="23">
        <f t="shared" ref="AE1539:AE1602" si="97">_xlfn.MINIFS(N:N,D:D,D1539)</f>
        <v>18.955000000000002</v>
      </c>
      <c r="AF1539" s="24">
        <f t="shared" ref="AF1539:AF1602" si="98">N1539-AE1539</f>
        <v>0</v>
      </c>
      <c r="AG1539" s="23">
        <f t="shared" ref="AG1539:AG1602" si="99">COUNTIF(D:D,D1539)</f>
        <v>1</v>
      </c>
    </row>
    <row r="1540" spans="1:33" ht="12.5" hidden="1" customHeight="1" x14ac:dyDescent="0.25">
      <c r="A1540" s="12" t="s">
        <v>31</v>
      </c>
      <c r="B1540" s="9">
        <v>46197</v>
      </c>
      <c r="C1540" s="8" t="s">
        <v>2426</v>
      </c>
      <c r="D1540" s="10" t="s">
        <v>2427</v>
      </c>
      <c r="E1540" s="10" t="s">
        <v>51</v>
      </c>
      <c r="F1540" s="10" t="s">
        <v>35</v>
      </c>
      <c r="G1540" s="10" t="s">
        <v>3145</v>
      </c>
      <c r="H1540" s="8" t="s">
        <v>48</v>
      </c>
      <c r="I1540" s="11">
        <v>27.83</v>
      </c>
      <c r="J1540" s="6">
        <v>20.872499999999999</v>
      </c>
      <c r="K1540" s="6">
        <v>0.75</v>
      </c>
      <c r="L1540" s="6">
        <v>25.21</v>
      </c>
      <c r="M1540" s="11">
        <v>18.907499999999999</v>
      </c>
      <c r="N1540" s="11">
        <f t="shared" si="96"/>
        <v>18.908000000000001</v>
      </c>
      <c r="O1540" s="6">
        <v>0.74999999999999989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2.62</v>
      </c>
      <c r="Z1540" s="6">
        <v>1.9650000000000001</v>
      </c>
      <c r="AA1540" s="6">
        <v>0.75</v>
      </c>
      <c r="AB1540" s="6">
        <v>-2.6199999999999974</v>
      </c>
      <c r="AC1540" s="6">
        <v>2.6199999999999974</v>
      </c>
      <c r="AD1540" s="22" t="s">
        <v>3140</v>
      </c>
      <c r="AE1540" s="23">
        <f t="shared" si="97"/>
        <v>18.908000000000001</v>
      </c>
      <c r="AF1540" s="24">
        <f t="shared" si="98"/>
        <v>0</v>
      </c>
      <c r="AG1540" s="23">
        <f t="shared" si="99"/>
        <v>1</v>
      </c>
    </row>
    <row r="1541" spans="1:33" ht="12.5" customHeight="1" x14ac:dyDescent="0.25">
      <c r="A1541" s="12" t="s">
        <v>31</v>
      </c>
      <c r="B1541" s="9">
        <v>46197</v>
      </c>
      <c r="C1541" s="13" t="s">
        <v>2426</v>
      </c>
      <c r="D1541" s="10" t="s">
        <v>2428</v>
      </c>
      <c r="E1541" s="10" t="s">
        <v>51</v>
      </c>
      <c r="F1541" s="10" t="s">
        <v>35</v>
      </c>
      <c r="G1541" s="10" t="s">
        <v>3146</v>
      </c>
      <c r="H1541" s="8" t="s">
        <v>36</v>
      </c>
      <c r="I1541" s="11">
        <v>26.07</v>
      </c>
      <c r="J1541" s="6">
        <v>23.906189999999999</v>
      </c>
      <c r="K1541" s="6">
        <v>0.91699999999999993</v>
      </c>
      <c r="L1541" s="6">
        <v>25.13</v>
      </c>
      <c r="M1541" s="11">
        <v>23.04421</v>
      </c>
      <c r="N1541" s="11">
        <f t="shared" si="96"/>
        <v>23.045000000000002</v>
      </c>
      <c r="O1541" s="6">
        <v>0.91700000000000004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0.94</v>
      </c>
      <c r="Z1541" s="6">
        <v>0.86197999999999997</v>
      </c>
      <c r="AA1541" s="6">
        <v>0.91700000000000004</v>
      </c>
      <c r="AB1541" s="6">
        <v>-0.94000000000000128</v>
      </c>
      <c r="AC1541" s="6">
        <v>0.94000000000000128</v>
      </c>
      <c r="AD1541" s="22" t="s">
        <v>3140</v>
      </c>
      <c r="AE1541" s="23">
        <f t="shared" si="97"/>
        <v>23.045000000000002</v>
      </c>
      <c r="AF1541" s="24">
        <f t="shared" si="98"/>
        <v>0</v>
      </c>
      <c r="AG1541" s="23">
        <f t="shared" si="99"/>
        <v>1</v>
      </c>
    </row>
    <row r="1542" spans="1:33" x14ac:dyDescent="0.25">
      <c r="A1542" s="12" t="s">
        <v>31</v>
      </c>
      <c r="B1542" s="9">
        <v>46197</v>
      </c>
      <c r="C1542" s="10" t="s">
        <v>2429</v>
      </c>
      <c r="D1542" s="10" t="s">
        <v>2294</v>
      </c>
      <c r="E1542" s="10" t="s">
        <v>51</v>
      </c>
      <c r="F1542" s="10" t="s">
        <v>35</v>
      </c>
      <c r="G1542" s="10" t="s">
        <v>3146</v>
      </c>
      <c r="H1542" s="8" t="s">
        <v>36</v>
      </c>
      <c r="I1542" s="11">
        <v>22.21</v>
      </c>
      <c r="J1542" s="6">
        <v>20.366569999999999</v>
      </c>
      <c r="K1542" s="6">
        <v>0.91699999999999993</v>
      </c>
      <c r="L1542" s="6">
        <v>21.1</v>
      </c>
      <c r="M1542" s="11">
        <v>19.348700000000001</v>
      </c>
      <c r="N1542" s="11">
        <f t="shared" si="96"/>
        <v>19.349</v>
      </c>
      <c r="O1542" s="6">
        <v>0.91699999999999993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1.1100000000000001</v>
      </c>
      <c r="Z1542" s="6">
        <v>1.0178700000000001</v>
      </c>
      <c r="AA1542" s="6">
        <v>0.91699999999999993</v>
      </c>
      <c r="AB1542" s="6">
        <v>-1.1099999999999994</v>
      </c>
      <c r="AC1542" s="6">
        <v>1.1099999999999994</v>
      </c>
      <c r="AD1542" s="22" t="s">
        <v>3140</v>
      </c>
      <c r="AE1542" s="23">
        <f t="shared" si="97"/>
        <v>19.349</v>
      </c>
      <c r="AF1542" s="24">
        <f t="shared" si="98"/>
        <v>0</v>
      </c>
      <c r="AG1542" s="23">
        <f t="shared" si="99"/>
        <v>2</v>
      </c>
    </row>
    <row r="1543" spans="1:33" hidden="1" x14ac:dyDescent="0.25">
      <c r="A1543" s="12" t="s">
        <v>31</v>
      </c>
      <c r="B1543" s="9">
        <v>46197</v>
      </c>
      <c r="C1543" s="10" t="s">
        <v>2430</v>
      </c>
      <c r="D1543" s="10" t="s">
        <v>2431</v>
      </c>
      <c r="E1543" s="10" t="s">
        <v>51</v>
      </c>
      <c r="F1543" s="10" t="s">
        <v>35</v>
      </c>
      <c r="G1543" s="10" t="s">
        <v>3145</v>
      </c>
      <c r="H1543" s="8" t="s">
        <v>41</v>
      </c>
      <c r="I1543" s="11">
        <v>36.11</v>
      </c>
      <c r="J1543" s="6">
        <v>27.0825</v>
      </c>
      <c r="K1543" s="6">
        <v>0.75</v>
      </c>
      <c r="L1543" s="6">
        <v>31.54</v>
      </c>
      <c r="M1543" s="11">
        <v>23.655000000000001</v>
      </c>
      <c r="N1543" s="11">
        <f t="shared" si="96"/>
        <v>23.655000000000001</v>
      </c>
      <c r="O1543" s="6">
        <v>0.75000000000000011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4.57</v>
      </c>
      <c r="Z1543" s="6">
        <v>3.4275000000000002</v>
      </c>
      <c r="AA1543" s="6">
        <v>0.75</v>
      </c>
      <c r="AB1543" s="6">
        <v>-4.57</v>
      </c>
      <c r="AC1543" s="6">
        <v>4.57</v>
      </c>
      <c r="AD1543" s="22" t="s">
        <v>3140</v>
      </c>
      <c r="AE1543" s="23">
        <f t="shared" si="97"/>
        <v>23.655000000000001</v>
      </c>
      <c r="AF1543" s="24">
        <f t="shared" si="98"/>
        <v>0</v>
      </c>
      <c r="AG1543" s="23">
        <f t="shared" si="99"/>
        <v>2</v>
      </c>
    </row>
    <row r="1544" spans="1:33" x14ac:dyDescent="0.25">
      <c r="A1544" s="12" t="s">
        <v>31</v>
      </c>
      <c r="B1544" s="9">
        <v>46197</v>
      </c>
      <c r="C1544" s="10" t="s">
        <v>2432</v>
      </c>
      <c r="D1544" s="10" t="s">
        <v>2433</v>
      </c>
      <c r="E1544" s="10" t="s">
        <v>51</v>
      </c>
      <c r="F1544" s="10" t="s">
        <v>35</v>
      </c>
      <c r="G1544" s="10" t="s">
        <v>3146</v>
      </c>
      <c r="H1544" s="8" t="s">
        <v>36</v>
      </c>
      <c r="I1544" s="11">
        <v>21.57</v>
      </c>
      <c r="J1544" s="6">
        <v>19.779689999999999</v>
      </c>
      <c r="K1544" s="6">
        <v>0.91699999999999993</v>
      </c>
      <c r="L1544" s="6">
        <v>19.809999999999999</v>
      </c>
      <c r="M1544" s="11">
        <v>18.165769999999998</v>
      </c>
      <c r="N1544" s="11">
        <f t="shared" si="96"/>
        <v>18.166</v>
      </c>
      <c r="O1544" s="6">
        <v>0.91699999999999993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1.76</v>
      </c>
      <c r="Z1544" s="6">
        <v>1.61392</v>
      </c>
      <c r="AA1544" s="6">
        <v>0.91700000000000004</v>
      </c>
      <c r="AB1544" s="6">
        <v>-1.7600000000000016</v>
      </c>
      <c r="AC1544" s="6">
        <v>1.7600000000000016</v>
      </c>
      <c r="AD1544" s="23" t="s">
        <v>3143</v>
      </c>
      <c r="AE1544" s="23">
        <f t="shared" si="97"/>
        <v>18.084</v>
      </c>
      <c r="AF1544" s="24">
        <f t="shared" si="98"/>
        <v>8.2000000000000739E-2</v>
      </c>
      <c r="AG1544" s="23">
        <f t="shared" si="99"/>
        <v>2</v>
      </c>
    </row>
    <row r="1545" spans="1:33" ht="12.5" hidden="1" customHeight="1" x14ac:dyDescent="0.25">
      <c r="A1545" s="12" t="s">
        <v>31</v>
      </c>
      <c r="B1545" s="9">
        <v>46197</v>
      </c>
      <c r="C1545" s="8" t="s">
        <v>2434</v>
      </c>
      <c r="D1545" s="10" t="s">
        <v>2435</v>
      </c>
      <c r="E1545" s="10" t="s">
        <v>51</v>
      </c>
      <c r="F1545" s="10" t="s">
        <v>35</v>
      </c>
      <c r="G1545" s="10" t="s">
        <v>3145</v>
      </c>
      <c r="H1545" s="8" t="s">
        <v>48</v>
      </c>
      <c r="I1545" s="11">
        <v>17.14</v>
      </c>
      <c r="J1545" s="6">
        <v>12.855</v>
      </c>
      <c r="K1545" s="6">
        <v>0.75</v>
      </c>
      <c r="L1545" s="6">
        <v>15.2</v>
      </c>
      <c r="M1545" s="11">
        <v>11.4</v>
      </c>
      <c r="N1545" s="11">
        <f t="shared" si="96"/>
        <v>11.4</v>
      </c>
      <c r="O1545" s="6">
        <v>0.75000000000000011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1.94</v>
      </c>
      <c r="Z1545" s="6">
        <v>1.4550000000000001</v>
      </c>
      <c r="AA1545" s="6">
        <v>0.75000000000000011</v>
      </c>
      <c r="AB1545" s="6">
        <v>-1.9400000000000013</v>
      </c>
      <c r="AC1545" s="6">
        <v>1.9400000000000013</v>
      </c>
      <c r="AD1545" s="22" t="s">
        <v>3140</v>
      </c>
      <c r="AE1545" s="23">
        <f t="shared" si="97"/>
        <v>11.4</v>
      </c>
      <c r="AF1545" s="24">
        <f t="shared" si="98"/>
        <v>0</v>
      </c>
      <c r="AG1545" s="23">
        <f t="shared" si="99"/>
        <v>1</v>
      </c>
    </row>
    <row r="1546" spans="1:33" ht="12.5" customHeight="1" x14ac:dyDescent="0.25">
      <c r="A1546" s="12" t="s">
        <v>31</v>
      </c>
      <c r="B1546" s="9">
        <v>46197</v>
      </c>
      <c r="C1546" s="13" t="s">
        <v>2434</v>
      </c>
      <c r="D1546" s="10" t="s">
        <v>2436</v>
      </c>
      <c r="E1546" s="10" t="s">
        <v>51</v>
      </c>
      <c r="F1546" s="10" t="s">
        <v>35</v>
      </c>
      <c r="G1546" s="10" t="s">
        <v>3146</v>
      </c>
      <c r="H1546" s="8" t="s">
        <v>36</v>
      </c>
      <c r="I1546" s="11">
        <v>71.97</v>
      </c>
      <c r="J1546" s="6">
        <v>65.996489999999994</v>
      </c>
      <c r="K1546" s="6">
        <v>0.91699999999999993</v>
      </c>
      <c r="L1546" s="6">
        <v>68.650000000000006</v>
      </c>
      <c r="M1546" s="11">
        <v>62.95205</v>
      </c>
      <c r="N1546" s="11">
        <f t="shared" si="96"/>
        <v>62.952999999999996</v>
      </c>
      <c r="O1546" s="6">
        <v>0.91699999999999993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3.32</v>
      </c>
      <c r="Z1546" s="6">
        <v>3.0444399999999998</v>
      </c>
      <c r="AA1546" s="6">
        <v>0.91700000000000004</v>
      </c>
      <c r="AB1546" s="6">
        <v>-3.3199999999999932</v>
      </c>
      <c r="AC1546" s="6">
        <v>3.3199999999999932</v>
      </c>
      <c r="AD1546" s="22" t="s">
        <v>3140</v>
      </c>
      <c r="AE1546" s="23">
        <f t="shared" si="97"/>
        <v>62.952999999999996</v>
      </c>
      <c r="AF1546" s="24">
        <f t="shared" si="98"/>
        <v>0</v>
      </c>
      <c r="AG1546" s="23">
        <f t="shared" si="99"/>
        <v>1</v>
      </c>
    </row>
    <row r="1547" spans="1:33" ht="20" hidden="1" customHeight="1" x14ac:dyDescent="0.25">
      <c r="A1547" s="12" t="s">
        <v>31</v>
      </c>
      <c r="B1547" s="9">
        <v>46197</v>
      </c>
      <c r="C1547" s="10" t="s">
        <v>2437</v>
      </c>
      <c r="D1547" s="10" t="s">
        <v>2438</v>
      </c>
      <c r="E1547" s="10" t="s">
        <v>51</v>
      </c>
      <c r="F1547" s="10" t="s">
        <v>35</v>
      </c>
      <c r="G1547" s="10" t="s">
        <v>3145</v>
      </c>
      <c r="H1547" s="8" t="s">
        <v>48</v>
      </c>
      <c r="I1547" s="11">
        <v>57.24</v>
      </c>
      <c r="J1547" s="6">
        <v>42.93</v>
      </c>
      <c r="K1547" s="6">
        <v>0.75</v>
      </c>
      <c r="L1547" s="6">
        <v>52.94</v>
      </c>
      <c r="M1547" s="11">
        <v>39.704999999999998</v>
      </c>
      <c r="N1547" s="11">
        <f t="shared" si="96"/>
        <v>39.704999999999998</v>
      </c>
      <c r="O1547" s="6">
        <v>0.75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4.3</v>
      </c>
      <c r="Z1547" s="6">
        <v>3.2250000000000001</v>
      </c>
      <c r="AA1547" s="6">
        <v>0.75</v>
      </c>
      <c r="AB1547" s="6">
        <v>-4.3000000000000043</v>
      </c>
      <c r="AC1547" s="6">
        <v>4.3000000000000043</v>
      </c>
      <c r="AD1547" s="22" t="s">
        <v>3140</v>
      </c>
      <c r="AE1547" s="23">
        <f t="shared" si="97"/>
        <v>39.704999999999998</v>
      </c>
      <c r="AF1547" s="24">
        <f t="shared" si="98"/>
        <v>0</v>
      </c>
      <c r="AG1547" s="23">
        <f t="shared" si="99"/>
        <v>1</v>
      </c>
    </row>
    <row r="1548" spans="1:33" x14ac:dyDescent="0.25">
      <c r="A1548" s="12" t="s">
        <v>31</v>
      </c>
      <c r="B1548" s="9">
        <v>46197</v>
      </c>
      <c r="C1548" s="10" t="s">
        <v>2439</v>
      </c>
      <c r="D1548" s="10" t="s">
        <v>1905</v>
      </c>
      <c r="E1548" s="10" t="s">
        <v>51</v>
      </c>
      <c r="F1548" s="10" t="s">
        <v>35</v>
      </c>
      <c r="G1548" s="10" t="s">
        <v>3146</v>
      </c>
      <c r="H1548" s="8" t="s">
        <v>36</v>
      </c>
      <c r="I1548" s="11">
        <v>29.2</v>
      </c>
      <c r="J1548" s="6">
        <v>26.776399999999999</v>
      </c>
      <c r="K1548" s="6">
        <v>0.91700000000000004</v>
      </c>
      <c r="L1548" s="6">
        <v>28.18</v>
      </c>
      <c r="M1548" s="11">
        <v>25.841059999999999</v>
      </c>
      <c r="N1548" s="11">
        <f t="shared" si="96"/>
        <v>25.842000000000002</v>
      </c>
      <c r="O1548" s="6">
        <v>0.91699999999999993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1.02</v>
      </c>
      <c r="Z1548" s="6">
        <v>0.93533999999999995</v>
      </c>
      <c r="AA1548" s="6">
        <v>0.91699999999999993</v>
      </c>
      <c r="AB1548" s="6">
        <v>-1.0199999999999996</v>
      </c>
      <c r="AC1548" s="6">
        <v>1.0199999999999996</v>
      </c>
      <c r="AD1548" s="23" t="s">
        <v>3143</v>
      </c>
      <c r="AE1548" s="23">
        <f t="shared" si="97"/>
        <v>25.383000000000003</v>
      </c>
      <c r="AF1548" s="24">
        <f t="shared" si="98"/>
        <v>0.45899999999999963</v>
      </c>
      <c r="AG1548" s="23">
        <f t="shared" si="99"/>
        <v>3</v>
      </c>
    </row>
    <row r="1549" spans="1:33" hidden="1" x14ac:dyDescent="0.25">
      <c r="A1549" s="12" t="s">
        <v>31</v>
      </c>
      <c r="B1549" s="9">
        <v>46197</v>
      </c>
      <c r="C1549" s="10" t="s">
        <v>2440</v>
      </c>
      <c r="D1549" s="10" t="s">
        <v>2441</v>
      </c>
      <c r="E1549" s="10" t="s">
        <v>51</v>
      </c>
      <c r="F1549" s="10" t="s">
        <v>35</v>
      </c>
      <c r="G1549" s="10" t="s">
        <v>3145</v>
      </c>
      <c r="H1549" s="8" t="s">
        <v>41</v>
      </c>
      <c r="I1549" s="11">
        <v>34.54</v>
      </c>
      <c r="J1549" s="6">
        <v>25.905000000000001</v>
      </c>
      <c r="K1549" s="6">
        <v>0.75</v>
      </c>
      <c r="L1549" s="6">
        <v>34.43</v>
      </c>
      <c r="M1549" s="11">
        <v>25.822500000000002</v>
      </c>
      <c r="N1549" s="11">
        <f t="shared" si="96"/>
        <v>25.823</v>
      </c>
      <c r="O1549" s="6">
        <v>0.75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0.11</v>
      </c>
      <c r="Z1549" s="6">
        <v>8.2500000000000004E-2</v>
      </c>
      <c r="AA1549" s="6">
        <v>0.75</v>
      </c>
      <c r="AB1549" s="6">
        <v>-0.10999999999999943</v>
      </c>
      <c r="AC1549" s="6">
        <v>0.10999999999999943</v>
      </c>
      <c r="AD1549" s="23" t="s">
        <v>3143</v>
      </c>
      <c r="AE1549" s="23">
        <f t="shared" si="97"/>
        <v>23.655000000000001</v>
      </c>
      <c r="AF1549" s="24">
        <f t="shared" si="98"/>
        <v>2.1679999999999993</v>
      </c>
      <c r="AG1549" s="23">
        <f t="shared" si="99"/>
        <v>3</v>
      </c>
    </row>
    <row r="1550" spans="1:33" ht="12.5" hidden="1" customHeight="1" x14ac:dyDescent="0.25">
      <c r="A1550" s="12" t="s">
        <v>31</v>
      </c>
      <c r="B1550" s="9">
        <v>46197</v>
      </c>
      <c r="C1550" s="8" t="s">
        <v>2442</v>
      </c>
      <c r="D1550" s="10" t="s">
        <v>2443</v>
      </c>
      <c r="E1550" s="10" t="s">
        <v>51</v>
      </c>
      <c r="F1550" s="10" t="s">
        <v>35</v>
      </c>
      <c r="G1550" s="10" t="s">
        <v>3145</v>
      </c>
      <c r="H1550" s="8" t="s">
        <v>48</v>
      </c>
      <c r="I1550" s="11">
        <v>24.12</v>
      </c>
      <c r="J1550" s="6">
        <v>18.09</v>
      </c>
      <c r="K1550" s="6">
        <v>0.75</v>
      </c>
      <c r="L1550" s="6">
        <v>22.79</v>
      </c>
      <c r="M1550" s="11">
        <v>17.092500000000001</v>
      </c>
      <c r="N1550" s="11">
        <f t="shared" si="96"/>
        <v>17.093</v>
      </c>
      <c r="O1550" s="6">
        <v>0.75000000000000011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1.33</v>
      </c>
      <c r="Z1550" s="6">
        <v>0.99750000000000005</v>
      </c>
      <c r="AA1550" s="6">
        <v>0.75</v>
      </c>
      <c r="AB1550" s="6">
        <v>-1.3300000000000018</v>
      </c>
      <c r="AC1550" s="6">
        <v>1.3300000000000018</v>
      </c>
      <c r="AD1550" s="22" t="s">
        <v>3140</v>
      </c>
      <c r="AE1550" s="23">
        <f t="shared" si="97"/>
        <v>17.093</v>
      </c>
      <c r="AF1550" s="24">
        <f t="shared" si="98"/>
        <v>0</v>
      </c>
      <c r="AG1550" s="23">
        <f t="shared" si="99"/>
        <v>1</v>
      </c>
    </row>
    <row r="1551" spans="1:33" ht="12.5" hidden="1" customHeight="1" x14ac:dyDescent="0.25">
      <c r="A1551" s="12" t="s">
        <v>31</v>
      </c>
      <c r="B1551" s="9">
        <v>46197</v>
      </c>
      <c r="C1551" s="12" t="s">
        <v>2442</v>
      </c>
      <c r="D1551" s="10" t="s">
        <v>2444</v>
      </c>
      <c r="E1551" s="10" t="s">
        <v>51</v>
      </c>
      <c r="F1551" s="10" t="s">
        <v>35</v>
      </c>
      <c r="G1551" s="10" t="s">
        <v>3145</v>
      </c>
      <c r="H1551" s="8" t="s">
        <v>48</v>
      </c>
      <c r="I1551" s="11">
        <v>63.39</v>
      </c>
      <c r="J1551" s="6">
        <v>47.542499999999997</v>
      </c>
      <c r="K1551" s="6">
        <v>0.74999999999999989</v>
      </c>
      <c r="L1551" s="6">
        <v>59.08</v>
      </c>
      <c r="M1551" s="11">
        <v>44.31</v>
      </c>
      <c r="N1551" s="11">
        <f t="shared" si="96"/>
        <v>44.31</v>
      </c>
      <c r="O1551" s="6">
        <v>0.75000000000000011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4.3099999999999996</v>
      </c>
      <c r="Z1551" s="6">
        <v>3.2324999999999999</v>
      </c>
      <c r="AA1551" s="6">
        <v>0.75</v>
      </c>
      <c r="AB1551" s="6">
        <v>-4.3100000000000023</v>
      </c>
      <c r="AC1551" s="6">
        <v>4.3100000000000023</v>
      </c>
      <c r="AD1551" s="22" t="s">
        <v>3140</v>
      </c>
      <c r="AE1551" s="23">
        <f t="shared" si="97"/>
        <v>44.31</v>
      </c>
      <c r="AF1551" s="24">
        <f t="shared" si="98"/>
        <v>0</v>
      </c>
      <c r="AG1551" s="23">
        <f t="shared" si="99"/>
        <v>1</v>
      </c>
    </row>
    <row r="1552" spans="1:33" ht="12.5" customHeight="1" x14ac:dyDescent="0.25">
      <c r="A1552" s="12" t="s">
        <v>31</v>
      </c>
      <c r="B1552" s="9">
        <v>46197</v>
      </c>
      <c r="C1552" s="13" t="s">
        <v>2442</v>
      </c>
      <c r="D1552" s="10" t="s">
        <v>2445</v>
      </c>
      <c r="E1552" s="10" t="s">
        <v>51</v>
      </c>
      <c r="F1552" s="10" t="s">
        <v>35</v>
      </c>
      <c r="G1552" s="10" t="s">
        <v>3146</v>
      </c>
      <c r="H1552" s="8" t="s">
        <v>36</v>
      </c>
      <c r="I1552" s="11">
        <v>68.91</v>
      </c>
      <c r="J1552" s="6">
        <v>63.190469999999998</v>
      </c>
      <c r="K1552" s="6">
        <v>0.91700000000000004</v>
      </c>
      <c r="L1552" s="6">
        <v>64.680000000000007</v>
      </c>
      <c r="M1552" s="11">
        <v>59.31156</v>
      </c>
      <c r="N1552" s="11">
        <f t="shared" si="96"/>
        <v>59.311999999999998</v>
      </c>
      <c r="O1552" s="6">
        <v>0.91699999999999993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4.2300000000000004</v>
      </c>
      <c r="Z1552" s="6">
        <v>3.8789099999999999</v>
      </c>
      <c r="AA1552" s="6">
        <v>0.91699999999999993</v>
      </c>
      <c r="AB1552" s="6">
        <v>-4.2299999999999898</v>
      </c>
      <c r="AC1552" s="6">
        <v>4.2299999999999898</v>
      </c>
      <c r="AD1552" s="22" t="s">
        <v>3140</v>
      </c>
      <c r="AE1552" s="23">
        <f t="shared" si="97"/>
        <v>59.311999999999998</v>
      </c>
      <c r="AF1552" s="24">
        <f t="shared" si="98"/>
        <v>0</v>
      </c>
      <c r="AG1552" s="23">
        <f t="shared" si="99"/>
        <v>1</v>
      </c>
    </row>
    <row r="1553" spans="1:33" x14ac:dyDescent="0.25">
      <c r="A1553" s="12" t="s">
        <v>31</v>
      </c>
      <c r="B1553" s="9">
        <v>46197</v>
      </c>
      <c r="C1553" s="10" t="s">
        <v>2446</v>
      </c>
      <c r="D1553" s="10" t="s">
        <v>2292</v>
      </c>
      <c r="E1553" s="10" t="s">
        <v>51</v>
      </c>
      <c r="F1553" s="10" t="s">
        <v>35</v>
      </c>
      <c r="G1553" s="10" t="s">
        <v>3146</v>
      </c>
      <c r="H1553" s="8" t="s">
        <v>36</v>
      </c>
      <c r="I1553" s="11">
        <v>30.02</v>
      </c>
      <c r="J1553" s="6">
        <v>27.52834</v>
      </c>
      <c r="K1553" s="6">
        <v>0.91700000000000004</v>
      </c>
      <c r="L1553" s="6">
        <v>27.95</v>
      </c>
      <c r="M1553" s="11">
        <v>25.63015</v>
      </c>
      <c r="N1553" s="11">
        <f t="shared" si="96"/>
        <v>25.631</v>
      </c>
      <c r="O1553" s="6">
        <v>0.91700000000000004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2.0699999999999998</v>
      </c>
      <c r="Z1553" s="6">
        <v>1.89819</v>
      </c>
      <c r="AA1553" s="6">
        <v>0.91700000000000004</v>
      </c>
      <c r="AB1553" s="6">
        <v>-2.0700000000000003</v>
      </c>
      <c r="AC1553" s="6">
        <v>2.0700000000000003</v>
      </c>
      <c r="AD1553" s="22" t="s">
        <v>3140</v>
      </c>
      <c r="AE1553" s="23">
        <f t="shared" si="97"/>
        <v>25.631</v>
      </c>
      <c r="AF1553" s="24">
        <f t="shared" si="98"/>
        <v>0</v>
      </c>
      <c r="AG1553" s="23">
        <f t="shared" si="99"/>
        <v>2</v>
      </c>
    </row>
    <row r="1554" spans="1:33" x14ac:dyDescent="0.25">
      <c r="A1554" s="12" t="s">
        <v>31</v>
      </c>
      <c r="B1554" s="9">
        <v>46197</v>
      </c>
      <c r="C1554" s="10" t="s">
        <v>2447</v>
      </c>
      <c r="D1554" s="10" t="s">
        <v>2448</v>
      </c>
      <c r="E1554" s="10" t="s">
        <v>51</v>
      </c>
      <c r="F1554" s="10" t="s">
        <v>35</v>
      </c>
      <c r="G1554" s="10" t="s">
        <v>3146</v>
      </c>
      <c r="H1554" s="8" t="s">
        <v>36</v>
      </c>
      <c r="I1554" s="11">
        <v>3.31</v>
      </c>
      <c r="J1554" s="6">
        <v>3.0352700000000001</v>
      </c>
      <c r="K1554" s="6">
        <v>0.91700000000000004</v>
      </c>
      <c r="L1554" s="6">
        <v>3.25</v>
      </c>
      <c r="M1554" s="11">
        <v>2.9802499999999998</v>
      </c>
      <c r="N1554" s="11">
        <f t="shared" si="96"/>
        <v>2.9809999999999999</v>
      </c>
      <c r="O1554" s="6">
        <v>0.91699999999999993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0.06</v>
      </c>
      <c r="Z1554" s="6">
        <v>5.5019999999999999E-2</v>
      </c>
      <c r="AA1554" s="6">
        <v>0.91700000000000004</v>
      </c>
      <c r="AB1554" s="6">
        <v>-6.0000000000000053E-2</v>
      </c>
      <c r="AC1554" s="6">
        <v>6.0000000000000053E-2</v>
      </c>
      <c r="AD1554" s="22" t="s">
        <v>3140</v>
      </c>
      <c r="AE1554" s="23">
        <f t="shared" si="97"/>
        <v>2.9809999999999999</v>
      </c>
      <c r="AF1554" s="24">
        <f t="shared" si="98"/>
        <v>0</v>
      </c>
      <c r="AG1554" s="23">
        <f t="shared" si="99"/>
        <v>1</v>
      </c>
    </row>
    <row r="1555" spans="1:33" ht="12.5" customHeight="1" x14ac:dyDescent="0.25">
      <c r="A1555" s="12" t="s">
        <v>31</v>
      </c>
      <c r="B1555" s="9">
        <v>46197</v>
      </c>
      <c r="C1555" s="8" t="s">
        <v>2449</v>
      </c>
      <c r="D1555" s="10" t="s">
        <v>2450</v>
      </c>
      <c r="E1555" s="10" t="s">
        <v>51</v>
      </c>
      <c r="F1555" s="10" t="s">
        <v>35</v>
      </c>
      <c r="G1555" s="10" t="s">
        <v>3146</v>
      </c>
      <c r="H1555" s="8" t="s">
        <v>36</v>
      </c>
      <c r="I1555" s="11">
        <v>117.93</v>
      </c>
      <c r="J1555" s="6">
        <v>108.14181000000001</v>
      </c>
      <c r="K1555" s="6">
        <v>0.91700000000000004</v>
      </c>
      <c r="L1555" s="6">
        <v>110.21</v>
      </c>
      <c r="M1555" s="11">
        <v>101.06256999999999</v>
      </c>
      <c r="N1555" s="11">
        <f t="shared" si="96"/>
        <v>101.063</v>
      </c>
      <c r="O1555" s="6">
        <v>0.91700000000000004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7.72</v>
      </c>
      <c r="Z1555" s="6">
        <v>7.0792400000000004</v>
      </c>
      <c r="AA1555" s="6">
        <v>0.91700000000000004</v>
      </c>
      <c r="AB1555" s="6">
        <v>-7.7200000000000131</v>
      </c>
      <c r="AC1555" s="6">
        <v>7.7200000000000131</v>
      </c>
      <c r="AD1555" s="22" t="s">
        <v>3140</v>
      </c>
      <c r="AE1555" s="23">
        <f t="shared" si="97"/>
        <v>101.063</v>
      </c>
      <c r="AF1555" s="24">
        <f t="shared" si="98"/>
        <v>0</v>
      </c>
      <c r="AG1555" s="23">
        <f t="shared" si="99"/>
        <v>1</v>
      </c>
    </row>
    <row r="1556" spans="1:33" ht="12.5" hidden="1" customHeight="1" x14ac:dyDescent="0.25">
      <c r="A1556" s="12" t="s">
        <v>31</v>
      </c>
      <c r="B1556" s="9">
        <v>46197</v>
      </c>
      <c r="C1556" s="13" t="s">
        <v>2449</v>
      </c>
      <c r="D1556" s="10" t="s">
        <v>2451</v>
      </c>
      <c r="E1556" s="10" t="s">
        <v>51</v>
      </c>
      <c r="F1556" s="10" t="s">
        <v>35</v>
      </c>
      <c r="G1556" s="10" t="s">
        <v>3145</v>
      </c>
      <c r="H1556" s="8" t="s">
        <v>48</v>
      </c>
      <c r="I1556" s="11">
        <v>26.51</v>
      </c>
      <c r="J1556" s="6">
        <v>19.8825</v>
      </c>
      <c r="K1556" s="6">
        <v>0.75</v>
      </c>
      <c r="L1556" s="6">
        <v>24.32</v>
      </c>
      <c r="M1556" s="11">
        <v>18.239999999999998</v>
      </c>
      <c r="N1556" s="11">
        <f t="shared" si="96"/>
        <v>18.239999999999998</v>
      </c>
      <c r="O1556" s="6">
        <v>0.74999999999999989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2.19</v>
      </c>
      <c r="Z1556" s="6">
        <v>1.6425000000000001</v>
      </c>
      <c r="AA1556" s="6">
        <v>0.75</v>
      </c>
      <c r="AB1556" s="6">
        <v>-2.1900000000000013</v>
      </c>
      <c r="AC1556" s="6">
        <v>2.1900000000000013</v>
      </c>
      <c r="AD1556" s="22" t="s">
        <v>3140</v>
      </c>
      <c r="AE1556" s="23">
        <f t="shared" si="97"/>
        <v>18.239999999999998</v>
      </c>
      <c r="AF1556" s="24">
        <f t="shared" si="98"/>
        <v>0</v>
      </c>
      <c r="AG1556" s="23">
        <f t="shared" si="99"/>
        <v>1</v>
      </c>
    </row>
    <row r="1557" spans="1:33" ht="12.5" hidden="1" customHeight="1" x14ac:dyDescent="0.25">
      <c r="A1557" s="12" t="s">
        <v>31</v>
      </c>
      <c r="B1557" s="9">
        <v>46197</v>
      </c>
      <c r="C1557" s="8" t="s">
        <v>2452</v>
      </c>
      <c r="D1557" s="10" t="s">
        <v>2453</v>
      </c>
      <c r="E1557" s="10" t="s">
        <v>51</v>
      </c>
      <c r="F1557" s="10" t="s">
        <v>35</v>
      </c>
      <c r="G1557" s="10" t="s">
        <v>3145</v>
      </c>
      <c r="H1557" s="8" t="s">
        <v>48</v>
      </c>
      <c r="I1557" s="11">
        <v>23.28</v>
      </c>
      <c r="J1557" s="6">
        <v>17.46</v>
      </c>
      <c r="K1557" s="6">
        <v>0.75</v>
      </c>
      <c r="L1557" s="6">
        <v>23.28</v>
      </c>
      <c r="M1557" s="11">
        <v>17.46</v>
      </c>
      <c r="N1557" s="11">
        <f t="shared" si="96"/>
        <v>17.46</v>
      </c>
      <c r="O1557" s="6">
        <v>0.75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23" t="s">
        <v>3143</v>
      </c>
      <c r="AE1557" s="23">
        <f t="shared" si="97"/>
        <v>10.635</v>
      </c>
      <c r="AF1557" s="24">
        <f t="shared" si="98"/>
        <v>6.8250000000000011</v>
      </c>
      <c r="AG1557" s="23">
        <f t="shared" si="99"/>
        <v>2</v>
      </c>
    </row>
    <row r="1558" spans="1:33" ht="12.5" hidden="1" customHeight="1" x14ac:dyDescent="0.25">
      <c r="A1558" s="12" t="s">
        <v>31</v>
      </c>
      <c r="B1558" s="9">
        <v>46197</v>
      </c>
      <c r="C1558" s="13" t="s">
        <v>2452</v>
      </c>
      <c r="D1558" s="10" t="s">
        <v>2454</v>
      </c>
      <c r="E1558" s="10" t="s">
        <v>51</v>
      </c>
      <c r="F1558" s="10" t="s">
        <v>35</v>
      </c>
      <c r="G1558" s="10" t="s">
        <v>3145</v>
      </c>
      <c r="H1558" s="8" t="s">
        <v>48</v>
      </c>
      <c r="I1558" s="11">
        <v>16.09</v>
      </c>
      <c r="J1558" s="6">
        <v>12.067500000000001</v>
      </c>
      <c r="K1558" s="6">
        <v>0.75</v>
      </c>
      <c r="L1558" s="6">
        <v>14.18</v>
      </c>
      <c r="M1558" s="11">
        <v>10.635</v>
      </c>
      <c r="N1558" s="11">
        <f t="shared" si="96"/>
        <v>10.635</v>
      </c>
      <c r="O1558" s="6">
        <v>0.75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1.91</v>
      </c>
      <c r="Z1558" s="6">
        <v>1.4325000000000001</v>
      </c>
      <c r="AA1558" s="6">
        <v>0.75000000000000011</v>
      </c>
      <c r="AB1558" s="6">
        <v>-1.91</v>
      </c>
      <c r="AC1558" s="6">
        <v>1.91</v>
      </c>
      <c r="AD1558" s="22" t="s">
        <v>3140</v>
      </c>
      <c r="AE1558" s="23">
        <f t="shared" si="97"/>
        <v>10.635</v>
      </c>
      <c r="AF1558" s="24">
        <f t="shared" si="98"/>
        <v>0</v>
      </c>
      <c r="AG1558" s="23">
        <f t="shared" si="99"/>
        <v>2</v>
      </c>
    </row>
    <row r="1559" spans="1:33" ht="12.5" customHeight="1" x14ac:dyDescent="0.25">
      <c r="A1559" s="12" t="s">
        <v>31</v>
      </c>
      <c r="B1559" s="9">
        <v>46197</v>
      </c>
      <c r="C1559" s="8" t="s">
        <v>2455</v>
      </c>
      <c r="D1559" s="10" t="s">
        <v>2456</v>
      </c>
      <c r="E1559" s="10" t="s">
        <v>51</v>
      </c>
      <c r="F1559" s="10" t="s">
        <v>35</v>
      </c>
      <c r="G1559" s="10" t="s">
        <v>3146</v>
      </c>
      <c r="H1559" s="8" t="s">
        <v>36</v>
      </c>
      <c r="I1559" s="11">
        <v>28.97</v>
      </c>
      <c r="J1559" s="6">
        <v>26.56549</v>
      </c>
      <c r="K1559" s="6">
        <v>0.91700000000000004</v>
      </c>
      <c r="L1559" s="6">
        <v>26.56</v>
      </c>
      <c r="M1559" s="11">
        <v>24.355519999999999</v>
      </c>
      <c r="N1559" s="11">
        <f t="shared" si="96"/>
        <v>24.356000000000002</v>
      </c>
      <c r="O1559" s="6">
        <v>0.91700000000000004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2.41</v>
      </c>
      <c r="Z1559" s="6">
        <v>2.2099700000000002</v>
      </c>
      <c r="AA1559" s="6">
        <v>0.91700000000000004</v>
      </c>
      <c r="AB1559" s="6">
        <v>-2.41</v>
      </c>
      <c r="AC1559" s="6">
        <v>2.41</v>
      </c>
      <c r="AD1559" s="22" t="s">
        <v>3140</v>
      </c>
      <c r="AE1559" s="23">
        <f t="shared" si="97"/>
        <v>24.356000000000002</v>
      </c>
      <c r="AF1559" s="24">
        <f t="shared" si="98"/>
        <v>0</v>
      </c>
      <c r="AG1559" s="23">
        <f t="shared" si="99"/>
        <v>1</v>
      </c>
    </row>
    <row r="1560" spans="1:33" ht="12.5" hidden="1" customHeight="1" x14ac:dyDescent="0.25">
      <c r="A1560" s="12" t="s">
        <v>31</v>
      </c>
      <c r="B1560" s="9">
        <v>46197</v>
      </c>
      <c r="C1560" s="12" t="s">
        <v>2455</v>
      </c>
      <c r="D1560" s="10" t="s">
        <v>2457</v>
      </c>
      <c r="E1560" s="10" t="s">
        <v>51</v>
      </c>
      <c r="F1560" s="10" t="s">
        <v>35</v>
      </c>
      <c r="G1560" s="10" t="s">
        <v>3145</v>
      </c>
      <c r="H1560" s="8" t="s">
        <v>48</v>
      </c>
      <c r="I1560" s="11">
        <v>55.12</v>
      </c>
      <c r="J1560" s="6">
        <v>41.34</v>
      </c>
      <c r="K1560" s="6">
        <v>0.75000000000000011</v>
      </c>
      <c r="L1560" s="6">
        <v>52.29</v>
      </c>
      <c r="M1560" s="11">
        <v>39.217500000000001</v>
      </c>
      <c r="N1560" s="11">
        <f t="shared" si="96"/>
        <v>39.217999999999996</v>
      </c>
      <c r="O1560" s="6">
        <v>0.75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2.83</v>
      </c>
      <c r="Z1560" s="6">
        <v>2.1225000000000001</v>
      </c>
      <c r="AA1560" s="6">
        <v>0.75</v>
      </c>
      <c r="AB1560" s="6">
        <v>-2.8299999999999983</v>
      </c>
      <c r="AC1560" s="6">
        <v>2.8299999999999983</v>
      </c>
      <c r="AD1560" s="22" t="s">
        <v>3140</v>
      </c>
      <c r="AE1560" s="23">
        <f t="shared" si="97"/>
        <v>39.217999999999996</v>
      </c>
      <c r="AF1560" s="24">
        <f t="shared" si="98"/>
        <v>0</v>
      </c>
      <c r="AG1560" s="23">
        <f t="shared" si="99"/>
        <v>1</v>
      </c>
    </row>
    <row r="1561" spans="1:33" ht="12.5" hidden="1" customHeight="1" x14ac:dyDescent="0.25">
      <c r="A1561" s="12" t="s">
        <v>31</v>
      </c>
      <c r="B1561" s="9">
        <v>46197</v>
      </c>
      <c r="C1561" s="13" t="s">
        <v>2455</v>
      </c>
      <c r="D1561" s="10" t="s">
        <v>2458</v>
      </c>
      <c r="E1561" s="10" t="s">
        <v>51</v>
      </c>
      <c r="F1561" s="10" t="s">
        <v>35</v>
      </c>
      <c r="G1561" s="10" t="s">
        <v>3145</v>
      </c>
      <c r="H1561" s="8" t="s">
        <v>41</v>
      </c>
      <c r="I1561" s="11">
        <v>19.440000000000001</v>
      </c>
      <c r="J1561" s="6">
        <v>14.58</v>
      </c>
      <c r="K1561" s="6">
        <v>0.75</v>
      </c>
      <c r="L1561" s="6">
        <v>18.22</v>
      </c>
      <c r="M1561" s="11">
        <v>13.664999999999999</v>
      </c>
      <c r="N1561" s="11">
        <f t="shared" si="96"/>
        <v>13.664999999999999</v>
      </c>
      <c r="O1561" s="6">
        <v>0.75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1.22</v>
      </c>
      <c r="Z1561" s="6">
        <v>0.91500000000000004</v>
      </c>
      <c r="AA1561" s="6">
        <v>0.75</v>
      </c>
      <c r="AB1561" s="6">
        <v>-1.2200000000000024</v>
      </c>
      <c r="AC1561" s="6">
        <v>1.2200000000000024</v>
      </c>
      <c r="AD1561" s="22" t="s">
        <v>3140</v>
      </c>
      <c r="AE1561" s="23">
        <f t="shared" si="97"/>
        <v>13.664999999999999</v>
      </c>
      <c r="AF1561" s="24">
        <f t="shared" si="98"/>
        <v>0</v>
      </c>
      <c r="AG1561" s="23">
        <f t="shared" si="99"/>
        <v>2</v>
      </c>
    </row>
    <row r="1562" spans="1:33" hidden="1" x14ac:dyDescent="0.25">
      <c r="A1562" s="12" t="s">
        <v>31</v>
      </c>
      <c r="B1562" s="9">
        <v>46197</v>
      </c>
      <c r="C1562" s="10" t="s">
        <v>2459</v>
      </c>
      <c r="D1562" s="10" t="s">
        <v>2441</v>
      </c>
      <c r="E1562" s="10" t="s">
        <v>51</v>
      </c>
      <c r="F1562" s="10" t="s">
        <v>35</v>
      </c>
      <c r="G1562" s="10" t="s">
        <v>3145</v>
      </c>
      <c r="H1562" s="8" t="s">
        <v>41</v>
      </c>
      <c r="I1562" s="11">
        <v>34.43</v>
      </c>
      <c r="J1562" s="6">
        <v>25.822500000000002</v>
      </c>
      <c r="K1562" s="6">
        <v>0.75</v>
      </c>
      <c r="L1562" s="6">
        <v>34.15</v>
      </c>
      <c r="M1562" s="11">
        <v>25.612500000000001</v>
      </c>
      <c r="N1562" s="11">
        <f t="shared" si="96"/>
        <v>25.613</v>
      </c>
      <c r="O1562" s="6">
        <v>0.75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0.28000000000000003</v>
      </c>
      <c r="Z1562" s="6">
        <v>0.21</v>
      </c>
      <c r="AA1562" s="6">
        <v>0.74999999999999989</v>
      </c>
      <c r="AB1562" s="6">
        <v>-0.28000000000000114</v>
      </c>
      <c r="AC1562" s="6">
        <v>0.28000000000000114</v>
      </c>
      <c r="AD1562" s="23" t="s">
        <v>3143</v>
      </c>
      <c r="AE1562" s="23">
        <f t="shared" si="97"/>
        <v>23.655000000000001</v>
      </c>
      <c r="AF1562" s="24">
        <f t="shared" si="98"/>
        <v>1.9579999999999984</v>
      </c>
      <c r="AG1562" s="23">
        <f t="shared" si="99"/>
        <v>3</v>
      </c>
    </row>
    <row r="1563" spans="1:33" ht="20" hidden="1" customHeight="1" x14ac:dyDescent="0.25">
      <c r="A1563" s="12" t="s">
        <v>31</v>
      </c>
      <c r="B1563" s="9">
        <v>46197</v>
      </c>
      <c r="C1563" s="10" t="s">
        <v>2460</v>
      </c>
      <c r="D1563" s="10" t="s">
        <v>2461</v>
      </c>
      <c r="E1563" s="10" t="s">
        <v>51</v>
      </c>
      <c r="F1563" s="10" t="s">
        <v>35</v>
      </c>
      <c r="G1563" s="10" t="s">
        <v>3145</v>
      </c>
      <c r="H1563" s="8" t="s">
        <v>48</v>
      </c>
      <c r="I1563" s="11">
        <v>17.75</v>
      </c>
      <c r="J1563" s="6">
        <v>13.3125</v>
      </c>
      <c r="K1563" s="6">
        <v>0.75</v>
      </c>
      <c r="L1563" s="6">
        <v>17.739999999999998</v>
      </c>
      <c r="M1563" s="11">
        <v>13.305</v>
      </c>
      <c r="N1563" s="11">
        <f t="shared" si="96"/>
        <v>13.305</v>
      </c>
      <c r="O1563" s="6">
        <v>0.75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0.01</v>
      </c>
      <c r="Z1563" s="6">
        <v>7.4999999999999997E-3</v>
      </c>
      <c r="AA1563" s="6">
        <v>0.75</v>
      </c>
      <c r="AB1563" s="6">
        <v>-1.0000000000001563E-2</v>
      </c>
      <c r="AC1563" s="6">
        <v>1.0000000000001563E-2</v>
      </c>
      <c r="AD1563" s="22" t="s">
        <v>3140</v>
      </c>
      <c r="AE1563" s="23">
        <f t="shared" si="97"/>
        <v>13.305</v>
      </c>
      <c r="AF1563" s="24">
        <f t="shared" si="98"/>
        <v>0</v>
      </c>
      <c r="AG1563" s="23">
        <f t="shared" si="99"/>
        <v>2</v>
      </c>
    </row>
    <row r="1564" spans="1:33" ht="12.5" customHeight="1" x14ac:dyDescent="0.25">
      <c r="A1564" s="12" t="s">
        <v>31</v>
      </c>
      <c r="B1564" s="9">
        <v>46197</v>
      </c>
      <c r="C1564" s="8" t="s">
        <v>2462</v>
      </c>
      <c r="D1564" s="10" t="s">
        <v>2463</v>
      </c>
      <c r="E1564" s="10" t="s">
        <v>51</v>
      </c>
      <c r="F1564" s="10" t="s">
        <v>35</v>
      </c>
      <c r="G1564" s="10" t="s">
        <v>3146</v>
      </c>
      <c r="H1564" s="8" t="s">
        <v>36</v>
      </c>
      <c r="I1564" s="11">
        <v>48.71</v>
      </c>
      <c r="J1564" s="6">
        <v>44.667070000000002</v>
      </c>
      <c r="K1564" s="6">
        <v>0.91700000000000004</v>
      </c>
      <c r="L1564" s="6">
        <v>44.92</v>
      </c>
      <c r="M1564" s="11">
        <v>41.19164</v>
      </c>
      <c r="N1564" s="11">
        <f t="shared" si="96"/>
        <v>41.192</v>
      </c>
      <c r="O1564" s="6">
        <v>0.91699999999999993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3.79</v>
      </c>
      <c r="Z1564" s="6">
        <v>3.4754299999999998</v>
      </c>
      <c r="AA1564" s="6">
        <v>0.91699999999999993</v>
      </c>
      <c r="AB1564" s="6">
        <v>-3.7899999999999991</v>
      </c>
      <c r="AC1564" s="6">
        <v>3.7899999999999991</v>
      </c>
      <c r="AD1564" s="22" t="s">
        <v>3140</v>
      </c>
      <c r="AE1564" s="23">
        <f t="shared" si="97"/>
        <v>41.192</v>
      </c>
      <c r="AF1564" s="24">
        <f t="shared" si="98"/>
        <v>0</v>
      </c>
      <c r="AG1564" s="23">
        <f t="shared" si="99"/>
        <v>1</v>
      </c>
    </row>
    <row r="1565" spans="1:33" ht="12.5" hidden="1" customHeight="1" x14ac:dyDescent="0.25">
      <c r="A1565" s="12" t="s">
        <v>31</v>
      </c>
      <c r="B1565" s="9">
        <v>46197</v>
      </c>
      <c r="C1565" s="13" t="s">
        <v>2462</v>
      </c>
      <c r="D1565" s="10" t="s">
        <v>2464</v>
      </c>
      <c r="E1565" s="10" t="s">
        <v>51</v>
      </c>
      <c r="F1565" s="10" t="s">
        <v>35</v>
      </c>
      <c r="G1565" s="10" t="s">
        <v>3145</v>
      </c>
      <c r="H1565" s="8" t="s">
        <v>41</v>
      </c>
      <c r="I1565" s="11">
        <v>25.68</v>
      </c>
      <c r="J1565" s="6">
        <v>19.260000000000002</v>
      </c>
      <c r="K1565" s="6">
        <v>0.75000000000000011</v>
      </c>
      <c r="L1565" s="6">
        <v>23.4</v>
      </c>
      <c r="M1565" s="11">
        <v>17.55</v>
      </c>
      <c r="N1565" s="11">
        <f t="shared" si="96"/>
        <v>17.55</v>
      </c>
      <c r="O1565" s="6">
        <v>0.75000000000000011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2.2799999999999998</v>
      </c>
      <c r="Z1565" s="6">
        <v>1.71</v>
      </c>
      <c r="AA1565" s="6">
        <v>0.75</v>
      </c>
      <c r="AB1565" s="6">
        <v>-2.2800000000000011</v>
      </c>
      <c r="AC1565" s="6">
        <v>2.2800000000000011</v>
      </c>
      <c r="AD1565" s="22" t="s">
        <v>3140</v>
      </c>
      <c r="AE1565" s="23">
        <f t="shared" si="97"/>
        <v>17.55</v>
      </c>
      <c r="AF1565" s="24">
        <f t="shared" si="98"/>
        <v>0</v>
      </c>
      <c r="AG1565" s="23">
        <f t="shared" si="99"/>
        <v>1</v>
      </c>
    </row>
    <row r="1566" spans="1:33" ht="12.5" customHeight="1" x14ac:dyDescent="0.25">
      <c r="A1566" s="12" t="s">
        <v>31</v>
      </c>
      <c r="B1566" s="9">
        <v>46197</v>
      </c>
      <c r="C1566" s="8" t="s">
        <v>2465</v>
      </c>
      <c r="D1566" s="10" t="s">
        <v>2243</v>
      </c>
      <c r="E1566" s="10" t="s">
        <v>51</v>
      </c>
      <c r="F1566" s="10" t="s">
        <v>35</v>
      </c>
      <c r="G1566" s="10" t="s">
        <v>3146</v>
      </c>
      <c r="H1566" s="8" t="s">
        <v>36</v>
      </c>
      <c r="I1566" s="11">
        <v>3.43</v>
      </c>
      <c r="J1566" s="6">
        <v>3.1453099999999998</v>
      </c>
      <c r="K1566" s="6">
        <v>0.91699999999999993</v>
      </c>
      <c r="L1566" s="6">
        <v>3.37</v>
      </c>
      <c r="M1566" s="11">
        <v>3.09029</v>
      </c>
      <c r="N1566" s="11">
        <f t="shared" si="96"/>
        <v>3.0909999999999997</v>
      </c>
      <c r="O1566" s="6">
        <v>0.91699999999999993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0.06</v>
      </c>
      <c r="Z1566" s="6">
        <v>5.5019999999999999E-2</v>
      </c>
      <c r="AA1566" s="6">
        <v>0.91700000000000004</v>
      </c>
      <c r="AB1566" s="6">
        <v>-6.0000000000000053E-2</v>
      </c>
      <c r="AC1566" s="6">
        <v>6.0000000000000053E-2</v>
      </c>
      <c r="AD1566" s="23" t="s">
        <v>3143</v>
      </c>
      <c r="AE1566" s="23">
        <f t="shared" si="97"/>
        <v>2.3849999999999998</v>
      </c>
      <c r="AF1566" s="24">
        <f t="shared" si="98"/>
        <v>0.70599999999999996</v>
      </c>
      <c r="AG1566" s="23">
        <f t="shared" si="99"/>
        <v>2</v>
      </c>
    </row>
    <row r="1567" spans="1:33" ht="12.5" customHeight="1" x14ac:dyDescent="0.25">
      <c r="A1567" s="12" t="s">
        <v>31</v>
      </c>
      <c r="B1567" s="9">
        <v>46197</v>
      </c>
      <c r="C1567" s="13" t="s">
        <v>2465</v>
      </c>
      <c r="D1567" s="10" t="s">
        <v>2248</v>
      </c>
      <c r="E1567" s="10" t="s">
        <v>51</v>
      </c>
      <c r="F1567" s="10" t="s">
        <v>35</v>
      </c>
      <c r="G1567" s="10" t="s">
        <v>3146</v>
      </c>
      <c r="H1567" s="8" t="s">
        <v>36</v>
      </c>
      <c r="I1567" s="11">
        <v>3.64</v>
      </c>
      <c r="J1567" s="6">
        <v>3.3378800000000002</v>
      </c>
      <c r="K1567" s="6">
        <v>0.91700000000000004</v>
      </c>
      <c r="L1567" s="6">
        <v>3.6</v>
      </c>
      <c r="M1567" s="11">
        <v>3.3012000000000001</v>
      </c>
      <c r="N1567" s="11">
        <f t="shared" si="96"/>
        <v>3.302</v>
      </c>
      <c r="O1567" s="6">
        <v>0.91700000000000004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0.04</v>
      </c>
      <c r="Z1567" s="6">
        <v>3.6679999999999997E-2</v>
      </c>
      <c r="AA1567" s="6">
        <v>0.91699999999999993</v>
      </c>
      <c r="AB1567" s="6">
        <v>-4.0000000000000036E-2</v>
      </c>
      <c r="AC1567" s="6">
        <v>4.0000000000000036E-2</v>
      </c>
      <c r="AD1567" s="23" t="s">
        <v>3143</v>
      </c>
      <c r="AE1567" s="23">
        <f t="shared" si="97"/>
        <v>2.5960000000000001</v>
      </c>
      <c r="AF1567" s="24">
        <f t="shared" si="98"/>
        <v>0.70599999999999996</v>
      </c>
      <c r="AG1567" s="23">
        <f t="shared" si="99"/>
        <v>2</v>
      </c>
    </row>
    <row r="1568" spans="1:33" ht="12.5" hidden="1" customHeight="1" x14ac:dyDescent="0.25">
      <c r="A1568" s="12" t="s">
        <v>31</v>
      </c>
      <c r="B1568" s="9">
        <v>46197</v>
      </c>
      <c r="C1568" s="8" t="s">
        <v>2466</v>
      </c>
      <c r="D1568" s="10" t="s">
        <v>2467</v>
      </c>
      <c r="E1568" s="10" t="s">
        <v>51</v>
      </c>
      <c r="F1568" s="10" t="s">
        <v>35</v>
      </c>
      <c r="G1568" s="10" t="s">
        <v>3145</v>
      </c>
      <c r="H1568" s="8" t="s">
        <v>48</v>
      </c>
      <c r="I1568" s="11">
        <v>27.25</v>
      </c>
      <c r="J1568" s="6">
        <v>20.4375</v>
      </c>
      <c r="K1568" s="6">
        <v>0.75</v>
      </c>
      <c r="L1568" s="6">
        <v>25.98</v>
      </c>
      <c r="M1568" s="11">
        <v>19.484999999999999</v>
      </c>
      <c r="N1568" s="11">
        <f t="shared" si="96"/>
        <v>19.484999999999999</v>
      </c>
      <c r="O1568" s="6">
        <v>0.75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1.27</v>
      </c>
      <c r="Z1568" s="6">
        <v>0.95250000000000001</v>
      </c>
      <c r="AA1568" s="6">
        <v>0.75</v>
      </c>
      <c r="AB1568" s="6">
        <v>-1.2699999999999996</v>
      </c>
      <c r="AC1568" s="6">
        <v>1.2699999999999996</v>
      </c>
      <c r="AD1568" s="22" t="s">
        <v>3140</v>
      </c>
      <c r="AE1568" s="23">
        <f t="shared" si="97"/>
        <v>19.484999999999999</v>
      </c>
      <c r="AF1568" s="24">
        <f t="shared" si="98"/>
        <v>0</v>
      </c>
      <c r="AG1568" s="23">
        <f t="shared" si="99"/>
        <v>1</v>
      </c>
    </row>
    <row r="1569" spans="1:33" ht="12.5" hidden="1" customHeight="1" x14ac:dyDescent="0.25">
      <c r="A1569" s="12" t="s">
        <v>31</v>
      </c>
      <c r="B1569" s="9">
        <v>46197</v>
      </c>
      <c r="C1569" s="13" t="s">
        <v>2466</v>
      </c>
      <c r="D1569" s="10" t="s">
        <v>2468</v>
      </c>
      <c r="E1569" s="10" t="s">
        <v>51</v>
      </c>
      <c r="F1569" s="10" t="s">
        <v>35</v>
      </c>
      <c r="G1569" s="10" t="s">
        <v>3145</v>
      </c>
      <c r="H1569" s="8" t="s">
        <v>41</v>
      </c>
      <c r="I1569" s="11">
        <v>20.6</v>
      </c>
      <c r="J1569" s="6">
        <v>15.45</v>
      </c>
      <c r="K1569" s="6">
        <v>0.74999999999999989</v>
      </c>
      <c r="L1569" s="6">
        <v>19.68</v>
      </c>
      <c r="M1569" s="11">
        <v>14.76</v>
      </c>
      <c r="N1569" s="11">
        <f t="shared" si="96"/>
        <v>14.76</v>
      </c>
      <c r="O1569" s="6">
        <v>0.75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0.92</v>
      </c>
      <c r="Z1569" s="6">
        <v>0.69</v>
      </c>
      <c r="AA1569" s="6">
        <v>0.74999999999999989</v>
      </c>
      <c r="AB1569" s="6">
        <v>-0.92000000000000171</v>
      </c>
      <c r="AC1569" s="6">
        <v>0.92000000000000171</v>
      </c>
      <c r="AD1569" s="22" t="s">
        <v>3140</v>
      </c>
      <c r="AE1569" s="23">
        <f t="shared" si="97"/>
        <v>14.76</v>
      </c>
      <c r="AF1569" s="24">
        <f t="shared" si="98"/>
        <v>0</v>
      </c>
      <c r="AG1569" s="23">
        <f t="shared" si="99"/>
        <v>1</v>
      </c>
    </row>
    <row r="1570" spans="1:33" hidden="1" x14ac:dyDescent="0.25">
      <c r="A1570" s="12" t="s">
        <v>31</v>
      </c>
      <c r="B1570" s="9">
        <v>46197</v>
      </c>
      <c r="C1570" s="10" t="s">
        <v>2469</v>
      </c>
      <c r="D1570" s="10" t="s">
        <v>2470</v>
      </c>
      <c r="E1570" s="10" t="s">
        <v>51</v>
      </c>
      <c r="F1570" s="10" t="s">
        <v>35</v>
      </c>
      <c r="G1570" s="10" t="s">
        <v>3145</v>
      </c>
      <c r="H1570" s="8" t="s">
        <v>41</v>
      </c>
      <c r="I1570" s="11">
        <v>21.09</v>
      </c>
      <c r="J1570" s="6">
        <v>15.817500000000001</v>
      </c>
      <c r="K1570" s="6">
        <v>0.75</v>
      </c>
      <c r="L1570" s="6">
        <v>19.59</v>
      </c>
      <c r="M1570" s="11">
        <v>14.692500000000001</v>
      </c>
      <c r="N1570" s="11">
        <f t="shared" si="96"/>
        <v>14.693</v>
      </c>
      <c r="O1570" s="6">
        <v>0.75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1.5</v>
      </c>
      <c r="Z1570" s="6">
        <v>1.125</v>
      </c>
      <c r="AA1570" s="6">
        <v>0.75</v>
      </c>
      <c r="AB1570" s="6">
        <v>-1.5</v>
      </c>
      <c r="AC1570" s="6">
        <v>1.5</v>
      </c>
      <c r="AD1570" s="22" t="s">
        <v>3140</v>
      </c>
      <c r="AE1570" s="23">
        <f t="shared" si="97"/>
        <v>14.693</v>
      </c>
      <c r="AF1570" s="24">
        <f t="shared" si="98"/>
        <v>0</v>
      </c>
      <c r="AG1570" s="23">
        <f t="shared" si="99"/>
        <v>1</v>
      </c>
    </row>
    <row r="1571" spans="1:33" x14ac:dyDescent="0.25">
      <c r="A1571" s="12" t="s">
        <v>31</v>
      </c>
      <c r="B1571" s="9">
        <v>46197</v>
      </c>
      <c r="C1571" s="10" t="s">
        <v>2471</v>
      </c>
      <c r="D1571" s="10" t="s">
        <v>2472</v>
      </c>
      <c r="E1571" s="10" t="s">
        <v>51</v>
      </c>
      <c r="F1571" s="10" t="s">
        <v>35</v>
      </c>
      <c r="G1571" s="10" t="s">
        <v>3146</v>
      </c>
      <c r="H1571" s="8" t="s">
        <v>36</v>
      </c>
      <c r="I1571" s="11">
        <v>3.52</v>
      </c>
      <c r="J1571" s="6">
        <v>3.22784</v>
      </c>
      <c r="K1571" s="6">
        <v>0.91700000000000004</v>
      </c>
      <c r="L1571" s="6">
        <v>3.05</v>
      </c>
      <c r="M1571" s="11">
        <v>2.7968500000000001</v>
      </c>
      <c r="N1571" s="11">
        <f t="shared" si="96"/>
        <v>2.7969999999999997</v>
      </c>
      <c r="O1571" s="6">
        <v>0.91700000000000004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0.47</v>
      </c>
      <c r="Z1571" s="6">
        <v>0.43098999999999998</v>
      </c>
      <c r="AA1571" s="6">
        <v>0.91700000000000004</v>
      </c>
      <c r="AB1571" s="6">
        <v>-0.4700000000000002</v>
      </c>
      <c r="AC1571" s="6">
        <v>0.4700000000000002</v>
      </c>
      <c r="AD1571" s="22" t="s">
        <v>3140</v>
      </c>
      <c r="AE1571" s="23">
        <f t="shared" si="97"/>
        <v>2.7969999999999997</v>
      </c>
      <c r="AF1571" s="24">
        <f t="shared" si="98"/>
        <v>0</v>
      </c>
      <c r="AG1571" s="23">
        <f t="shared" si="99"/>
        <v>1</v>
      </c>
    </row>
    <row r="1572" spans="1:33" x14ac:dyDescent="0.25">
      <c r="A1572" s="12" t="s">
        <v>31</v>
      </c>
      <c r="B1572" s="9">
        <v>46197</v>
      </c>
      <c r="C1572" s="10" t="s">
        <v>2473</v>
      </c>
      <c r="D1572" s="10" t="s">
        <v>2234</v>
      </c>
      <c r="E1572" s="10" t="s">
        <v>51</v>
      </c>
      <c r="F1572" s="10" t="s">
        <v>35</v>
      </c>
      <c r="G1572" s="10" t="s">
        <v>3146</v>
      </c>
      <c r="H1572" s="8" t="s">
        <v>36</v>
      </c>
      <c r="I1572" s="11">
        <v>8.23</v>
      </c>
      <c r="J1572" s="6">
        <v>7.5469099999999996</v>
      </c>
      <c r="K1572" s="6">
        <v>0.91699999999999993</v>
      </c>
      <c r="L1572" s="6">
        <v>8.16</v>
      </c>
      <c r="M1572" s="11">
        <v>7.4827199999999996</v>
      </c>
      <c r="N1572" s="11">
        <f t="shared" si="96"/>
        <v>7.4830000000000005</v>
      </c>
      <c r="O1572" s="6">
        <v>0.91699999999999993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7.0000000000000007E-2</v>
      </c>
      <c r="Z1572" s="6">
        <v>6.4189999999999997E-2</v>
      </c>
      <c r="AA1572" s="6">
        <v>0.91699999999999982</v>
      </c>
      <c r="AB1572" s="6">
        <v>-7.0000000000000284E-2</v>
      </c>
      <c r="AC1572" s="6">
        <v>7.0000000000000284E-2</v>
      </c>
      <c r="AD1572" s="23" t="s">
        <v>3143</v>
      </c>
      <c r="AE1572" s="23">
        <f t="shared" si="97"/>
        <v>6.7310000000000008</v>
      </c>
      <c r="AF1572" s="24">
        <f t="shared" si="98"/>
        <v>0.75199999999999978</v>
      </c>
      <c r="AG1572" s="23">
        <f t="shared" si="99"/>
        <v>2</v>
      </c>
    </row>
    <row r="1573" spans="1:33" ht="12.5" customHeight="1" x14ac:dyDescent="0.25">
      <c r="A1573" s="12" t="s">
        <v>31</v>
      </c>
      <c r="B1573" s="9">
        <v>46197</v>
      </c>
      <c r="C1573" s="8" t="s">
        <v>2474</v>
      </c>
      <c r="D1573" s="10" t="s">
        <v>2475</v>
      </c>
      <c r="E1573" s="10" t="s">
        <v>51</v>
      </c>
      <c r="F1573" s="10" t="s">
        <v>35</v>
      </c>
      <c r="G1573" s="10" t="s">
        <v>3146</v>
      </c>
      <c r="H1573" s="8" t="s">
        <v>36</v>
      </c>
      <c r="I1573" s="11">
        <v>60.7</v>
      </c>
      <c r="J1573" s="6">
        <v>55.661900000000003</v>
      </c>
      <c r="K1573" s="6">
        <v>0.91700000000000004</v>
      </c>
      <c r="L1573" s="6">
        <v>58.39</v>
      </c>
      <c r="M1573" s="11">
        <v>53.54363</v>
      </c>
      <c r="N1573" s="11">
        <f t="shared" si="96"/>
        <v>53.543999999999997</v>
      </c>
      <c r="O1573" s="6">
        <v>0.91700000000000004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2.31</v>
      </c>
      <c r="Z1573" s="6">
        <v>2.1182699999999999</v>
      </c>
      <c r="AA1573" s="6">
        <v>0.91699999999999993</v>
      </c>
      <c r="AB1573" s="6">
        <v>-2.3100000000000023</v>
      </c>
      <c r="AC1573" s="6">
        <v>2.3100000000000023</v>
      </c>
      <c r="AD1573" s="22" t="s">
        <v>3140</v>
      </c>
      <c r="AE1573" s="23">
        <f t="shared" si="97"/>
        <v>53.543999999999997</v>
      </c>
      <c r="AF1573" s="24">
        <f t="shared" si="98"/>
        <v>0</v>
      </c>
      <c r="AG1573" s="23">
        <f t="shared" si="99"/>
        <v>1</v>
      </c>
    </row>
    <row r="1574" spans="1:33" ht="12.5" customHeight="1" x14ac:dyDescent="0.25">
      <c r="A1574" s="12" t="s">
        <v>31</v>
      </c>
      <c r="B1574" s="9">
        <v>46197</v>
      </c>
      <c r="C1574" s="12" t="s">
        <v>2474</v>
      </c>
      <c r="D1574" s="10" t="s">
        <v>2476</v>
      </c>
      <c r="E1574" s="10" t="s">
        <v>51</v>
      </c>
      <c r="F1574" s="10" t="s">
        <v>35</v>
      </c>
      <c r="G1574" s="10" t="s">
        <v>3146</v>
      </c>
      <c r="H1574" s="8" t="s">
        <v>36</v>
      </c>
      <c r="I1574" s="11">
        <v>21</v>
      </c>
      <c r="J1574" s="6">
        <v>19.257000000000001</v>
      </c>
      <c r="K1574" s="6">
        <v>0.91700000000000004</v>
      </c>
      <c r="L1574" s="6">
        <v>19.829999999999998</v>
      </c>
      <c r="M1574" s="11">
        <v>18.18411</v>
      </c>
      <c r="N1574" s="11">
        <f t="shared" si="96"/>
        <v>18.185000000000002</v>
      </c>
      <c r="O1574" s="6">
        <v>0.91700000000000015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1.17</v>
      </c>
      <c r="Z1574" s="6">
        <v>1.0728899999999999</v>
      </c>
      <c r="AA1574" s="6">
        <v>0.91699999999999993</v>
      </c>
      <c r="AB1574" s="6">
        <v>-1.1700000000000017</v>
      </c>
      <c r="AC1574" s="6">
        <v>1.1700000000000017</v>
      </c>
      <c r="AD1574" s="22" t="s">
        <v>3140</v>
      </c>
      <c r="AE1574" s="23">
        <f t="shared" si="97"/>
        <v>18.185000000000002</v>
      </c>
      <c r="AF1574" s="24">
        <f t="shared" si="98"/>
        <v>0</v>
      </c>
      <c r="AG1574" s="23">
        <f t="shared" si="99"/>
        <v>1</v>
      </c>
    </row>
    <row r="1575" spans="1:33" ht="12.5" hidden="1" customHeight="1" x14ac:dyDescent="0.25">
      <c r="A1575" s="12" t="s">
        <v>31</v>
      </c>
      <c r="B1575" s="9">
        <v>46197</v>
      </c>
      <c r="C1575" s="13" t="s">
        <v>2474</v>
      </c>
      <c r="D1575" s="10" t="s">
        <v>2477</v>
      </c>
      <c r="E1575" s="10" t="s">
        <v>51</v>
      </c>
      <c r="F1575" s="10" t="s">
        <v>35</v>
      </c>
      <c r="G1575" s="10" t="s">
        <v>3145</v>
      </c>
      <c r="H1575" s="8" t="s">
        <v>48</v>
      </c>
      <c r="I1575" s="11">
        <v>19.87</v>
      </c>
      <c r="J1575" s="6">
        <v>14.9025</v>
      </c>
      <c r="K1575" s="6">
        <v>0.75</v>
      </c>
      <c r="L1575" s="6">
        <v>17.899999999999999</v>
      </c>
      <c r="M1575" s="11">
        <v>13.425000000000001</v>
      </c>
      <c r="N1575" s="11">
        <f t="shared" si="96"/>
        <v>13.425000000000001</v>
      </c>
      <c r="O1575" s="6">
        <v>0.75000000000000011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1.97</v>
      </c>
      <c r="Z1575" s="6">
        <v>1.4775</v>
      </c>
      <c r="AA1575" s="6">
        <v>0.75</v>
      </c>
      <c r="AB1575" s="6">
        <v>-1.9700000000000024</v>
      </c>
      <c r="AC1575" s="6">
        <v>1.9700000000000024</v>
      </c>
      <c r="AD1575" s="22" t="s">
        <v>3140</v>
      </c>
      <c r="AE1575" s="23">
        <f t="shared" si="97"/>
        <v>13.425000000000001</v>
      </c>
      <c r="AF1575" s="24">
        <f t="shared" si="98"/>
        <v>0</v>
      </c>
      <c r="AG1575" s="23">
        <f t="shared" si="99"/>
        <v>2</v>
      </c>
    </row>
    <row r="1576" spans="1:33" x14ac:dyDescent="0.25">
      <c r="A1576" s="12" t="s">
        <v>31</v>
      </c>
      <c r="B1576" s="9">
        <v>46197</v>
      </c>
      <c r="C1576" s="10" t="s">
        <v>2478</v>
      </c>
      <c r="D1576" s="10" t="s">
        <v>2479</v>
      </c>
      <c r="E1576" s="10" t="s">
        <v>51</v>
      </c>
      <c r="F1576" s="10" t="s">
        <v>35</v>
      </c>
      <c r="G1576" s="10" t="s">
        <v>3146</v>
      </c>
      <c r="H1576" s="8" t="s">
        <v>36</v>
      </c>
      <c r="I1576" s="11">
        <v>12.12</v>
      </c>
      <c r="J1576" s="6">
        <v>11.114039999999999</v>
      </c>
      <c r="K1576" s="6">
        <v>0.91700000000000004</v>
      </c>
      <c r="L1576" s="6">
        <v>10.35</v>
      </c>
      <c r="M1576" s="11">
        <v>9.4909499999999998</v>
      </c>
      <c r="N1576" s="11">
        <f t="shared" si="96"/>
        <v>9.4909999999999997</v>
      </c>
      <c r="O1576" s="6">
        <v>0.91700000000000004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1.77</v>
      </c>
      <c r="Z1576" s="6">
        <v>1.6230899999999999</v>
      </c>
      <c r="AA1576" s="6">
        <v>0.91699999999999993</v>
      </c>
      <c r="AB1576" s="6">
        <v>-1.7699999999999996</v>
      </c>
      <c r="AC1576" s="6">
        <v>1.7699999999999996</v>
      </c>
      <c r="AD1576" s="22" t="s">
        <v>3140</v>
      </c>
      <c r="AE1576" s="23">
        <f t="shared" si="97"/>
        <v>9.4909999999999997</v>
      </c>
      <c r="AF1576" s="24">
        <f t="shared" si="98"/>
        <v>0</v>
      </c>
      <c r="AG1576" s="23">
        <f t="shared" si="99"/>
        <v>1</v>
      </c>
    </row>
    <row r="1577" spans="1:33" hidden="1" x14ac:dyDescent="0.25">
      <c r="A1577" s="12" t="s">
        <v>31</v>
      </c>
      <c r="B1577" s="9">
        <v>46197</v>
      </c>
      <c r="C1577" s="10" t="s">
        <v>2480</v>
      </c>
      <c r="D1577" s="10" t="s">
        <v>2431</v>
      </c>
      <c r="E1577" s="10" t="s">
        <v>51</v>
      </c>
      <c r="F1577" s="10" t="s">
        <v>35</v>
      </c>
      <c r="G1577" s="10" t="s">
        <v>3145</v>
      </c>
      <c r="H1577" s="8" t="s">
        <v>41</v>
      </c>
      <c r="I1577" s="11">
        <v>34.159999999999997</v>
      </c>
      <c r="J1577" s="6">
        <v>25.62</v>
      </c>
      <c r="K1577" s="6">
        <v>0.75000000000000011</v>
      </c>
      <c r="L1577" s="6">
        <v>34.159999999999997</v>
      </c>
      <c r="M1577" s="11">
        <v>25.62</v>
      </c>
      <c r="N1577" s="11">
        <f t="shared" si="96"/>
        <v>25.62</v>
      </c>
      <c r="O1577" s="6">
        <v>0.75000000000000011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23" t="s">
        <v>3143</v>
      </c>
      <c r="AE1577" s="23">
        <f t="shared" si="97"/>
        <v>23.655000000000001</v>
      </c>
      <c r="AF1577" s="24">
        <f t="shared" si="98"/>
        <v>1.9649999999999999</v>
      </c>
      <c r="AG1577" s="23">
        <f t="shared" si="99"/>
        <v>2</v>
      </c>
    </row>
    <row r="1578" spans="1:33" ht="20" hidden="1" customHeight="1" x14ac:dyDescent="0.25">
      <c r="A1578" s="12" t="s">
        <v>31</v>
      </c>
      <c r="B1578" s="9">
        <v>46197</v>
      </c>
      <c r="C1578" s="10" t="s">
        <v>2481</v>
      </c>
      <c r="D1578" s="10" t="s">
        <v>2453</v>
      </c>
      <c r="E1578" s="10" t="s">
        <v>51</v>
      </c>
      <c r="F1578" s="10" t="s">
        <v>35</v>
      </c>
      <c r="G1578" s="10" t="s">
        <v>3145</v>
      </c>
      <c r="H1578" s="8" t="s">
        <v>48</v>
      </c>
      <c r="I1578" s="11">
        <v>14.18</v>
      </c>
      <c r="J1578" s="6">
        <v>10.635</v>
      </c>
      <c r="K1578" s="6">
        <v>0.75</v>
      </c>
      <c r="L1578" s="6">
        <v>14.18</v>
      </c>
      <c r="M1578" s="11">
        <v>10.635</v>
      </c>
      <c r="N1578" s="11">
        <f t="shared" si="96"/>
        <v>10.635</v>
      </c>
      <c r="O1578" s="6">
        <v>0.75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22" t="s">
        <v>3140</v>
      </c>
      <c r="AE1578" s="23">
        <f t="shared" si="97"/>
        <v>10.635</v>
      </c>
      <c r="AF1578" s="24">
        <f t="shared" si="98"/>
        <v>0</v>
      </c>
      <c r="AG1578" s="23">
        <f t="shared" si="99"/>
        <v>2</v>
      </c>
    </row>
    <row r="1579" spans="1:33" hidden="1" x14ac:dyDescent="0.25">
      <c r="A1579" s="12" t="s">
        <v>31</v>
      </c>
      <c r="B1579" s="9">
        <v>46197</v>
      </c>
      <c r="C1579" s="10" t="s">
        <v>2482</v>
      </c>
      <c r="D1579" s="10" t="s">
        <v>2441</v>
      </c>
      <c r="E1579" s="10" t="s">
        <v>51</v>
      </c>
      <c r="F1579" s="10" t="s">
        <v>35</v>
      </c>
      <c r="G1579" s="10" t="s">
        <v>3145</v>
      </c>
      <c r="H1579" s="8" t="s">
        <v>41</v>
      </c>
      <c r="I1579" s="11">
        <v>31.54</v>
      </c>
      <c r="J1579" s="6">
        <v>23.655000000000001</v>
      </c>
      <c r="K1579" s="6">
        <v>0.75000000000000011</v>
      </c>
      <c r="L1579" s="6">
        <v>31.54</v>
      </c>
      <c r="M1579" s="11">
        <v>23.655000000000001</v>
      </c>
      <c r="N1579" s="11">
        <f t="shared" si="96"/>
        <v>23.655000000000001</v>
      </c>
      <c r="O1579" s="6">
        <v>0.75000000000000011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22" t="s">
        <v>3140</v>
      </c>
      <c r="AE1579" s="23">
        <f t="shared" si="97"/>
        <v>23.655000000000001</v>
      </c>
      <c r="AF1579" s="24">
        <f t="shared" si="98"/>
        <v>0</v>
      </c>
      <c r="AG1579" s="23">
        <f t="shared" si="99"/>
        <v>3</v>
      </c>
    </row>
    <row r="1580" spans="1:33" ht="12.5" customHeight="1" x14ac:dyDescent="0.25">
      <c r="A1580" s="12" t="s">
        <v>31</v>
      </c>
      <c r="B1580" s="9">
        <v>46197</v>
      </c>
      <c r="C1580" s="8" t="s">
        <v>2483</v>
      </c>
      <c r="D1580" s="10" t="s">
        <v>2484</v>
      </c>
      <c r="E1580" s="10" t="s">
        <v>51</v>
      </c>
      <c r="F1580" s="10" t="s">
        <v>35</v>
      </c>
      <c r="G1580" s="10" t="s">
        <v>3146</v>
      </c>
      <c r="H1580" s="8" t="s">
        <v>36</v>
      </c>
      <c r="I1580" s="11">
        <v>81.709999999999994</v>
      </c>
      <c r="J1580" s="6">
        <v>74.928070000000005</v>
      </c>
      <c r="K1580" s="6">
        <v>0.91700000000000015</v>
      </c>
      <c r="L1580" s="6">
        <v>78.41</v>
      </c>
      <c r="M1580" s="11">
        <v>71.901970000000006</v>
      </c>
      <c r="N1580" s="11">
        <f t="shared" si="96"/>
        <v>71.902000000000001</v>
      </c>
      <c r="O1580" s="6">
        <v>0.91700000000000015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3.3</v>
      </c>
      <c r="Z1580" s="6">
        <v>3.0261</v>
      </c>
      <c r="AA1580" s="6">
        <v>0.91700000000000004</v>
      </c>
      <c r="AB1580" s="6">
        <v>-3.2999999999999972</v>
      </c>
      <c r="AC1580" s="6">
        <v>3.2999999999999972</v>
      </c>
      <c r="AD1580" s="22" t="s">
        <v>3140</v>
      </c>
      <c r="AE1580" s="23">
        <f t="shared" si="97"/>
        <v>71.902000000000001</v>
      </c>
      <c r="AF1580" s="24">
        <f t="shared" si="98"/>
        <v>0</v>
      </c>
      <c r="AG1580" s="23">
        <f t="shared" si="99"/>
        <v>1</v>
      </c>
    </row>
    <row r="1581" spans="1:33" ht="12.5" hidden="1" customHeight="1" x14ac:dyDescent="0.25">
      <c r="A1581" s="12" t="s">
        <v>31</v>
      </c>
      <c r="B1581" s="9">
        <v>46197</v>
      </c>
      <c r="C1581" s="13" t="s">
        <v>2483</v>
      </c>
      <c r="D1581" s="10" t="s">
        <v>2485</v>
      </c>
      <c r="E1581" s="10" t="s">
        <v>51</v>
      </c>
      <c r="F1581" s="10" t="s">
        <v>35</v>
      </c>
      <c r="G1581" s="10" t="s">
        <v>3145</v>
      </c>
      <c r="H1581" s="8" t="s">
        <v>48</v>
      </c>
      <c r="I1581" s="11">
        <v>72.48</v>
      </c>
      <c r="J1581" s="6">
        <v>54.36</v>
      </c>
      <c r="K1581" s="6">
        <v>0.75</v>
      </c>
      <c r="L1581" s="6">
        <v>67.5</v>
      </c>
      <c r="M1581" s="11">
        <v>50.625</v>
      </c>
      <c r="N1581" s="11">
        <f t="shared" si="96"/>
        <v>50.625</v>
      </c>
      <c r="O1581" s="6">
        <v>0.75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4.9800000000000004</v>
      </c>
      <c r="Z1581" s="6">
        <v>3.7349999999999999</v>
      </c>
      <c r="AA1581" s="6">
        <v>0.74999999999999989</v>
      </c>
      <c r="AB1581" s="6">
        <v>-4.980000000000004</v>
      </c>
      <c r="AC1581" s="6">
        <v>4.980000000000004</v>
      </c>
      <c r="AD1581" s="22" t="s">
        <v>3140</v>
      </c>
      <c r="AE1581" s="23">
        <f t="shared" si="97"/>
        <v>50.625</v>
      </c>
      <c r="AF1581" s="24">
        <f t="shared" si="98"/>
        <v>0</v>
      </c>
      <c r="AG1581" s="23">
        <f t="shared" si="99"/>
        <v>1</v>
      </c>
    </row>
    <row r="1582" spans="1:33" ht="12.5" hidden="1" customHeight="1" x14ac:dyDescent="0.25">
      <c r="A1582" s="12" t="s">
        <v>31</v>
      </c>
      <c r="B1582" s="9">
        <v>46197</v>
      </c>
      <c r="C1582" s="8" t="s">
        <v>2486</v>
      </c>
      <c r="D1582" s="10" t="s">
        <v>2487</v>
      </c>
      <c r="E1582" s="10" t="s">
        <v>51</v>
      </c>
      <c r="F1582" s="10" t="s">
        <v>35</v>
      </c>
      <c r="G1582" s="10" t="s">
        <v>3145</v>
      </c>
      <c r="H1582" s="8" t="s">
        <v>48</v>
      </c>
      <c r="I1582" s="11">
        <v>27.61</v>
      </c>
      <c r="J1582" s="6">
        <v>20.7075</v>
      </c>
      <c r="K1582" s="6">
        <v>0.75</v>
      </c>
      <c r="L1582" s="6">
        <v>26.12</v>
      </c>
      <c r="M1582" s="11">
        <v>19.59</v>
      </c>
      <c r="N1582" s="11">
        <f t="shared" si="96"/>
        <v>19.59</v>
      </c>
      <c r="O1582" s="6">
        <v>0.75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1.49</v>
      </c>
      <c r="Z1582" s="6">
        <v>1.1174999999999999</v>
      </c>
      <c r="AA1582" s="6">
        <v>0.75</v>
      </c>
      <c r="AB1582" s="6">
        <v>-1.4899999999999984</v>
      </c>
      <c r="AC1582" s="6">
        <v>1.4899999999999984</v>
      </c>
      <c r="AD1582" s="22" t="s">
        <v>3140</v>
      </c>
      <c r="AE1582" s="23">
        <f t="shared" si="97"/>
        <v>19.59</v>
      </c>
      <c r="AF1582" s="24">
        <f t="shared" si="98"/>
        <v>0</v>
      </c>
      <c r="AG1582" s="23">
        <f t="shared" si="99"/>
        <v>1</v>
      </c>
    </row>
    <row r="1583" spans="1:33" ht="12.5" customHeight="1" x14ac:dyDescent="0.25">
      <c r="A1583" s="12" t="s">
        <v>31</v>
      </c>
      <c r="B1583" s="9">
        <v>46197</v>
      </c>
      <c r="C1583" s="13" t="s">
        <v>2486</v>
      </c>
      <c r="D1583" s="10" t="s">
        <v>2393</v>
      </c>
      <c r="E1583" s="10" t="s">
        <v>51</v>
      </c>
      <c r="F1583" s="10" t="s">
        <v>35</v>
      </c>
      <c r="G1583" s="10" t="s">
        <v>3146</v>
      </c>
      <c r="H1583" s="8" t="s">
        <v>36</v>
      </c>
      <c r="I1583" s="11">
        <v>54.45</v>
      </c>
      <c r="J1583" s="6">
        <v>49.93065</v>
      </c>
      <c r="K1583" s="6">
        <v>0.91699999999999993</v>
      </c>
      <c r="L1583" s="6">
        <v>54.34</v>
      </c>
      <c r="M1583" s="11">
        <v>49.82978</v>
      </c>
      <c r="N1583" s="11">
        <f t="shared" si="96"/>
        <v>49.83</v>
      </c>
      <c r="O1583" s="6">
        <v>0.91699999999999993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0.11</v>
      </c>
      <c r="Z1583" s="6">
        <v>0.10087</v>
      </c>
      <c r="AA1583" s="6">
        <v>0.91700000000000004</v>
      </c>
      <c r="AB1583" s="6">
        <v>-0.10999999999999943</v>
      </c>
      <c r="AC1583" s="6">
        <v>0.10999999999999943</v>
      </c>
      <c r="AD1583" s="23" t="s">
        <v>3143</v>
      </c>
      <c r="AE1583" s="23">
        <f t="shared" si="97"/>
        <v>47.106999999999999</v>
      </c>
      <c r="AF1583" s="24">
        <f t="shared" si="98"/>
        <v>2.722999999999999</v>
      </c>
      <c r="AG1583" s="23">
        <f t="shared" si="99"/>
        <v>2</v>
      </c>
    </row>
    <row r="1584" spans="1:33" hidden="1" x14ac:dyDescent="0.25">
      <c r="A1584" s="12" t="s">
        <v>31</v>
      </c>
      <c r="B1584" s="9">
        <v>46197</v>
      </c>
      <c r="C1584" s="10" t="s">
        <v>2488</v>
      </c>
      <c r="D1584" s="10" t="s">
        <v>2489</v>
      </c>
      <c r="E1584" s="10" t="s">
        <v>51</v>
      </c>
      <c r="F1584" s="10" t="s">
        <v>35</v>
      </c>
      <c r="G1584" s="10" t="s">
        <v>3145</v>
      </c>
      <c r="H1584" s="8" t="s">
        <v>41</v>
      </c>
      <c r="I1584" s="11">
        <v>8.58</v>
      </c>
      <c r="J1584" s="6">
        <v>6.4349999999999996</v>
      </c>
      <c r="K1584" s="6">
        <v>0.75</v>
      </c>
      <c r="L1584" s="6">
        <v>7.31</v>
      </c>
      <c r="M1584" s="11">
        <v>5.4824999999999999</v>
      </c>
      <c r="N1584" s="11">
        <f t="shared" si="96"/>
        <v>5.4830000000000005</v>
      </c>
      <c r="O1584" s="6">
        <v>0.75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1.27</v>
      </c>
      <c r="Z1584" s="6">
        <v>0.95250000000000001</v>
      </c>
      <c r="AA1584" s="6">
        <v>0.75</v>
      </c>
      <c r="AB1584" s="6">
        <v>-1.2700000000000005</v>
      </c>
      <c r="AC1584" s="6">
        <v>1.2700000000000005</v>
      </c>
      <c r="AD1584" s="22" t="s">
        <v>3140</v>
      </c>
      <c r="AE1584" s="23">
        <f t="shared" si="97"/>
        <v>5.4830000000000005</v>
      </c>
      <c r="AF1584" s="24">
        <f t="shared" si="98"/>
        <v>0</v>
      </c>
      <c r="AG1584" s="23">
        <f t="shared" si="99"/>
        <v>1</v>
      </c>
    </row>
    <row r="1585" spans="1:33" x14ac:dyDescent="0.25">
      <c r="A1585" s="12" t="s">
        <v>31</v>
      </c>
      <c r="B1585" s="9">
        <v>46197</v>
      </c>
      <c r="C1585" s="10" t="s">
        <v>2490</v>
      </c>
      <c r="D1585" s="10" t="s">
        <v>2433</v>
      </c>
      <c r="E1585" s="10" t="s">
        <v>51</v>
      </c>
      <c r="F1585" s="10" t="s">
        <v>35</v>
      </c>
      <c r="G1585" s="10" t="s">
        <v>3146</v>
      </c>
      <c r="H1585" s="8" t="s">
        <v>36</v>
      </c>
      <c r="I1585" s="11">
        <v>19.84</v>
      </c>
      <c r="J1585" s="6">
        <v>18.193280000000001</v>
      </c>
      <c r="K1585" s="6">
        <v>0.91700000000000004</v>
      </c>
      <c r="L1585" s="6">
        <v>19.72</v>
      </c>
      <c r="M1585" s="11">
        <v>18.08324</v>
      </c>
      <c r="N1585" s="11">
        <f t="shared" si="96"/>
        <v>18.084</v>
      </c>
      <c r="O1585" s="6">
        <v>0.91700000000000004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0.12</v>
      </c>
      <c r="Z1585" s="6">
        <v>0.11004</v>
      </c>
      <c r="AA1585" s="6">
        <v>0.91700000000000004</v>
      </c>
      <c r="AB1585" s="6">
        <v>-0.12000000000000099</v>
      </c>
      <c r="AC1585" s="6">
        <v>0.12000000000000099</v>
      </c>
      <c r="AD1585" s="22" t="s">
        <v>3140</v>
      </c>
      <c r="AE1585" s="23">
        <f t="shared" si="97"/>
        <v>18.084</v>
      </c>
      <c r="AF1585" s="24">
        <f t="shared" si="98"/>
        <v>0</v>
      </c>
      <c r="AG1585" s="23">
        <f t="shared" si="99"/>
        <v>2</v>
      </c>
    </row>
    <row r="1586" spans="1:33" x14ac:dyDescent="0.25">
      <c r="A1586" s="12" t="s">
        <v>31</v>
      </c>
      <c r="B1586" s="9">
        <v>46197</v>
      </c>
      <c r="C1586" s="10" t="s">
        <v>2491</v>
      </c>
      <c r="D1586" s="10" t="s">
        <v>2290</v>
      </c>
      <c r="E1586" s="10" t="s">
        <v>51</v>
      </c>
      <c r="F1586" s="10" t="s">
        <v>35</v>
      </c>
      <c r="G1586" s="10" t="s">
        <v>3146</v>
      </c>
      <c r="H1586" s="8" t="s">
        <v>36</v>
      </c>
      <c r="I1586" s="11">
        <v>11.62</v>
      </c>
      <c r="J1586" s="6">
        <v>10.65554</v>
      </c>
      <c r="K1586" s="6">
        <v>0.91700000000000004</v>
      </c>
      <c r="L1586" s="6">
        <v>10.85</v>
      </c>
      <c r="M1586" s="11">
        <v>9.9494500000000006</v>
      </c>
      <c r="N1586" s="11">
        <f t="shared" si="96"/>
        <v>9.9499999999999993</v>
      </c>
      <c r="O1586" s="6">
        <v>0.91700000000000004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0.77</v>
      </c>
      <c r="Z1586" s="6">
        <v>0.70609</v>
      </c>
      <c r="AA1586" s="6">
        <v>0.91699999999999993</v>
      </c>
      <c r="AB1586" s="6">
        <v>-0.76999999999999957</v>
      </c>
      <c r="AC1586" s="6">
        <v>0.76999999999999957</v>
      </c>
      <c r="AD1586" s="22" t="s">
        <v>3140</v>
      </c>
      <c r="AE1586" s="23">
        <f t="shared" si="97"/>
        <v>9.9499999999999993</v>
      </c>
      <c r="AF1586" s="24">
        <f t="shared" si="98"/>
        <v>0</v>
      </c>
      <c r="AG1586" s="23">
        <f t="shared" si="99"/>
        <v>2</v>
      </c>
    </row>
    <row r="1587" spans="1:33" ht="12.5" hidden="1" customHeight="1" x14ac:dyDescent="0.25">
      <c r="A1587" s="12" t="s">
        <v>31</v>
      </c>
      <c r="B1587" s="9">
        <v>46197</v>
      </c>
      <c r="C1587" s="8" t="s">
        <v>2492</v>
      </c>
      <c r="D1587" s="10" t="s">
        <v>2493</v>
      </c>
      <c r="E1587" s="10" t="s">
        <v>51</v>
      </c>
      <c r="F1587" s="10" t="s">
        <v>35</v>
      </c>
      <c r="G1587" s="10" t="s">
        <v>3145</v>
      </c>
      <c r="H1587" s="8" t="s">
        <v>41</v>
      </c>
      <c r="I1587" s="11">
        <v>15.21</v>
      </c>
      <c r="J1587" s="6">
        <v>11.407500000000001</v>
      </c>
      <c r="K1587" s="6">
        <v>0.75</v>
      </c>
      <c r="L1587" s="6">
        <v>14.28</v>
      </c>
      <c r="M1587" s="11">
        <v>10.71</v>
      </c>
      <c r="N1587" s="11">
        <f t="shared" si="96"/>
        <v>10.71</v>
      </c>
      <c r="O1587" s="6">
        <v>0.75000000000000011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0.93</v>
      </c>
      <c r="Z1587" s="6">
        <v>0.69750000000000001</v>
      </c>
      <c r="AA1587" s="6">
        <v>0.75</v>
      </c>
      <c r="AB1587" s="6">
        <v>-0.93000000000000149</v>
      </c>
      <c r="AC1587" s="6">
        <v>0.93000000000000149</v>
      </c>
      <c r="AD1587" s="22" t="s">
        <v>3140</v>
      </c>
      <c r="AE1587" s="23">
        <f t="shared" si="97"/>
        <v>10.71</v>
      </c>
      <c r="AF1587" s="24">
        <f t="shared" si="98"/>
        <v>0</v>
      </c>
      <c r="AG1587" s="23">
        <f t="shared" si="99"/>
        <v>1</v>
      </c>
    </row>
    <row r="1588" spans="1:33" ht="12.5" hidden="1" customHeight="1" x14ac:dyDescent="0.25">
      <c r="A1588" s="12" t="s">
        <v>31</v>
      </c>
      <c r="B1588" s="9">
        <v>46197</v>
      </c>
      <c r="C1588" s="13" t="s">
        <v>2492</v>
      </c>
      <c r="D1588" s="10" t="s">
        <v>2494</v>
      </c>
      <c r="E1588" s="10" t="s">
        <v>51</v>
      </c>
      <c r="F1588" s="10" t="s">
        <v>35</v>
      </c>
      <c r="G1588" s="10" t="s">
        <v>3145</v>
      </c>
      <c r="H1588" s="8" t="s">
        <v>41</v>
      </c>
      <c r="I1588" s="11">
        <v>16.73</v>
      </c>
      <c r="J1588" s="6">
        <v>12.547499999999999</v>
      </c>
      <c r="K1588" s="6">
        <v>0.75</v>
      </c>
      <c r="L1588" s="6">
        <v>15.49</v>
      </c>
      <c r="M1588" s="11">
        <v>11.6175</v>
      </c>
      <c r="N1588" s="11">
        <f t="shared" si="96"/>
        <v>11.618</v>
      </c>
      <c r="O1588" s="6">
        <v>0.75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1.24</v>
      </c>
      <c r="Z1588" s="6">
        <v>0.93</v>
      </c>
      <c r="AA1588" s="6">
        <v>0.75</v>
      </c>
      <c r="AB1588" s="6">
        <v>-1.2400000000000002</v>
      </c>
      <c r="AC1588" s="6">
        <v>1.2400000000000002</v>
      </c>
      <c r="AD1588" s="22" t="s">
        <v>3140</v>
      </c>
      <c r="AE1588" s="23">
        <f t="shared" si="97"/>
        <v>11.618</v>
      </c>
      <c r="AF1588" s="24">
        <f t="shared" si="98"/>
        <v>0</v>
      </c>
      <c r="AG1588" s="23">
        <f t="shared" si="99"/>
        <v>1</v>
      </c>
    </row>
    <row r="1589" spans="1:33" hidden="1" x14ac:dyDescent="0.25">
      <c r="A1589" s="12" t="s">
        <v>31</v>
      </c>
      <c r="B1589" s="9">
        <v>46197</v>
      </c>
      <c r="C1589" s="10" t="s">
        <v>2495</v>
      </c>
      <c r="D1589" s="10" t="s">
        <v>2496</v>
      </c>
      <c r="E1589" s="10" t="s">
        <v>51</v>
      </c>
      <c r="F1589" s="10" t="s">
        <v>35</v>
      </c>
      <c r="G1589" s="10" t="s">
        <v>3145</v>
      </c>
      <c r="H1589" s="8" t="s">
        <v>41</v>
      </c>
      <c r="I1589" s="11">
        <v>27.9</v>
      </c>
      <c r="J1589" s="6">
        <v>20.925000000000001</v>
      </c>
      <c r="K1589" s="6">
        <v>0.75000000000000011</v>
      </c>
      <c r="L1589" s="6">
        <v>25.58</v>
      </c>
      <c r="M1589" s="11">
        <v>19.184999999999999</v>
      </c>
      <c r="N1589" s="11">
        <f t="shared" si="96"/>
        <v>19.184999999999999</v>
      </c>
      <c r="O1589" s="6">
        <v>0.75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2.3199999999999998</v>
      </c>
      <c r="Z1589" s="6">
        <v>1.74</v>
      </c>
      <c r="AA1589" s="6">
        <v>0.75</v>
      </c>
      <c r="AB1589" s="6">
        <v>-2.3200000000000003</v>
      </c>
      <c r="AC1589" s="6">
        <v>2.3200000000000003</v>
      </c>
      <c r="AD1589" s="22" t="s">
        <v>3140</v>
      </c>
      <c r="AE1589" s="23">
        <f t="shared" si="97"/>
        <v>19.184999999999999</v>
      </c>
      <c r="AF1589" s="24">
        <f t="shared" si="98"/>
        <v>0</v>
      </c>
      <c r="AG1589" s="23">
        <f t="shared" si="99"/>
        <v>1</v>
      </c>
    </row>
    <row r="1590" spans="1:33" x14ac:dyDescent="0.25">
      <c r="A1590" s="12" t="s">
        <v>31</v>
      </c>
      <c r="B1590" s="9">
        <v>46197</v>
      </c>
      <c r="C1590" s="10" t="s">
        <v>2497</v>
      </c>
      <c r="D1590" s="10" t="s">
        <v>2286</v>
      </c>
      <c r="E1590" s="10" t="s">
        <v>51</v>
      </c>
      <c r="F1590" s="10" t="s">
        <v>35</v>
      </c>
      <c r="G1590" s="10" t="s">
        <v>3146</v>
      </c>
      <c r="H1590" s="8" t="s">
        <v>36</v>
      </c>
      <c r="I1590" s="11">
        <v>2.63</v>
      </c>
      <c r="J1590" s="6">
        <v>2.4117099999999998</v>
      </c>
      <c r="K1590" s="6">
        <v>0.91699999999999993</v>
      </c>
      <c r="L1590" s="6">
        <v>2.4700000000000002</v>
      </c>
      <c r="M1590" s="11">
        <v>2.2649900000000001</v>
      </c>
      <c r="N1590" s="11">
        <f t="shared" si="96"/>
        <v>2.2649999999999997</v>
      </c>
      <c r="O1590" s="6">
        <v>0.91699999999999993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0.16</v>
      </c>
      <c r="Z1590" s="6">
        <v>0.14671999999999999</v>
      </c>
      <c r="AA1590" s="6">
        <v>0.91699999999999993</v>
      </c>
      <c r="AB1590" s="6">
        <v>-0.1599999999999997</v>
      </c>
      <c r="AC1590" s="6">
        <v>0.1599999999999997</v>
      </c>
      <c r="AD1590" s="22" t="s">
        <v>3140</v>
      </c>
      <c r="AE1590" s="23">
        <f t="shared" si="97"/>
        <v>2.2649999999999997</v>
      </c>
      <c r="AF1590" s="24">
        <f t="shared" si="98"/>
        <v>0</v>
      </c>
      <c r="AG1590" s="23">
        <f t="shared" si="99"/>
        <v>2</v>
      </c>
    </row>
    <row r="1591" spans="1:33" x14ac:dyDescent="0.25">
      <c r="A1591" s="12" t="s">
        <v>31</v>
      </c>
      <c r="B1591" s="9">
        <v>46197</v>
      </c>
      <c r="C1591" s="10" t="s">
        <v>2498</v>
      </c>
      <c r="D1591" s="10" t="s">
        <v>2499</v>
      </c>
      <c r="E1591" s="10" t="s">
        <v>51</v>
      </c>
      <c r="F1591" s="10" t="s">
        <v>35</v>
      </c>
      <c r="G1591" s="10" t="s">
        <v>3146</v>
      </c>
      <c r="H1591" s="8" t="s">
        <v>36</v>
      </c>
      <c r="I1591" s="11">
        <v>19.48</v>
      </c>
      <c r="J1591" s="6">
        <v>17.863160000000001</v>
      </c>
      <c r="K1591" s="6">
        <v>0.91700000000000004</v>
      </c>
      <c r="L1591" s="6">
        <v>18.989999999999998</v>
      </c>
      <c r="M1591" s="11">
        <v>17.413830000000001</v>
      </c>
      <c r="N1591" s="11">
        <f t="shared" si="96"/>
        <v>17.414000000000001</v>
      </c>
      <c r="O1591" s="6">
        <v>0.91700000000000015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0.49</v>
      </c>
      <c r="Z1591" s="6">
        <v>0.44933000000000001</v>
      </c>
      <c r="AA1591" s="6">
        <v>0.91700000000000004</v>
      </c>
      <c r="AB1591" s="6">
        <v>-0.49000000000000199</v>
      </c>
      <c r="AC1591" s="6">
        <v>0.49000000000000199</v>
      </c>
      <c r="AD1591" s="22" t="s">
        <v>3140</v>
      </c>
      <c r="AE1591" s="23">
        <f t="shared" si="97"/>
        <v>17.414000000000001</v>
      </c>
      <c r="AF1591" s="24">
        <f t="shared" si="98"/>
        <v>0</v>
      </c>
      <c r="AG1591" s="23">
        <f t="shared" si="99"/>
        <v>1</v>
      </c>
    </row>
    <row r="1592" spans="1:33" hidden="1" x14ac:dyDescent="0.25">
      <c r="A1592" s="12" t="s">
        <v>31</v>
      </c>
      <c r="B1592" s="9">
        <v>46197</v>
      </c>
      <c r="C1592" s="10" t="s">
        <v>2500</v>
      </c>
      <c r="D1592" s="10" t="s">
        <v>2501</v>
      </c>
      <c r="E1592" s="10" t="s">
        <v>51</v>
      </c>
      <c r="F1592" s="10" t="s">
        <v>35</v>
      </c>
      <c r="G1592" s="10" t="s">
        <v>3145</v>
      </c>
      <c r="H1592" s="8" t="s">
        <v>41</v>
      </c>
      <c r="I1592" s="11">
        <v>21.02</v>
      </c>
      <c r="J1592" s="6">
        <v>15.765000000000001</v>
      </c>
      <c r="K1592" s="6">
        <v>0.75</v>
      </c>
      <c r="L1592" s="6">
        <v>19.48</v>
      </c>
      <c r="M1592" s="11">
        <v>14.61</v>
      </c>
      <c r="N1592" s="11">
        <f t="shared" si="96"/>
        <v>14.61</v>
      </c>
      <c r="O1592" s="6">
        <v>0.75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1.54</v>
      </c>
      <c r="Z1592" s="6">
        <v>1.155</v>
      </c>
      <c r="AA1592" s="6">
        <v>0.75</v>
      </c>
      <c r="AB1592" s="6">
        <v>-1.5399999999999991</v>
      </c>
      <c r="AC1592" s="6">
        <v>1.5399999999999991</v>
      </c>
      <c r="AD1592" s="22" t="s">
        <v>3140</v>
      </c>
      <c r="AE1592" s="23">
        <f t="shared" si="97"/>
        <v>14.61</v>
      </c>
      <c r="AF1592" s="24">
        <f t="shared" si="98"/>
        <v>0</v>
      </c>
      <c r="AG1592" s="23">
        <f t="shared" si="99"/>
        <v>1</v>
      </c>
    </row>
    <row r="1593" spans="1:33" x14ac:dyDescent="0.25">
      <c r="A1593" s="12" t="s">
        <v>31</v>
      </c>
      <c r="B1593" s="9">
        <v>46197</v>
      </c>
      <c r="C1593" s="10" t="s">
        <v>2502</v>
      </c>
      <c r="D1593" s="10" t="s">
        <v>2284</v>
      </c>
      <c r="E1593" s="10" t="s">
        <v>51</v>
      </c>
      <c r="F1593" s="10" t="s">
        <v>35</v>
      </c>
      <c r="G1593" s="10" t="s">
        <v>3146</v>
      </c>
      <c r="H1593" s="8" t="s">
        <v>36</v>
      </c>
      <c r="I1593" s="11">
        <v>3.47</v>
      </c>
      <c r="J1593" s="6">
        <v>3.1819899999999999</v>
      </c>
      <c r="K1593" s="6">
        <v>0.91699999999999993</v>
      </c>
      <c r="L1593" s="6">
        <v>3.29</v>
      </c>
      <c r="M1593" s="11">
        <v>3.0169299999999999</v>
      </c>
      <c r="N1593" s="11">
        <f t="shared" si="96"/>
        <v>3.0169999999999999</v>
      </c>
      <c r="O1593" s="6">
        <v>0.91699999999999993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0.18</v>
      </c>
      <c r="Z1593" s="6">
        <v>0.16506000000000001</v>
      </c>
      <c r="AA1593" s="6">
        <v>0.91700000000000015</v>
      </c>
      <c r="AB1593" s="6">
        <v>-0.18000000000000016</v>
      </c>
      <c r="AC1593" s="6">
        <v>0.18000000000000016</v>
      </c>
      <c r="AD1593" s="22" t="s">
        <v>3140</v>
      </c>
      <c r="AE1593" s="23">
        <f t="shared" si="97"/>
        <v>3.0169999999999999</v>
      </c>
      <c r="AF1593" s="24">
        <f t="shared" si="98"/>
        <v>0</v>
      </c>
      <c r="AG1593" s="23">
        <f t="shared" si="99"/>
        <v>2</v>
      </c>
    </row>
    <row r="1594" spans="1:33" ht="12.5" customHeight="1" x14ac:dyDescent="0.25">
      <c r="A1594" s="12" t="s">
        <v>31</v>
      </c>
      <c r="B1594" s="9">
        <v>46197</v>
      </c>
      <c r="C1594" s="8" t="s">
        <v>2503</v>
      </c>
      <c r="D1594" s="10" t="s">
        <v>2233</v>
      </c>
      <c r="E1594" s="10" t="s">
        <v>51</v>
      </c>
      <c r="F1594" s="10" t="s">
        <v>35</v>
      </c>
      <c r="G1594" s="10" t="s">
        <v>3146</v>
      </c>
      <c r="H1594" s="8" t="s">
        <v>36</v>
      </c>
      <c r="I1594" s="11">
        <v>4.18</v>
      </c>
      <c r="J1594" s="6">
        <v>3.8330600000000001</v>
      </c>
      <c r="K1594" s="6">
        <v>0.91700000000000015</v>
      </c>
      <c r="L1594" s="6">
        <v>4.01</v>
      </c>
      <c r="M1594" s="11">
        <v>3.6771699999999998</v>
      </c>
      <c r="N1594" s="11">
        <f t="shared" si="96"/>
        <v>3.6779999999999999</v>
      </c>
      <c r="O1594" s="6">
        <v>0.91700000000000004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0.17</v>
      </c>
      <c r="Z1594" s="6">
        <v>0.15589</v>
      </c>
      <c r="AA1594" s="6">
        <v>0.91699999999999993</v>
      </c>
      <c r="AB1594" s="6">
        <v>-0.16999999999999993</v>
      </c>
      <c r="AC1594" s="6">
        <v>0.16999999999999993</v>
      </c>
      <c r="AD1594" s="23" t="s">
        <v>3143</v>
      </c>
      <c r="AE1594" s="23">
        <f t="shared" si="97"/>
        <v>3.0629999999999997</v>
      </c>
      <c r="AF1594" s="24">
        <f t="shared" si="98"/>
        <v>0.61500000000000021</v>
      </c>
      <c r="AG1594" s="23">
        <f t="shared" si="99"/>
        <v>2</v>
      </c>
    </row>
    <row r="1595" spans="1:33" ht="12.5" customHeight="1" x14ac:dyDescent="0.25">
      <c r="A1595" s="12" t="s">
        <v>31</v>
      </c>
      <c r="B1595" s="9">
        <v>46197</v>
      </c>
      <c r="C1595" s="13" t="s">
        <v>2503</v>
      </c>
      <c r="D1595" s="10" t="s">
        <v>2288</v>
      </c>
      <c r="E1595" s="10" t="s">
        <v>51</v>
      </c>
      <c r="F1595" s="10" t="s">
        <v>35</v>
      </c>
      <c r="G1595" s="10" t="s">
        <v>3146</v>
      </c>
      <c r="H1595" s="8" t="s">
        <v>36</v>
      </c>
      <c r="I1595" s="11">
        <v>8.75</v>
      </c>
      <c r="J1595" s="6">
        <v>8.0237499999999997</v>
      </c>
      <c r="K1595" s="6">
        <v>0.91699999999999993</v>
      </c>
      <c r="L1595" s="6">
        <v>8.6</v>
      </c>
      <c r="M1595" s="11">
        <v>7.8861999999999997</v>
      </c>
      <c r="N1595" s="11">
        <f t="shared" si="96"/>
        <v>7.8870000000000005</v>
      </c>
      <c r="O1595" s="6">
        <v>0.91700000000000004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0.15</v>
      </c>
      <c r="Z1595" s="6">
        <v>0.13755000000000001</v>
      </c>
      <c r="AA1595" s="6">
        <v>0.91700000000000004</v>
      </c>
      <c r="AB1595" s="6">
        <v>-0.15000000000000036</v>
      </c>
      <c r="AC1595" s="6">
        <v>0.15000000000000036</v>
      </c>
      <c r="AD1595" s="22" t="s">
        <v>3140</v>
      </c>
      <c r="AE1595" s="23">
        <f t="shared" si="97"/>
        <v>7.8870000000000005</v>
      </c>
      <c r="AF1595" s="24">
        <f t="shared" si="98"/>
        <v>0</v>
      </c>
      <c r="AG1595" s="23">
        <f t="shared" si="99"/>
        <v>2</v>
      </c>
    </row>
    <row r="1596" spans="1:33" x14ac:dyDescent="0.25">
      <c r="A1596" s="12" t="s">
        <v>31</v>
      </c>
      <c r="B1596" s="9">
        <v>46197</v>
      </c>
      <c r="C1596" s="10" t="s">
        <v>2504</v>
      </c>
      <c r="D1596" s="10" t="s">
        <v>2274</v>
      </c>
      <c r="E1596" s="10" t="s">
        <v>51</v>
      </c>
      <c r="F1596" s="10" t="s">
        <v>35</v>
      </c>
      <c r="G1596" s="10" t="s">
        <v>3146</v>
      </c>
      <c r="H1596" s="8" t="s">
        <v>36</v>
      </c>
      <c r="I1596" s="11">
        <v>8.81</v>
      </c>
      <c r="J1596" s="6">
        <v>8.0787700000000005</v>
      </c>
      <c r="K1596" s="6">
        <v>0.91700000000000004</v>
      </c>
      <c r="L1596" s="6">
        <v>8.7899999999999991</v>
      </c>
      <c r="M1596" s="11">
        <v>8.0604300000000002</v>
      </c>
      <c r="N1596" s="11">
        <f t="shared" si="96"/>
        <v>8.0609999999999999</v>
      </c>
      <c r="O1596" s="6">
        <v>0.91700000000000015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0.02</v>
      </c>
      <c r="Z1596" s="6">
        <v>1.8339999999999999E-2</v>
      </c>
      <c r="AA1596" s="6">
        <v>0.91699999999999993</v>
      </c>
      <c r="AB1596" s="6">
        <v>-2.000000000000135E-2</v>
      </c>
      <c r="AC1596" s="6">
        <v>2.000000000000135E-2</v>
      </c>
      <c r="AD1596" s="23" t="s">
        <v>3143</v>
      </c>
      <c r="AE1596" s="23">
        <f t="shared" si="97"/>
        <v>7.7310000000000008</v>
      </c>
      <c r="AF1596" s="24">
        <f t="shared" si="98"/>
        <v>0.32999999999999918</v>
      </c>
      <c r="AG1596" s="23">
        <f t="shared" si="99"/>
        <v>2</v>
      </c>
    </row>
    <row r="1597" spans="1:33" hidden="1" x14ac:dyDescent="0.25">
      <c r="A1597" s="12" t="s">
        <v>31</v>
      </c>
      <c r="B1597" s="9">
        <v>46197</v>
      </c>
      <c r="C1597" s="10" t="s">
        <v>2505</v>
      </c>
      <c r="D1597" s="10" t="s">
        <v>2506</v>
      </c>
      <c r="E1597" s="10" t="s">
        <v>51</v>
      </c>
      <c r="F1597" s="10" t="s">
        <v>35</v>
      </c>
      <c r="G1597" s="10" t="s">
        <v>3145</v>
      </c>
      <c r="H1597" s="8" t="s">
        <v>41</v>
      </c>
      <c r="I1597" s="11">
        <v>34.83</v>
      </c>
      <c r="J1597" s="6">
        <v>26.122499999999999</v>
      </c>
      <c r="K1597" s="6">
        <v>0.75</v>
      </c>
      <c r="L1597" s="6">
        <v>32.97</v>
      </c>
      <c r="M1597" s="11">
        <v>24.727499999999999</v>
      </c>
      <c r="N1597" s="11">
        <f t="shared" si="96"/>
        <v>24.728000000000002</v>
      </c>
      <c r="O1597" s="6">
        <v>0.75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1.86</v>
      </c>
      <c r="Z1597" s="6">
        <v>1.395</v>
      </c>
      <c r="AA1597" s="6">
        <v>0.75</v>
      </c>
      <c r="AB1597" s="6">
        <v>-1.8599999999999994</v>
      </c>
      <c r="AC1597" s="6">
        <v>1.8599999999999994</v>
      </c>
      <c r="AD1597" s="22" t="s">
        <v>3140</v>
      </c>
      <c r="AE1597" s="23">
        <f t="shared" si="97"/>
        <v>24.728000000000002</v>
      </c>
      <c r="AF1597" s="24">
        <f t="shared" si="98"/>
        <v>0</v>
      </c>
      <c r="AG1597" s="23">
        <f t="shared" si="99"/>
        <v>1</v>
      </c>
    </row>
    <row r="1598" spans="1:33" x14ac:dyDescent="0.25">
      <c r="A1598" s="12" t="s">
        <v>31</v>
      </c>
      <c r="B1598" s="9">
        <v>46197</v>
      </c>
      <c r="C1598" s="10" t="s">
        <v>2507</v>
      </c>
      <c r="D1598" s="10" t="s">
        <v>2508</v>
      </c>
      <c r="E1598" s="10" t="s">
        <v>51</v>
      </c>
      <c r="F1598" s="10" t="s">
        <v>35</v>
      </c>
      <c r="G1598" s="10" t="s">
        <v>3146</v>
      </c>
      <c r="H1598" s="8" t="s">
        <v>36</v>
      </c>
      <c r="I1598" s="11">
        <v>26.08</v>
      </c>
      <c r="J1598" s="6">
        <v>23.91536</v>
      </c>
      <c r="K1598" s="6">
        <v>0.91700000000000004</v>
      </c>
      <c r="L1598" s="6">
        <v>24.45</v>
      </c>
      <c r="M1598" s="11">
        <v>22.420649999999998</v>
      </c>
      <c r="N1598" s="11">
        <f t="shared" si="96"/>
        <v>22.421000000000003</v>
      </c>
      <c r="O1598" s="6">
        <v>0.91699999999999993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1.63</v>
      </c>
      <c r="Z1598" s="6">
        <v>1.49471</v>
      </c>
      <c r="AA1598" s="6">
        <v>0.91700000000000004</v>
      </c>
      <c r="AB1598" s="6">
        <v>-1.629999999999999</v>
      </c>
      <c r="AC1598" s="6">
        <v>1.629999999999999</v>
      </c>
      <c r="AD1598" s="22" t="s">
        <v>3140</v>
      </c>
      <c r="AE1598" s="23">
        <f t="shared" si="97"/>
        <v>22.421000000000003</v>
      </c>
      <c r="AF1598" s="24">
        <f t="shared" si="98"/>
        <v>0</v>
      </c>
      <c r="AG1598" s="23">
        <f t="shared" si="99"/>
        <v>1</v>
      </c>
    </row>
    <row r="1599" spans="1:33" ht="12.5" hidden="1" customHeight="1" x14ac:dyDescent="0.25">
      <c r="A1599" s="12" t="s">
        <v>31</v>
      </c>
      <c r="B1599" s="9">
        <v>46197</v>
      </c>
      <c r="C1599" s="8" t="s">
        <v>2509</v>
      </c>
      <c r="D1599" s="8" t="s">
        <v>338</v>
      </c>
      <c r="E1599" s="8" t="s">
        <v>51</v>
      </c>
      <c r="F1599" s="8" t="s">
        <v>35</v>
      </c>
      <c r="G1599" s="10" t="s">
        <v>3145</v>
      </c>
      <c r="H1599" s="8" t="s">
        <v>48</v>
      </c>
      <c r="I1599" s="11">
        <v>8.7100000000000009</v>
      </c>
      <c r="J1599" s="6">
        <v>6.5324999999999998</v>
      </c>
      <c r="K1599" s="6">
        <v>0.74999999999999989</v>
      </c>
      <c r="L1599" s="6">
        <v>7.41</v>
      </c>
      <c r="M1599" s="11">
        <v>5.5575000000000001</v>
      </c>
      <c r="N1599" s="11">
        <f t="shared" si="96"/>
        <v>5.5580000000000007</v>
      </c>
      <c r="O1599" s="6">
        <v>0.75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1.3</v>
      </c>
      <c r="Z1599" s="6">
        <v>0.97499999999999998</v>
      </c>
      <c r="AA1599" s="6">
        <v>0.75</v>
      </c>
      <c r="AB1599" s="6">
        <v>-1.3000000000000007</v>
      </c>
      <c r="AC1599" s="6">
        <v>1.3000000000000007</v>
      </c>
      <c r="AD1599" s="23" t="s">
        <v>3143</v>
      </c>
      <c r="AE1599" s="23">
        <f t="shared" si="97"/>
        <v>0</v>
      </c>
      <c r="AF1599" s="24">
        <f t="shared" si="98"/>
        <v>5.5580000000000007</v>
      </c>
      <c r="AG1599" s="23">
        <f t="shared" si="99"/>
        <v>67</v>
      </c>
    </row>
    <row r="1600" spans="1:33" ht="12.5" hidden="1" customHeight="1" x14ac:dyDescent="0.25">
      <c r="A1600" s="12" t="s">
        <v>31</v>
      </c>
      <c r="B1600" s="9">
        <v>46197</v>
      </c>
      <c r="C1600" s="12" t="s">
        <v>2509</v>
      </c>
      <c r="D1600" s="12" t="s">
        <v>338</v>
      </c>
      <c r="E1600" s="12" t="s">
        <v>51</v>
      </c>
      <c r="F1600" s="12" t="s">
        <v>35</v>
      </c>
      <c r="G1600" s="10" t="s">
        <v>3145</v>
      </c>
      <c r="H1600" s="8" t="s">
        <v>41</v>
      </c>
      <c r="I1600" s="11">
        <v>3.82</v>
      </c>
      <c r="J1600" s="6">
        <v>2.8650000000000002</v>
      </c>
      <c r="K1600" s="6">
        <v>0.75000000000000011</v>
      </c>
      <c r="L1600" s="6">
        <v>3.66</v>
      </c>
      <c r="M1600" s="11">
        <v>2.7450000000000001</v>
      </c>
      <c r="N1600" s="11">
        <f t="shared" si="96"/>
        <v>2.7450000000000001</v>
      </c>
      <c r="O1600" s="6">
        <v>0.75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0.16</v>
      </c>
      <c r="Z1600" s="6">
        <v>0.12</v>
      </c>
      <c r="AA1600" s="6">
        <v>0.75</v>
      </c>
      <c r="AB1600" s="6">
        <v>-0.1599999999999997</v>
      </c>
      <c r="AC1600" s="6">
        <v>0.1599999999999997</v>
      </c>
      <c r="AD1600" s="23" t="s">
        <v>3143</v>
      </c>
      <c r="AE1600" s="23">
        <f t="shared" si="97"/>
        <v>0</v>
      </c>
      <c r="AF1600" s="24">
        <f t="shared" si="98"/>
        <v>2.7450000000000001</v>
      </c>
      <c r="AG1600" s="23">
        <f t="shared" si="99"/>
        <v>67</v>
      </c>
    </row>
    <row r="1601" spans="1:33" ht="12.5" customHeight="1" x14ac:dyDescent="0.25">
      <c r="A1601" s="12" t="s">
        <v>31</v>
      </c>
      <c r="B1601" s="9">
        <v>46197</v>
      </c>
      <c r="C1601" s="13" t="s">
        <v>2509</v>
      </c>
      <c r="D1601" s="13" t="s">
        <v>338</v>
      </c>
      <c r="E1601" s="13" t="s">
        <v>51</v>
      </c>
      <c r="F1601" s="13" t="s">
        <v>35</v>
      </c>
      <c r="G1601" s="10" t="s">
        <v>3146</v>
      </c>
      <c r="H1601" s="8" t="s">
        <v>36</v>
      </c>
      <c r="I1601" s="11">
        <v>10.61</v>
      </c>
      <c r="J1601" s="6">
        <v>9.7293699999999994</v>
      </c>
      <c r="K1601" s="6">
        <v>0.91700000000000004</v>
      </c>
      <c r="L1601" s="6">
        <v>6.65</v>
      </c>
      <c r="M1601" s="11">
        <v>6.0980499999999997</v>
      </c>
      <c r="N1601" s="11">
        <f t="shared" si="96"/>
        <v>6.0990000000000002</v>
      </c>
      <c r="O1601" s="6">
        <v>0.91699999999999993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3.96</v>
      </c>
      <c r="Z1601" s="6">
        <v>3.6313200000000001</v>
      </c>
      <c r="AA1601" s="6">
        <v>0.91700000000000004</v>
      </c>
      <c r="AB1601" s="6">
        <v>-3.9599999999999991</v>
      </c>
      <c r="AC1601" s="6">
        <v>3.9599999999999991</v>
      </c>
      <c r="AD1601" s="23" t="s">
        <v>3143</v>
      </c>
      <c r="AE1601" s="23">
        <f t="shared" si="97"/>
        <v>0</v>
      </c>
      <c r="AF1601" s="24">
        <f t="shared" si="98"/>
        <v>6.0990000000000002</v>
      </c>
      <c r="AG1601" s="23">
        <f t="shared" si="99"/>
        <v>67</v>
      </c>
    </row>
    <row r="1602" spans="1:33" ht="12.5" hidden="1" customHeight="1" x14ac:dyDescent="0.25">
      <c r="A1602" s="12" t="s">
        <v>31</v>
      </c>
      <c r="B1602" s="9">
        <v>46198</v>
      </c>
      <c r="C1602" s="10" t="s">
        <v>2510</v>
      </c>
      <c r="D1602" s="10" t="s">
        <v>2511</v>
      </c>
      <c r="E1602" s="10" t="s">
        <v>34</v>
      </c>
      <c r="F1602" s="10" t="s">
        <v>35</v>
      </c>
      <c r="G1602" s="10" t="s">
        <v>3145</v>
      </c>
      <c r="H1602" s="8" t="s">
        <v>48</v>
      </c>
      <c r="I1602" s="11">
        <v>19.59</v>
      </c>
      <c r="J1602" s="6">
        <v>14.692500000000001</v>
      </c>
      <c r="K1602" s="6">
        <v>0.75</v>
      </c>
      <c r="L1602" s="6">
        <v>17.899999999999999</v>
      </c>
      <c r="M1602" s="11">
        <v>13.425000000000001</v>
      </c>
      <c r="N1602" s="11">
        <f t="shared" si="96"/>
        <v>13.425000000000001</v>
      </c>
      <c r="O1602" s="6">
        <v>0.75000000000000011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1.69</v>
      </c>
      <c r="Z1602" s="6">
        <v>1.2675000000000001</v>
      </c>
      <c r="AA1602" s="6">
        <v>0.75000000000000011</v>
      </c>
      <c r="AB1602" s="6">
        <v>-1.6900000000000013</v>
      </c>
      <c r="AC1602" s="6">
        <v>1.6900000000000013</v>
      </c>
      <c r="AD1602" s="22" t="s">
        <v>3140</v>
      </c>
      <c r="AE1602" s="23">
        <f t="shared" si="97"/>
        <v>13.425000000000001</v>
      </c>
      <c r="AF1602" s="24">
        <f t="shared" si="98"/>
        <v>0</v>
      </c>
      <c r="AG1602" s="23">
        <f t="shared" si="99"/>
        <v>1</v>
      </c>
    </row>
    <row r="1603" spans="1:33" ht="12.5" customHeight="1" x14ac:dyDescent="0.25">
      <c r="A1603" s="12" t="s">
        <v>31</v>
      </c>
      <c r="B1603" s="9">
        <v>46198</v>
      </c>
      <c r="C1603" s="10" t="s">
        <v>2512</v>
      </c>
      <c r="D1603" s="10" t="s">
        <v>2513</v>
      </c>
      <c r="E1603" s="10" t="s">
        <v>34</v>
      </c>
      <c r="F1603" s="10" t="s">
        <v>35</v>
      </c>
      <c r="G1603" s="10" t="s">
        <v>3146</v>
      </c>
      <c r="H1603" s="8" t="s">
        <v>36</v>
      </c>
      <c r="I1603" s="11">
        <v>15.73</v>
      </c>
      <c r="J1603" s="6">
        <v>14.42441</v>
      </c>
      <c r="K1603" s="6">
        <v>0.91699999999999993</v>
      </c>
      <c r="L1603" s="6">
        <v>14.25</v>
      </c>
      <c r="M1603" s="11">
        <v>13.06725</v>
      </c>
      <c r="N1603" s="11">
        <f t="shared" ref="N1603:N1666" si="100">ROUNDUP(M1603,3)</f>
        <v>13.068</v>
      </c>
      <c r="O1603" s="6">
        <v>0.91699999999999993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1.48</v>
      </c>
      <c r="Z1603" s="6">
        <v>1.3571599999999999</v>
      </c>
      <c r="AA1603" s="6">
        <v>0.91699999999999993</v>
      </c>
      <c r="AB1603" s="6">
        <v>-1.4800000000000004</v>
      </c>
      <c r="AC1603" s="6">
        <v>1.4800000000000004</v>
      </c>
      <c r="AD1603" s="22" t="s">
        <v>3140</v>
      </c>
      <c r="AE1603" s="23">
        <f t="shared" ref="AE1603:AE1666" si="101">_xlfn.MINIFS(N:N,D:D,D1603)</f>
        <v>13.068</v>
      </c>
      <c r="AF1603" s="24">
        <f t="shared" ref="AF1603:AF1666" si="102">N1603-AE1603</f>
        <v>0</v>
      </c>
      <c r="AG1603" s="23">
        <f t="shared" ref="AG1603:AG1666" si="103">COUNTIF(D:D,D1603)</f>
        <v>1</v>
      </c>
    </row>
    <row r="1604" spans="1:33" ht="12.5" hidden="1" customHeight="1" x14ac:dyDescent="0.25">
      <c r="A1604" s="12" t="s">
        <v>31</v>
      </c>
      <c r="B1604" s="9">
        <v>46198</v>
      </c>
      <c r="C1604" s="10" t="s">
        <v>2514</v>
      </c>
      <c r="D1604" s="10" t="s">
        <v>2515</v>
      </c>
      <c r="E1604" s="10" t="s">
        <v>34</v>
      </c>
      <c r="F1604" s="10" t="s">
        <v>35</v>
      </c>
      <c r="G1604" s="10" t="s">
        <v>3145</v>
      </c>
      <c r="H1604" s="8" t="s">
        <v>48</v>
      </c>
      <c r="I1604" s="11">
        <v>20.68</v>
      </c>
      <c r="J1604" s="6">
        <v>15.51</v>
      </c>
      <c r="K1604" s="6">
        <v>0.75</v>
      </c>
      <c r="L1604" s="6">
        <v>18.14</v>
      </c>
      <c r="M1604" s="11">
        <v>13.605</v>
      </c>
      <c r="N1604" s="11">
        <f t="shared" si="100"/>
        <v>13.605</v>
      </c>
      <c r="O1604" s="6">
        <v>0.75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2.54</v>
      </c>
      <c r="Z1604" s="6">
        <v>1.905</v>
      </c>
      <c r="AA1604" s="6">
        <v>0.75</v>
      </c>
      <c r="AB1604" s="6">
        <v>-2.5399999999999991</v>
      </c>
      <c r="AC1604" s="6">
        <v>2.5399999999999991</v>
      </c>
      <c r="AD1604" s="22" t="s">
        <v>3140</v>
      </c>
      <c r="AE1604" s="23">
        <f t="shared" si="101"/>
        <v>13.605</v>
      </c>
      <c r="AF1604" s="24">
        <f t="shared" si="102"/>
        <v>0</v>
      </c>
      <c r="AG1604" s="23">
        <f t="shared" si="103"/>
        <v>1</v>
      </c>
    </row>
    <row r="1605" spans="1:33" ht="12.5" hidden="1" customHeight="1" x14ac:dyDescent="0.25">
      <c r="A1605" s="12" t="s">
        <v>31</v>
      </c>
      <c r="B1605" s="9">
        <v>46198</v>
      </c>
      <c r="C1605" s="10" t="s">
        <v>2516</v>
      </c>
      <c r="D1605" s="10" t="s">
        <v>2216</v>
      </c>
      <c r="E1605" s="10" t="s">
        <v>34</v>
      </c>
      <c r="F1605" s="10" t="s">
        <v>35</v>
      </c>
      <c r="G1605" s="10" t="s">
        <v>3145</v>
      </c>
      <c r="H1605" s="8" t="s">
        <v>48</v>
      </c>
      <c r="I1605" s="11">
        <v>105.9</v>
      </c>
      <c r="J1605" s="6">
        <v>79.424999999999997</v>
      </c>
      <c r="K1605" s="6">
        <v>0.74999999999999989</v>
      </c>
      <c r="L1605" s="6">
        <v>105.68</v>
      </c>
      <c r="M1605" s="11">
        <v>79.260000000000005</v>
      </c>
      <c r="N1605" s="11">
        <f t="shared" si="100"/>
        <v>79.260000000000005</v>
      </c>
      <c r="O1605" s="6">
        <v>0.75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0.22</v>
      </c>
      <c r="Z1605" s="6">
        <v>0.16500000000000001</v>
      </c>
      <c r="AA1605" s="6">
        <v>0.75</v>
      </c>
      <c r="AB1605" s="6">
        <v>-0.21999999999999886</v>
      </c>
      <c r="AC1605" s="6">
        <v>0.21999999999999886</v>
      </c>
      <c r="AD1605" s="22" t="s">
        <v>3140</v>
      </c>
      <c r="AE1605" s="23">
        <f t="shared" si="101"/>
        <v>79.260000000000005</v>
      </c>
      <c r="AF1605" s="24">
        <f t="shared" si="102"/>
        <v>0</v>
      </c>
      <c r="AG1605" s="23">
        <f t="shared" si="103"/>
        <v>2</v>
      </c>
    </row>
    <row r="1606" spans="1:33" ht="12.5" customHeight="1" x14ac:dyDescent="0.25">
      <c r="A1606" s="12" t="s">
        <v>31</v>
      </c>
      <c r="B1606" s="9">
        <v>46198</v>
      </c>
      <c r="C1606" s="10" t="s">
        <v>2517</v>
      </c>
      <c r="D1606" s="10" t="s">
        <v>2518</v>
      </c>
      <c r="E1606" s="10" t="s">
        <v>34</v>
      </c>
      <c r="F1606" s="10" t="s">
        <v>35</v>
      </c>
      <c r="G1606" s="10" t="s">
        <v>3146</v>
      </c>
      <c r="H1606" s="8" t="s">
        <v>36</v>
      </c>
      <c r="I1606" s="11">
        <v>13.73</v>
      </c>
      <c r="J1606" s="6">
        <v>12.59041</v>
      </c>
      <c r="K1606" s="6">
        <v>0.91700000000000004</v>
      </c>
      <c r="L1606" s="6">
        <v>11.6</v>
      </c>
      <c r="M1606" s="11">
        <v>10.6372</v>
      </c>
      <c r="N1606" s="11">
        <f t="shared" si="100"/>
        <v>10.638</v>
      </c>
      <c r="O1606" s="6">
        <v>0.91700000000000004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2.13</v>
      </c>
      <c r="Z1606" s="6">
        <v>1.9532099999999999</v>
      </c>
      <c r="AA1606" s="6">
        <v>0.91700000000000004</v>
      </c>
      <c r="AB1606" s="6">
        <v>-2.1300000000000008</v>
      </c>
      <c r="AC1606" s="6">
        <v>2.1300000000000008</v>
      </c>
      <c r="AD1606" s="22" t="s">
        <v>3140</v>
      </c>
      <c r="AE1606" s="23">
        <f t="shared" si="101"/>
        <v>10.638</v>
      </c>
      <c r="AF1606" s="24">
        <f t="shared" si="102"/>
        <v>0</v>
      </c>
      <c r="AG1606" s="23">
        <f t="shared" si="103"/>
        <v>1</v>
      </c>
    </row>
    <row r="1607" spans="1:33" ht="12.5" customHeight="1" x14ac:dyDescent="0.25">
      <c r="A1607" s="12" t="s">
        <v>31</v>
      </c>
      <c r="B1607" s="9">
        <v>46198</v>
      </c>
      <c r="C1607" s="10" t="s">
        <v>2519</v>
      </c>
      <c r="D1607" s="10" t="s">
        <v>2520</v>
      </c>
      <c r="E1607" s="10" t="s">
        <v>34</v>
      </c>
      <c r="F1607" s="10" t="s">
        <v>35</v>
      </c>
      <c r="G1607" s="10" t="s">
        <v>3146</v>
      </c>
      <c r="H1607" s="8" t="s">
        <v>36</v>
      </c>
      <c r="I1607" s="11">
        <v>39.65</v>
      </c>
      <c r="J1607" s="6">
        <v>36.359050000000003</v>
      </c>
      <c r="K1607" s="6">
        <v>0.91700000000000015</v>
      </c>
      <c r="L1607" s="6">
        <v>37.21</v>
      </c>
      <c r="M1607" s="11">
        <v>34.121569999999998</v>
      </c>
      <c r="N1607" s="11">
        <f t="shared" si="100"/>
        <v>34.122</v>
      </c>
      <c r="O1607" s="6">
        <v>0.91699999999999993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2.44</v>
      </c>
      <c r="Z1607" s="6">
        <v>2.2374800000000001</v>
      </c>
      <c r="AA1607" s="6">
        <v>0.91700000000000004</v>
      </c>
      <c r="AB1607" s="6">
        <v>-2.4399999999999977</v>
      </c>
      <c r="AC1607" s="6">
        <v>2.4399999999999977</v>
      </c>
      <c r="AD1607" s="22" t="s">
        <v>3140</v>
      </c>
      <c r="AE1607" s="23">
        <f t="shared" si="101"/>
        <v>34.122</v>
      </c>
      <c r="AF1607" s="24">
        <f t="shared" si="102"/>
        <v>0</v>
      </c>
      <c r="AG1607" s="23">
        <f t="shared" si="103"/>
        <v>1</v>
      </c>
    </row>
    <row r="1608" spans="1:33" ht="12.5" customHeight="1" x14ac:dyDescent="0.25">
      <c r="A1608" s="12" t="s">
        <v>31</v>
      </c>
      <c r="B1608" s="9">
        <v>46198</v>
      </c>
      <c r="C1608" s="10" t="s">
        <v>2521</v>
      </c>
      <c r="D1608" s="10" t="s">
        <v>2522</v>
      </c>
      <c r="E1608" s="10" t="s">
        <v>34</v>
      </c>
      <c r="F1608" s="10" t="s">
        <v>35</v>
      </c>
      <c r="G1608" s="10" t="s">
        <v>3146</v>
      </c>
      <c r="H1608" s="8" t="s">
        <v>36</v>
      </c>
      <c r="I1608" s="11">
        <v>13.44</v>
      </c>
      <c r="J1608" s="6">
        <v>12.324479999999999</v>
      </c>
      <c r="K1608" s="6">
        <v>0.91700000000000004</v>
      </c>
      <c r="L1608" s="6">
        <v>12.63</v>
      </c>
      <c r="M1608" s="11">
        <v>11.581709999999999</v>
      </c>
      <c r="N1608" s="11">
        <f t="shared" si="100"/>
        <v>11.581999999999999</v>
      </c>
      <c r="O1608" s="6">
        <v>0.91699999999999993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0.81</v>
      </c>
      <c r="Z1608" s="6">
        <v>0.74277000000000004</v>
      </c>
      <c r="AA1608" s="6">
        <v>0.91700000000000004</v>
      </c>
      <c r="AB1608" s="6">
        <v>-0.80999999999999872</v>
      </c>
      <c r="AC1608" s="6">
        <v>0.80999999999999872</v>
      </c>
      <c r="AD1608" s="22" t="s">
        <v>3140</v>
      </c>
      <c r="AE1608" s="23">
        <f t="shared" si="101"/>
        <v>11.581999999999999</v>
      </c>
      <c r="AF1608" s="24">
        <f t="shared" si="102"/>
        <v>0</v>
      </c>
      <c r="AG1608" s="23">
        <f t="shared" si="103"/>
        <v>1</v>
      </c>
    </row>
    <row r="1609" spans="1:33" ht="12.5" customHeight="1" x14ac:dyDescent="0.25">
      <c r="A1609" s="12" t="s">
        <v>31</v>
      </c>
      <c r="B1609" s="9">
        <v>46198</v>
      </c>
      <c r="C1609" s="10" t="s">
        <v>2523</v>
      </c>
      <c r="D1609" s="10" t="s">
        <v>2524</v>
      </c>
      <c r="E1609" s="10" t="s">
        <v>34</v>
      </c>
      <c r="F1609" s="10" t="s">
        <v>35</v>
      </c>
      <c r="G1609" s="10" t="s">
        <v>3146</v>
      </c>
      <c r="H1609" s="8" t="s">
        <v>36</v>
      </c>
      <c r="I1609" s="11">
        <v>181.08</v>
      </c>
      <c r="J1609" s="6">
        <v>166.05036000000001</v>
      </c>
      <c r="K1609" s="6">
        <v>0.91700000000000004</v>
      </c>
      <c r="L1609" s="6">
        <v>174.09</v>
      </c>
      <c r="M1609" s="11">
        <v>159.64053000000001</v>
      </c>
      <c r="N1609" s="11">
        <f t="shared" si="100"/>
        <v>159.64099999999999</v>
      </c>
      <c r="O1609" s="6">
        <v>0.91700000000000004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6.99</v>
      </c>
      <c r="Z1609" s="6">
        <v>6.4098300000000004</v>
      </c>
      <c r="AA1609" s="6">
        <v>0.91700000000000004</v>
      </c>
      <c r="AB1609" s="6">
        <v>-6.9900000000000091</v>
      </c>
      <c r="AC1609" s="6">
        <v>6.9900000000000091</v>
      </c>
      <c r="AD1609" s="22" t="s">
        <v>3140</v>
      </c>
      <c r="AE1609" s="23">
        <f t="shared" si="101"/>
        <v>159.64099999999999</v>
      </c>
      <c r="AF1609" s="24">
        <f t="shared" si="102"/>
        <v>0</v>
      </c>
      <c r="AG1609" s="23">
        <f t="shared" si="103"/>
        <v>1</v>
      </c>
    </row>
    <row r="1610" spans="1:33" ht="12.5" customHeight="1" x14ac:dyDescent="0.25">
      <c r="A1610" s="12" t="s">
        <v>31</v>
      </c>
      <c r="B1610" s="9">
        <v>46198</v>
      </c>
      <c r="C1610" s="10" t="s">
        <v>2525</v>
      </c>
      <c r="D1610" s="10" t="s">
        <v>2526</v>
      </c>
      <c r="E1610" s="10" t="s">
        <v>34</v>
      </c>
      <c r="F1610" s="10" t="s">
        <v>35</v>
      </c>
      <c r="G1610" s="10" t="s">
        <v>3146</v>
      </c>
      <c r="H1610" s="8" t="s">
        <v>36</v>
      </c>
      <c r="I1610" s="11">
        <v>99.48</v>
      </c>
      <c r="J1610" s="6">
        <v>91.223159999999993</v>
      </c>
      <c r="K1610" s="6">
        <v>0.91699999999999993</v>
      </c>
      <c r="L1610" s="6">
        <v>94.34</v>
      </c>
      <c r="M1610" s="11">
        <v>86.509780000000006</v>
      </c>
      <c r="N1610" s="11">
        <f t="shared" si="100"/>
        <v>86.51</v>
      </c>
      <c r="O1610" s="6">
        <v>0.91700000000000004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5.14</v>
      </c>
      <c r="Z1610" s="6">
        <v>4.7133799999999999</v>
      </c>
      <c r="AA1610" s="6">
        <v>0.91700000000000004</v>
      </c>
      <c r="AB1610" s="6">
        <v>-5.14</v>
      </c>
      <c r="AC1610" s="6">
        <v>5.14</v>
      </c>
      <c r="AD1610" s="22" t="s">
        <v>3140</v>
      </c>
      <c r="AE1610" s="23">
        <f t="shared" si="101"/>
        <v>86.51</v>
      </c>
      <c r="AF1610" s="24">
        <f t="shared" si="102"/>
        <v>0</v>
      </c>
      <c r="AG1610" s="23">
        <f t="shared" si="103"/>
        <v>1</v>
      </c>
    </row>
    <row r="1611" spans="1:33" ht="12.5" customHeight="1" x14ac:dyDescent="0.25">
      <c r="A1611" s="12" t="s">
        <v>31</v>
      </c>
      <c r="B1611" s="9">
        <v>46198</v>
      </c>
      <c r="C1611" s="10" t="s">
        <v>2527</v>
      </c>
      <c r="D1611" s="10" t="s">
        <v>2528</v>
      </c>
      <c r="E1611" s="10" t="s">
        <v>34</v>
      </c>
      <c r="F1611" s="10" t="s">
        <v>35</v>
      </c>
      <c r="G1611" s="10" t="s">
        <v>3146</v>
      </c>
      <c r="H1611" s="8" t="s">
        <v>36</v>
      </c>
      <c r="I1611" s="11">
        <v>368.67</v>
      </c>
      <c r="J1611" s="6">
        <v>338.07038999999997</v>
      </c>
      <c r="K1611" s="6">
        <v>0.91699999999999993</v>
      </c>
      <c r="L1611" s="6">
        <v>351.86</v>
      </c>
      <c r="M1611" s="11">
        <v>322.65562</v>
      </c>
      <c r="N1611" s="11">
        <f t="shared" si="100"/>
        <v>322.65599999999995</v>
      </c>
      <c r="O1611" s="6">
        <v>0.91699999999999993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16.809999999999999</v>
      </c>
      <c r="Z1611" s="6">
        <v>15.414770000000001</v>
      </c>
      <c r="AA1611" s="6">
        <v>0.91700000000000015</v>
      </c>
      <c r="AB1611" s="6">
        <v>-16.810000000000002</v>
      </c>
      <c r="AC1611" s="6">
        <v>16.810000000000002</v>
      </c>
      <c r="AD1611" s="22" t="s">
        <v>3140</v>
      </c>
      <c r="AE1611" s="23">
        <f t="shared" si="101"/>
        <v>322.65599999999995</v>
      </c>
      <c r="AF1611" s="24">
        <f t="shared" si="102"/>
        <v>0</v>
      </c>
      <c r="AG1611" s="23">
        <f t="shared" si="103"/>
        <v>2</v>
      </c>
    </row>
    <row r="1612" spans="1:33" ht="12.5" customHeight="1" x14ac:dyDescent="0.25">
      <c r="A1612" s="12" t="s">
        <v>31</v>
      </c>
      <c r="B1612" s="9">
        <v>46198</v>
      </c>
      <c r="C1612" s="10" t="s">
        <v>2529</v>
      </c>
      <c r="D1612" s="10" t="s">
        <v>2218</v>
      </c>
      <c r="E1612" s="10" t="s">
        <v>34</v>
      </c>
      <c r="F1612" s="10" t="s">
        <v>35</v>
      </c>
      <c r="G1612" s="10" t="s">
        <v>3146</v>
      </c>
      <c r="H1612" s="8" t="s">
        <v>36</v>
      </c>
      <c r="I1612" s="11">
        <v>206.55</v>
      </c>
      <c r="J1612" s="6">
        <v>189.40635</v>
      </c>
      <c r="K1612" s="6">
        <v>0.91699999999999993</v>
      </c>
      <c r="L1612" s="6">
        <v>195.11</v>
      </c>
      <c r="M1612" s="11">
        <v>178.91587000000001</v>
      </c>
      <c r="N1612" s="11">
        <f t="shared" si="100"/>
        <v>178.916</v>
      </c>
      <c r="O1612" s="6">
        <v>0.91700000000000004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11.44</v>
      </c>
      <c r="Z1612" s="6">
        <v>10.49048</v>
      </c>
      <c r="AA1612" s="6">
        <v>0.91700000000000004</v>
      </c>
      <c r="AB1612" s="6">
        <v>-11.439999999999998</v>
      </c>
      <c r="AC1612" s="6">
        <v>11.439999999999998</v>
      </c>
      <c r="AD1612" s="22" t="s">
        <v>3140</v>
      </c>
      <c r="AE1612" s="23">
        <f t="shared" si="101"/>
        <v>178.916</v>
      </c>
      <c r="AF1612" s="24">
        <f t="shared" si="102"/>
        <v>0</v>
      </c>
      <c r="AG1612" s="23">
        <f t="shared" si="103"/>
        <v>2</v>
      </c>
    </row>
    <row r="1613" spans="1:33" ht="12.5" customHeight="1" x14ac:dyDescent="0.25">
      <c r="A1613" s="12" t="s">
        <v>31</v>
      </c>
      <c r="B1613" s="9">
        <v>46198</v>
      </c>
      <c r="C1613" s="10" t="s">
        <v>2530</v>
      </c>
      <c r="D1613" s="10" t="s">
        <v>2531</v>
      </c>
      <c r="E1613" s="10" t="s">
        <v>34</v>
      </c>
      <c r="F1613" s="10" t="s">
        <v>35</v>
      </c>
      <c r="G1613" s="10" t="s">
        <v>3146</v>
      </c>
      <c r="H1613" s="8" t="s">
        <v>36</v>
      </c>
      <c r="I1613" s="11">
        <v>171.78</v>
      </c>
      <c r="J1613" s="6">
        <v>157.52225999999999</v>
      </c>
      <c r="K1613" s="6">
        <v>0.91699999999999993</v>
      </c>
      <c r="L1613" s="6">
        <v>163.85</v>
      </c>
      <c r="M1613" s="11">
        <v>150.25045</v>
      </c>
      <c r="N1613" s="11">
        <f t="shared" si="100"/>
        <v>150.251</v>
      </c>
      <c r="O1613" s="6">
        <v>0.91700000000000004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7.93</v>
      </c>
      <c r="Z1613" s="6">
        <v>7.2718100000000003</v>
      </c>
      <c r="AA1613" s="6">
        <v>0.91700000000000004</v>
      </c>
      <c r="AB1613" s="6">
        <v>-7.9300000000000068</v>
      </c>
      <c r="AC1613" s="6">
        <v>7.9300000000000068</v>
      </c>
      <c r="AD1613" s="22" t="s">
        <v>3140</v>
      </c>
      <c r="AE1613" s="23">
        <f t="shared" si="101"/>
        <v>150.251</v>
      </c>
      <c r="AF1613" s="24">
        <f t="shared" si="102"/>
        <v>0</v>
      </c>
      <c r="AG1613" s="23">
        <f t="shared" si="103"/>
        <v>1</v>
      </c>
    </row>
    <row r="1614" spans="1:33" ht="12.5" customHeight="1" x14ac:dyDescent="0.25">
      <c r="A1614" s="12" t="s">
        <v>31</v>
      </c>
      <c r="B1614" s="9">
        <v>46198</v>
      </c>
      <c r="C1614" s="10" t="s">
        <v>2532</v>
      </c>
      <c r="D1614" s="10" t="s">
        <v>2528</v>
      </c>
      <c r="E1614" s="10" t="s">
        <v>34</v>
      </c>
      <c r="F1614" s="10" t="s">
        <v>35</v>
      </c>
      <c r="G1614" s="10" t="s">
        <v>3146</v>
      </c>
      <c r="H1614" s="8" t="s">
        <v>36</v>
      </c>
      <c r="I1614" s="11">
        <v>352.12</v>
      </c>
      <c r="J1614" s="6">
        <v>322.89404000000002</v>
      </c>
      <c r="K1614" s="6">
        <v>0.91700000000000004</v>
      </c>
      <c r="L1614" s="6">
        <v>352.02</v>
      </c>
      <c r="M1614" s="11">
        <v>322.80234000000002</v>
      </c>
      <c r="N1614" s="11">
        <f t="shared" si="100"/>
        <v>322.803</v>
      </c>
      <c r="O1614" s="6">
        <v>0.91700000000000004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0.1</v>
      </c>
      <c r="Z1614" s="6">
        <v>9.1700000000000004E-2</v>
      </c>
      <c r="AA1614" s="6">
        <v>0.91700000000000004</v>
      </c>
      <c r="AB1614" s="6">
        <v>-0.10000000000002274</v>
      </c>
      <c r="AC1614" s="6">
        <v>0.10000000000002274</v>
      </c>
      <c r="AD1614" s="23" t="s">
        <v>3143</v>
      </c>
      <c r="AE1614" s="23">
        <f t="shared" si="101"/>
        <v>322.65599999999995</v>
      </c>
      <c r="AF1614" s="24">
        <f t="shared" si="102"/>
        <v>0.1470000000000482</v>
      </c>
      <c r="AG1614" s="23">
        <f t="shared" si="103"/>
        <v>2</v>
      </c>
    </row>
    <row r="1615" spans="1:33" ht="12.5" customHeight="1" x14ac:dyDescent="0.25">
      <c r="A1615" s="12" t="s">
        <v>31</v>
      </c>
      <c r="B1615" s="9">
        <v>46198</v>
      </c>
      <c r="C1615" s="10" t="s">
        <v>2533</v>
      </c>
      <c r="D1615" s="10" t="s">
        <v>2534</v>
      </c>
      <c r="E1615" s="10" t="s">
        <v>34</v>
      </c>
      <c r="F1615" s="10" t="s">
        <v>35</v>
      </c>
      <c r="G1615" s="10" t="s">
        <v>3146</v>
      </c>
      <c r="H1615" s="8" t="s">
        <v>36</v>
      </c>
      <c r="I1615" s="11">
        <v>112.03</v>
      </c>
      <c r="J1615" s="6">
        <v>102.73151</v>
      </c>
      <c r="K1615" s="6">
        <v>0.91700000000000004</v>
      </c>
      <c r="L1615" s="6">
        <v>106.79</v>
      </c>
      <c r="M1615" s="11">
        <v>97.926429999999996</v>
      </c>
      <c r="N1615" s="11">
        <f t="shared" si="100"/>
        <v>97.927000000000007</v>
      </c>
      <c r="O1615" s="6">
        <v>0.91699999999999993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5.24</v>
      </c>
      <c r="Z1615" s="6">
        <v>4.8050800000000002</v>
      </c>
      <c r="AA1615" s="6">
        <v>0.91700000000000004</v>
      </c>
      <c r="AB1615" s="6">
        <v>-5.2399999999999949</v>
      </c>
      <c r="AC1615" s="6">
        <v>5.2399999999999949</v>
      </c>
      <c r="AD1615" s="22" t="s">
        <v>3140</v>
      </c>
      <c r="AE1615" s="23">
        <f t="shared" si="101"/>
        <v>97.927000000000007</v>
      </c>
      <c r="AF1615" s="24">
        <f t="shared" si="102"/>
        <v>0</v>
      </c>
      <c r="AG1615" s="23">
        <f t="shared" si="103"/>
        <v>1</v>
      </c>
    </row>
    <row r="1616" spans="1:33" ht="12.5" hidden="1" customHeight="1" x14ac:dyDescent="0.25">
      <c r="A1616" s="12" t="s">
        <v>31</v>
      </c>
      <c r="B1616" s="9">
        <v>46198</v>
      </c>
      <c r="C1616" s="10" t="s">
        <v>2535</v>
      </c>
      <c r="D1616" s="10" t="s">
        <v>2536</v>
      </c>
      <c r="E1616" s="10" t="s">
        <v>34</v>
      </c>
      <c r="F1616" s="10" t="s">
        <v>35</v>
      </c>
      <c r="G1616" s="10" t="s">
        <v>3145</v>
      </c>
      <c r="H1616" s="8" t="s">
        <v>48</v>
      </c>
      <c r="I1616" s="11">
        <v>79.63</v>
      </c>
      <c r="J1616" s="6">
        <v>59.722499999999997</v>
      </c>
      <c r="K1616" s="6">
        <v>0.75</v>
      </c>
      <c r="L1616" s="6">
        <v>70.83</v>
      </c>
      <c r="M1616" s="11">
        <v>53.122500000000002</v>
      </c>
      <c r="N1616" s="11">
        <f t="shared" si="100"/>
        <v>53.122999999999998</v>
      </c>
      <c r="O1616" s="6">
        <v>0.75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8.8000000000000007</v>
      </c>
      <c r="Z1616" s="6">
        <v>6.6</v>
      </c>
      <c r="AA1616" s="6">
        <v>0.74999999999999989</v>
      </c>
      <c r="AB1616" s="6">
        <v>-8.7999999999999972</v>
      </c>
      <c r="AC1616" s="6">
        <v>8.7999999999999972</v>
      </c>
      <c r="AD1616" s="22" t="s">
        <v>3140</v>
      </c>
      <c r="AE1616" s="23">
        <f t="shared" si="101"/>
        <v>53.122999999999998</v>
      </c>
      <c r="AF1616" s="24">
        <f t="shared" si="102"/>
        <v>0</v>
      </c>
      <c r="AG1616" s="23">
        <f t="shared" si="103"/>
        <v>1</v>
      </c>
    </row>
    <row r="1617" spans="1:33" ht="12.5" hidden="1" customHeight="1" x14ac:dyDescent="0.25">
      <c r="A1617" s="12" t="s">
        <v>31</v>
      </c>
      <c r="B1617" s="9">
        <v>46198</v>
      </c>
      <c r="C1617" s="10" t="s">
        <v>2537</v>
      </c>
      <c r="D1617" s="10" t="s">
        <v>2538</v>
      </c>
      <c r="E1617" s="10" t="s">
        <v>34</v>
      </c>
      <c r="F1617" s="10" t="s">
        <v>35</v>
      </c>
      <c r="G1617" s="10" t="s">
        <v>3145</v>
      </c>
      <c r="H1617" s="8" t="s">
        <v>48</v>
      </c>
      <c r="I1617" s="11">
        <v>102.12</v>
      </c>
      <c r="J1617" s="6">
        <v>76.59</v>
      </c>
      <c r="K1617" s="6">
        <v>0.75</v>
      </c>
      <c r="L1617" s="6">
        <v>94.68</v>
      </c>
      <c r="M1617" s="11">
        <v>71.010000000000005</v>
      </c>
      <c r="N1617" s="11">
        <f t="shared" si="100"/>
        <v>71.010000000000005</v>
      </c>
      <c r="O1617" s="6">
        <v>0.75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7.44</v>
      </c>
      <c r="Z1617" s="6">
        <v>5.58</v>
      </c>
      <c r="AA1617" s="6">
        <v>0.75</v>
      </c>
      <c r="AB1617" s="6">
        <v>-7.4399999999999977</v>
      </c>
      <c r="AC1617" s="6">
        <v>7.4399999999999977</v>
      </c>
      <c r="AD1617" s="22" t="s">
        <v>3140</v>
      </c>
      <c r="AE1617" s="23">
        <f t="shared" si="101"/>
        <v>71.010000000000005</v>
      </c>
      <c r="AF1617" s="24">
        <f t="shared" si="102"/>
        <v>0</v>
      </c>
      <c r="AG1617" s="23">
        <f t="shared" si="103"/>
        <v>1</v>
      </c>
    </row>
    <row r="1618" spans="1:33" ht="20" hidden="1" customHeight="1" x14ac:dyDescent="0.25">
      <c r="A1618" s="12" t="s">
        <v>31</v>
      </c>
      <c r="B1618" s="9">
        <v>46198</v>
      </c>
      <c r="C1618" s="10" t="s">
        <v>2539</v>
      </c>
      <c r="D1618" s="10" t="s">
        <v>2540</v>
      </c>
      <c r="E1618" s="10" t="s">
        <v>51</v>
      </c>
      <c r="F1618" s="10" t="s">
        <v>35</v>
      </c>
      <c r="G1618" s="10" t="s">
        <v>3145</v>
      </c>
      <c r="H1618" s="8" t="s">
        <v>48</v>
      </c>
      <c r="I1618" s="11">
        <v>28.31</v>
      </c>
      <c r="J1618" s="6">
        <v>21.232500000000002</v>
      </c>
      <c r="K1618" s="6">
        <v>0.75000000000000011</v>
      </c>
      <c r="L1618" s="6">
        <v>24.11</v>
      </c>
      <c r="M1618" s="11">
        <v>18.0825</v>
      </c>
      <c r="N1618" s="11">
        <f t="shared" si="100"/>
        <v>18.083000000000002</v>
      </c>
      <c r="O1618" s="6">
        <v>0.75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4.2</v>
      </c>
      <c r="Z1618" s="6">
        <v>3.15</v>
      </c>
      <c r="AA1618" s="6">
        <v>0.75</v>
      </c>
      <c r="AB1618" s="6">
        <v>-4.1999999999999993</v>
      </c>
      <c r="AC1618" s="6">
        <v>4.1999999999999993</v>
      </c>
      <c r="AD1618" s="22" t="s">
        <v>3140</v>
      </c>
      <c r="AE1618" s="23">
        <f t="shared" si="101"/>
        <v>18.083000000000002</v>
      </c>
      <c r="AF1618" s="24">
        <f t="shared" si="102"/>
        <v>0</v>
      </c>
      <c r="AG1618" s="23">
        <f t="shared" si="103"/>
        <v>1</v>
      </c>
    </row>
    <row r="1619" spans="1:33" x14ac:dyDescent="0.25">
      <c r="A1619" s="12" t="s">
        <v>31</v>
      </c>
      <c r="B1619" s="9">
        <v>46198</v>
      </c>
      <c r="C1619" s="10" t="s">
        <v>2541</v>
      </c>
      <c r="D1619" s="10" t="s">
        <v>2542</v>
      </c>
      <c r="E1619" s="10" t="s">
        <v>51</v>
      </c>
      <c r="F1619" s="10" t="s">
        <v>35</v>
      </c>
      <c r="G1619" s="10" t="s">
        <v>3146</v>
      </c>
      <c r="H1619" s="8" t="s">
        <v>36</v>
      </c>
      <c r="I1619" s="11">
        <v>8.59</v>
      </c>
      <c r="J1619" s="6">
        <v>7.8770300000000004</v>
      </c>
      <c r="K1619" s="6">
        <v>0.91700000000000004</v>
      </c>
      <c r="L1619" s="6">
        <v>8.15</v>
      </c>
      <c r="M1619" s="11">
        <v>7.4735500000000004</v>
      </c>
      <c r="N1619" s="11">
        <f t="shared" si="100"/>
        <v>7.4740000000000002</v>
      </c>
      <c r="O1619" s="6">
        <v>0.91700000000000004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0.44</v>
      </c>
      <c r="Z1619" s="6">
        <v>0.40348000000000001</v>
      </c>
      <c r="AA1619" s="6">
        <v>0.91700000000000004</v>
      </c>
      <c r="AB1619" s="6">
        <v>-0.4399999999999995</v>
      </c>
      <c r="AC1619" s="6">
        <v>0.4399999999999995</v>
      </c>
      <c r="AD1619" s="22" t="s">
        <v>3140</v>
      </c>
      <c r="AE1619" s="23">
        <f t="shared" si="101"/>
        <v>7.4740000000000002</v>
      </c>
      <c r="AF1619" s="24">
        <f t="shared" si="102"/>
        <v>0</v>
      </c>
      <c r="AG1619" s="23">
        <f t="shared" si="103"/>
        <v>1</v>
      </c>
    </row>
    <row r="1620" spans="1:33" x14ac:dyDescent="0.25">
      <c r="A1620" s="12" t="s">
        <v>31</v>
      </c>
      <c r="B1620" s="9">
        <v>46198</v>
      </c>
      <c r="C1620" s="10" t="s">
        <v>2543</v>
      </c>
      <c r="D1620" s="10" t="s">
        <v>2544</v>
      </c>
      <c r="E1620" s="10" t="s">
        <v>51</v>
      </c>
      <c r="F1620" s="10" t="s">
        <v>35</v>
      </c>
      <c r="G1620" s="10" t="s">
        <v>3146</v>
      </c>
      <c r="H1620" s="8" t="s">
        <v>36</v>
      </c>
      <c r="I1620" s="11">
        <v>101.59</v>
      </c>
      <c r="J1620" s="6">
        <v>93.158029999999997</v>
      </c>
      <c r="K1620" s="6">
        <v>0.91699999999999993</v>
      </c>
      <c r="L1620" s="6">
        <v>97.55</v>
      </c>
      <c r="M1620" s="11">
        <v>89.45335</v>
      </c>
      <c r="N1620" s="11">
        <f t="shared" si="100"/>
        <v>89.454000000000008</v>
      </c>
      <c r="O1620" s="6">
        <v>0.91700000000000004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4.04</v>
      </c>
      <c r="Z1620" s="6">
        <v>3.7046800000000002</v>
      </c>
      <c r="AA1620" s="6">
        <v>0.91700000000000004</v>
      </c>
      <c r="AB1620" s="6">
        <v>-4.0400000000000063</v>
      </c>
      <c r="AC1620" s="6">
        <v>4.0400000000000063</v>
      </c>
      <c r="AD1620" s="22" t="s">
        <v>3140</v>
      </c>
      <c r="AE1620" s="23">
        <f t="shared" si="101"/>
        <v>89.454000000000008</v>
      </c>
      <c r="AF1620" s="24">
        <f t="shared" si="102"/>
        <v>0</v>
      </c>
      <c r="AG1620" s="23">
        <f t="shared" si="103"/>
        <v>1</v>
      </c>
    </row>
    <row r="1621" spans="1:33" ht="20" hidden="1" customHeight="1" x14ac:dyDescent="0.25">
      <c r="A1621" s="12" t="s">
        <v>31</v>
      </c>
      <c r="B1621" s="9">
        <v>46198</v>
      </c>
      <c r="C1621" s="10" t="s">
        <v>2545</v>
      </c>
      <c r="D1621" s="10" t="s">
        <v>2546</v>
      </c>
      <c r="E1621" s="10" t="s">
        <v>51</v>
      </c>
      <c r="F1621" s="10" t="s">
        <v>35</v>
      </c>
      <c r="G1621" s="10" t="s">
        <v>3145</v>
      </c>
      <c r="H1621" s="8" t="s">
        <v>48</v>
      </c>
      <c r="I1621" s="11">
        <v>22.19</v>
      </c>
      <c r="J1621" s="6">
        <v>16.642499999999998</v>
      </c>
      <c r="K1621" s="6">
        <v>0.74999999999999989</v>
      </c>
      <c r="L1621" s="6">
        <v>20.13</v>
      </c>
      <c r="M1621" s="11">
        <v>15.0975</v>
      </c>
      <c r="N1621" s="11">
        <f t="shared" si="100"/>
        <v>15.097999999999999</v>
      </c>
      <c r="O1621" s="6">
        <v>0.75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2.06</v>
      </c>
      <c r="Z1621" s="6">
        <v>1.5449999999999999</v>
      </c>
      <c r="AA1621" s="6">
        <v>0.75</v>
      </c>
      <c r="AB1621" s="6">
        <v>-2.0600000000000023</v>
      </c>
      <c r="AC1621" s="6">
        <v>2.0600000000000023</v>
      </c>
      <c r="AD1621" s="22" t="s">
        <v>3140</v>
      </c>
      <c r="AE1621" s="23">
        <f t="shared" si="101"/>
        <v>15.097999999999999</v>
      </c>
      <c r="AF1621" s="24">
        <f t="shared" si="102"/>
        <v>0</v>
      </c>
      <c r="AG1621" s="23">
        <f t="shared" si="103"/>
        <v>1</v>
      </c>
    </row>
    <row r="1622" spans="1:33" ht="20" hidden="1" customHeight="1" x14ac:dyDescent="0.25">
      <c r="A1622" s="12" t="s">
        <v>31</v>
      </c>
      <c r="B1622" s="9">
        <v>46198</v>
      </c>
      <c r="C1622" s="10" t="s">
        <v>2547</v>
      </c>
      <c r="D1622" s="10" t="s">
        <v>2548</v>
      </c>
      <c r="E1622" s="10" t="s">
        <v>51</v>
      </c>
      <c r="F1622" s="10" t="s">
        <v>35</v>
      </c>
      <c r="G1622" s="10" t="s">
        <v>3145</v>
      </c>
      <c r="H1622" s="8" t="s">
        <v>48</v>
      </c>
      <c r="I1622" s="11">
        <v>17.04</v>
      </c>
      <c r="J1622" s="6">
        <v>12.78</v>
      </c>
      <c r="K1622" s="6">
        <v>0.75</v>
      </c>
      <c r="L1622" s="6">
        <v>14.13</v>
      </c>
      <c r="M1622" s="11">
        <v>10.5975</v>
      </c>
      <c r="N1622" s="11">
        <f t="shared" si="100"/>
        <v>10.597999999999999</v>
      </c>
      <c r="O1622" s="6">
        <v>0.75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2.91</v>
      </c>
      <c r="Z1622" s="6">
        <v>2.1825000000000001</v>
      </c>
      <c r="AA1622" s="6">
        <v>0.75</v>
      </c>
      <c r="AB1622" s="6">
        <v>-2.9099999999999984</v>
      </c>
      <c r="AC1622" s="6">
        <v>2.9099999999999984</v>
      </c>
      <c r="AD1622" s="22" t="s">
        <v>3140</v>
      </c>
      <c r="AE1622" s="23">
        <f t="shared" si="101"/>
        <v>10.597999999999999</v>
      </c>
      <c r="AF1622" s="24">
        <f t="shared" si="102"/>
        <v>0</v>
      </c>
      <c r="AG1622" s="23">
        <f t="shared" si="103"/>
        <v>1</v>
      </c>
    </row>
    <row r="1623" spans="1:33" ht="20" hidden="1" customHeight="1" x14ac:dyDescent="0.25">
      <c r="A1623" s="12" t="s">
        <v>31</v>
      </c>
      <c r="B1623" s="9">
        <v>46198</v>
      </c>
      <c r="C1623" s="10" t="s">
        <v>2549</v>
      </c>
      <c r="D1623" s="10" t="s">
        <v>2550</v>
      </c>
      <c r="E1623" s="10" t="s">
        <v>51</v>
      </c>
      <c r="F1623" s="10" t="s">
        <v>35</v>
      </c>
      <c r="G1623" s="10" t="s">
        <v>3145</v>
      </c>
      <c r="H1623" s="8" t="s">
        <v>48</v>
      </c>
      <c r="I1623" s="11">
        <v>42.19</v>
      </c>
      <c r="J1623" s="6">
        <v>31.642499999999998</v>
      </c>
      <c r="K1623" s="6">
        <v>0.75</v>
      </c>
      <c r="L1623" s="6">
        <v>37.450000000000003</v>
      </c>
      <c r="M1623" s="11">
        <v>28.087499999999999</v>
      </c>
      <c r="N1623" s="11">
        <f t="shared" si="100"/>
        <v>28.088000000000001</v>
      </c>
      <c r="O1623" s="6">
        <v>0.74999999999999989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4.74</v>
      </c>
      <c r="Z1623" s="6">
        <v>3.5550000000000002</v>
      </c>
      <c r="AA1623" s="6">
        <v>0.75</v>
      </c>
      <c r="AB1623" s="6">
        <v>-4.7399999999999949</v>
      </c>
      <c r="AC1623" s="6">
        <v>4.7399999999999949</v>
      </c>
      <c r="AD1623" s="22" t="s">
        <v>3140</v>
      </c>
      <c r="AE1623" s="23">
        <f t="shared" si="101"/>
        <v>28.088000000000001</v>
      </c>
      <c r="AF1623" s="24">
        <f t="shared" si="102"/>
        <v>0</v>
      </c>
      <c r="AG1623" s="23">
        <f t="shared" si="103"/>
        <v>1</v>
      </c>
    </row>
    <row r="1624" spans="1:33" ht="20" hidden="1" customHeight="1" x14ac:dyDescent="0.25">
      <c r="A1624" s="12" t="s">
        <v>31</v>
      </c>
      <c r="B1624" s="9">
        <v>46198</v>
      </c>
      <c r="C1624" s="10" t="s">
        <v>2551</v>
      </c>
      <c r="D1624" s="10" t="s">
        <v>2552</v>
      </c>
      <c r="E1624" s="10" t="s">
        <v>51</v>
      </c>
      <c r="F1624" s="10" t="s">
        <v>35</v>
      </c>
      <c r="G1624" s="10" t="s">
        <v>3145</v>
      </c>
      <c r="H1624" s="8" t="s">
        <v>48</v>
      </c>
      <c r="I1624" s="11">
        <v>27.58</v>
      </c>
      <c r="J1624" s="6">
        <v>20.684999999999999</v>
      </c>
      <c r="K1624" s="6">
        <v>0.75</v>
      </c>
      <c r="L1624" s="6">
        <v>25.8</v>
      </c>
      <c r="M1624" s="11">
        <v>19.350000000000001</v>
      </c>
      <c r="N1624" s="11">
        <f t="shared" si="100"/>
        <v>19.350000000000001</v>
      </c>
      <c r="O1624" s="6">
        <v>0.75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1.78</v>
      </c>
      <c r="Z1624" s="6">
        <v>1.335</v>
      </c>
      <c r="AA1624" s="6">
        <v>0.75</v>
      </c>
      <c r="AB1624" s="6">
        <v>-1.7799999999999976</v>
      </c>
      <c r="AC1624" s="6">
        <v>1.7799999999999976</v>
      </c>
      <c r="AD1624" s="22" t="s">
        <v>3140</v>
      </c>
      <c r="AE1624" s="23">
        <f t="shared" si="101"/>
        <v>19.350000000000001</v>
      </c>
      <c r="AF1624" s="24">
        <f t="shared" si="102"/>
        <v>0</v>
      </c>
      <c r="AG1624" s="23">
        <f t="shared" si="103"/>
        <v>1</v>
      </c>
    </row>
    <row r="1625" spans="1:33" ht="20" hidden="1" customHeight="1" x14ac:dyDescent="0.25">
      <c r="A1625" s="12" t="s">
        <v>31</v>
      </c>
      <c r="B1625" s="9">
        <v>46198</v>
      </c>
      <c r="C1625" s="10" t="s">
        <v>2553</v>
      </c>
      <c r="D1625" s="10" t="s">
        <v>2461</v>
      </c>
      <c r="E1625" s="10" t="s">
        <v>51</v>
      </c>
      <c r="F1625" s="10" t="s">
        <v>35</v>
      </c>
      <c r="G1625" s="10" t="s">
        <v>3145</v>
      </c>
      <c r="H1625" s="8" t="s">
        <v>48</v>
      </c>
      <c r="I1625" s="11">
        <v>23.28</v>
      </c>
      <c r="J1625" s="6">
        <v>17.46</v>
      </c>
      <c r="K1625" s="6">
        <v>0.75</v>
      </c>
      <c r="L1625" s="6">
        <v>21.95</v>
      </c>
      <c r="M1625" s="11">
        <v>16.462499999999999</v>
      </c>
      <c r="N1625" s="11">
        <f t="shared" si="100"/>
        <v>16.463000000000001</v>
      </c>
      <c r="O1625" s="6">
        <v>0.75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1.33</v>
      </c>
      <c r="Z1625" s="6">
        <v>0.99750000000000005</v>
      </c>
      <c r="AA1625" s="6">
        <v>0.75</v>
      </c>
      <c r="AB1625" s="6">
        <v>-1.3300000000000018</v>
      </c>
      <c r="AC1625" s="6">
        <v>1.3300000000000018</v>
      </c>
      <c r="AD1625" s="23" t="s">
        <v>3143</v>
      </c>
      <c r="AE1625" s="23">
        <f t="shared" si="101"/>
        <v>13.305</v>
      </c>
      <c r="AF1625" s="24">
        <f t="shared" si="102"/>
        <v>3.1580000000000013</v>
      </c>
      <c r="AG1625" s="23">
        <f t="shared" si="103"/>
        <v>2</v>
      </c>
    </row>
    <row r="1626" spans="1:33" x14ac:dyDescent="0.25">
      <c r="A1626" s="12" t="s">
        <v>31</v>
      </c>
      <c r="B1626" s="9">
        <v>46198</v>
      </c>
      <c r="C1626" s="10" t="s">
        <v>2554</v>
      </c>
      <c r="D1626" s="10" t="s">
        <v>2555</v>
      </c>
      <c r="E1626" s="10" t="s">
        <v>51</v>
      </c>
      <c r="F1626" s="10" t="s">
        <v>35</v>
      </c>
      <c r="G1626" s="10" t="s">
        <v>3146</v>
      </c>
      <c r="H1626" s="8" t="s">
        <v>36</v>
      </c>
      <c r="I1626" s="11">
        <v>1.19</v>
      </c>
      <c r="J1626" s="6">
        <v>1.0912299999999999</v>
      </c>
      <c r="K1626" s="6">
        <v>0.91699999999999993</v>
      </c>
      <c r="L1626" s="6">
        <v>1.1299999999999999</v>
      </c>
      <c r="M1626" s="11">
        <v>1.0362100000000001</v>
      </c>
      <c r="N1626" s="11">
        <f t="shared" si="100"/>
        <v>1.0369999999999999</v>
      </c>
      <c r="O1626" s="6">
        <v>0.91700000000000015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0.06</v>
      </c>
      <c r="Z1626" s="6">
        <v>5.5019999999999999E-2</v>
      </c>
      <c r="AA1626" s="6">
        <v>0.91700000000000004</v>
      </c>
      <c r="AB1626" s="6">
        <v>-6.0000000000000053E-2</v>
      </c>
      <c r="AC1626" s="6">
        <v>6.0000000000000053E-2</v>
      </c>
      <c r="AD1626" s="22" t="s">
        <v>3140</v>
      </c>
      <c r="AE1626" s="23">
        <f t="shared" si="101"/>
        <v>1.0369999999999999</v>
      </c>
      <c r="AF1626" s="24">
        <f t="shared" si="102"/>
        <v>0</v>
      </c>
      <c r="AG1626" s="23">
        <f t="shared" si="103"/>
        <v>1</v>
      </c>
    </row>
    <row r="1627" spans="1:33" x14ac:dyDescent="0.25">
      <c r="A1627" s="12" t="s">
        <v>31</v>
      </c>
      <c r="B1627" s="9">
        <v>46198</v>
      </c>
      <c r="C1627" s="10" t="s">
        <v>2556</v>
      </c>
      <c r="D1627" s="10" t="s">
        <v>2557</v>
      </c>
      <c r="E1627" s="10" t="s">
        <v>51</v>
      </c>
      <c r="F1627" s="10" t="s">
        <v>35</v>
      </c>
      <c r="G1627" s="10" t="s">
        <v>3146</v>
      </c>
      <c r="H1627" s="8" t="s">
        <v>36</v>
      </c>
      <c r="I1627" s="11">
        <v>1.66</v>
      </c>
      <c r="J1627" s="6">
        <v>1.5222199999999999</v>
      </c>
      <c r="K1627" s="6">
        <v>0.91700000000000004</v>
      </c>
      <c r="L1627" s="6">
        <v>1.57</v>
      </c>
      <c r="M1627" s="11">
        <v>1.4396899999999999</v>
      </c>
      <c r="N1627" s="11">
        <f t="shared" si="100"/>
        <v>1.44</v>
      </c>
      <c r="O1627" s="6">
        <v>0.91699999999999993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0.09</v>
      </c>
      <c r="Z1627" s="6">
        <v>8.2530000000000006E-2</v>
      </c>
      <c r="AA1627" s="6">
        <v>0.91700000000000015</v>
      </c>
      <c r="AB1627" s="6">
        <v>-8.9999999999999858E-2</v>
      </c>
      <c r="AC1627" s="6">
        <v>8.9999999999999858E-2</v>
      </c>
      <c r="AD1627" s="22" t="s">
        <v>3140</v>
      </c>
      <c r="AE1627" s="23">
        <f t="shared" si="101"/>
        <v>1.44</v>
      </c>
      <c r="AF1627" s="24">
        <f t="shared" si="102"/>
        <v>0</v>
      </c>
      <c r="AG1627" s="23">
        <f t="shared" si="103"/>
        <v>1</v>
      </c>
    </row>
    <row r="1628" spans="1:33" x14ac:dyDescent="0.25">
      <c r="A1628" s="12" t="s">
        <v>31</v>
      </c>
      <c r="B1628" s="9">
        <v>46198</v>
      </c>
      <c r="C1628" s="10" t="s">
        <v>2558</v>
      </c>
      <c r="D1628" s="10" t="s">
        <v>2559</v>
      </c>
      <c r="E1628" s="10" t="s">
        <v>51</v>
      </c>
      <c r="F1628" s="10" t="s">
        <v>35</v>
      </c>
      <c r="G1628" s="10" t="s">
        <v>3146</v>
      </c>
      <c r="H1628" s="8" t="s">
        <v>36</v>
      </c>
      <c r="I1628" s="11">
        <v>0.86</v>
      </c>
      <c r="J1628" s="6">
        <v>0.78861999999999999</v>
      </c>
      <c r="K1628" s="6">
        <v>0.91700000000000004</v>
      </c>
      <c r="L1628" s="6">
        <v>0.75</v>
      </c>
      <c r="M1628" s="11">
        <v>0.68774999999999997</v>
      </c>
      <c r="N1628" s="11">
        <f t="shared" si="100"/>
        <v>0.68800000000000006</v>
      </c>
      <c r="O1628" s="6">
        <v>0.91699999999999993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0.11</v>
      </c>
      <c r="Z1628" s="6">
        <v>0.10087</v>
      </c>
      <c r="AA1628" s="6">
        <v>0.91700000000000004</v>
      </c>
      <c r="AB1628" s="6">
        <v>-0.10999999999999999</v>
      </c>
      <c r="AC1628" s="6">
        <v>0.10999999999999999</v>
      </c>
      <c r="AD1628" s="22" t="s">
        <v>3140</v>
      </c>
      <c r="AE1628" s="23">
        <f t="shared" si="101"/>
        <v>0.68800000000000006</v>
      </c>
      <c r="AF1628" s="24">
        <f t="shared" si="102"/>
        <v>0</v>
      </c>
      <c r="AG1628" s="23">
        <f t="shared" si="103"/>
        <v>1</v>
      </c>
    </row>
    <row r="1629" spans="1:33" x14ac:dyDescent="0.25">
      <c r="A1629" s="12" t="s">
        <v>31</v>
      </c>
      <c r="B1629" s="9">
        <v>46198</v>
      </c>
      <c r="C1629" s="10" t="s">
        <v>2560</v>
      </c>
      <c r="D1629" s="10" t="s">
        <v>2561</v>
      </c>
      <c r="E1629" s="10" t="s">
        <v>51</v>
      </c>
      <c r="F1629" s="10" t="s">
        <v>35</v>
      </c>
      <c r="G1629" s="10" t="s">
        <v>3146</v>
      </c>
      <c r="H1629" s="8" t="s">
        <v>36</v>
      </c>
      <c r="I1629" s="11">
        <v>1.62</v>
      </c>
      <c r="J1629" s="6">
        <v>1.4855400000000001</v>
      </c>
      <c r="K1629" s="6">
        <v>0.91700000000000004</v>
      </c>
      <c r="L1629" s="6">
        <v>1.5</v>
      </c>
      <c r="M1629" s="11">
        <v>1.3754999999999999</v>
      </c>
      <c r="N1629" s="11">
        <f t="shared" si="100"/>
        <v>1.3759999999999999</v>
      </c>
      <c r="O1629" s="6">
        <v>0.91699999999999993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0.12</v>
      </c>
      <c r="Z1629" s="6">
        <v>0.11004</v>
      </c>
      <c r="AA1629" s="6">
        <v>0.91700000000000004</v>
      </c>
      <c r="AB1629" s="6">
        <v>-0.12000000000000011</v>
      </c>
      <c r="AC1629" s="6">
        <v>0.12000000000000011</v>
      </c>
      <c r="AD1629" s="22" t="s">
        <v>3140</v>
      </c>
      <c r="AE1629" s="23">
        <f t="shared" si="101"/>
        <v>1.3759999999999999</v>
      </c>
      <c r="AF1629" s="24">
        <f t="shared" si="102"/>
        <v>0</v>
      </c>
      <c r="AG1629" s="23">
        <f t="shared" si="103"/>
        <v>1</v>
      </c>
    </row>
    <row r="1630" spans="1:33" ht="20" hidden="1" customHeight="1" x14ac:dyDescent="0.25">
      <c r="A1630" s="12" t="s">
        <v>31</v>
      </c>
      <c r="B1630" s="9">
        <v>46198</v>
      </c>
      <c r="C1630" s="10" t="s">
        <v>2562</v>
      </c>
      <c r="D1630" s="10" t="s">
        <v>2563</v>
      </c>
      <c r="E1630" s="10" t="s">
        <v>51</v>
      </c>
      <c r="F1630" s="10" t="s">
        <v>35</v>
      </c>
      <c r="G1630" s="10" t="s">
        <v>3145</v>
      </c>
      <c r="H1630" s="8" t="s">
        <v>48</v>
      </c>
      <c r="I1630" s="11">
        <v>45.33</v>
      </c>
      <c r="J1630" s="6">
        <v>33.997500000000002</v>
      </c>
      <c r="K1630" s="6">
        <v>0.75000000000000011</v>
      </c>
      <c r="L1630" s="6">
        <v>42.57</v>
      </c>
      <c r="M1630" s="11">
        <v>31.927499999999998</v>
      </c>
      <c r="N1630" s="11">
        <f t="shared" si="100"/>
        <v>31.928000000000001</v>
      </c>
      <c r="O1630" s="6">
        <v>0.75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2.76</v>
      </c>
      <c r="Z1630" s="6">
        <v>2.0699999999999998</v>
      </c>
      <c r="AA1630" s="6">
        <v>0.75</v>
      </c>
      <c r="AB1630" s="6">
        <v>-2.759999999999998</v>
      </c>
      <c r="AC1630" s="6">
        <v>2.759999999999998</v>
      </c>
      <c r="AD1630" s="22" t="s">
        <v>3140</v>
      </c>
      <c r="AE1630" s="23">
        <f t="shared" si="101"/>
        <v>31.928000000000001</v>
      </c>
      <c r="AF1630" s="24">
        <f t="shared" si="102"/>
        <v>0</v>
      </c>
      <c r="AG1630" s="23">
        <f t="shared" si="103"/>
        <v>1</v>
      </c>
    </row>
    <row r="1631" spans="1:33" ht="20" hidden="1" customHeight="1" x14ac:dyDescent="0.25">
      <c r="A1631" s="12" t="s">
        <v>31</v>
      </c>
      <c r="B1631" s="9">
        <v>46198</v>
      </c>
      <c r="C1631" s="10" t="s">
        <v>2564</v>
      </c>
      <c r="D1631" s="10" t="s">
        <v>2565</v>
      </c>
      <c r="E1631" s="10" t="s">
        <v>51</v>
      </c>
      <c r="F1631" s="10" t="s">
        <v>35</v>
      </c>
      <c r="G1631" s="10" t="s">
        <v>3145</v>
      </c>
      <c r="H1631" s="8" t="s">
        <v>48</v>
      </c>
      <c r="I1631" s="11">
        <v>44.16</v>
      </c>
      <c r="J1631" s="6">
        <v>33.119999999999997</v>
      </c>
      <c r="K1631" s="6">
        <v>0.75</v>
      </c>
      <c r="L1631" s="6">
        <v>40.78</v>
      </c>
      <c r="M1631" s="11">
        <v>30.585000000000001</v>
      </c>
      <c r="N1631" s="11">
        <f t="shared" si="100"/>
        <v>30.585000000000001</v>
      </c>
      <c r="O1631" s="6">
        <v>0.75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3.38</v>
      </c>
      <c r="Z1631" s="6">
        <v>2.5350000000000001</v>
      </c>
      <c r="AA1631" s="6">
        <v>0.75000000000000011</v>
      </c>
      <c r="AB1631" s="6">
        <v>-3.3799999999999955</v>
      </c>
      <c r="AC1631" s="6">
        <v>3.3799999999999955</v>
      </c>
      <c r="AD1631" s="22" t="s">
        <v>3140</v>
      </c>
      <c r="AE1631" s="23">
        <f t="shared" si="101"/>
        <v>30.585000000000001</v>
      </c>
      <c r="AF1631" s="24">
        <f t="shared" si="102"/>
        <v>0</v>
      </c>
      <c r="AG1631" s="23">
        <f t="shared" si="103"/>
        <v>1</v>
      </c>
    </row>
    <row r="1632" spans="1:33" ht="20" hidden="1" customHeight="1" x14ac:dyDescent="0.25">
      <c r="A1632" s="12" t="s">
        <v>31</v>
      </c>
      <c r="B1632" s="9">
        <v>46198</v>
      </c>
      <c r="C1632" s="10" t="s">
        <v>2566</v>
      </c>
      <c r="D1632" s="10" t="s">
        <v>2567</v>
      </c>
      <c r="E1632" s="10" t="s">
        <v>51</v>
      </c>
      <c r="F1632" s="10" t="s">
        <v>35</v>
      </c>
      <c r="G1632" s="10" t="s">
        <v>3145</v>
      </c>
      <c r="H1632" s="8" t="s">
        <v>48</v>
      </c>
      <c r="I1632" s="11">
        <v>25.61</v>
      </c>
      <c r="J1632" s="6">
        <v>19.2075</v>
      </c>
      <c r="K1632" s="6">
        <v>0.75</v>
      </c>
      <c r="L1632" s="6">
        <v>24.11</v>
      </c>
      <c r="M1632" s="11">
        <v>18.0825</v>
      </c>
      <c r="N1632" s="11">
        <f t="shared" si="100"/>
        <v>18.083000000000002</v>
      </c>
      <c r="O1632" s="6">
        <v>0.75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1.5</v>
      </c>
      <c r="Z1632" s="6">
        <v>1.125</v>
      </c>
      <c r="AA1632" s="6">
        <v>0.75</v>
      </c>
      <c r="AB1632" s="6">
        <v>-1.5</v>
      </c>
      <c r="AC1632" s="6">
        <v>1.5</v>
      </c>
      <c r="AD1632" s="22" t="s">
        <v>3140</v>
      </c>
      <c r="AE1632" s="23">
        <f t="shared" si="101"/>
        <v>18.083000000000002</v>
      </c>
      <c r="AF1632" s="24">
        <f t="shared" si="102"/>
        <v>0</v>
      </c>
      <c r="AG1632" s="23">
        <f t="shared" si="103"/>
        <v>1</v>
      </c>
    </row>
    <row r="1633" spans="1:33" hidden="1" x14ac:dyDescent="0.25">
      <c r="A1633" s="12" t="s">
        <v>31</v>
      </c>
      <c r="B1633" s="9">
        <v>46198</v>
      </c>
      <c r="C1633" s="10" t="s">
        <v>2568</v>
      </c>
      <c r="D1633" s="10" t="s">
        <v>2569</v>
      </c>
      <c r="E1633" s="10" t="s">
        <v>51</v>
      </c>
      <c r="F1633" s="10" t="s">
        <v>35</v>
      </c>
      <c r="G1633" s="10" t="s">
        <v>3145</v>
      </c>
      <c r="H1633" s="8" t="s">
        <v>41</v>
      </c>
      <c r="I1633" s="11">
        <v>5.28</v>
      </c>
      <c r="J1633" s="6">
        <v>3.96</v>
      </c>
      <c r="K1633" s="6">
        <v>0.75</v>
      </c>
      <c r="L1633" s="6">
        <v>4.47</v>
      </c>
      <c r="M1633" s="11">
        <v>3.3525</v>
      </c>
      <c r="N1633" s="11">
        <f t="shared" si="100"/>
        <v>3.3529999999999998</v>
      </c>
      <c r="O1633" s="6">
        <v>0.75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0.81</v>
      </c>
      <c r="Z1633" s="6">
        <v>0.60750000000000004</v>
      </c>
      <c r="AA1633" s="6">
        <v>0.75</v>
      </c>
      <c r="AB1633" s="6">
        <v>-0.8100000000000005</v>
      </c>
      <c r="AC1633" s="6">
        <v>0.8100000000000005</v>
      </c>
      <c r="AD1633" s="22" t="s">
        <v>3140</v>
      </c>
      <c r="AE1633" s="23">
        <f t="shared" si="101"/>
        <v>3.3529999999999998</v>
      </c>
      <c r="AF1633" s="24">
        <f t="shared" si="102"/>
        <v>0</v>
      </c>
      <c r="AG1633" s="23">
        <f t="shared" si="103"/>
        <v>1</v>
      </c>
    </row>
    <row r="1634" spans="1:33" ht="20" hidden="1" customHeight="1" x14ac:dyDescent="0.25">
      <c r="A1634" s="12" t="s">
        <v>31</v>
      </c>
      <c r="B1634" s="9">
        <v>46198</v>
      </c>
      <c r="C1634" s="10" t="s">
        <v>2570</v>
      </c>
      <c r="D1634" s="10" t="s">
        <v>2571</v>
      </c>
      <c r="E1634" s="10" t="s">
        <v>51</v>
      </c>
      <c r="F1634" s="10" t="s">
        <v>35</v>
      </c>
      <c r="G1634" s="10" t="s">
        <v>3145</v>
      </c>
      <c r="H1634" s="8" t="s">
        <v>48</v>
      </c>
      <c r="I1634" s="11">
        <v>37.32</v>
      </c>
      <c r="J1634" s="6">
        <v>27.99</v>
      </c>
      <c r="K1634" s="6">
        <v>0.75</v>
      </c>
      <c r="L1634" s="6">
        <v>34.92</v>
      </c>
      <c r="M1634" s="11">
        <v>26.19</v>
      </c>
      <c r="N1634" s="11">
        <f t="shared" si="100"/>
        <v>26.19</v>
      </c>
      <c r="O1634" s="6">
        <v>0.75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2.4</v>
      </c>
      <c r="Z1634" s="6">
        <v>1.8</v>
      </c>
      <c r="AA1634" s="6">
        <v>0.75</v>
      </c>
      <c r="AB1634" s="6">
        <v>-2.3999999999999986</v>
      </c>
      <c r="AC1634" s="6">
        <v>2.3999999999999986</v>
      </c>
      <c r="AD1634" s="22" t="s">
        <v>3140</v>
      </c>
      <c r="AE1634" s="23">
        <f t="shared" si="101"/>
        <v>26.19</v>
      </c>
      <c r="AF1634" s="24">
        <f t="shared" si="102"/>
        <v>0</v>
      </c>
      <c r="AG1634" s="23">
        <f t="shared" si="103"/>
        <v>1</v>
      </c>
    </row>
    <row r="1635" spans="1:33" ht="20" hidden="1" customHeight="1" x14ac:dyDescent="0.25">
      <c r="A1635" s="12" t="s">
        <v>31</v>
      </c>
      <c r="B1635" s="9">
        <v>46198</v>
      </c>
      <c r="C1635" s="10" t="s">
        <v>2572</v>
      </c>
      <c r="D1635" s="10" t="s">
        <v>2573</v>
      </c>
      <c r="E1635" s="10" t="s">
        <v>51</v>
      </c>
      <c r="F1635" s="10" t="s">
        <v>35</v>
      </c>
      <c r="G1635" s="10" t="s">
        <v>3145</v>
      </c>
      <c r="H1635" s="8" t="s">
        <v>48</v>
      </c>
      <c r="I1635" s="11">
        <v>19.28</v>
      </c>
      <c r="J1635" s="6">
        <v>14.46</v>
      </c>
      <c r="K1635" s="6">
        <v>0.75</v>
      </c>
      <c r="L1635" s="6">
        <v>17.239999999999998</v>
      </c>
      <c r="M1635" s="11">
        <v>12.93</v>
      </c>
      <c r="N1635" s="11">
        <f t="shared" si="100"/>
        <v>12.93</v>
      </c>
      <c r="O1635" s="6">
        <v>0.75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2.04</v>
      </c>
      <c r="Z1635" s="6">
        <v>1.53</v>
      </c>
      <c r="AA1635" s="6">
        <v>0.75</v>
      </c>
      <c r="AB1635" s="6">
        <v>-2.0400000000000027</v>
      </c>
      <c r="AC1635" s="6">
        <v>2.0400000000000027</v>
      </c>
      <c r="AD1635" s="22" t="s">
        <v>3140</v>
      </c>
      <c r="AE1635" s="23">
        <f t="shared" si="101"/>
        <v>12.93</v>
      </c>
      <c r="AF1635" s="24">
        <f t="shared" si="102"/>
        <v>0</v>
      </c>
      <c r="AG1635" s="23">
        <f t="shared" si="103"/>
        <v>1</v>
      </c>
    </row>
    <row r="1636" spans="1:33" x14ac:dyDescent="0.25">
      <c r="A1636" s="12" t="s">
        <v>31</v>
      </c>
      <c r="B1636" s="9">
        <v>46198</v>
      </c>
      <c r="C1636" s="10" t="s">
        <v>2574</v>
      </c>
      <c r="D1636" s="10" t="s">
        <v>2575</v>
      </c>
      <c r="E1636" s="10" t="s">
        <v>51</v>
      </c>
      <c r="F1636" s="10" t="s">
        <v>35</v>
      </c>
      <c r="G1636" s="10" t="s">
        <v>3146</v>
      </c>
      <c r="H1636" s="8" t="s">
        <v>36</v>
      </c>
      <c r="I1636" s="11">
        <v>2.56</v>
      </c>
      <c r="J1636" s="6">
        <v>2.3475199999999998</v>
      </c>
      <c r="K1636" s="6">
        <v>0.91699999999999993</v>
      </c>
      <c r="L1636" s="6">
        <v>2.34</v>
      </c>
      <c r="M1636" s="11">
        <v>2.1457799999999998</v>
      </c>
      <c r="N1636" s="11">
        <f t="shared" si="100"/>
        <v>2.1459999999999999</v>
      </c>
      <c r="O1636" s="6">
        <v>0.91699999999999993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0.22</v>
      </c>
      <c r="Z1636" s="6">
        <v>0.20174</v>
      </c>
      <c r="AA1636" s="6">
        <v>0.91700000000000004</v>
      </c>
      <c r="AB1636" s="6">
        <v>-0.2200000000000002</v>
      </c>
      <c r="AC1636" s="6">
        <v>0.2200000000000002</v>
      </c>
      <c r="AD1636" s="22" t="s">
        <v>3140</v>
      </c>
      <c r="AE1636" s="23">
        <f t="shared" si="101"/>
        <v>2.1459999999999999</v>
      </c>
      <c r="AF1636" s="24">
        <f t="shared" si="102"/>
        <v>0</v>
      </c>
      <c r="AG1636" s="23">
        <f t="shared" si="103"/>
        <v>1</v>
      </c>
    </row>
    <row r="1637" spans="1:33" x14ac:dyDescent="0.25">
      <c r="A1637" s="12" t="s">
        <v>31</v>
      </c>
      <c r="B1637" s="9">
        <v>46198</v>
      </c>
      <c r="C1637" s="10" t="s">
        <v>2576</v>
      </c>
      <c r="D1637" s="10" t="s">
        <v>2577</v>
      </c>
      <c r="E1637" s="10" t="s">
        <v>51</v>
      </c>
      <c r="F1637" s="10" t="s">
        <v>35</v>
      </c>
      <c r="G1637" s="10" t="s">
        <v>3146</v>
      </c>
      <c r="H1637" s="8" t="s">
        <v>36</v>
      </c>
      <c r="I1637" s="11">
        <v>1.1200000000000001</v>
      </c>
      <c r="J1637" s="6">
        <v>1.02704</v>
      </c>
      <c r="K1637" s="6">
        <v>0.91699999999999982</v>
      </c>
      <c r="L1637" s="6">
        <v>1.02</v>
      </c>
      <c r="M1637" s="11">
        <v>0.93533999999999995</v>
      </c>
      <c r="N1637" s="11">
        <f t="shared" si="100"/>
        <v>0.93600000000000005</v>
      </c>
      <c r="O1637" s="6">
        <v>0.91699999999999993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0.1</v>
      </c>
      <c r="Z1637" s="6">
        <v>9.1700000000000004E-2</v>
      </c>
      <c r="AA1637" s="6">
        <v>0.91700000000000004</v>
      </c>
      <c r="AB1637" s="6">
        <v>-0.10000000000000009</v>
      </c>
      <c r="AC1637" s="6">
        <v>0.10000000000000009</v>
      </c>
      <c r="AD1637" s="22" t="s">
        <v>3140</v>
      </c>
      <c r="AE1637" s="23">
        <f t="shared" si="101"/>
        <v>0.93600000000000005</v>
      </c>
      <c r="AF1637" s="24">
        <f t="shared" si="102"/>
        <v>0</v>
      </c>
      <c r="AG1637" s="23">
        <f t="shared" si="103"/>
        <v>1</v>
      </c>
    </row>
    <row r="1638" spans="1:33" x14ac:dyDescent="0.25">
      <c r="A1638" s="12" t="s">
        <v>31</v>
      </c>
      <c r="B1638" s="9">
        <v>46198</v>
      </c>
      <c r="C1638" s="10" t="s">
        <v>2578</v>
      </c>
      <c r="D1638" s="10" t="s">
        <v>2579</v>
      </c>
      <c r="E1638" s="10" t="s">
        <v>51</v>
      </c>
      <c r="F1638" s="10" t="s">
        <v>35</v>
      </c>
      <c r="G1638" s="10" t="s">
        <v>3146</v>
      </c>
      <c r="H1638" s="8" t="s">
        <v>36</v>
      </c>
      <c r="I1638" s="11">
        <v>1.94</v>
      </c>
      <c r="J1638" s="6">
        <v>1.77898</v>
      </c>
      <c r="K1638" s="6">
        <v>0.91700000000000004</v>
      </c>
      <c r="L1638" s="6">
        <v>1.78</v>
      </c>
      <c r="M1638" s="11">
        <v>1.63226</v>
      </c>
      <c r="N1638" s="11">
        <f t="shared" si="100"/>
        <v>1.6329999999999998</v>
      </c>
      <c r="O1638" s="6">
        <v>0.91700000000000004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0.16</v>
      </c>
      <c r="Z1638" s="6">
        <v>0.14671999999999999</v>
      </c>
      <c r="AA1638" s="6">
        <v>0.91699999999999993</v>
      </c>
      <c r="AB1638" s="6">
        <v>-0.15999999999999992</v>
      </c>
      <c r="AC1638" s="6">
        <v>0.15999999999999992</v>
      </c>
      <c r="AD1638" s="22" t="s">
        <v>3140</v>
      </c>
      <c r="AE1638" s="23">
        <f t="shared" si="101"/>
        <v>1.6329999999999998</v>
      </c>
      <c r="AF1638" s="24">
        <f t="shared" si="102"/>
        <v>0</v>
      </c>
      <c r="AG1638" s="23">
        <f t="shared" si="103"/>
        <v>1</v>
      </c>
    </row>
    <row r="1639" spans="1:33" x14ac:dyDescent="0.25">
      <c r="A1639" s="12" t="s">
        <v>31</v>
      </c>
      <c r="B1639" s="9">
        <v>46198</v>
      </c>
      <c r="C1639" s="10" t="s">
        <v>2580</v>
      </c>
      <c r="D1639" s="10" t="s">
        <v>2581</v>
      </c>
      <c r="E1639" s="10" t="s">
        <v>51</v>
      </c>
      <c r="F1639" s="10" t="s">
        <v>35</v>
      </c>
      <c r="G1639" s="10" t="s">
        <v>3146</v>
      </c>
      <c r="H1639" s="8" t="s">
        <v>36</v>
      </c>
      <c r="I1639" s="11">
        <v>41.81</v>
      </c>
      <c r="J1639" s="6">
        <v>38.339770000000001</v>
      </c>
      <c r="K1639" s="6">
        <v>0.91700000000000004</v>
      </c>
      <c r="L1639" s="6">
        <v>38.520000000000003</v>
      </c>
      <c r="M1639" s="11">
        <v>35.322839999999999</v>
      </c>
      <c r="N1639" s="11">
        <f t="shared" si="100"/>
        <v>35.323</v>
      </c>
      <c r="O1639" s="6">
        <v>0.91699999999999993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3.29</v>
      </c>
      <c r="Z1639" s="6">
        <v>3.0169299999999999</v>
      </c>
      <c r="AA1639" s="6">
        <v>0.91699999999999993</v>
      </c>
      <c r="AB1639" s="6">
        <v>-3.2899999999999991</v>
      </c>
      <c r="AC1639" s="6">
        <v>3.2899999999999991</v>
      </c>
      <c r="AD1639" s="22" t="s">
        <v>3140</v>
      </c>
      <c r="AE1639" s="23">
        <f t="shared" si="101"/>
        <v>35.323</v>
      </c>
      <c r="AF1639" s="24">
        <f t="shared" si="102"/>
        <v>0</v>
      </c>
      <c r="AG1639" s="23">
        <f t="shared" si="103"/>
        <v>1</v>
      </c>
    </row>
    <row r="1640" spans="1:33" ht="20" hidden="1" customHeight="1" x14ac:dyDescent="0.25">
      <c r="A1640" s="12" t="s">
        <v>31</v>
      </c>
      <c r="B1640" s="9">
        <v>46198</v>
      </c>
      <c r="C1640" s="10" t="s">
        <v>2582</v>
      </c>
      <c r="D1640" s="10" t="s">
        <v>2583</v>
      </c>
      <c r="E1640" s="10" t="s">
        <v>51</v>
      </c>
      <c r="F1640" s="10" t="s">
        <v>35</v>
      </c>
      <c r="G1640" s="10" t="s">
        <v>3145</v>
      </c>
      <c r="H1640" s="8" t="s">
        <v>48</v>
      </c>
      <c r="I1640" s="11">
        <v>23.12</v>
      </c>
      <c r="J1640" s="6">
        <v>17.34</v>
      </c>
      <c r="K1640" s="6">
        <v>0.75</v>
      </c>
      <c r="L1640" s="6">
        <v>20.85</v>
      </c>
      <c r="M1640" s="11">
        <v>15.637499999999999</v>
      </c>
      <c r="N1640" s="11">
        <f t="shared" si="100"/>
        <v>15.638</v>
      </c>
      <c r="O1640" s="6">
        <v>0.74999999999999989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2.27</v>
      </c>
      <c r="Z1640" s="6">
        <v>1.7024999999999999</v>
      </c>
      <c r="AA1640" s="6">
        <v>0.75</v>
      </c>
      <c r="AB1640" s="6">
        <v>-2.2699999999999996</v>
      </c>
      <c r="AC1640" s="6">
        <v>2.2699999999999996</v>
      </c>
      <c r="AD1640" s="22" t="s">
        <v>3140</v>
      </c>
      <c r="AE1640" s="23">
        <f t="shared" si="101"/>
        <v>15.638</v>
      </c>
      <c r="AF1640" s="24">
        <f t="shared" si="102"/>
        <v>0</v>
      </c>
      <c r="AG1640" s="23">
        <f t="shared" si="103"/>
        <v>1</v>
      </c>
    </row>
    <row r="1641" spans="1:33" hidden="1" x14ac:dyDescent="0.25">
      <c r="A1641" s="12" t="s">
        <v>31</v>
      </c>
      <c r="B1641" s="9">
        <v>46198</v>
      </c>
      <c r="C1641" s="10" t="s">
        <v>2584</v>
      </c>
      <c r="D1641" s="10" t="s">
        <v>2331</v>
      </c>
      <c r="E1641" s="10" t="s">
        <v>51</v>
      </c>
      <c r="F1641" s="10" t="s">
        <v>35</v>
      </c>
      <c r="G1641" s="10" t="s">
        <v>3145</v>
      </c>
      <c r="H1641" s="8" t="s">
        <v>41</v>
      </c>
      <c r="I1641" s="11">
        <v>17.45</v>
      </c>
      <c r="J1641" s="6">
        <v>13.0875</v>
      </c>
      <c r="K1641" s="6">
        <v>0.75</v>
      </c>
      <c r="L1641" s="6">
        <v>17.37</v>
      </c>
      <c r="M1641" s="11">
        <v>13.0275</v>
      </c>
      <c r="N1641" s="11">
        <f t="shared" si="100"/>
        <v>13.027999999999999</v>
      </c>
      <c r="O1641" s="6">
        <v>0.75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0.08</v>
      </c>
      <c r="Z1641" s="6">
        <v>0.06</v>
      </c>
      <c r="AA1641" s="6">
        <v>0.75</v>
      </c>
      <c r="AB1641" s="6">
        <v>-7.9999999999998295E-2</v>
      </c>
      <c r="AC1641" s="6">
        <v>7.9999999999998295E-2</v>
      </c>
      <c r="AD1641" s="23" t="s">
        <v>3143</v>
      </c>
      <c r="AE1641" s="23">
        <f t="shared" si="101"/>
        <v>12</v>
      </c>
      <c r="AF1641" s="24">
        <f t="shared" si="102"/>
        <v>1.0279999999999987</v>
      </c>
      <c r="AG1641" s="23">
        <f t="shared" si="103"/>
        <v>2</v>
      </c>
    </row>
    <row r="1642" spans="1:33" ht="20" hidden="1" customHeight="1" x14ac:dyDescent="0.25">
      <c r="A1642" s="12" t="s">
        <v>31</v>
      </c>
      <c r="B1642" s="9">
        <v>46198</v>
      </c>
      <c r="C1642" s="10" t="s">
        <v>2585</v>
      </c>
      <c r="D1642" s="10" t="s">
        <v>2586</v>
      </c>
      <c r="E1642" s="10" t="s">
        <v>51</v>
      </c>
      <c r="F1642" s="10" t="s">
        <v>35</v>
      </c>
      <c r="G1642" s="10" t="s">
        <v>3145</v>
      </c>
      <c r="H1642" s="8" t="s">
        <v>48</v>
      </c>
      <c r="I1642" s="11">
        <v>32.630000000000003</v>
      </c>
      <c r="J1642" s="6">
        <v>24.4725</v>
      </c>
      <c r="K1642" s="6">
        <v>0.75</v>
      </c>
      <c r="L1642" s="6">
        <v>30.24</v>
      </c>
      <c r="M1642" s="11">
        <v>22.68</v>
      </c>
      <c r="N1642" s="11">
        <f t="shared" si="100"/>
        <v>22.68</v>
      </c>
      <c r="O1642" s="6">
        <v>0.75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2.39</v>
      </c>
      <c r="Z1642" s="6">
        <v>1.7925</v>
      </c>
      <c r="AA1642" s="6">
        <v>0.75</v>
      </c>
      <c r="AB1642" s="6">
        <v>-2.3900000000000041</v>
      </c>
      <c r="AC1642" s="6">
        <v>2.3900000000000041</v>
      </c>
      <c r="AD1642" s="22" t="s">
        <v>3140</v>
      </c>
      <c r="AE1642" s="23">
        <f t="shared" si="101"/>
        <v>22.68</v>
      </c>
      <c r="AF1642" s="24">
        <f t="shared" si="102"/>
        <v>0</v>
      </c>
      <c r="AG1642" s="23">
        <f t="shared" si="103"/>
        <v>1</v>
      </c>
    </row>
    <row r="1643" spans="1:33" x14ac:dyDescent="0.25">
      <c r="A1643" s="12" t="s">
        <v>31</v>
      </c>
      <c r="B1643" s="9">
        <v>46198</v>
      </c>
      <c r="C1643" s="10" t="s">
        <v>2587</v>
      </c>
      <c r="D1643" s="10" t="s">
        <v>2588</v>
      </c>
      <c r="E1643" s="10" t="s">
        <v>51</v>
      </c>
      <c r="F1643" s="10" t="s">
        <v>35</v>
      </c>
      <c r="G1643" s="10" t="s">
        <v>3146</v>
      </c>
      <c r="H1643" s="8" t="s">
        <v>36</v>
      </c>
      <c r="I1643" s="11">
        <v>11.94</v>
      </c>
      <c r="J1643" s="6">
        <v>10.948980000000001</v>
      </c>
      <c r="K1643" s="6">
        <v>0.91700000000000004</v>
      </c>
      <c r="L1643" s="6">
        <v>9.99</v>
      </c>
      <c r="M1643" s="11">
        <v>9.1608300000000007</v>
      </c>
      <c r="N1643" s="11">
        <f t="shared" si="100"/>
        <v>9.1609999999999996</v>
      </c>
      <c r="O1643" s="6">
        <v>0.91700000000000004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1.95</v>
      </c>
      <c r="Z1643" s="6">
        <v>1.7881499999999999</v>
      </c>
      <c r="AA1643" s="6">
        <v>0.91699999999999993</v>
      </c>
      <c r="AB1643" s="6">
        <v>-1.9499999999999993</v>
      </c>
      <c r="AC1643" s="6">
        <v>1.9499999999999993</v>
      </c>
      <c r="AD1643" s="22" t="s">
        <v>3140</v>
      </c>
      <c r="AE1643" s="23">
        <f t="shared" si="101"/>
        <v>9.1609999999999996</v>
      </c>
      <c r="AF1643" s="24">
        <f t="shared" si="102"/>
        <v>0</v>
      </c>
      <c r="AG1643" s="23">
        <f t="shared" si="103"/>
        <v>1</v>
      </c>
    </row>
    <row r="1644" spans="1:33" ht="20" hidden="1" customHeight="1" x14ac:dyDescent="0.25">
      <c r="A1644" s="12" t="s">
        <v>31</v>
      </c>
      <c r="B1644" s="9">
        <v>46198</v>
      </c>
      <c r="C1644" s="10" t="s">
        <v>2589</v>
      </c>
      <c r="D1644" s="10" t="s">
        <v>2454</v>
      </c>
      <c r="E1644" s="10" t="s">
        <v>51</v>
      </c>
      <c r="F1644" s="10" t="s">
        <v>35</v>
      </c>
      <c r="G1644" s="10" t="s">
        <v>3145</v>
      </c>
      <c r="H1644" s="8" t="s">
        <v>48</v>
      </c>
      <c r="I1644" s="11">
        <v>17.75</v>
      </c>
      <c r="J1644" s="6">
        <v>13.3125</v>
      </c>
      <c r="K1644" s="6">
        <v>0.75</v>
      </c>
      <c r="L1644" s="6">
        <v>16.36</v>
      </c>
      <c r="M1644" s="11">
        <v>12.27</v>
      </c>
      <c r="N1644" s="11">
        <f t="shared" si="100"/>
        <v>12.27</v>
      </c>
      <c r="O1644" s="6">
        <v>0.75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1.39</v>
      </c>
      <c r="Z1644" s="6">
        <v>1.0425</v>
      </c>
      <c r="AA1644" s="6">
        <v>0.75</v>
      </c>
      <c r="AB1644" s="6">
        <v>-1.3900000000000006</v>
      </c>
      <c r="AC1644" s="6">
        <v>1.3900000000000006</v>
      </c>
      <c r="AD1644" s="23" t="s">
        <v>3143</v>
      </c>
      <c r="AE1644" s="23">
        <f t="shared" si="101"/>
        <v>10.635</v>
      </c>
      <c r="AF1644" s="24">
        <f t="shared" si="102"/>
        <v>1.6349999999999998</v>
      </c>
      <c r="AG1644" s="23">
        <f t="shared" si="103"/>
        <v>2</v>
      </c>
    </row>
    <row r="1645" spans="1:33" hidden="1" x14ac:dyDescent="0.25">
      <c r="A1645" s="12" t="s">
        <v>31</v>
      </c>
      <c r="B1645" s="9">
        <v>46198</v>
      </c>
      <c r="C1645" s="10" t="s">
        <v>2590</v>
      </c>
      <c r="D1645" s="10" t="s">
        <v>2591</v>
      </c>
      <c r="E1645" s="10" t="s">
        <v>51</v>
      </c>
      <c r="F1645" s="10" t="s">
        <v>35</v>
      </c>
      <c r="G1645" s="10" t="s">
        <v>3145</v>
      </c>
      <c r="H1645" s="8" t="s">
        <v>41</v>
      </c>
      <c r="I1645" s="11">
        <v>36.200000000000003</v>
      </c>
      <c r="J1645" s="6">
        <v>27.15</v>
      </c>
      <c r="K1645" s="6">
        <v>0.74999999999999989</v>
      </c>
      <c r="L1645" s="6">
        <v>34.64</v>
      </c>
      <c r="M1645" s="11">
        <v>25.98</v>
      </c>
      <c r="N1645" s="11">
        <f t="shared" si="100"/>
        <v>25.98</v>
      </c>
      <c r="O1645" s="6">
        <v>0.75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1.56</v>
      </c>
      <c r="Z1645" s="6">
        <v>1.17</v>
      </c>
      <c r="AA1645" s="6">
        <v>0.74999999999999989</v>
      </c>
      <c r="AB1645" s="6">
        <v>-1.5600000000000023</v>
      </c>
      <c r="AC1645" s="6">
        <v>1.5600000000000023</v>
      </c>
      <c r="AD1645" s="22" t="s">
        <v>3140</v>
      </c>
      <c r="AE1645" s="23">
        <f t="shared" si="101"/>
        <v>25.98</v>
      </c>
      <c r="AF1645" s="24">
        <f t="shared" si="102"/>
        <v>0</v>
      </c>
      <c r="AG1645" s="23">
        <f t="shared" si="103"/>
        <v>2</v>
      </c>
    </row>
    <row r="1646" spans="1:33" hidden="1" x14ac:dyDescent="0.25">
      <c r="A1646" s="12" t="s">
        <v>31</v>
      </c>
      <c r="B1646" s="9">
        <v>46198</v>
      </c>
      <c r="C1646" s="10" t="s">
        <v>2592</v>
      </c>
      <c r="D1646" s="10" t="s">
        <v>2593</v>
      </c>
      <c r="E1646" s="10" t="s">
        <v>51</v>
      </c>
      <c r="F1646" s="10" t="s">
        <v>35</v>
      </c>
      <c r="G1646" s="10" t="s">
        <v>3145</v>
      </c>
      <c r="H1646" s="8" t="s">
        <v>41</v>
      </c>
      <c r="I1646" s="11">
        <v>7.41</v>
      </c>
      <c r="J1646" s="6">
        <v>5.5575000000000001</v>
      </c>
      <c r="K1646" s="6">
        <v>0.75</v>
      </c>
      <c r="L1646" s="6">
        <v>6.15</v>
      </c>
      <c r="M1646" s="11">
        <v>4.6124999999999998</v>
      </c>
      <c r="N1646" s="11">
        <f t="shared" si="100"/>
        <v>4.6130000000000004</v>
      </c>
      <c r="O1646" s="6">
        <v>0.74999999999999989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1.26</v>
      </c>
      <c r="Z1646" s="6">
        <v>0.94499999999999995</v>
      </c>
      <c r="AA1646" s="6">
        <v>0.75</v>
      </c>
      <c r="AB1646" s="6">
        <v>-1.2599999999999998</v>
      </c>
      <c r="AC1646" s="6">
        <v>1.2599999999999998</v>
      </c>
      <c r="AD1646" s="22" t="s">
        <v>3140</v>
      </c>
      <c r="AE1646" s="23">
        <f t="shared" si="101"/>
        <v>4.6130000000000004</v>
      </c>
      <c r="AF1646" s="24">
        <f t="shared" si="102"/>
        <v>0</v>
      </c>
      <c r="AG1646" s="23">
        <f t="shared" si="103"/>
        <v>1</v>
      </c>
    </row>
    <row r="1647" spans="1:33" ht="20" hidden="1" customHeight="1" x14ac:dyDescent="0.25">
      <c r="A1647" s="12" t="s">
        <v>31</v>
      </c>
      <c r="B1647" s="9">
        <v>46198</v>
      </c>
      <c r="C1647" s="10" t="s">
        <v>2594</v>
      </c>
      <c r="D1647" s="10" t="s">
        <v>2595</v>
      </c>
      <c r="E1647" s="10" t="s">
        <v>51</v>
      </c>
      <c r="F1647" s="10" t="s">
        <v>35</v>
      </c>
      <c r="G1647" s="10" t="s">
        <v>3145</v>
      </c>
      <c r="H1647" s="8" t="s">
        <v>48</v>
      </c>
      <c r="I1647" s="11">
        <v>22.22</v>
      </c>
      <c r="J1647" s="6">
        <v>16.664999999999999</v>
      </c>
      <c r="K1647" s="6">
        <v>0.75</v>
      </c>
      <c r="L1647" s="6">
        <v>20.52</v>
      </c>
      <c r="M1647" s="11">
        <v>15.39</v>
      </c>
      <c r="N1647" s="11">
        <f t="shared" si="100"/>
        <v>15.39</v>
      </c>
      <c r="O1647" s="6">
        <v>0.75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1.7</v>
      </c>
      <c r="Z1647" s="6">
        <v>1.2749999999999999</v>
      </c>
      <c r="AA1647" s="6">
        <v>0.75</v>
      </c>
      <c r="AB1647" s="6">
        <v>-1.6999999999999993</v>
      </c>
      <c r="AC1647" s="6">
        <v>1.6999999999999993</v>
      </c>
      <c r="AD1647" s="22" t="s">
        <v>3140</v>
      </c>
      <c r="AE1647" s="23">
        <f t="shared" si="101"/>
        <v>15.39</v>
      </c>
      <c r="AF1647" s="24">
        <f t="shared" si="102"/>
        <v>0</v>
      </c>
      <c r="AG1647" s="23">
        <f t="shared" si="103"/>
        <v>1</v>
      </c>
    </row>
    <row r="1648" spans="1:33" ht="12.5" customHeight="1" x14ac:dyDescent="0.25">
      <c r="A1648" s="12" t="s">
        <v>31</v>
      </c>
      <c r="B1648" s="9">
        <v>46198</v>
      </c>
      <c r="C1648" s="8" t="s">
        <v>2596</v>
      </c>
      <c r="D1648" s="10" t="s">
        <v>2244</v>
      </c>
      <c r="E1648" s="10" t="s">
        <v>51</v>
      </c>
      <c r="F1648" s="10" t="s">
        <v>35</v>
      </c>
      <c r="G1648" s="10" t="s">
        <v>3146</v>
      </c>
      <c r="H1648" s="8" t="s">
        <v>36</v>
      </c>
      <c r="I1648" s="11">
        <v>5.29</v>
      </c>
      <c r="J1648" s="6">
        <v>4.85093</v>
      </c>
      <c r="K1648" s="6">
        <v>0.91700000000000004</v>
      </c>
      <c r="L1648" s="6">
        <v>5.26</v>
      </c>
      <c r="M1648" s="11">
        <v>4.8234199999999996</v>
      </c>
      <c r="N1648" s="11">
        <f t="shared" si="100"/>
        <v>4.8240000000000007</v>
      </c>
      <c r="O1648" s="6">
        <v>0.91699999999999993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0.03</v>
      </c>
      <c r="Z1648" s="6">
        <v>2.751E-2</v>
      </c>
      <c r="AA1648" s="6">
        <v>0.91700000000000004</v>
      </c>
      <c r="AB1648" s="6">
        <v>-3.0000000000000249E-2</v>
      </c>
      <c r="AC1648" s="6">
        <v>3.0000000000000249E-2</v>
      </c>
      <c r="AD1648" s="23" t="s">
        <v>3143</v>
      </c>
      <c r="AE1648" s="23">
        <f t="shared" si="101"/>
        <v>4.0900000000000007</v>
      </c>
      <c r="AF1648" s="24">
        <f t="shared" si="102"/>
        <v>0.73399999999999999</v>
      </c>
      <c r="AG1648" s="23">
        <f t="shared" si="103"/>
        <v>2</v>
      </c>
    </row>
    <row r="1649" spans="1:33" ht="12.5" customHeight="1" x14ac:dyDescent="0.25">
      <c r="A1649" s="12" t="s">
        <v>31</v>
      </c>
      <c r="B1649" s="9">
        <v>46198</v>
      </c>
      <c r="C1649" s="12" t="s">
        <v>2596</v>
      </c>
      <c r="D1649" s="10" t="s">
        <v>2597</v>
      </c>
      <c r="E1649" s="10" t="s">
        <v>51</v>
      </c>
      <c r="F1649" s="10" t="s">
        <v>35</v>
      </c>
      <c r="G1649" s="10" t="s">
        <v>3146</v>
      </c>
      <c r="H1649" s="8" t="s">
        <v>36</v>
      </c>
      <c r="I1649" s="11">
        <v>13.56</v>
      </c>
      <c r="J1649" s="6">
        <v>12.434519999999999</v>
      </c>
      <c r="K1649" s="6">
        <v>0.91699999999999993</v>
      </c>
      <c r="L1649" s="6">
        <v>12.75</v>
      </c>
      <c r="M1649" s="11">
        <v>11.691750000000001</v>
      </c>
      <c r="N1649" s="11">
        <f t="shared" si="100"/>
        <v>11.692</v>
      </c>
      <c r="O1649" s="6">
        <v>0.91700000000000004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0.81</v>
      </c>
      <c r="Z1649" s="6">
        <v>0.74277000000000004</v>
      </c>
      <c r="AA1649" s="6">
        <v>0.91700000000000004</v>
      </c>
      <c r="AB1649" s="6">
        <v>-0.8100000000000005</v>
      </c>
      <c r="AC1649" s="6">
        <v>0.8100000000000005</v>
      </c>
      <c r="AD1649" s="22" t="s">
        <v>3140</v>
      </c>
      <c r="AE1649" s="23">
        <f t="shared" si="101"/>
        <v>11.692</v>
      </c>
      <c r="AF1649" s="24">
        <f t="shared" si="102"/>
        <v>0</v>
      </c>
      <c r="AG1649" s="23">
        <f t="shared" si="103"/>
        <v>1</v>
      </c>
    </row>
    <row r="1650" spans="1:33" ht="12.5" customHeight="1" x14ac:dyDescent="0.25">
      <c r="A1650" s="12" t="s">
        <v>31</v>
      </c>
      <c r="B1650" s="9">
        <v>46198</v>
      </c>
      <c r="C1650" s="13" t="s">
        <v>2596</v>
      </c>
      <c r="D1650" s="10" t="s">
        <v>2598</v>
      </c>
      <c r="E1650" s="10" t="s">
        <v>51</v>
      </c>
      <c r="F1650" s="10" t="s">
        <v>35</v>
      </c>
      <c r="G1650" s="10" t="s">
        <v>3146</v>
      </c>
      <c r="H1650" s="8" t="s">
        <v>36</v>
      </c>
      <c r="I1650" s="11">
        <v>14.41</v>
      </c>
      <c r="J1650" s="6">
        <v>13.21397</v>
      </c>
      <c r="K1650" s="6">
        <v>0.91699999999999993</v>
      </c>
      <c r="L1650" s="6">
        <v>13.22</v>
      </c>
      <c r="M1650" s="11">
        <v>12.12274</v>
      </c>
      <c r="N1650" s="11">
        <f t="shared" si="100"/>
        <v>12.122999999999999</v>
      </c>
      <c r="O1650" s="6">
        <v>0.91699999999999993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1.19</v>
      </c>
      <c r="Z1650" s="6">
        <v>1.0912299999999999</v>
      </c>
      <c r="AA1650" s="6">
        <v>0.91699999999999993</v>
      </c>
      <c r="AB1650" s="6">
        <v>-1.1899999999999995</v>
      </c>
      <c r="AC1650" s="6">
        <v>1.1899999999999995</v>
      </c>
      <c r="AD1650" s="22" t="s">
        <v>3140</v>
      </c>
      <c r="AE1650" s="23">
        <f t="shared" si="101"/>
        <v>12.122999999999999</v>
      </c>
      <c r="AF1650" s="24">
        <f t="shared" si="102"/>
        <v>0</v>
      </c>
      <c r="AG1650" s="23">
        <f t="shared" si="103"/>
        <v>1</v>
      </c>
    </row>
    <row r="1651" spans="1:33" hidden="1" x14ac:dyDescent="0.25">
      <c r="A1651" s="12" t="s">
        <v>31</v>
      </c>
      <c r="B1651" s="9">
        <v>46198</v>
      </c>
      <c r="C1651" s="10" t="s">
        <v>2599</v>
      </c>
      <c r="D1651" s="10" t="s">
        <v>2600</v>
      </c>
      <c r="E1651" s="10" t="s">
        <v>51</v>
      </c>
      <c r="F1651" s="10" t="s">
        <v>35</v>
      </c>
      <c r="G1651" s="10" t="s">
        <v>3145</v>
      </c>
      <c r="H1651" s="8" t="s">
        <v>41</v>
      </c>
      <c r="I1651" s="11">
        <v>20.75</v>
      </c>
      <c r="J1651" s="6">
        <v>15.5625</v>
      </c>
      <c r="K1651" s="6">
        <v>0.75</v>
      </c>
      <c r="L1651" s="6">
        <v>19.5</v>
      </c>
      <c r="M1651" s="11">
        <v>14.625</v>
      </c>
      <c r="N1651" s="11">
        <f t="shared" si="100"/>
        <v>14.625</v>
      </c>
      <c r="O1651" s="6">
        <v>0.75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1.25</v>
      </c>
      <c r="Z1651" s="6">
        <v>0.9375</v>
      </c>
      <c r="AA1651" s="6">
        <v>0.75</v>
      </c>
      <c r="AB1651" s="6">
        <v>-1.25</v>
      </c>
      <c r="AC1651" s="6">
        <v>1.25</v>
      </c>
      <c r="AD1651" s="23" t="s">
        <v>3143</v>
      </c>
      <c r="AE1651" s="23">
        <f t="shared" si="101"/>
        <v>14.618</v>
      </c>
      <c r="AF1651" s="24">
        <f t="shared" si="102"/>
        <v>6.9999999999996732E-3</v>
      </c>
      <c r="AG1651" s="23">
        <f t="shared" si="103"/>
        <v>2</v>
      </c>
    </row>
    <row r="1652" spans="1:33" ht="20" hidden="1" customHeight="1" x14ac:dyDescent="0.25">
      <c r="A1652" s="12" t="s">
        <v>31</v>
      </c>
      <c r="B1652" s="9">
        <v>46198</v>
      </c>
      <c r="C1652" s="10" t="s">
        <v>2601</v>
      </c>
      <c r="D1652" s="10" t="s">
        <v>2602</v>
      </c>
      <c r="E1652" s="10" t="s">
        <v>51</v>
      </c>
      <c r="F1652" s="10" t="s">
        <v>35</v>
      </c>
      <c r="G1652" s="10" t="s">
        <v>3145</v>
      </c>
      <c r="H1652" s="8" t="s">
        <v>48</v>
      </c>
      <c r="I1652" s="11">
        <v>35.729999999999997</v>
      </c>
      <c r="J1652" s="6">
        <v>26.797499999999999</v>
      </c>
      <c r="K1652" s="6">
        <v>0.75</v>
      </c>
      <c r="L1652" s="6">
        <v>32.71</v>
      </c>
      <c r="M1652" s="11">
        <v>24.532499999999999</v>
      </c>
      <c r="N1652" s="11">
        <f t="shared" si="100"/>
        <v>24.533000000000001</v>
      </c>
      <c r="O1652" s="6">
        <v>0.75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3.02</v>
      </c>
      <c r="Z1652" s="6">
        <v>2.2650000000000001</v>
      </c>
      <c r="AA1652" s="6">
        <v>0.75</v>
      </c>
      <c r="AB1652" s="6">
        <v>-3.019999999999996</v>
      </c>
      <c r="AC1652" s="6">
        <v>3.019999999999996</v>
      </c>
      <c r="AD1652" s="22" t="s">
        <v>3140</v>
      </c>
      <c r="AE1652" s="23">
        <f t="shared" si="101"/>
        <v>24.533000000000001</v>
      </c>
      <c r="AF1652" s="24">
        <f t="shared" si="102"/>
        <v>0</v>
      </c>
      <c r="AG1652" s="23">
        <f t="shared" si="103"/>
        <v>1</v>
      </c>
    </row>
    <row r="1653" spans="1:33" ht="20" hidden="1" customHeight="1" x14ac:dyDescent="0.25">
      <c r="A1653" s="12" t="s">
        <v>31</v>
      </c>
      <c r="B1653" s="9">
        <v>46198</v>
      </c>
      <c r="C1653" s="10" t="s">
        <v>2603</v>
      </c>
      <c r="D1653" s="10" t="s">
        <v>2604</v>
      </c>
      <c r="E1653" s="10" t="s">
        <v>51</v>
      </c>
      <c r="F1653" s="10" t="s">
        <v>35</v>
      </c>
      <c r="G1653" s="10" t="s">
        <v>3145</v>
      </c>
      <c r="H1653" s="8" t="s">
        <v>48</v>
      </c>
      <c r="I1653" s="11">
        <v>23.4</v>
      </c>
      <c r="J1653" s="6">
        <v>17.55</v>
      </c>
      <c r="K1653" s="6">
        <v>0.75000000000000011</v>
      </c>
      <c r="L1653" s="6">
        <v>21.24</v>
      </c>
      <c r="M1653" s="11">
        <v>15.93</v>
      </c>
      <c r="N1653" s="11">
        <f t="shared" si="100"/>
        <v>15.93</v>
      </c>
      <c r="O1653" s="6">
        <v>0.75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2.16</v>
      </c>
      <c r="Z1653" s="6">
        <v>1.62</v>
      </c>
      <c r="AA1653" s="6">
        <v>0.75</v>
      </c>
      <c r="AB1653" s="6">
        <v>-2.16</v>
      </c>
      <c r="AC1653" s="6">
        <v>2.16</v>
      </c>
      <c r="AD1653" s="22" t="s">
        <v>3140</v>
      </c>
      <c r="AE1653" s="23">
        <f t="shared" si="101"/>
        <v>15.93</v>
      </c>
      <c r="AF1653" s="24">
        <f t="shared" si="102"/>
        <v>0</v>
      </c>
      <c r="AG1653" s="23">
        <f t="shared" si="103"/>
        <v>1</v>
      </c>
    </row>
    <row r="1654" spans="1:33" ht="20" hidden="1" customHeight="1" x14ac:dyDescent="0.25">
      <c r="A1654" s="12" t="s">
        <v>31</v>
      </c>
      <c r="B1654" s="9">
        <v>46198</v>
      </c>
      <c r="C1654" s="10" t="s">
        <v>2605</v>
      </c>
      <c r="D1654" s="10" t="s">
        <v>2606</v>
      </c>
      <c r="E1654" s="10" t="s">
        <v>51</v>
      </c>
      <c r="F1654" s="10" t="s">
        <v>35</v>
      </c>
      <c r="G1654" s="10" t="s">
        <v>3145</v>
      </c>
      <c r="H1654" s="8" t="s">
        <v>48</v>
      </c>
      <c r="I1654" s="11">
        <v>25.35</v>
      </c>
      <c r="J1654" s="6">
        <v>19.012499999999999</v>
      </c>
      <c r="K1654" s="6">
        <v>0.74999999999999989</v>
      </c>
      <c r="L1654" s="6">
        <v>22.56</v>
      </c>
      <c r="M1654" s="11">
        <v>16.920000000000002</v>
      </c>
      <c r="N1654" s="11">
        <f t="shared" si="100"/>
        <v>16.920000000000002</v>
      </c>
      <c r="O1654" s="6">
        <v>0.75000000000000011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2.79</v>
      </c>
      <c r="Z1654" s="6">
        <v>2.0924999999999998</v>
      </c>
      <c r="AA1654" s="6">
        <v>0.74999999999999989</v>
      </c>
      <c r="AB1654" s="6">
        <v>-2.7900000000000027</v>
      </c>
      <c r="AC1654" s="6">
        <v>2.7900000000000027</v>
      </c>
      <c r="AD1654" s="22" t="s">
        <v>3140</v>
      </c>
      <c r="AE1654" s="23">
        <f t="shared" si="101"/>
        <v>16.920000000000002</v>
      </c>
      <c r="AF1654" s="24">
        <f t="shared" si="102"/>
        <v>0</v>
      </c>
      <c r="AG1654" s="23">
        <f t="shared" si="103"/>
        <v>1</v>
      </c>
    </row>
    <row r="1655" spans="1:33" x14ac:dyDescent="0.25">
      <c r="A1655" s="12" t="s">
        <v>31</v>
      </c>
      <c r="B1655" s="9">
        <v>46198</v>
      </c>
      <c r="C1655" s="10" t="s">
        <v>2607</v>
      </c>
      <c r="D1655" s="10" t="s">
        <v>2608</v>
      </c>
      <c r="E1655" s="10" t="s">
        <v>51</v>
      </c>
      <c r="F1655" s="10" t="s">
        <v>35</v>
      </c>
      <c r="G1655" s="10" t="s">
        <v>3146</v>
      </c>
      <c r="H1655" s="8" t="s">
        <v>36</v>
      </c>
      <c r="I1655" s="11">
        <v>40.11</v>
      </c>
      <c r="J1655" s="6">
        <v>36.78087</v>
      </c>
      <c r="K1655" s="6">
        <v>0.91700000000000004</v>
      </c>
      <c r="L1655" s="6">
        <v>37.619999999999997</v>
      </c>
      <c r="M1655" s="11">
        <v>34.497540000000001</v>
      </c>
      <c r="N1655" s="11">
        <f t="shared" si="100"/>
        <v>34.497999999999998</v>
      </c>
      <c r="O1655" s="6">
        <v>0.91700000000000004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2.4900000000000002</v>
      </c>
      <c r="Z1655" s="6">
        <v>2.2833299999999999</v>
      </c>
      <c r="AA1655" s="6">
        <v>0.91699999999999982</v>
      </c>
      <c r="AB1655" s="6">
        <v>-2.490000000000002</v>
      </c>
      <c r="AC1655" s="6">
        <v>2.490000000000002</v>
      </c>
      <c r="AD1655" s="22" t="s">
        <v>3140</v>
      </c>
      <c r="AE1655" s="23">
        <f t="shared" si="101"/>
        <v>34.497999999999998</v>
      </c>
      <c r="AF1655" s="24">
        <f t="shared" si="102"/>
        <v>0</v>
      </c>
      <c r="AG1655" s="23">
        <f t="shared" si="103"/>
        <v>1</v>
      </c>
    </row>
    <row r="1656" spans="1:33" x14ac:dyDescent="0.25">
      <c r="A1656" s="12" t="s">
        <v>31</v>
      </c>
      <c r="B1656" s="9">
        <v>46198</v>
      </c>
      <c r="C1656" s="10" t="s">
        <v>2609</v>
      </c>
      <c r="D1656" s="10" t="s">
        <v>2610</v>
      </c>
      <c r="E1656" s="10" t="s">
        <v>51</v>
      </c>
      <c r="F1656" s="10" t="s">
        <v>35</v>
      </c>
      <c r="G1656" s="10" t="s">
        <v>3146</v>
      </c>
      <c r="H1656" s="8" t="s">
        <v>36</v>
      </c>
      <c r="I1656" s="11">
        <v>35.75</v>
      </c>
      <c r="J1656" s="6">
        <v>32.78275</v>
      </c>
      <c r="K1656" s="6">
        <v>0.91700000000000004</v>
      </c>
      <c r="L1656" s="6">
        <v>33.380000000000003</v>
      </c>
      <c r="M1656" s="11">
        <v>30.609459999999999</v>
      </c>
      <c r="N1656" s="11">
        <f t="shared" si="100"/>
        <v>30.610000000000003</v>
      </c>
      <c r="O1656" s="6">
        <v>0.91699999999999993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2.37</v>
      </c>
      <c r="Z1656" s="6">
        <v>2.1732900000000002</v>
      </c>
      <c r="AA1656" s="6">
        <v>0.91700000000000004</v>
      </c>
      <c r="AB1656" s="6">
        <v>-2.3699999999999974</v>
      </c>
      <c r="AC1656" s="6">
        <v>2.3699999999999974</v>
      </c>
      <c r="AD1656" s="22" t="s">
        <v>3140</v>
      </c>
      <c r="AE1656" s="23">
        <f t="shared" si="101"/>
        <v>30.610000000000003</v>
      </c>
      <c r="AF1656" s="24">
        <f t="shared" si="102"/>
        <v>0</v>
      </c>
      <c r="AG1656" s="23">
        <f t="shared" si="103"/>
        <v>1</v>
      </c>
    </row>
    <row r="1657" spans="1:33" ht="20" hidden="1" customHeight="1" x14ac:dyDescent="0.25">
      <c r="A1657" s="12" t="s">
        <v>31</v>
      </c>
      <c r="B1657" s="9">
        <v>46198</v>
      </c>
      <c r="C1657" s="10" t="s">
        <v>2611</v>
      </c>
      <c r="D1657" s="10" t="s">
        <v>2612</v>
      </c>
      <c r="E1657" s="10" t="s">
        <v>51</v>
      </c>
      <c r="F1657" s="10" t="s">
        <v>35</v>
      </c>
      <c r="G1657" s="10" t="s">
        <v>3145</v>
      </c>
      <c r="H1657" s="8" t="s">
        <v>48</v>
      </c>
      <c r="I1657" s="11">
        <v>22.17</v>
      </c>
      <c r="J1657" s="6">
        <v>16.627500000000001</v>
      </c>
      <c r="K1657" s="6">
        <v>0.75</v>
      </c>
      <c r="L1657" s="6">
        <v>21.17</v>
      </c>
      <c r="M1657" s="11">
        <v>15.8775</v>
      </c>
      <c r="N1657" s="11">
        <f t="shared" si="100"/>
        <v>15.878</v>
      </c>
      <c r="O1657" s="6">
        <v>0.74999999999999989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1</v>
      </c>
      <c r="Z1657" s="6">
        <v>0.75</v>
      </c>
      <c r="AA1657" s="6">
        <v>0.75</v>
      </c>
      <c r="AB1657" s="6">
        <v>-1</v>
      </c>
      <c r="AC1657" s="6">
        <v>1</v>
      </c>
      <c r="AD1657" s="22" t="s">
        <v>3140</v>
      </c>
      <c r="AE1657" s="23">
        <f t="shared" si="101"/>
        <v>15.878</v>
      </c>
      <c r="AF1657" s="24">
        <f t="shared" si="102"/>
        <v>0</v>
      </c>
      <c r="AG1657" s="23">
        <f t="shared" si="103"/>
        <v>1</v>
      </c>
    </row>
    <row r="1658" spans="1:33" x14ac:dyDescent="0.25">
      <c r="A1658" s="12" t="s">
        <v>31</v>
      </c>
      <c r="B1658" s="9">
        <v>46198</v>
      </c>
      <c r="C1658" s="10" t="s">
        <v>2613</v>
      </c>
      <c r="D1658" s="10" t="s">
        <v>2614</v>
      </c>
      <c r="E1658" s="10" t="s">
        <v>51</v>
      </c>
      <c r="F1658" s="10" t="s">
        <v>35</v>
      </c>
      <c r="G1658" s="10" t="s">
        <v>3146</v>
      </c>
      <c r="H1658" s="8" t="s">
        <v>36</v>
      </c>
      <c r="I1658" s="11">
        <v>33.97</v>
      </c>
      <c r="J1658" s="6">
        <v>31.150490000000001</v>
      </c>
      <c r="K1658" s="6">
        <v>0.91700000000000004</v>
      </c>
      <c r="L1658" s="6">
        <v>32.14</v>
      </c>
      <c r="M1658" s="11">
        <v>29.472380000000001</v>
      </c>
      <c r="N1658" s="11">
        <f t="shared" si="100"/>
        <v>29.473000000000003</v>
      </c>
      <c r="O1658" s="6">
        <v>0.91700000000000004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1.83</v>
      </c>
      <c r="Z1658" s="6">
        <v>1.67811</v>
      </c>
      <c r="AA1658" s="6">
        <v>0.91699999999999993</v>
      </c>
      <c r="AB1658" s="6">
        <v>-1.8299999999999983</v>
      </c>
      <c r="AC1658" s="6">
        <v>1.8299999999999983</v>
      </c>
      <c r="AD1658" s="22" t="s">
        <v>3140</v>
      </c>
      <c r="AE1658" s="23">
        <f t="shared" si="101"/>
        <v>29.473000000000003</v>
      </c>
      <c r="AF1658" s="24">
        <f t="shared" si="102"/>
        <v>0</v>
      </c>
      <c r="AG1658" s="23">
        <f t="shared" si="103"/>
        <v>1</v>
      </c>
    </row>
    <row r="1659" spans="1:33" ht="20" hidden="1" customHeight="1" x14ac:dyDescent="0.25">
      <c r="A1659" s="12" t="s">
        <v>31</v>
      </c>
      <c r="B1659" s="9">
        <v>46198</v>
      </c>
      <c r="C1659" s="10" t="s">
        <v>2615</v>
      </c>
      <c r="D1659" s="10" t="s">
        <v>2616</v>
      </c>
      <c r="E1659" s="10" t="s">
        <v>51</v>
      </c>
      <c r="F1659" s="10" t="s">
        <v>35</v>
      </c>
      <c r="G1659" s="10" t="s">
        <v>3145</v>
      </c>
      <c r="H1659" s="8" t="s">
        <v>48</v>
      </c>
      <c r="I1659" s="11">
        <v>47.61</v>
      </c>
      <c r="J1659" s="6">
        <v>35.707500000000003</v>
      </c>
      <c r="K1659" s="6">
        <v>0.75000000000000011</v>
      </c>
      <c r="L1659" s="6">
        <v>45.15</v>
      </c>
      <c r="M1659" s="11">
        <v>33.862499999999997</v>
      </c>
      <c r="N1659" s="11">
        <f t="shared" si="100"/>
        <v>33.863</v>
      </c>
      <c r="O1659" s="6">
        <v>0.75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2.46</v>
      </c>
      <c r="Z1659" s="6">
        <v>1.845</v>
      </c>
      <c r="AA1659" s="6">
        <v>0.75</v>
      </c>
      <c r="AB1659" s="6">
        <v>-2.4600000000000009</v>
      </c>
      <c r="AC1659" s="6">
        <v>2.4600000000000009</v>
      </c>
      <c r="AD1659" s="22" t="s">
        <v>3140</v>
      </c>
      <c r="AE1659" s="23">
        <f t="shared" si="101"/>
        <v>33.863</v>
      </c>
      <c r="AF1659" s="24">
        <f t="shared" si="102"/>
        <v>0</v>
      </c>
      <c r="AG1659" s="23">
        <f t="shared" si="103"/>
        <v>1</v>
      </c>
    </row>
    <row r="1660" spans="1:33" ht="20" hidden="1" customHeight="1" x14ac:dyDescent="0.25">
      <c r="A1660" s="12" t="s">
        <v>31</v>
      </c>
      <c r="B1660" s="9">
        <v>46198</v>
      </c>
      <c r="C1660" s="10" t="s">
        <v>2617</v>
      </c>
      <c r="D1660" s="10" t="s">
        <v>2618</v>
      </c>
      <c r="E1660" s="10" t="s">
        <v>51</v>
      </c>
      <c r="F1660" s="10" t="s">
        <v>35</v>
      </c>
      <c r="G1660" s="10" t="s">
        <v>3145</v>
      </c>
      <c r="H1660" s="8" t="s">
        <v>48</v>
      </c>
      <c r="I1660" s="11">
        <v>15.37</v>
      </c>
      <c r="J1660" s="6">
        <v>11.5275</v>
      </c>
      <c r="K1660" s="6">
        <v>0.75</v>
      </c>
      <c r="L1660" s="6">
        <v>13.38</v>
      </c>
      <c r="M1660" s="11">
        <v>10.035</v>
      </c>
      <c r="N1660" s="11">
        <f t="shared" si="100"/>
        <v>10.035</v>
      </c>
      <c r="O1660" s="6">
        <v>0.75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1.99</v>
      </c>
      <c r="Z1660" s="6">
        <v>1.4924999999999999</v>
      </c>
      <c r="AA1660" s="6">
        <v>0.75</v>
      </c>
      <c r="AB1660" s="6">
        <v>-1.9899999999999984</v>
      </c>
      <c r="AC1660" s="6">
        <v>1.9899999999999984</v>
      </c>
      <c r="AD1660" s="22" t="s">
        <v>3140</v>
      </c>
      <c r="AE1660" s="23">
        <f t="shared" si="101"/>
        <v>10.035</v>
      </c>
      <c r="AF1660" s="24">
        <f t="shared" si="102"/>
        <v>0</v>
      </c>
      <c r="AG1660" s="23">
        <f t="shared" si="103"/>
        <v>1</v>
      </c>
    </row>
    <row r="1661" spans="1:33" ht="20" hidden="1" customHeight="1" x14ac:dyDescent="0.25">
      <c r="A1661" s="12" t="s">
        <v>31</v>
      </c>
      <c r="B1661" s="9">
        <v>46198</v>
      </c>
      <c r="C1661" s="10" t="s">
        <v>2619</v>
      </c>
      <c r="D1661" s="10" t="s">
        <v>2620</v>
      </c>
      <c r="E1661" s="10" t="s">
        <v>51</v>
      </c>
      <c r="F1661" s="10" t="s">
        <v>35</v>
      </c>
      <c r="G1661" s="10" t="s">
        <v>3145</v>
      </c>
      <c r="H1661" s="8" t="s">
        <v>48</v>
      </c>
      <c r="I1661" s="11">
        <v>17.68</v>
      </c>
      <c r="J1661" s="6">
        <v>13.26</v>
      </c>
      <c r="K1661" s="6">
        <v>0.75</v>
      </c>
      <c r="L1661" s="6">
        <v>16.489999999999998</v>
      </c>
      <c r="M1661" s="11">
        <v>12.3675</v>
      </c>
      <c r="N1661" s="11">
        <f t="shared" si="100"/>
        <v>12.368</v>
      </c>
      <c r="O1661" s="6">
        <v>0.75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1.19</v>
      </c>
      <c r="Z1661" s="6">
        <v>0.89249999999999996</v>
      </c>
      <c r="AA1661" s="6">
        <v>0.75</v>
      </c>
      <c r="AB1661" s="6">
        <v>-1.1900000000000013</v>
      </c>
      <c r="AC1661" s="6">
        <v>1.1900000000000013</v>
      </c>
      <c r="AD1661" s="22" t="s">
        <v>3140</v>
      </c>
      <c r="AE1661" s="23">
        <f t="shared" si="101"/>
        <v>12.368</v>
      </c>
      <c r="AF1661" s="24">
        <f t="shared" si="102"/>
        <v>0</v>
      </c>
      <c r="AG1661" s="23">
        <f t="shared" si="103"/>
        <v>1</v>
      </c>
    </row>
    <row r="1662" spans="1:33" ht="12.5" customHeight="1" x14ac:dyDescent="0.25">
      <c r="A1662" s="12" t="s">
        <v>31</v>
      </c>
      <c r="B1662" s="9">
        <v>46198</v>
      </c>
      <c r="C1662" s="8" t="s">
        <v>2621</v>
      </c>
      <c r="D1662" s="10" t="s">
        <v>2622</v>
      </c>
      <c r="E1662" s="10" t="s">
        <v>51</v>
      </c>
      <c r="F1662" s="10" t="s">
        <v>35</v>
      </c>
      <c r="G1662" s="10" t="s">
        <v>3146</v>
      </c>
      <c r="H1662" s="8" t="s">
        <v>36</v>
      </c>
      <c r="I1662" s="11">
        <v>34.340000000000003</v>
      </c>
      <c r="J1662" s="6">
        <v>31.48978</v>
      </c>
      <c r="K1662" s="6">
        <v>0.91699999999999993</v>
      </c>
      <c r="L1662" s="6">
        <v>32.26</v>
      </c>
      <c r="M1662" s="11">
        <v>29.582419999999999</v>
      </c>
      <c r="N1662" s="11">
        <f t="shared" si="100"/>
        <v>29.583000000000002</v>
      </c>
      <c r="O1662" s="6">
        <v>0.91700000000000004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2.08</v>
      </c>
      <c r="Z1662" s="6">
        <v>1.9073599999999999</v>
      </c>
      <c r="AA1662" s="6">
        <v>0.91699999999999993</v>
      </c>
      <c r="AB1662" s="6">
        <v>-2.0800000000000054</v>
      </c>
      <c r="AC1662" s="6">
        <v>2.0800000000000054</v>
      </c>
      <c r="AD1662" s="22" t="s">
        <v>3140</v>
      </c>
      <c r="AE1662" s="23">
        <f t="shared" si="101"/>
        <v>29.583000000000002</v>
      </c>
      <c r="AF1662" s="24">
        <f t="shared" si="102"/>
        <v>0</v>
      </c>
      <c r="AG1662" s="23">
        <f t="shared" si="103"/>
        <v>1</v>
      </c>
    </row>
    <row r="1663" spans="1:33" ht="12.5" customHeight="1" x14ac:dyDescent="0.25">
      <c r="A1663" s="12" t="s">
        <v>31</v>
      </c>
      <c r="B1663" s="9">
        <v>46198</v>
      </c>
      <c r="C1663" s="13" t="s">
        <v>2621</v>
      </c>
      <c r="D1663" s="10" t="s">
        <v>2623</v>
      </c>
      <c r="E1663" s="10" t="s">
        <v>51</v>
      </c>
      <c r="F1663" s="10" t="s">
        <v>35</v>
      </c>
      <c r="G1663" s="10" t="s">
        <v>3146</v>
      </c>
      <c r="H1663" s="8" t="s">
        <v>36</v>
      </c>
      <c r="I1663" s="11">
        <v>20.3</v>
      </c>
      <c r="J1663" s="6">
        <v>18.615100000000002</v>
      </c>
      <c r="K1663" s="6">
        <v>0.91700000000000004</v>
      </c>
      <c r="L1663" s="6">
        <v>19.11</v>
      </c>
      <c r="M1663" s="11">
        <v>17.523869999999999</v>
      </c>
      <c r="N1663" s="11">
        <f t="shared" si="100"/>
        <v>17.524000000000001</v>
      </c>
      <c r="O1663" s="6">
        <v>0.91699999999999993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1.19</v>
      </c>
      <c r="Z1663" s="6">
        <v>1.0912299999999999</v>
      </c>
      <c r="AA1663" s="6">
        <v>0.91699999999999993</v>
      </c>
      <c r="AB1663" s="6">
        <v>-1.1900000000000013</v>
      </c>
      <c r="AC1663" s="6">
        <v>1.1900000000000013</v>
      </c>
      <c r="AD1663" s="22" t="s">
        <v>3140</v>
      </c>
      <c r="AE1663" s="23">
        <f t="shared" si="101"/>
        <v>17.524000000000001</v>
      </c>
      <c r="AF1663" s="24">
        <f t="shared" si="102"/>
        <v>0</v>
      </c>
      <c r="AG1663" s="23">
        <f t="shared" si="103"/>
        <v>1</v>
      </c>
    </row>
    <row r="1664" spans="1:33" ht="12.5" customHeight="1" x14ac:dyDescent="0.25">
      <c r="A1664" s="12" t="s">
        <v>31</v>
      </c>
      <c r="B1664" s="9">
        <v>46198</v>
      </c>
      <c r="C1664" s="8" t="s">
        <v>2624</v>
      </c>
      <c r="D1664" s="10" t="s">
        <v>2625</v>
      </c>
      <c r="E1664" s="10" t="s">
        <v>51</v>
      </c>
      <c r="F1664" s="10" t="s">
        <v>35</v>
      </c>
      <c r="G1664" s="10" t="s">
        <v>3146</v>
      </c>
      <c r="H1664" s="8" t="s">
        <v>36</v>
      </c>
      <c r="I1664" s="11">
        <v>37.22</v>
      </c>
      <c r="J1664" s="6">
        <v>34.130740000000003</v>
      </c>
      <c r="K1664" s="6">
        <v>0.91700000000000015</v>
      </c>
      <c r="L1664" s="6">
        <v>35.51</v>
      </c>
      <c r="M1664" s="11">
        <v>32.562669999999997</v>
      </c>
      <c r="N1664" s="11">
        <f t="shared" si="100"/>
        <v>32.562999999999995</v>
      </c>
      <c r="O1664" s="6">
        <v>0.91699999999999993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1.71</v>
      </c>
      <c r="Z1664" s="6">
        <v>1.5680700000000001</v>
      </c>
      <c r="AA1664" s="6">
        <v>0.91700000000000004</v>
      </c>
      <c r="AB1664" s="6">
        <v>-1.7100000000000009</v>
      </c>
      <c r="AC1664" s="6">
        <v>1.7100000000000009</v>
      </c>
      <c r="AD1664" s="22" t="s">
        <v>3140</v>
      </c>
      <c r="AE1664" s="23">
        <f t="shared" si="101"/>
        <v>32.562999999999995</v>
      </c>
      <c r="AF1664" s="24">
        <f t="shared" si="102"/>
        <v>0</v>
      </c>
      <c r="AG1664" s="23">
        <f t="shared" si="103"/>
        <v>1</v>
      </c>
    </row>
    <row r="1665" spans="1:33" ht="12.5" hidden="1" customHeight="1" x14ac:dyDescent="0.25">
      <c r="A1665" s="12" t="s">
        <v>31</v>
      </c>
      <c r="B1665" s="9">
        <v>46198</v>
      </c>
      <c r="C1665" s="12" t="s">
        <v>2624</v>
      </c>
      <c r="D1665" s="10" t="s">
        <v>2626</v>
      </c>
      <c r="E1665" s="10" t="s">
        <v>51</v>
      </c>
      <c r="F1665" s="10" t="s">
        <v>35</v>
      </c>
      <c r="G1665" s="10" t="s">
        <v>3145</v>
      </c>
      <c r="H1665" s="8" t="s">
        <v>48</v>
      </c>
      <c r="I1665" s="11">
        <v>33.29</v>
      </c>
      <c r="J1665" s="6">
        <v>24.967500000000001</v>
      </c>
      <c r="K1665" s="6">
        <v>0.75</v>
      </c>
      <c r="L1665" s="6">
        <v>30.73</v>
      </c>
      <c r="M1665" s="11">
        <v>23.047499999999999</v>
      </c>
      <c r="N1665" s="11">
        <f t="shared" si="100"/>
        <v>23.048000000000002</v>
      </c>
      <c r="O1665" s="6">
        <v>0.75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2.56</v>
      </c>
      <c r="Z1665" s="6">
        <v>1.92</v>
      </c>
      <c r="AA1665" s="6">
        <v>0.75</v>
      </c>
      <c r="AB1665" s="6">
        <v>-2.5599999999999987</v>
      </c>
      <c r="AC1665" s="6">
        <v>2.5599999999999987</v>
      </c>
      <c r="AD1665" s="22" t="s">
        <v>3140</v>
      </c>
      <c r="AE1665" s="23">
        <f t="shared" si="101"/>
        <v>23.048000000000002</v>
      </c>
      <c r="AF1665" s="24">
        <f t="shared" si="102"/>
        <v>0</v>
      </c>
      <c r="AG1665" s="23">
        <f t="shared" si="103"/>
        <v>1</v>
      </c>
    </row>
    <row r="1666" spans="1:33" ht="12.5" customHeight="1" x14ac:dyDescent="0.25">
      <c r="A1666" s="12" t="s">
        <v>31</v>
      </c>
      <c r="B1666" s="9">
        <v>46198</v>
      </c>
      <c r="C1666" s="13" t="s">
        <v>2624</v>
      </c>
      <c r="D1666" s="10" t="s">
        <v>2627</v>
      </c>
      <c r="E1666" s="10" t="s">
        <v>51</v>
      </c>
      <c r="F1666" s="10" t="s">
        <v>35</v>
      </c>
      <c r="G1666" s="10" t="s">
        <v>3146</v>
      </c>
      <c r="H1666" s="8" t="s">
        <v>36</v>
      </c>
      <c r="I1666" s="11">
        <v>45.78</v>
      </c>
      <c r="J1666" s="6">
        <v>41.980260000000001</v>
      </c>
      <c r="K1666" s="6">
        <v>0.91700000000000004</v>
      </c>
      <c r="L1666" s="6">
        <v>43.59</v>
      </c>
      <c r="M1666" s="11">
        <v>39.972029999999997</v>
      </c>
      <c r="N1666" s="11">
        <f t="shared" si="100"/>
        <v>39.972999999999999</v>
      </c>
      <c r="O1666" s="6">
        <v>0.91699999999999982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2.19</v>
      </c>
      <c r="Z1666" s="6">
        <v>2.0082300000000002</v>
      </c>
      <c r="AA1666" s="6">
        <v>0.91700000000000015</v>
      </c>
      <c r="AB1666" s="6">
        <v>-2.1899999999999977</v>
      </c>
      <c r="AC1666" s="6">
        <v>2.1899999999999977</v>
      </c>
      <c r="AD1666" s="22" t="s">
        <v>3140</v>
      </c>
      <c r="AE1666" s="23">
        <f t="shared" si="101"/>
        <v>39.972999999999999</v>
      </c>
      <c r="AF1666" s="24">
        <f t="shared" si="102"/>
        <v>0</v>
      </c>
      <c r="AG1666" s="23">
        <f t="shared" si="103"/>
        <v>1</v>
      </c>
    </row>
    <row r="1667" spans="1:33" ht="12.5" hidden="1" customHeight="1" x14ac:dyDescent="0.25">
      <c r="A1667" s="12" t="s">
        <v>31</v>
      </c>
      <c r="B1667" s="9">
        <v>46198</v>
      </c>
      <c r="C1667" s="8" t="s">
        <v>2628</v>
      </c>
      <c r="D1667" s="10" t="s">
        <v>2629</v>
      </c>
      <c r="E1667" s="10" t="s">
        <v>51</v>
      </c>
      <c r="F1667" s="10" t="s">
        <v>35</v>
      </c>
      <c r="G1667" s="10" t="s">
        <v>3145</v>
      </c>
      <c r="H1667" s="8" t="s">
        <v>48</v>
      </c>
      <c r="I1667" s="11">
        <v>55.25</v>
      </c>
      <c r="J1667" s="6">
        <v>41.4375</v>
      </c>
      <c r="K1667" s="6">
        <v>0.75</v>
      </c>
      <c r="L1667" s="6">
        <v>49.75</v>
      </c>
      <c r="M1667" s="11">
        <v>37.3125</v>
      </c>
      <c r="N1667" s="11">
        <f t="shared" ref="N1667:N1730" si="104">ROUNDUP(M1667,3)</f>
        <v>37.312999999999995</v>
      </c>
      <c r="O1667" s="6">
        <v>0.75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5.5</v>
      </c>
      <c r="Z1667" s="6">
        <v>4.125</v>
      </c>
      <c r="AA1667" s="6">
        <v>0.75</v>
      </c>
      <c r="AB1667" s="6">
        <v>-5.5</v>
      </c>
      <c r="AC1667" s="6">
        <v>5.5</v>
      </c>
      <c r="AD1667" s="22" t="s">
        <v>3140</v>
      </c>
      <c r="AE1667" s="23">
        <f t="shared" ref="AE1667:AE1730" si="105">_xlfn.MINIFS(N:N,D:D,D1667)</f>
        <v>37.312999999999995</v>
      </c>
      <c r="AF1667" s="24">
        <f t="shared" ref="AF1667:AF1730" si="106">N1667-AE1667</f>
        <v>0</v>
      </c>
      <c r="AG1667" s="23">
        <f t="shared" ref="AG1667:AG1730" si="107">COUNTIF(D:D,D1667)</f>
        <v>1</v>
      </c>
    </row>
    <row r="1668" spans="1:33" ht="12.5" customHeight="1" x14ac:dyDescent="0.25">
      <c r="A1668" s="12" t="s">
        <v>31</v>
      </c>
      <c r="B1668" s="9">
        <v>46198</v>
      </c>
      <c r="C1668" s="13" t="s">
        <v>2628</v>
      </c>
      <c r="D1668" s="10" t="s">
        <v>2630</v>
      </c>
      <c r="E1668" s="10" t="s">
        <v>51</v>
      </c>
      <c r="F1668" s="10" t="s">
        <v>35</v>
      </c>
      <c r="G1668" s="10" t="s">
        <v>3146</v>
      </c>
      <c r="H1668" s="8" t="s">
        <v>36</v>
      </c>
      <c r="I1668" s="11">
        <v>76.25</v>
      </c>
      <c r="J1668" s="6">
        <v>69.921250000000001</v>
      </c>
      <c r="K1668" s="6">
        <v>0.91700000000000004</v>
      </c>
      <c r="L1668" s="6">
        <v>73.319999999999993</v>
      </c>
      <c r="M1668" s="11">
        <v>67.234440000000006</v>
      </c>
      <c r="N1668" s="11">
        <f t="shared" si="104"/>
        <v>67.234999999999999</v>
      </c>
      <c r="O1668" s="6">
        <v>0.91700000000000015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2.93</v>
      </c>
      <c r="Z1668" s="6">
        <v>2.6868099999999999</v>
      </c>
      <c r="AA1668" s="6">
        <v>0.91699999999999993</v>
      </c>
      <c r="AB1668" s="6">
        <v>-2.9300000000000068</v>
      </c>
      <c r="AC1668" s="6">
        <v>2.9300000000000068</v>
      </c>
      <c r="AD1668" s="22" t="s">
        <v>3140</v>
      </c>
      <c r="AE1668" s="23">
        <f t="shared" si="105"/>
        <v>67.234999999999999</v>
      </c>
      <c r="AF1668" s="24">
        <f t="shared" si="106"/>
        <v>0</v>
      </c>
      <c r="AG1668" s="23">
        <f t="shared" si="107"/>
        <v>1</v>
      </c>
    </row>
    <row r="1669" spans="1:33" x14ac:dyDescent="0.25">
      <c r="A1669" s="12" t="s">
        <v>31</v>
      </c>
      <c r="B1669" s="9">
        <v>46198</v>
      </c>
      <c r="C1669" s="10" t="s">
        <v>2631</v>
      </c>
      <c r="D1669" s="10" t="s">
        <v>2632</v>
      </c>
      <c r="E1669" s="10" t="s">
        <v>51</v>
      </c>
      <c r="F1669" s="10" t="s">
        <v>35</v>
      </c>
      <c r="G1669" s="10" t="s">
        <v>3146</v>
      </c>
      <c r="H1669" s="8" t="s">
        <v>36</v>
      </c>
      <c r="I1669" s="11">
        <v>7.21</v>
      </c>
      <c r="J1669" s="6">
        <v>6.6115700000000004</v>
      </c>
      <c r="K1669" s="6">
        <v>0.91700000000000004</v>
      </c>
      <c r="L1669" s="6">
        <v>6.95</v>
      </c>
      <c r="M1669" s="11">
        <v>6.3731499999999999</v>
      </c>
      <c r="N1669" s="11">
        <f t="shared" si="104"/>
        <v>6.3740000000000006</v>
      </c>
      <c r="O1669" s="6">
        <v>0.91699999999999993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0.26</v>
      </c>
      <c r="Z1669" s="6">
        <v>0.23841999999999999</v>
      </c>
      <c r="AA1669" s="6">
        <v>0.91699999999999993</v>
      </c>
      <c r="AB1669" s="6">
        <v>-0.25999999999999979</v>
      </c>
      <c r="AC1669" s="6">
        <v>0.25999999999999979</v>
      </c>
      <c r="AD1669" s="22" t="s">
        <v>3140</v>
      </c>
      <c r="AE1669" s="23">
        <f t="shared" si="105"/>
        <v>6.3740000000000006</v>
      </c>
      <c r="AF1669" s="24">
        <f t="shared" si="106"/>
        <v>0</v>
      </c>
      <c r="AG1669" s="23">
        <f t="shared" si="107"/>
        <v>1</v>
      </c>
    </row>
    <row r="1670" spans="1:33" x14ac:dyDescent="0.25">
      <c r="A1670" s="12" t="s">
        <v>31</v>
      </c>
      <c r="B1670" s="9">
        <v>46198</v>
      </c>
      <c r="C1670" s="10" t="s">
        <v>2633</v>
      </c>
      <c r="D1670" s="10" t="s">
        <v>2634</v>
      </c>
      <c r="E1670" s="10" t="s">
        <v>51</v>
      </c>
      <c r="F1670" s="10" t="s">
        <v>35</v>
      </c>
      <c r="G1670" s="10" t="s">
        <v>3146</v>
      </c>
      <c r="H1670" s="8" t="s">
        <v>36</v>
      </c>
      <c r="I1670" s="11">
        <v>3.15</v>
      </c>
      <c r="J1670" s="6">
        <v>2.88855</v>
      </c>
      <c r="K1670" s="6">
        <v>0.91700000000000004</v>
      </c>
      <c r="L1670" s="6">
        <v>2.63</v>
      </c>
      <c r="M1670" s="11">
        <v>2.4117099999999998</v>
      </c>
      <c r="N1670" s="11">
        <f t="shared" si="104"/>
        <v>2.4119999999999999</v>
      </c>
      <c r="O1670" s="6">
        <v>0.91699999999999993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0.52</v>
      </c>
      <c r="Z1670" s="6">
        <v>0.47683999999999999</v>
      </c>
      <c r="AA1670" s="6">
        <v>0.91699999999999993</v>
      </c>
      <c r="AB1670" s="6">
        <v>-0.52</v>
      </c>
      <c r="AC1670" s="6">
        <v>0.52</v>
      </c>
      <c r="AD1670" s="22" t="s">
        <v>3140</v>
      </c>
      <c r="AE1670" s="23">
        <f t="shared" si="105"/>
        <v>2.4119999999999999</v>
      </c>
      <c r="AF1670" s="24">
        <f t="shared" si="106"/>
        <v>0</v>
      </c>
      <c r="AG1670" s="23">
        <f t="shared" si="107"/>
        <v>1</v>
      </c>
    </row>
    <row r="1671" spans="1:33" hidden="1" x14ac:dyDescent="0.25">
      <c r="A1671" s="12" t="s">
        <v>31</v>
      </c>
      <c r="B1671" s="9">
        <v>46198</v>
      </c>
      <c r="C1671" s="10" t="s">
        <v>2635</v>
      </c>
      <c r="D1671" s="10" t="s">
        <v>2600</v>
      </c>
      <c r="E1671" s="10" t="s">
        <v>51</v>
      </c>
      <c r="F1671" s="10" t="s">
        <v>133</v>
      </c>
      <c r="G1671" s="10" t="s">
        <v>3145</v>
      </c>
      <c r="H1671" s="8" t="s">
        <v>41</v>
      </c>
      <c r="I1671" s="11">
        <v>19.690000000000001</v>
      </c>
      <c r="J1671" s="6">
        <v>14.7675</v>
      </c>
      <c r="K1671" s="6">
        <v>0.75</v>
      </c>
      <c r="L1671" s="6">
        <v>19.489999999999998</v>
      </c>
      <c r="M1671" s="11">
        <v>14.6175</v>
      </c>
      <c r="N1671" s="11">
        <f t="shared" si="104"/>
        <v>14.618</v>
      </c>
      <c r="O1671" s="6">
        <v>0.75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0.2</v>
      </c>
      <c r="Z1671" s="6">
        <v>0.15</v>
      </c>
      <c r="AA1671" s="6">
        <v>0.74999999999999989</v>
      </c>
      <c r="AB1671" s="6">
        <v>-0.20000000000000284</v>
      </c>
      <c r="AC1671" s="6">
        <v>0.20000000000000284</v>
      </c>
      <c r="AD1671" s="23" t="s">
        <v>3142</v>
      </c>
      <c r="AE1671" s="23">
        <f t="shared" si="105"/>
        <v>14.618</v>
      </c>
      <c r="AF1671" s="24">
        <f t="shared" si="106"/>
        <v>0</v>
      </c>
      <c r="AG1671" s="23">
        <f t="shared" si="107"/>
        <v>2</v>
      </c>
    </row>
    <row r="1672" spans="1:33" x14ac:dyDescent="0.25">
      <c r="A1672" s="12" t="s">
        <v>31</v>
      </c>
      <c r="B1672" s="9">
        <v>46198</v>
      </c>
      <c r="C1672" s="10" t="s">
        <v>2636</v>
      </c>
      <c r="D1672" s="10" t="s">
        <v>2637</v>
      </c>
      <c r="E1672" s="10" t="s">
        <v>51</v>
      </c>
      <c r="F1672" s="10" t="s">
        <v>35</v>
      </c>
      <c r="G1672" s="10" t="s">
        <v>3146</v>
      </c>
      <c r="H1672" s="8" t="s">
        <v>36</v>
      </c>
      <c r="I1672" s="11">
        <v>51.78</v>
      </c>
      <c r="J1672" s="6">
        <v>47.482259999999997</v>
      </c>
      <c r="K1672" s="6">
        <v>0.91699999999999993</v>
      </c>
      <c r="L1672" s="6">
        <v>51.69</v>
      </c>
      <c r="M1672" s="11">
        <v>47.399729999999998</v>
      </c>
      <c r="N1672" s="11">
        <f t="shared" si="104"/>
        <v>47.4</v>
      </c>
      <c r="O1672" s="6">
        <v>0.91700000000000004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0.09</v>
      </c>
      <c r="Z1672" s="6">
        <v>8.2530000000000006E-2</v>
      </c>
      <c r="AA1672" s="6">
        <v>0.91700000000000015</v>
      </c>
      <c r="AB1672" s="6">
        <v>-9.0000000000003411E-2</v>
      </c>
      <c r="AC1672" s="6">
        <v>9.0000000000003411E-2</v>
      </c>
      <c r="AD1672" s="22" t="s">
        <v>3140</v>
      </c>
      <c r="AE1672" s="23">
        <f t="shared" si="105"/>
        <v>47.4</v>
      </c>
      <c r="AF1672" s="24">
        <f t="shared" si="106"/>
        <v>0</v>
      </c>
      <c r="AG1672" s="23">
        <f t="shared" si="107"/>
        <v>1</v>
      </c>
    </row>
    <row r="1673" spans="1:33" ht="12.5" customHeight="1" x14ac:dyDescent="0.25">
      <c r="A1673" s="12" t="s">
        <v>31</v>
      </c>
      <c r="B1673" s="9">
        <v>46198</v>
      </c>
      <c r="C1673" s="8" t="s">
        <v>2638</v>
      </c>
      <c r="D1673" s="10" t="s">
        <v>2639</v>
      </c>
      <c r="E1673" s="10" t="s">
        <v>51</v>
      </c>
      <c r="F1673" s="10" t="s">
        <v>35</v>
      </c>
      <c r="G1673" s="10" t="s">
        <v>3146</v>
      </c>
      <c r="H1673" s="8" t="s">
        <v>36</v>
      </c>
      <c r="I1673" s="11">
        <v>46.45</v>
      </c>
      <c r="J1673" s="6">
        <v>42.594650000000001</v>
      </c>
      <c r="K1673" s="6">
        <v>0.91699999999999993</v>
      </c>
      <c r="L1673" s="6">
        <v>43.59</v>
      </c>
      <c r="M1673" s="11">
        <v>39.972029999999997</v>
      </c>
      <c r="N1673" s="11">
        <f t="shared" si="104"/>
        <v>39.972999999999999</v>
      </c>
      <c r="O1673" s="6">
        <v>0.91699999999999982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2.86</v>
      </c>
      <c r="Z1673" s="6">
        <v>2.62262</v>
      </c>
      <c r="AA1673" s="6">
        <v>0.91700000000000004</v>
      </c>
      <c r="AB1673" s="6">
        <v>-2.8599999999999994</v>
      </c>
      <c r="AC1673" s="6">
        <v>2.8599999999999994</v>
      </c>
      <c r="AD1673" s="22" t="s">
        <v>3140</v>
      </c>
      <c r="AE1673" s="23">
        <f t="shared" si="105"/>
        <v>39.972999999999999</v>
      </c>
      <c r="AF1673" s="24">
        <f t="shared" si="106"/>
        <v>0</v>
      </c>
      <c r="AG1673" s="23">
        <f t="shared" si="107"/>
        <v>1</v>
      </c>
    </row>
    <row r="1674" spans="1:33" ht="12.5" hidden="1" customHeight="1" x14ac:dyDescent="0.25">
      <c r="A1674" s="12" t="s">
        <v>31</v>
      </c>
      <c r="B1674" s="9">
        <v>46198</v>
      </c>
      <c r="C1674" s="12" t="s">
        <v>2638</v>
      </c>
      <c r="D1674" s="10" t="s">
        <v>2477</v>
      </c>
      <c r="E1674" s="10" t="s">
        <v>51</v>
      </c>
      <c r="F1674" s="10" t="s">
        <v>35</v>
      </c>
      <c r="G1674" s="10" t="s">
        <v>3145</v>
      </c>
      <c r="H1674" s="8" t="s">
        <v>48</v>
      </c>
      <c r="I1674" s="11">
        <v>19.14</v>
      </c>
      <c r="J1674" s="6">
        <v>14.355</v>
      </c>
      <c r="K1674" s="6">
        <v>0.75</v>
      </c>
      <c r="L1674" s="6">
        <v>19.04</v>
      </c>
      <c r="M1674" s="11">
        <v>14.28</v>
      </c>
      <c r="N1674" s="11">
        <f t="shared" si="104"/>
        <v>14.28</v>
      </c>
      <c r="O1674" s="6">
        <v>0.75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0.1</v>
      </c>
      <c r="Z1674" s="6">
        <v>7.4999999999999997E-2</v>
      </c>
      <c r="AA1674" s="6">
        <v>0.74999999999999989</v>
      </c>
      <c r="AB1674" s="6">
        <v>-0.10000000000000142</v>
      </c>
      <c r="AC1674" s="6">
        <v>0.10000000000000142</v>
      </c>
      <c r="AD1674" s="23" t="s">
        <v>3143</v>
      </c>
      <c r="AE1674" s="23">
        <f t="shared" si="105"/>
        <v>13.425000000000001</v>
      </c>
      <c r="AF1674" s="24">
        <f t="shared" si="106"/>
        <v>0.85499999999999865</v>
      </c>
      <c r="AG1674" s="23">
        <f t="shared" si="107"/>
        <v>2</v>
      </c>
    </row>
    <row r="1675" spans="1:33" ht="12.5" hidden="1" customHeight="1" x14ac:dyDescent="0.25">
      <c r="A1675" s="12" t="s">
        <v>31</v>
      </c>
      <c r="B1675" s="9">
        <v>46198</v>
      </c>
      <c r="C1675" s="12" t="s">
        <v>2638</v>
      </c>
      <c r="D1675" s="10" t="s">
        <v>2640</v>
      </c>
      <c r="E1675" s="10" t="s">
        <v>51</v>
      </c>
      <c r="F1675" s="10" t="s">
        <v>35</v>
      </c>
      <c r="G1675" s="10" t="s">
        <v>3145</v>
      </c>
      <c r="H1675" s="8" t="s">
        <v>48</v>
      </c>
      <c r="I1675" s="11">
        <v>24.85</v>
      </c>
      <c r="J1675" s="6">
        <v>18.637499999999999</v>
      </c>
      <c r="K1675" s="6">
        <v>0.74999999999999989</v>
      </c>
      <c r="L1675" s="6">
        <v>22.18</v>
      </c>
      <c r="M1675" s="11">
        <v>16.635000000000002</v>
      </c>
      <c r="N1675" s="11">
        <f t="shared" si="104"/>
        <v>16.635000000000002</v>
      </c>
      <c r="O1675" s="6">
        <v>0.75000000000000011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2.67</v>
      </c>
      <c r="Z1675" s="6">
        <v>2.0024999999999999</v>
      </c>
      <c r="AA1675" s="6">
        <v>0.75</v>
      </c>
      <c r="AB1675" s="6">
        <v>-2.6700000000000017</v>
      </c>
      <c r="AC1675" s="6">
        <v>2.6700000000000017</v>
      </c>
      <c r="AD1675" s="22" t="s">
        <v>3140</v>
      </c>
      <c r="AE1675" s="23">
        <f t="shared" si="105"/>
        <v>16.635000000000002</v>
      </c>
      <c r="AF1675" s="24">
        <f t="shared" si="106"/>
        <v>0</v>
      </c>
      <c r="AG1675" s="23">
        <f t="shared" si="107"/>
        <v>1</v>
      </c>
    </row>
    <row r="1676" spans="1:33" ht="12.5" customHeight="1" x14ac:dyDescent="0.25">
      <c r="A1676" s="12" t="s">
        <v>31</v>
      </c>
      <c r="B1676" s="9">
        <v>46198</v>
      </c>
      <c r="C1676" s="13" t="s">
        <v>2638</v>
      </c>
      <c r="D1676" s="10" t="s">
        <v>2641</v>
      </c>
      <c r="E1676" s="10" t="s">
        <v>51</v>
      </c>
      <c r="F1676" s="10" t="s">
        <v>35</v>
      </c>
      <c r="G1676" s="10" t="s">
        <v>3146</v>
      </c>
      <c r="H1676" s="8" t="s">
        <v>36</v>
      </c>
      <c r="I1676" s="11">
        <v>8.4600000000000009</v>
      </c>
      <c r="J1676" s="6">
        <v>7.7578199999999997</v>
      </c>
      <c r="K1676" s="6">
        <v>0.91699999999999993</v>
      </c>
      <c r="L1676" s="6">
        <v>8.0500000000000007</v>
      </c>
      <c r="M1676" s="11">
        <v>7.38185</v>
      </c>
      <c r="N1676" s="11">
        <f t="shared" si="104"/>
        <v>7.3820000000000006</v>
      </c>
      <c r="O1676" s="6">
        <v>0.91699999999999993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0.41</v>
      </c>
      <c r="Z1676" s="6">
        <v>0.37597000000000003</v>
      </c>
      <c r="AA1676" s="6">
        <v>0.91700000000000015</v>
      </c>
      <c r="AB1676" s="6">
        <v>-0.41000000000000014</v>
      </c>
      <c r="AC1676" s="6">
        <v>0.41000000000000014</v>
      </c>
      <c r="AD1676" s="22" t="s">
        <v>3140</v>
      </c>
      <c r="AE1676" s="23">
        <f t="shared" si="105"/>
        <v>7.3820000000000006</v>
      </c>
      <c r="AF1676" s="24">
        <f t="shared" si="106"/>
        <v>0</v>
      </c>
      <c r="AG1676" s="23">
        <f t="shared" si="107"/>
        <v>1</v>
      </c>
    </row>
    <row r="1677" spans="1:33" hidden="1" x14ac:dyDescent="0.25">
      <c r="A1677" s="12" t="s">
        <v>31</v>
      </c>
      <c r="B1677" s="9">
        <v>46198</v>
      </c>
      <c r="C1677" s="10" t="s">
        <v>2642</v>
      </c>
      <c r="D1677" s="10" t="s">
        <v>2643</v>
      </c>
      <c r="E1677" s="10" t="s">
        <v>51</v>
      </c>
      <c r="F1677" s="10" t="s">
        <v>35</v>
      </c>
      <c r="G1677" s="10" t="s">
        <v>3145</v>
      </c>
      <c r="H1677" s="8" t="s">
        <v>41</v>
      </c>
      <c r="I1677" s="11">
        <v>33.82</v>
      </c>
      <c r="J1677" s="6">
        <v>25.364999999999998</v>
      </c>
      <c r="K1677" s="6">
        <v>0.75</v>
      </c>
      <c r="L1677" s="6">
        <v>32.71</v>
      </c>
      <c r="M1677" s="11">
        <v>24.532499999999999</v>
      </c>
      <c r="N1677" s="11">
        <f t="shared" si="104"/>
        <v>24.533000000000001</v>
      </c>
      <c r="O1677" s="6">
        <v>0.75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1.1100000000000001</v>
      </c>
      <c r="Z1677" s="6">
        <v>0.83250000000000002</v>
      </c>
      <c r="AA1677" s="6">
        <v>0.75</v>
      </c>
      <c r="AB1677" s="6">
        <v>-1.1099999999999994</v>
      </c>
      <c r="AC1677" s="6">
        <v>1.1099999999999994</v>
      </c>
      <c r="AD1677" s="23" t="s">
        <v>3143</v>
      </c>
      <c r="AE1677" s="23">
        <f t="shared" si="105"/>
        <v>23.13</v>
      </c>
      <c r="AF1677" s="24">
        <f t="shared" si="106"/>
        <v>1.4030000000000022</v>
      </c>
      <c r="AG1677" s="23">
        <f t="shared" si="107"/>
        <v>2</v>
      </c>
    </row>
    <row r="1678" spans="1:33" ht="12.5" customHeight="1" x14ac:dyDescent="0.25">
      <c r="A1678" s="12" t="s">
        <v>31</v>
      </c>
      <c r="B1678" s="9">
        <v>46198</v>
      </c>
      <c r="C1678" s="8" t="s">
        <v>2644</v>
      </c>
      <c r="D1678" s="10" t="s">
        <v>2403</v>
      </c>
      <c r="E1678" s="10" t="s">
        <v>51</v>
      </c>
      <c r="F1678" s="10" t="s">
        <v>35</v>
      </c>
      <c r="G1678" s="10" t="s">
        <v>3146</v>
      </c>
      <c r="H1678" s="8" t="s">
        <v>36</v>
      </c>
      <c r="I1678" s="11">
        <v>3.96</v>
      </c>
      <c r="J1678" s="6">
        <v>3.6313200000000001</v>
      </c>
      <c r="K1678" s="6">
        <v>0.91700000000000004</v>
      </c>
      <c r="L1678" s="6">
        <v>3.81</v>
      </c>
      <c r="M1678" s="11">
        <v>3.49377</v>
      </c>
      <c r="N1678" s="11">
        <f t="shared" si="104"/>
        <v>3.4939999999999998</v>
      </c>
      <c r="O1678" s="6">
        <v>0.91700000000000004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0.15</v>
      </c>
      <c r="Z1678" s="6">
        <v>0.13755000000000001</v>
      </c>
      <c r="AA1678" s="6">
        <v>0.91700000000000004</v>
      </c>
      <c r="AB1678" s="6">
        <v>-0.14999999999999991</v>
      </c>
      <c r="AC1678" s="6">
        <v>0.14999999999999991</v>
      </c>
      <c r="AD1678" s="23" t="s">
        <v>3143</v>
      </c>
      <c r="AE1678" s="23">
        <f t="shared" si="105"/>
        <v>2.88</v>
      </c>
      <c r="AF1678" s="24">
        <f t="shared" si="106"/>
        <v>0.61399999999999988</v>
      </c>
      <c r="AG1678" s="23">
        <f t="shared" si="107"/>
        <v>2</v>
      </c>
    </row>
    <row r="1679" spans="1:33" ht="12.5" customHeight="1" x14ac:dyDescent="0.25">
      <c r="A1679" s="12" t="s">
        <v>31</v>
      </c>
      <c r="B1679" s="9">
        <v>46198</v>
      </c>
      <c r="C1679" s="12" t="s">
        <v>2644</v>
      </c>
      <c r="D1679" s="10" t="s">
        <v>2411</v>
      </c>
      <c r="E1679" s="10" t="s">
        <v>51</v>
      </c>
      <c r="F1679" s="10" t="s">
        <v>35</v>
      </c>
      <c r="G1679" s="10" t="s">
        <v>3146</v>
      </c>
      <c r="H1679" s="8" t="s">
        <v>36</v>
      </c>
      <c r="I1679" s="11">
        <v>14.91</v>
      </c>
      <c r="J1679" s="6">
        <v>13.672470000000001</v>
      </c>
      <c r="K1679" s="6">
        <v>0.91700000000000004</v>
      </c>
      <c r="L1679" s="6">
        <v>14.33</v>
      </c>
      <c r="M1679" s="11">
        <v>13.140610000000001</v>
      </c>
      <c r="N1679" s="11">
        <f t="shared" si="104"/>
        <v>13.141</v>
      </c>
      <c r="O1679" s="6">
        <v>0.91700000000000004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0.57999999999999996</v>
      </c>
      <c r="Z1679" s="6">
        <v>0.53186</v>
      </c>
      <c r="AA1679" s="6">
        <v>0.91700000000000004</v>
      </c>
      <c r="AB1679" s="6">
        <v>-0.58000000000000007</v>
      </c>
      <c r="AC1679" s="6">
        <v>0.58000000000000007</v>
      </c>
      <c r="AD1679" s="22" t="s">
        <v>3140</v>
      </c>
      <c r="AE1679" s="23">
        <f t="shared" si="105"/>
        <v>13.141</v>
      </c>
      <c r="AF1679" s="24">
        <f t="shared" si="106"/>
        <v>0</v>
      </c>
      <c r="AG1679" s="23">
        <f t="shared" si="107"/>
        <v>2</v>
      </c>
    </row>
    <row r="1680" spans="1:33" ht="12.5" customHeight="1" x14ac:dyDescent="0.25">
      <c r="A1680" s="12" t="s">
        <v>31</v>
      </c>
      <c r="B1680" s="9">
        <v>46198</v>
      </c>
      <c r="C1680" s="13" t="s">
        <v>2644</v>
      </c>
      <c r="D1680" s="10" t="s">
        <v>2409</v>
      </c>
      <c r="E1680" s="10" t="s">
        <v>51</v>
      </c>
      <c r="F1680" s="10" t="s">
        <v>35</v>
      </c>
      <c r="G1680" s="10" t="s">
        <v>3146</v>
      </c>
      <c r="H1680" s="8" t="s">
        <v>36</v>
      </c>
      <c r="I1680" s="11">
        <v>11.93</v>
      </c>
      <c r="J1680" s="6">
        <v>10.93981</v>
      </c>
      <c r="K1680" s="6">
        <v>0.91700000000000004</v>
      </c>
      <c r="L1680" s="6">
        <v>11.58</v>
      </c>
      <c r="M1680" s="11">
        <v>10.61886</v>
      </c>
      <c r="N1680" s="11">
        <f t="shared" si="104"/>
        <v>10.619</v>
      </c>
      <c r="O1680" s="6">
        <v>0.91699999999999993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0.35</v>
      </c>
      <c r="Z1680" s="6">
        <v>0.32095000000000001</v>
      </c>
      <c r="AA1680" s="6">
        <v>0.91700000000000015</v>
      </c>
      <c r="AB1680" s="6">
        <v>-0.34999999999999964</v>
      </c>
      <c r="AC1680" s="6">
        <v>0.34999999999999964</v>
      </c>
      <c r="AD1680" s="22" t="s">
        <v>3140</v>
      </c>
      <c r="AE1680" s="23">
        <f t="shared" si="105"/>
        <v>10.619</v>
      </c>
      <c r="AF1680" s="24">
        <f t="shared" si="106"/>
        <v>0</v>
      </c>
      <c r="AG1680" s="23">
        <f t="shared" si="107"/>
        <v>2</v>
      </c>
    </row>
    <row r="1681" spans="1:33" x14ac:dyDescent="0.25">
      <c r="A1681" s="12" t="s">
        <v>31</v>
      </c>
      <c r="B1681" s="9">
        <v>46198</v>
      </c>
      <c r="C1681" s="10" t="s">
        <v>2645</v>
      </c>
      <c r="D1681" s="10" t="s">
        <v>2401</v>
      </c>
      <c r="E1681" s="10" t="s">
        <v>51</v>
      </c>
      <c r="F1681" s="10" t="s">
        <v>35</v>
      </c>
      <c r="G1681" s="10" t="s">
        <v>3146</v>
      </c>
      <c r="H1681" s="8" t="s">
        <v>36</v>
      </c>
      <c r="I1681" s="11">
        <v>113.65</v>
      </c>
      <c r="J1681" s="6">
        <v>104.21705</v>
      </c>
      <c r="K1681" s="6">
        <v>0.91699999999999993</v>
      </c>
      <c r="L1681" s="6">
        <v>113.58</v>
      </c>
      <c r="M1681" s="11">
        <v>104.15286</v>
      </c>
      <c r="N1681" s="11">
        <f t="shared" si="104"/>
        <v>104.15300000000001</v>
      </c>
      <c r="O1681" s="6">
        <v>0.91700000000000004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7.0000000000000007E-2</v>
      </c>
      <c r="Z1681" s="6">
        <v>6.4189999999999997E-2</v>
      </c>
      <c r="AA1681" s="6">
        <v>0.91699999999999982</v>
      </c>
      <c r="AB1681" s="6">
        <v>-7.000000000000739E-2</v>
      </c>
      <c r="AC1681" s="6">
        <v>7.000000000000739E-2</v>
      </c>
      <c r="AD1681" s="22" t="s">
        <v>3140</v>
      </c>
      <c r="AE1681" s="23">
        <f t="shared" si="105"/>
        <v>104.15300000000001</v>
      </c>
      <c r="AF1681" s="24">
        <f t="shared" si="106"/>
        <v>0</v>
      </c>
      <c r="AG1681" s="23">
        <f t="shared" si="107"/>
        <v>2</v>
      </c>
    </row>
    <row r="1682" spans="1:33" hidden="1" x14ac:dyDescent="0.25">
      <c r="A1682" s="12" t="s">
        <v>31</v>
      </c>
      <c r="B1682" s="9">
        <v>46198</v>
      </c>
      <c r="C1682" s="10" t="s">
        <v>2646</v>
      </c>
      <c r="D1682" s="10" t="s">
        <v>2647</v>
      </c>
      <c r="E1682" s="10" t="s">
        <v>51</v>
      </c>
      <c r="F1682" s="10" t="s">
        <v>35</v>
      </c>
      <c r="G1682" s="10" t="s">
        <v>3145</v>
      </c>
      <c r="H1682" s="8" t="s">
        <v>41</v>
      </c>
      <c r="I1682" s="11">
        <v>69.09</v>
      </c>
      <c r="J1682" s="6">
        <v>51.817500000000003</v>
      </c>
      <c r="K1682" s="6">
        <v>0.75</v>
      </c>
      <c r="L1682" s="6">
        <v>61.82</v>
      </c>
      <c r="M1682" s="11">
        <v>46.365000000000002</v>
      </c>
      <c r="N1682" s="11">
        <f t="shared" si="104"/>
        <v>46.365000000000002</v>
      </c>
      <c r="O1682" s="6">
        <v>0.75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7.27</v>
      </c>
      <c r="Z1682" s="6">
        <v>5.4524999999999997</v>
      </c>
      <c r="AA1682" s="6">
        <v>0.75</v>
      </c>
      <c r="AB1682" s="6">
        <v>-7.2700000000000031</v>
      </c>
      <c r="AC1682" s="6">
        <v>7.2700000000000031</v>
      </c>
      <c r="AD1682" s="22" t="s">
        <v>3140</v>
      </c>
      <c r="AE1682" s="23">
        <f t="shared" si="105"/>
        <v>46.365000000000002</v>
      </c>
      <c r="AF1682" s="24">
        <f t="shared" si="106"/>
        <v>0</v>
      </c>
      <c r="AG1682" s="23">
        <f t="shared" si="107"/>
        <v>1</v>
      </c>
    </row>
    <row r="1683" spans="1:33" x14ac:dyDescent="0.25">
      <c r="A1683" s="12" t="s">
        <v>31</v>
      </c>
      <c r="B1683" s="9">
        <v>46198</v>
      </c>
      <c r="C1683" s="10" t="s">
        <v>2648</v>
      </c>
      <c r="D1683" s="10" t="s">
        <v>2649</v>
      </c>
      <c r="E1683" s="10" t="s">
        <v>51</v>
      </c>
      <c r="F1683" s="10" t="s">
        <v>35</v>
      </c>
      <c r="G1683" s="10" t="s">
        <v>3146</v>
      </c>
      <c r="H1683" s="8" t="s">
        <v>36</v>
      </c>
      <c r="I1683" s="11">
        <v>81.77</v>
      </c>
      <c r="J1683" s="6">
        <v>74.983090000000004</v>
      </c>
      <c r="K1683" s="6">
        <v>0.91700000000000015</v>
      </c>
      <c r="L1683" s="6">
        <v>75.239999999999995</v>
      </c>
      <c r="M1683" s="11">
        <v>68.995080000000002</v>
      </c>
      <c r="N1683" s="11">
        <f t="shared" si="104"/>
        <v>68.996000000000009</v>
      </c>
      <c r="O1683" s="6">
        <v>0.91700000000000004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6.53</v>
      </c>
      <c r="Z1683" s="6">
        <v>5.9880100000000001</v>
      </c>
      <c r="AA1683" s="6">
        <v>0.91699999999999993</v>
      </c>
      <c r="AB1683" s="6">
        <v>-6.5300000000000011</v>
      </c>
      <c r="AC1683" s="6">
        <v>6.5300000000000011</v>
      </c>
      <c r="AD1683" s="22" t="s">
        <v>3140</v>
      </c>
      <c r="AE1683" s="23">
        <f t="shared" si="105"/>
        <v>68.996000000000009</v>
      </c>
      <c r="AF1683" s="24">
        <f t="shared" si="106"/>
        <v>0</v>
      </c>
      <c r="AG1683" s="23">
        <f t="shared" si="107"/>
        <v>1</v>
      </c>
    </row>
    <row r="1684" spans="1:33" x14ac:dyDescent="0.25">
      <c r="A1684" s="12" t="s">
        <v>31</v>
      </c>
      <c r="B1684" s="9">
        <v>46198</v>
      </c>
      <c r="C1684" s="10" t="s">
        <v>2650</v>
      </c>
      <c r="D1684" s="10" t="s">
        <v>2651</v>
      </c>
      <c r="E1684" s="10" t="s">
        <v>51</v>
      </c>
      <c r="F1684" s="10" t="s">
        <v>35</v>
      </c>
      <c r="G1684" s="10" t="s">
        <v>3146</v>
      </c>
      <c r="H1684" s="8" t="s">
        <v>36</v>
      </c>
      <c r="I1684" s="11">
        <v>131.44</v>
      </c>
      <c r="J1684" s="6">
        <v>120.53048</v>
      </c>
      <c r="K1684" s="6">
        <v>0.91700000000000004</v>
      </c>
      <c r="L1684" s="6">
        <v>124.99</v>
      </c>
      <c r="M1684" s="11">
        <v>114.61583</v>
      </c>
      <c r="N1684" s="11">
        <f t="shared" si="104"/>
        <v>114.616</v>
      </c>
      <c r="O1684" s="6">
        <v>0.91700000000000004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6.45</v>
      </c>
      <c r="Z1684" s="6">
        <v>5.91465</v>
      </c>
      <c r="AA1684" s="6">
        <v>0.91699999999999993</v>
      </c>
      <c r="AB1684" s="6">
        <v>-6.4500000000000028</v>
      </c>
      <c r="AC1684" s="6">
        <v>6.4500000000000028</v>
      </c>
      <c r="AD1684" s="22" t="s">
        <v>3140</v>
      </c>
      <c r="AE1684" s="23">
        <f t="shared" si="105"/>
        <v>114.616</v>
      </c>
      <c r="AF1684" s="24">
        <f t="shared" si="106"/>
        <v>0</v>
      </c>
      <c r="AG1684" s="23">
        <f t="shared" si="107"/>
        <v>1</v>
      </c>
    </row>
    <row r="1685" spans="1:33" ht="20" hidden="1" customHeight="1" x14ac:dyDescent="0.25">
      <c r="A1685" s="12" t="s">
        <v>31</v>
      </c>
      <c r="B1685" s="9">
        <v>46198</v>
      </c>
      <c r="C1685" s="10" t="s">
        <v>2652</v>
      </c>
      <c r="D1685" s="10" t="s">
        <v>2653</v>
      </c>
      <c r="E1685" s="10" t="s">
        <v>51</v>
      </c>
      <c r="F1685" s="10" t="s">
        <v>35</v>
      </c>
      <c r="G1685" s="10" t="s">
        <v>3145</v>
      </c>
      <c r="H1685" s="8" t="s">
        <v>48</v>
      </c>
      <c r="I1685" s="11">
        <v>33.18</v>
      </c>
      <c r="J1685" s="6">
        <v>24.885000000000002</v>
      </c>
      <c r="K1685" s="6">
        <v>0.75</v>
      </c>
      <c r="L1685" s="6">
        <v>31.37</v>
      </c>
      <c r="M1685" s="11">
        <v>23.5275</v>
      </c>
      <c r="N1685" s="11">
        <f t="shared" si="104"/>
        <v>23.528000000000002</v>
      </c>
      <c r="O1685" s="6">
        <v>0.75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1.81</v>
      </c>
      <c r="Z1685" s="6">
        <v>1.3574999999999999</v>
      </c>
      <c r="AA1685" s="6">
        <v>0.74999999999999989</v>
      </c>
      <c r="AB1685" s="6">
        <v>-1.8099999999999987</v>
      </c>
      <c r="AC1685" s="6">
        <v>1.8099999999999987</v>
      </c>
      <c r="AD1685" s="22" t="s">
        <v>3140</v>
      </c>
      <c r="AE1685" s="23">
        <f t="shared" si="105"/>
        <v>23.528000000000002</v>
      </c>
      <c r="AF1685" s="24">
        <f t="shared" si="106"/>
        <v>0</v>
      </c>
      <c r="AG1685" s="23">
        <f t="shared" si="107"/>
        <v>2</v>
      </c>
    </row>
    <row r="1686" spans="1:33" x14ac:dyDescent="0.25">
      <c r="A1686" s="12" t="s">
        <v>31</v>
      </c>
      <c r="B1686" s="9">
        <v>46198</v>
      </c>
      <c r="C1686" s="10" t="s">
        <v>2654</v>
      </c>
      <c r="D1686" s="10" t="s">
        <v>2655</v>
      </c>
      <c r="E1686" s="10" t="s">
        <v>51</v>
      </c>
      <c r="F1686" s="10" t="s">
        <v>35</v>
      </c>
      <c r="G1686" s="10" t="s">
        <v>3146</v>
      </c>
      <c r="H1686" s="8" t="s">
        <v>36</v>
      </c>
      <c r="I1686" s="11">
        <v>48.41</v>
      </c>
      <c r="J1686" s="6">
        <v>44.391970000000001</v>
      </c>
      <c r="K1686" s="6">
        <v>0.91700000000000004</v>
      </c>
      <c r="L1686" s="6">
        <v>47.47</v>
      </c>
      <c r="M1686" s="11">
        <v>43.529989999999998</v>
      </c>
      <c r="N1686" s="11">
        <f t="shared" si="104"/>
        <v>43.53</v>
      </c>
      <c r="O1686" s="6">
        <v>0.91699999999999993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0.94</v>
      </c>
      <c r="Z1686" s="6">
        <v>0.86197999999999997</v>
      </c>
      <c r="AA1686" s="6">
        <v>0.91700000000000004</v>
      </c>
      <c r="AB1686" s="6">
        <v>-0.93999999999999773</v>
      </c>
      <c r="AC1686" s="6">
        <v>0.93999999999999773</v>
      </c>
      <c r="AD1686" s="22" t="s">
        <v>3140</v>
      </c>
      <c r="AE1686" s="23">
        <f t="shared" si="105"/>
        <v>43.53</v>
      </c>
      <c r="AF1686" s="24">
        <f t="shared" si="106"/>
        <v>0</v>
      </c>
      <c r="AG1686" s="23">
        <f t="shared" si="107"/>
        <v>1</v>
      </c>
    </row>
    <row r="1687" spans="1:33" hidden="1" x14ac:dyDescent="0.25">
      <c r="A1687" s="12" t="s">
        <v>31</v>
      </c>
      <c r="B1687" s="9">
        <v>46198</v>
      </c>
      <c r="C1687" s="10" t="s">
        <v>2656</v>
      </c>
      <c r="D1687" s="10" t="s">
        <v>2657</v>
      </c>
      <c r="E1687" s="10" t="s">
        <v>51</v>
      </c>
      <c r="F1687" s="10" t="s">
        <v>35</v>
      </c>
      <c r="G1687" s="10" t="s">
        <v>3145</v>
      </c>
      <c r="H1687" s="8" t="s">
        <v>41</v>
      </c>
      <c r="I1687" s="11">
        <v>22.63</v>
      </c>
      <c r="J1687" s="6">
        <v>16.9725</v>
      </c>
      <c r="K1687" s="6">
        <v>0.75</v>
      </c>
      <c r="L1687" s="6">
        <v>21.8</v>
      </c>
      <c r="M1687" s="11">
        <v>16.350000000000001</v>
      </c>
      <c r="N1687" s="11">
        <f t="shared" si="104"/>
        <v>16.350000000000001</v>
      </c>
      <c r="O1687" s="6">
        <v>0.75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0.83</v>
      </c>
      <c r="Z1687" s="6">
        <v>0.62250000000000005</v>
      </c>
      <c r="AA1687" s="6">
        <v>0.75000000000000011</v>
      </c>
      <c r="AB1687" s="6">
        <v>-0.82999999999999829</v>
      </c>
      <c r="AC1687" s="6">
        <v>0.82999999999999829</v>
      </c>
      <c r="AD1687" s="22" t="s">
        <v>3140</v>
      </c>
      <c r="AE1687" s="23">
        <f t="shared" si="105"/>
        <v>16.350000000000001</v>
      </c>
      <c r="AF1687" s="24">
        <f t="shared" si="106"/>
        <v>0</v>
      </c>
      <c r="AG1687" s="23">
        <f t="shared" si="107"/>
        <v>1</v>
      </c>
    </row>
    <row r="1688" spans="1:33" ht="12.5" hidden="1" customHeight="1" x14ac:dyDescent="0.25">
      <c r="A1688" s="12" t="s">
        <v>31</v>
      </c>
      <c r="B1688" s="9">
        <v>46198</v>
      </c>
      <c r="C1688" s="8" t="s">
        <v>2658</v>
      </c>
      <c r="D1688" s="8" t="s">
        <v>338</v>
      </c>
      <c r="E1688" s="8" t="s">
        <v>51</v>
      </c>
      <c r="F1688" s="8" t="s">
        <v>35</v>
      </c>
      <c r="G1688" s="10" t="s">
        <v>3145</v>
      </c>
      <c r="H1688" s="8" t="s">
        <v>48</v>
      </c>
      <c r="I1688" s="11">
        <v>7.41</v>
      </c>
      <c r="J1688" s="6">
        <v>5.5575000000000001</v>
      </c>
      <c r="K1688" s="6">
        <v>0.75</v>
      </c>
      <c r="L1688" s="6">
        <v>5.73</v>
      </c>
      <c r="M1688" s="11">
        <v>4.2975000000000003</v>
      </c>
      <c r="N1688" s="11">
        <f t="shared" si="104"/>
        <v>4.298</v>
      </c>
      <c r="O1688" s="6">
        <v>0.75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1.68</v>
      </c>
      <c r="Z1688" s="6">
        <v>1.26</v>
      </c>
      <c r="AA1688" s="6">
        <v>0.75</v>
      </c>
      <c r="AB1688" s="6">
        <v>-1.6799999999999997</v>
      </c>
      <c r="AC1688" s="6">
        <v>1.6799999999999997</v>
      </c>
      <c r="AD1688" s="23" t="s">
        <v>3143</v>
      </c>
      <c r="AE1688" s="23">
        <f t="shared" si="105"/>
        <v>0</v>
      </c>
      <c r="AF1688" s="24">
        <f t="shared" si="106"/>
        <v>4.298</v>
      </c>
      <c r="AG1688" s="23">
        <f t="shared" si="107"/>
        <v>67</v>
      </c>
    </row>
    <row r="1689" spans="1:33" ht="12.5" hidden="1" customHeight="1" x14ac:dyDescent="0.25">
      <c r="A1689" s="12" t="s">
        <v>31</v>
      </c>
      <c r="B1689" s="9">
        <v>46198</v>
      </c>
      <c r="C1689" s="12" t="s">
        <v>2658</v>
      </c>
      <c r="D1689" s="12" t="s">
        <v>338</v>
      </c>
      <c r="E1689" s="12" t="s">
        <v>51</v>
      </c>
      <c r="F1689" s="12" t="s">
        <v>35</v>
      </c>
      <c r="G1689" s="10" t="s">
        <v>3145</v>
      </c>
      <c r="H1689" s="8" t="s">
        <v>41</v>
      </c>
      <c r="I1689" s="11">
        <v>3.66</v>
      </c>
      <c r="J1689" s="6">
        <v>2.7450000000000001</v>
      </c>
      <c r="K1689" s="6">
        <v>0.75</v>
      </c>
      <c r="L1689" s="6">
        <v>3.25</v>
      </c>
      <c r="M1689" s="11">
        <v>2.4375</v>
      </c>
      <c r="N1689" s="11">
        <f t="shared" si="104"/>
        <v>2.4379999999999997</v>
      </c>
      <c r="O1689" s="6">
        <v>0.75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0.41</v>
      </c>
      <c r="Z1689" s="6">
        <v>0.3075</v>
      </c>
      <c r="AA1689" s="6">
        <v>0.75</v>
      </c>
      <c r="AB1689" s="6">
        <v>-0.41000000000000014</v>
      </c>
      <c r="AC1689" s="6">
        <v>0.41000000000000014</v>
      </c>
      <c r="AD1689" s="23" t="s">
        <v>3143</v>
      </c>
      <c r="AE1689" s="23">
        <f t="shared" si="105"/>
        <v>0</v>
      </c>
      <c r="AF1689" s="24">
        <f t="shared" si="106"/>
        <v>2.4379999999999997</v>
      </c>
      <c r="AG1689" s="23">
        <f t="shared" si="107"/>
        <v>67</v>
      </c>
    </row>
    <row r="1690" spans="1:33" ht="12.5" customHeight="1" x14ac:dyDescent="0.25">
      <c r="A1690" s="12" t="s">
        <v>31</v>
      </c>
      <c r="B1690" s="9">
        <v>46198</v>
      </c>
      <c r="C1690" s="13" t="s">
        <v>2658</v>
      </c>
      <c r="D1690" s="13" t="s">
        <v>338</v>
      </c>
      <c r="E1690" s="13" t="s">
        <v>51</v>
      </c>
      <c r="F1690" s="13" t="s">
        <v>35</v>
      </c>
      <c r="G1690" s="10" t="s">
        <v>3146</v>
      </c>
      <c r="H1690" s="8" t="s">
        <v>36</v>
      </c>
      <c r="I1690" s="11">
        <v>6.65</v>
      </c>
      <c r="J1690" s="6">
        <v>6.0980499999999997</v>
      </c>
      <c r="K1690" s="6">
        <v>0.91699999999999993</v>
      </c>
      <c r="L1690" s="6">
        <v>3.07</v>
      </c>
      <c r="M1690" s="11">
        <v>2.8151899999999999</v>
      </c>
      <c r="N1690" s="11">
        <f t="shared" si="104"/>
        <v>2.8159999999999998</v>
      </c>
      <c r="O1690" s="6">
        <v>0.91700000000000004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3.58</v>
      </c>
      <c r="Z1690" s="6">
        <v>3.2828599999999999</v>
      </c>
      <c r="AA1690" s="6">
        <v>0.91699999999999993</v>
      </c>
      <c r="AB1690" s="6">
        <v>-3.5800000000000005</v>
      </c>
      <c r="AC1690" s="6">
        <v>3.5800000000000005</v>
      </c>
      <c r="AD1690" s="23" t="s">
        <v>3143</v>
      </c>
      <c r="AE1690" s="23">
        <f t="shared" si="105"/>
        <v>0</v>
      </c>
      <c r="AF1690" s="24">
        <f t="shared" si="106"/>
        <v>2.8159999999999998</v>
      </c>
      <c r="AG1690" s="23">
        <f t="shared" si="107"/>
        <v>67</v>
      </c>
    </row>
    <row r="1691" spans="1:33" ht="12.5" customHeight="1" x14ac:dyDescent="0.25">
      <c r="A1691" s="12" t="s">
        <v>31</v>
      </c>
      <c r="B1691" s="9">
        <v>46199</v>
      </c>
      <c r="C1691" s="10" t="s">
        <v>2659</v>
      </c>
      <c r="D1691" s="10" t="s">
        <v>2212</v>
      </c>
      <c r="E1691" s="10" t="s">
        <v>34</v>
      </c>
      <c r="F1691" s="10" t="s">
        <v>35</v>
      </c>
      <c r="G1691" s="10" t="s">
        <v>3146</v>
      </c>
      <c r="H1691" s="8" t="s">
        <v>36</v>
      </c>
      <c r="I1691" s="11">
        <v>202.65</v>
      </c>
      <c r="J1691" s="6">
        <v>185.83005</v>
      </c>
      <c r="K1691" s="6">
        <v>0.91699999999999993</v>
      </c>
      <c r="L1691" s="6">
        <v>202.12</v>
      </c>
      <c r="M1691" s="11">
        <v>185.34404000000001</v>
      </c>
      <c r="N1691" s="11">
        <f t="shared" si="104"/>
        <v>185.345</v>
      </c>
      <c r="O1691" s="6">
        <v>0.91700000000000004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0.53</v>
      </c>
      <c r="Z1691" s="6">
        <v>0.48601</v>
      </c>
      <c r="AA1691" s="6">
        <v>0.91699999999999993</v>
      </c>
      <c r="AB1691" s="6">
        <v>-0.53000000000000114</v>
      </c>
      <c r="AC1691" s="6">
        <v>0.53000000000000114</v>
      </c>
      <c r="AD1691" s="22" t="s">
        <v>3140</v>
      </c>
      <c r="AE1691" s="23">
        <f t="shared" si="105"/>
        <v>185.345</v>
      </c>
      <c r="AF1691" s="24">
        <f t="shared" si="106"/>
        <v>0</v>
      </c>
      <c r="AG1691" s="23">
        <f t="shared" si="107"/>
        <v>3</v>
      </c>
    </row>
    <row r="1692" spans="1:33" ht="12.5" hidden="1" customHeight="1" x14ac:dyDescent="0.25">
      <c r="A1692" s="12" t="s">
        <v>31</v>
      </c>
      <c r="B1692" s="9">
        <v>46199</v>
      </c>
      <c r="C1692" s="10" t="s">
        <v>2660</v>
      </c>
      <c r="D1692" s="10" t="s">
        <v>2661</v>
      </c>
      <c r="E1692" s="10" t="s">
        <v>34</v>
      </c>
      <c r="F1692" s="10" t="s">
        <v>35</v>
      </c>
      <c r="G1692" s="10" t="s">
        <v>3145</v>
      </c>
      <c r="H1692" s="8" t="s">
        <v>48</v>
      </c>
      <c r="I1692" s="11">
        <v>88.97</v>
      </c>
      <c r="J1692" s="6">
        <v>66.727500000000006</v>
      </c>
      <c r="K1692" s="6">
        <v>0.75000000000000011</v>
      </c>
      <c r="L1692" s="6">
        <v>84.62</v>
      </c>
      <c r="M1692" s="11">
        <v>63.465000000000003</v>
      </c>
      <c r="N1692" s="11">
        <f t="shared" si="104"/>
        <v>63.465000000000003</v>
      </c>
      <c r="O1692" s="6">
        <v>0.75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4.3499999999999996</v>
      </c>
      <c r="Z1692" s="6">
        <v>3.2625000000000002</v>
      </c>
      <c r="AA1692" s="6">
        <v>0.75000000000000011</v>
      </c>
      <c r="AB1692" s="6">
        <v>-4.3499999999999943</v>
      </c>
      <c r="AC1692" s="6">
        <v>4.3499999999999943</v>
      </c>
      <c r="AD1692" s="22" t="s">
        <v>3140</v>
      </c>
      <c r="AE1692" s="23">
        <f t="shared" si="105"/>
        <v>63.465000000000003</v>
      </c>
      <c r="AF1692" s="24">
        <f t="shared" si="106"/>
        <v>0</v>
      </c>
      <c r="AG1692" s="23">
        <f t="shared" si="107"/>
        <v>1</v>
      </c>
    </row>
    <row r="1693" spans="1:33" ht="12.5" customHeight="1" x14ac:dyDescent="0.25">
      <c r="A1693" s="12" t="s">
        <v>31</v>
      </c>
      <c r="B1693" s="9">
        <v>46199</v>
      </c>
      <c r="C1693" s="10" t="s">
        <v>2662</v>
      </c>
      <c r="D1693" s="10" t="s">
        <v>2663</v>
      </c>
      <c r="E1693" s="10" t="s">
        <v>34</v>
      </c>
      <c r="F1693" s="10" t="s">
        <v>35</v>
      </c>
      <c r="G1693" s="10" t="s">
        <v>3146</v>
      </c>
      <c r="H1693" s="8" t="s">
        <v>36</v>
      </c>
      <c r="I1693" s="11">
        <v>13.4</v>
      </c>
      <c r="J1693" s="6">
        <v>12.287800000000001</v>
      </c>
      <c r="K1693" s="6">
        <v>0.91700000000000004</v>
      </c>
      <c r="L1693" s="6">
        <v>12.11</v>
      </c>
      <c r="M1693" s="11">
        <v>11.10487</v>
      </c>
      <c r="N1693" s="11">
        <f t="shared" si="104"/>
        <v>11.104999999999999</v>
      </c>
      <c r="O1693" s="6">
        <v>0.91700000000000004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1.29</v>
      </c>
      <c r="Z1693" s="6">
        <v>1.18293</v>
      </c>
      <c r="AA1693" s="6">
        <v>0.91700000000000004</v>
      </c>
      <c r="AB1693" s="6">
        <v>-1.2900000000000009</v>
      </c>
      <c r="AC1693" s="6">
        <v>1.2900000000000009</v>
      </c>
      <c r="AD1693" s="22" t="s">
        <v>3140</v>
      </c>
      <c r="AE1693" s="23">
        <f t="shared" si="105"/>
        <v>11.104999999999999</v>
      </c>
      <c r="AF1693" s="24">
        <f t="shared" si="106"/>
        <v>0</v>
      </c>
      <c r="AG1693" s="23">
        <f t="shared" si="107"/>
        <v>1</v>
      </c>
    </row>
    <row r="1694" spans="1:33" ht="12.5" customHeight="1" x14ac:dyDescent="0.25">
      <c r="A1694" s="12" t="s">
        <v>31</v>
      </c>
      <c r="B1694" s="9">
        <v>46199</v>
      </c>
      <c r="C1694" s="10" t="s">
        <v>2664</v>
      </c>
      <c r="D1694" s="10" t="s">
        <v>2665</v>
      </c>
      <c r="E1694" s="10" t="s">
        <v>34</v>
      </c>
      <c r="F1694" s="10" t="s">
        <v>35</v>
      </c>
      <c r="G1694" s="10" t="s">
        <v>3146</v>
      </c>
      <c r="H1694" s="8" t="s">
        <v>36</v>
      </c>
      <c r="I1694" s="11">
        <v>7.79</v>
      </c>
      <c r="J1694" s="6">
        <v>7.1434300000000004</v>
      </c>
      <c r="K1694" s="6">
        <v>0.91700000000000004</v>
      </c>
      <c r="L1694" s="6">
        <v>7.19</v>
      </c>
      <c r="M1694" s="11">
        <v>6.5932300000000001</v>
      </c>
      <c r="N1694" s="11">
        <f t="shared" si="104"/>
        <v>6.5940000000000003</v>
      </c>
      <c r="O1694" s="6">
        <v>0.91699999999999993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0.6</v>
      </c>
      <c r="Z1694" s="6">
        <v>0.55020000000000002</v>
      </c>
      <c r="AA1694" s="6">
        <v>0.91700000000000004</v>
      </c>
      <c r="AB1694" s="6">
        <v>-0.59999999999999964</v>
      </c>
      <c r="AC1694" s="6">
        <v>0.59999999999999964</v>
      </c>
      <c r="AD1694" s="22" t="s">
        <v>3140</v>
      </c>
      <c r="AE1694" s="23">
        <f t="shared" si="105"/>
        <v>6.5940000000000003</v>
      </c>
      <c r="AF1694" s="24">
        <f t="shared" si="106"/>
        <v>0</v>
      </c>
      <c r="AG1694" s="23">
        <f t="shared" si="107"/>
        <v>1</v>
      </c>
    </row>
    <row r="1695" spans="1:33" x14ac:dyDescent="0.25">
      <c r="A1695" s="12" t="s">
        <v>31</v>
      </c>
      <c r="B1695" s="9">
        <v>46199</v>
      </c>
      <c r="C1695" s="10" t="s">
        <v>2666</v>
      </c>
      <c r="D1695" s="10" t="s">
        <v>338</v>
      </c>
      <c r="E1695" s="10" t="s">
        <v>34</v>
      </c>
      <c r="F1695" s="10" t="s">
        <v>35</v>
      </c>
      <c r="G1695" s="10" t="s">
        <v>3146</v>
      </c>
      <c r="H1695" s="8" t="s">
        <v>36</v>
      </c>
      <c r="I1695" s="11">
        <v>14.25</v>
      </c>
      <c r="J1695" s="6">
        <v>13.06725</v>
      </c>
      <c r="K1695" s="6">
        <v>0.91699999999999993</v>
      </c>
      <c r="L1695" s="6">
        <v>14.25</v>
      </c>
      <c r="M1695" s="11">
        <v>13.06725</v>
      </c>
      <c r="N1695" s="11">
        <f t="shared" si="104"/>
        <v>13.068</v>
      </c>
      <c r="O1695" s="6">
        <v>0.91699999999999993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23" t="s">
        <v>3143</v>
      </c>
      <c r="AE1695" s="23">
        <f t="shared" si="105"/>
        <v>0</v>
      </c>
      <c r="AF1695" s="24">
        <f t="shared" si="106"/>
        <v>13.068</v>
      </c>
      <c r="AG1695" s="23">
        <f t="shared" si="107"/>
        <v>67</v>
      </c>
    </row>
    <row r="1696" spans="1:33" ht="20" hidden="1" customHeight="1" x14ac:dyDescent="0.25">
      <c r="A1696" s="12" t="s">
        <v>31</v>
      </c>
      <c r="B1696" s="9">
        <v>46199</v>
      </c>
      <c r="C1696" s="10" t="s">
        <v>2667</v>
      </c>
      <c r="D1696" s="10" t="s">
        <v>338</v>
      </c>
      <c r="E1696" s="10" t="s">
        <v>34</v>
      </c>
      <c r="F1696" s="10" t="s">
        <v>35</v>
      </c>
      <c r="G1696" s="10" t="s">
        <v>3145</v>
      </c>
      <c r="H1696" s="8" t="s">
        <v>48</v>
      </c>
      <c r="I1696" s="11">
        <v>5.82</v>
      </c>
      <c r="J1696" s="6">
        <v>4.3650000000000002</v>
      </c>
      <c r="K1696" s="6">
        <v>0.75</v>
      </c>
      <c r="L1696" s="6">
        <v>5.82</v>
      </c>
      <c r="M1696" s="11">
        <v>4.3650000000000002</v>
      </c>
      <c r="N1696" s="11">
        <f t="shared" si="104"/>
        <v>4.3650000000000002</v>
      </c>
      <c r="O1696" s="6">
        <v>0.75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23" t="s">
        <v>3143</v>
      </c>
      <c r="AE1696" s="23">
        <f t="shared" si="105"/>
        <v>0</v>
      </c>
      <c r="AF1696" s="24">
        <f t="shared" si="106"/>
        <v>4.3650000000000002</v>
      </c>
      <c r="AG1696" s="23">
        <f t="shared" si="107"/>
        <v>67</v>
      </c>
    </row>
    <row r="1697" spans="1:33" hidden="1" x14ac:dyDescent="0.25">
      <c r="A1697" s="12" t="s">
        <v>31</v>
      </c>
      <c r="B1697" s="9">
        <v>46199</v>
      </c>
      <c r="C1697" s="10" t="s">
        <v>2668</v>
      </c>
      <c r="D1697" s="10" t="s">
        <v>338</v>
      </c>
      <c r="E1697" s="10" t="s">
        <v>34</v>
      </c>
      <c r="F1697" s="10" t="s">
        <v>35</v>
      </c>
      <c r="G1697" s="10" t="s">
        <v>3145</v>
      </c>
      <c r="H1697" s="8" t="s">
        <v>41</v>
      </c>
      <c r="I1697" s="11">
        <v>15.77</v>
      </c>
      <c r="J1697" s="6">
        <v>11.827500000000001</v>
      </c>
      <c r="K1697" s="6">
        <v>0.75000000000000011</v>
      </c>
      <c r="L1697" s="6">
        <v>15.77</v>
      </c>
      <c r="M1697" s="11">
        <v>11.827500000000001</v>
      </c>
      <c r="N1697" s="11">
        <f t="shared" si="104"/>
        <v>11.827999999999999</v>
      </c>
      <c r="O1697" s="6">
        <v>0.75000000000000011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23" t="s">
        <v>3143</v>
      </c>
      <c r="AE1697" s="23">
        <f t="shared" si="105"/>
        <v>0</v>
      </c>
      <c r="AF1697" s="24">
        <f t="shared" si="106"/>
        <v>11.827999999999999</v>
      </c>
      <c r="AG1697" s="23">
        <f t="shared" si="107"/>
        <v>67</v>
      </c>
    </row>
    <row r="1698" spans="1:33" ht="12.5" hidden="1" customHeight="1" x14ac:dyDescent="0.25">
      <c r="A1698" s="12" t="s">
        <v>31</v>
      </c>
      <c r="B1698" s="9">
        <v>46199</v>
      </c>
      <c r="C1698" s="8" t="s">
        <v>2669</v>
      </c>
      <c r="D1698" s="8" t="s">
        <v>338</v>
      </c>
      <c r="E1698" s="8" t="s">
        <v>34</v>
      </c>
      <c r="F1698" s="8" t="s">
        <v>35</v>
      </c>
      <c r="G1698" s="10" t="s">
        <v>3145</v>
      </c>
      <c r="H1698" s="8" t="s">
        <v>48</v>
      </c>
      <c r="I1698" s="11">
        <v>4.68</v>
      </c>
      <c r="J1698" s="6">
        <v>3.51</v>
      </c>
      <c r="K1698" s="6">
        <v>0.75</v>
      </c>
      <c r="L1698" s="6">
        <v>0</v>
      </c>
      <c r="M1698" s="11">
        <v>0</v>
      </c>
      <c r="N1698" s="11">
        <f t="shared" si="104"/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4.68</v>
      </c>
      <c r="Z1698" s="6">
        <v>3.51</v>
      </c>
      <c r="AA1698" s="6">
        <v>0.75</v>
      </c>
      <c r="AB1698" s="6">
        <v>-4.68</v>
      </c>
      <c r="AC1698" s="6">
        <v>4.68</v>
      </c>
      <c r="AD1698" s="23" t="s">
        <v>3143</v>
      </c>
      <c r="AE1698" s="23">
        <f t="shared" si="105"/>
        <v>0</v>
      </c>
      <c r="AF1698" s="24">
        <f t="shared" si="106"/>
        <v>0</v>
      </c>
      <c r="AG1698" s="23">
        <f t="shared" si="107"/>
        <v>67</v>
      </c>
    </row>
    <row r="1699" spans="1:33" ht="12.5" hidden="1" customHeight="1" x14ac:dyDescent="0.25">
      <c r="A1699" s="12" t="s">
        <v>31</v>
      </c>
      <c r="B1699" s="9">
        <v>46199</v>
      </c>
      <c r="C1699" s="13" t="s">
        <v>2669</v>
      </c>
      <c r="D1699" s="13" t="s">
        <v>338</v>
      </c>
      <c r="E1699" s="13" t="s">
        <v>34</v>
      </c>
      <c r="F1699" s="13" t="s">
        <v>35</v>
      </c>
      <c r="G1699" s="10" t="s">
        <v>3145</v>
      </c>
      <c r="H1699" s="8" t="s">
        <v>41</v>
      </c>
      <c r="I1699" s="11">
        <v>1.89</v>
      </c>
      <c r="J1699" s="6">
        <v>1.4175</v>
      </c>
      <c r="K1699" s="6">
        <v>0.75</v>
      </c>
      <c r="L1699" s="6">
        <v>0</v>
      </c>
      <c r="M1699" s="11">
        <v>0</v>
      </c>
      <c r="N1699" s="11">
        <f t="shared" si="104"/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1.89</v>
      </c>
      <c r="Z1699" s="6">
        <v>1.4175</v>
      </c>
      <c r="AA1699" s="6">
        <v>0.75</v>
      </c>
      <c r="AB1699" s="6">
        <v>-1.89</v>
      </c>
      <c r="AC1699" s="6">
        <v>1.89</v>
      </c>
      <c r="AD1699" s="23" t="s">
        <v>3143</v>
      </c>
      <c r="AE1699" s="23">
        <f t="shared" si="105"/>
        <v>0</v>
      </c>
      <c r="AF1699" s="24">
        <f t="shared" si="106"/>
        <v>0</v>
      </c>
      <c r="AG1699" s="23">
        <f t="shared" si="107"/>
        <v>67</v>
      </c>
    </row>
    <row r="1700" spans="1:33" x14ac:dyDescent="0.25">
      <c r="A1700" s="12" t="s">
        <v>31</v>
      </c>
      <c r="B1700" s="9">
        <v>46199</v>
      </c>
      <c r="C1700" s="10" t="s">
        <v>2670</v>
      </c>
      <c r="D1700" s="10" t="s">
        <v>338</v>
      </c>
      <c r="E1700" s="10" t="s">
        <v>34</v>
      </c>
      <c r="F1700" s="10" t="s">
        <v>35</v>
      </c>
      <c r="G1700" s="10" t="s">
        <v>3146</v>
      </c>
      <c r="H1700" s="8" t="s">
        <v>36</v>
      </c>
      <c r="I1700" s="11">
        <v>15.49</v>
      </c>
      <c r="J1700" s="6">
        <v>14.204330000000001</v>
      </c>
      <c r="K1700" s="6">
        <v>0.91700000000000004</v>
      </c>
      <c r="L1700" s="6">
        <v>8.84</v>
      </c>
      <c r="M1700" s="11">
        <v>8.1062799999999999</v>
      </c>
      <c r="N1700" s="11">
        <f t="shared" si="104"/>
        <v>8.1069999999999993</v>
      </c>
      <c r="O1700" s="6">
        <v>0.91700000000000004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6.65</v>
      </c>
      <c r="Z1700" s="6">
        <v>6.0980499999999997</v>
      </c>
      <c r="AA1700" s="6">
        <v>0.91699999999999993</v>
      </c>
      <c r="AB1700" s="6">
        <v>-6.65</v>
      </c>
      <c r="AC1700" s="6">
        <v>6.65</v>
      </c>
      <c r="AD1700" s="23" t="s">
        <v>3143</v>
      </c>
      <c r="AE1700" s="23">
        <f t="shared" si="105"/>
        <v>0</v>
      </c>
      <c r="AF1700" s="24">
        <f t="shared" si="106"/>
        <v>8.1069999999999993</v>
      </c>
      <c r="AG1700" s="23">
        <f t="shared" si="107"/>
        <v>67</v>
      </c>
    </row>
    <row r="1701" spans="1:33" ht="20" hidden="1" customHeight="1" x14ac:dyDescent="0.25">
      <c r="A1701" s="12" t="s">
        <v>31</v>
      </c>
      <c r="B1701" s="9">
        <v>46199</v>
      </c>
      <c r="C1701" s="10" t="s">
        <v>2671</v>
      </c>
      <c r="D1701" s="10" t="s">
        <v>338</v>
      </c>
      <c r="E1701" s="10" t="s">
        <v>34</v>
      </c>
      <c r="F1701" s="10" t="s">
        <v>35</v>
      </c>
      <c r="G1701" s="10" t="s">
        <v>3145</v>
      </c>
      <c r="H1701" s="8" t="s">
        <v>48</v>
      </c>
      <c r="I1701" s="11">
        <v>1.1399999999999999</v>
      </c>
      <c r="J1701" s="6">
        <v>0.85499999999999998</v>
      </c>
      <c r="K1701" s="6">
        <v>0.75</v>
      </c>
      <c r="L1701" s="6">
        <v>1.1399999999999999</v>
      </c>
      <c r="M1701" s="11">
        <v>0.85499999999999998</v>
      </c>
      <c r="N1701" s="11">
        <f t="shared" si="104"/>
        <v>0.85499999999999998</v>
      </c>
      <c r="O1701" s="6">
        <v>0.75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23" t="s">
        <v>3143</v>
      </c>
      <c r="AE1701" s="23">
        <f t="shared" si="105"/>
        <v>0</v>
      </c>
      <c r="AF1701" s="24">
        <f t="shared" si="106"/>
        <v>0.85499999999999998</v>
      </c>
      <c r="AG1701" s="23">
        <f t="shared" si="107"/>
        <v>67</v>
      </c>
    </row>
    <row r="1702" spans="1:33" hidden="1" x14ac:dyDescent="0.25">
      <c r="A1702" s="12" t="s">
        <v>31</v>
      </c>
      <c r="B1702" s="9">
        <v>46199</v>
      </c>
      <c r="C1702" s="10" t="s">
        <v>2672</v>
      </c>
      <c r="D1702" s="10" t="s">
        <v>2673</v>
      </c>
      <c r="E1702" s="10" t="s">
        <v>51</v>
      </c>
      <c r="F1702" s="10" t="s">
        <v>35</v>
      </c>
      <c r="G1702" s="10" t="s">
        <v>3145</v>
      </c>
      <c r="H1702" s="8" t="s">
        <v>41</v>
      </c>
      <c r="I1702" s="11">
        <v>209.37</v>
      </c>
      <c r="J1702" s="6">
        <v>157.0275</v>
      </c>
      <c r="K1702" s="6">
        <v>0.75</v>
      </c>
      <c r="L1702" s="6">
        <v>181.56</v>
      </c>
      <c r="M1702" s="11">
        <v>136.16999999999999</v>
      </c>
      <c r="N1702" s="11">
        <f t="shared" si="104"/>
        <v>136.16999999999999</v>
      </c>
      <c r="O1702" s="6">
        <v>0.74999999999999989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27.81</v>
      </c>
      <c r="Z1702" s="6">
        <v>20.857500000000002</v>
      </c>
      <c r="AA1702" s="6">
        <v>0.75000000000000011</v>
      </c>
      <c r="AB1702" s="6">
        <v>-27.81</v>
      </c>
      <c r="AC1702" s="6">
        <v>27.81</v>
      </c>
      <c r="AD1702" s="22" t="s">
        <v>3140</v>
      </c>
      <c r="AE1702" s="23">
        <f t="shared" si="105"/>
        <v>136.16999999999999</v>
      </c>
      <c r="AF1702" s="24">
        <f t="shared" si="106"/>
        <v>0</v>
      </c>
      <c r="AG1702" s="23">
        <f t="shared" si="107"/>
        <v>1</v>
      </c>
    </row>
    <row r="1703" spans="1:33" x14ac:dyDescent="0.25">
      <c r="A1703" s="12" t="s">
        <v>31</v>
      </c>
      <c r="B1703" s="9">
        <v>46199</v>
      </c>
      <c r="C1703" s="10" t="s">
        <v>2674</v>
      </c>
      <c r="D1703" s="10" t="s">
        <v>2675</v>
      </c>
      <c r="E1703" s="10" t="s">
        <v>51</v>
      </c>
      <c r="F1703" s="10" t="s">
        <v>35</v>
      </c>
      <c r="G1703" s="10" t="s">
        <v>3146</v>
      </c>
      <c r="H1703" s="8" t="s">
        <v>36</v>
      </c>
      <c r="I1703" s="11">
        <v>45.9</v>
      </c>
      <c r="J1703" s="6">
        <v>42.090299999999999</v>
      </c>
      <c r="K1703" s="6">
        <v>0.91700000000000004</v>
      </c>
      <c r="L1703" s="6">
        <v>42.02</v>
      </c>
      <c r="M1703" s="11">
        <v>38.532339999999998</v>
      </c>
      <c r="N1703" s="11">
        <f t="shared" si="104"/>
        <v>38.532999999999994</v>
      </c>
      <c r="O1703" s="6">
        <v>0.91699999999999993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3.88</v>
      </c>
      <c r="Z1703" s="6">
        <v>3.55796</v>
      </c>
      <c r="AA1703" s="6">
        <v>0.91700000000000004</v>
      </c>
      <c r="AB1703" s="6">
        <v>-3.8799999999999955</v>
      </c>
      <c r="AC1703" s="6">
        <v>3.8799999999999955</v>
      </c>
      <c r="AD1703" s="22" t="s">
        <v>3140</v>
      </c>
      <c r="AE1703" s="23">
        <f t="shared" si="105"/>
        <v>38.532999999999994</v>
      </c>
      <c r="AF1703" s="24">
        <f t="shared" si="106"/>
        <v>0</v>
      </c>
      <c r="AG1703" s="23">
        <f t="shared" si="107"/>
        <v>1</v>
      </c>
    </row>
    <row r="1704" spans="1:33" x14ac:dyDescent="0.25">
      <c r="A1704" s="12" t="s">
        <v>31</v>
      </c>
      <c r="B1704" s="9">
        <v>46199</v>
      </c>
      <c r="C1704" s="10" t="s">
        <v>2676</v>
      </c>
      <c r="D1704" s="10" t="s">
        <v>2677</v>
      </c>
      <c r="E1704" s="10" t="s">
        <v>51</v>
      </c>
      <c r="F1704" s="10" t="s">
        <v>35</v>
      </c>
      <c r="G1704" s="10" t="s">
        <v>3146</v>
      </c>
      <c r="H1704" s="8" t="s">
        <v>36</v>
      </c>
      <c r="I1704" s="11">
        <v>44.22</v>
      </c>
      <c r="J1704" s="6">
        <v>40.54974</v>
      </c>
      <c r="K1704" s="6">
        <v>0.91700000000000004</v>
      </c>
      <c r="L1704" s="6">
        <v>42.93</v>
      </c>
      <c r="M1704" s="11">
        <v>39.366810000000001</v>
      </c>
      <c r="N1704" s="11">
        <f t="shared" si="104"/>
        <v>39.366999999999997</v>
      </c>
      <c r="O1704" s="6">
        <v>0.91700000000000004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1.29</v>
      </c>
      <c r="Z1704" s="6">
        <v>1.18293</v>
      </c>
      <c r="AA1704" s="6">
        <v>0.91700000000000004</v>
      </c>
      <c r="AB1704" s="6">
        <v>-1.2899999999999991</v>
      </c>
      <c r="AC1704" s="6">
        <v>1.2899999999999991</v>
      </c>
      <c r="AD1704" s="22" t="s">
        <v>3140</v>
      </c>
      <c r="AE1704" s="23">
        <f t="shared" si="105"/>
        <v>39.366999999999997</v>
      </c>
      <c r="AF1704" s="24">
        <f t="shared" si="106"/>
        <v>0</v>
      </c>
      <c r="AG1704" s="23">
        <f t="shared" si="107"/>
        <v>1</v>
      </c>
    </row>
    <row r="1705" spans="1:33" x14ac:dyDescent="0.25">
      <c r="A1705" s="12" t="s">
        <v>31</v>
      </c>
      <c r="B1705" s="9">
        <v>46199</v>
      </c>
      <c r="C1705" s="10" t="s">
        <v>2678</v>
      </c>
      <c r="D1705" s="10" t="s">
        <v>2679</v>
      </c>
      <c r="E1705" s="10" t="s">
        <v>51</v>
      </c>
      <c r="F1705" s="10" t="s">
        <v>35</v>
      </c>
      <c r="G1705" s="10" t="s">
        <v>3146</v>
      </c>
      <c r="H1705" s="8" t="s">
        <v>36</v>
      </c>
      <c r="I1705" s="11">
        <v>2.81</v>
      </c>
      <c r="J1705" s="6">
        <v>2.5767699999999998</v>
      </c>
      <c r="K1705" s="6">
        <v>0.91699999999999993</v>
      </c>
      <c r="L1705" s="6">
        <v>2.64</v>
      </c>
      <c r="M1705" s="11">
        <v>2.4208799999999999</v>
      </c>
      <c r="N1705" s="11">
        <f t="shared" si="104"/>
        <v>2.4209999999999998</v>
      </c>
      <c r="O1705" s="6">
        <v>0.91699999999999993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0.17</v>
      </c>
      <c r="Z1705" s="6">
        <v>0.15589</v>
      </c>
      <c r="AA1705" s="6">
        <v>0.91699999999999993</v>
      </c>
      <c r="AB1705" s="6">
        <v>-0.16999999999999993</v>
      </c>
      <c r="AC1705" s="6">
        <v>0.16999999999999993</v>
      </c>
      <c r="AD1705" s="22" t="s">
        <v>3140</v>
      </c>
      <c r="AE1705" s="23">
        <f t="shared" si="105"/>
        <v>2.4209999999999998</v>
      </c>
      <c r="AF1705" s="24">
        <f t="shared" si="106"/>
        <v>0</v>
      </c>
      <c r="AG1705" s="23">
        <f t="shared" si="107"/>
        <v>1</v>
      </c>
    </row>
    <row r="1706" spans="1:33" x14ac:dyDescent="0.25">
      <c r="A1706" s="12" t="s">
        <v>31</v>
      </c>
      <c r="B1706" s="9">
        <v>46199</v>
      </c>
      <c r="C1706" s="10" t="s">
        <v>2680</v>
      </c>
      <c r="D1706" s="10" t="s">
        <v>2681</v>
      </c>
      <c r="E1706" s="10" t="s">
        <v>51</v>
      </c>
      <c r="F1706" s="10" t="s">
        <v>35</v>
      </c>
      <c r="G1706" s="10" t="s">
        <v>3146</v>
      </c>
      <c r="H1706" s="8" t="s">
        <v>36</v>
      </c>
      <c r="I1706" s="11">
        <v>12.84</v>
      </c>
      <c r="J1706" s="6">
        <v>11.774279999999999</v>
      </c>
      <c r="K1706" s="6">
        <v>0.91699999999999993</v>
      </c>
      <c r="L1706" s="6">
        <v>12.84</v>
      </c>
      <c r="M1706" s="11">
        <v>11.774279999999999</v>
      </c>
      <c r="N1706" s="11">
        <f t="shared" si="104"/>
        <v>11.774999999999999</v>
      </c>
      <c r="O1706" s="6">
        <v>0.91699999999999993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23" t="s">
        <v>3143</v>
      </c>
      <c r="AE1706" s="23">
        <f t="shared" si="105"/>
        <v>11.16</v>
      </c>
      <c r="AF1706" s="24">
        <f t="shared" si="106"/>
        <v>0.61499999999999844</v>
      </c>
      <c r="AG1706" s="23">
        <f t="shared" si="107"/>
        <v>3</v>
      </c>
    </row>
    <row r="1707" spans="1:33" x14ac:dyDescent="0.25">
      <c r="A1707" s="12" t="s">
        <v>31</v>
      </c>
      <c r="B1707" s="9">
        <v>46199</v>
      </c>
      <c r="C1707" s="10" t="s">
        <v>2682</v>
      </c>
      <c r="D1707" s="10" t="s">
        <v>2683</v>
      </c>
      <c r="E1707" s="10" t="s">
        <v>51</v>
      </c>
      <c r="F1707" s="10" t="s">
        <v>35</v>
      </c>
      <c r="G1707" s="10" t="s">
        <v>3146</v>
      </c>
      <c r="H1707" s="8" t="s">
        <v>36</v>
      </c>
      <c r="I1707" s="11">
        <v>2.54</v>
      </c>
      <c r="J1707" s="6">
        <v>2.32918</v>
      </c>
      <c r="K1707" s="6">
        <v>0.91700000000000004</v>
      </c>
      <c r="L1707" s="6">
        <v>2.42</v>
      </c>
      <c r="M1707" s="11">
        <v>2.2191399999999999</v>
      </c>
      <c r="N1707" s="11">
        <f t="shared" si="104"/>
        <v>2.2199999999999998</v>
      </c>
      <c r="O1707" s="6">
        <v>0.91699999999999993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0.12</v>
      </c>
      <c r="Z1707" s="6">
        <v>0.11004</v>
      </c>
      <c r="AA1707" s="6">
        <v>0.91700000000000004</v>
      </c>
      <c r="AB1707" s="6">
        <v>-0.12000000000000011</v>
      </c>
      <c r="AC1707" s="6">
        <v>0.12000000000000011</v>
      </c>
      <c r="AD1707" s="22" t="s">
        <v>3140</v>
      </c>
      <c r="AE1707" s="23">
        <f t="shared" si="105"/>
        <v>2.2199999999999998</v>
      </c>
      <c r="AF1707" s="24">
        <f t="shared" si="106"/>
        <v>0</v>
      </c>
      <c r="AG1707" s="23">
        <f t="shared" si="107"/>
        <v>1</v>
      </c>
    </row>
    <row r="1708" spans="1:33" x14ac:dyDescent="0.25">
      <c r="A1708" s="12" t="s">
        <v>31</v>
      </c>
      <c r="B1708" s="9">
        <v>46199</v>
      </c>
      <c r="C1708" s="10" t="s">
        <v>2684</v>
      </c>
      <c r="D1708" s="10" t="s">
        <v>2685</v>
      </c>
      <c r="E1708" s="10" t="s">
        <v>51</v>
      </c>
      <c r="F1708" s="10" t="s">
        <v>35</v>
      </c>
      <c r="G1708" s="10" t="s">
        <v>3146</v>
      </c>
      <c r="H1708" s="8" t="s">
        <v>36</v>
      </c>
      <c r="I1708" s="11">
        <v>3.54</v>
      </c>
      <c r="J1708" s="6">
        <v>3.2461799999999998</v>
      </c>
      <c r="K1708" s="6">
        <v>0.91699999999999993</v>
      </c>
      <c r="L1708" s="6">
        <v>3.34</v>
      </c>
      <c r="M1708" s="11">
        <v>3.0627800000000001</v>
      </c>
      <c r="N1708" s="11">
        <f t="shared" si="104"/>
        <v>3.0629999999999997</v>
      </c>
      <c r="O1708" s="6">
        <v>0.91700000000000004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0.2</v>
      </c>
      <c r="Z1708" s="6">
        <v>0.18340000000000001</v>
      </c>
      <c r="AA1708" s="6">
        <v>0.91700000000000004</v>
      </c>
      <c r="AB1708" s="6">
        <v>-0.20000000000000018</v>
      </c>
      <c r="AC1708" s="6">
        <v>0.20000000000000018</v>
      </c>
      <c r="AD1708" s="22" t="s">
        <v>3140</v>
      </c>
      <c r="AE1708" s="23">
        <f t="shared" si="105"/>
        <v>3.0629999999999997</v>
      </c>
      <c r="AF1708" s="24">
        <f t="shared" si="106"/>
        <v>0</v>
      </c>
      <c r="AG1708" s="23">
        <f t="shared" si="107"/>
        <v>1</v>
      </c>
    </row>
    <row r="1709" spans="1:33" x14ac:dyDescent="0.25">
      <c r="A1709" s="12" t="s">
        <v>31</v>
      </c>
      <c r="B1709" s="9">
        <v>46199</v>
      </c>
      <c r="C1709" s="10" t="s">
        <v>2686</v>
      </c>
      <c r="D1709" s="10" t="s">
        <v>2687</v>
      </c>
      <c r="E1709" s="10" t="s">
        <v>51</v>
      </c>
      <c r="F1709" s="10" t="s">
        <v>35</v>
      </c>
      <c r="G1709" s="10" t="s">
        <v>3146</v>
      </c>
      <c r="H1709" s="8" t="s">
        <v>36</v>
      </c>
      <c r="I1709" s="11">
        <v>21.05</v>
      </c>
      <c r="J1709" s="6">
        <v>19.302849999999999</v>
      </c>
      <c r="K1709" s="6">
        <v>0.91699999999999993</v>
      </c>
      <c r="L1709" s="6">
        <v>19.02</v>
      </c>
      <c r="M1709" s="11">
        <v>17.44134</v>
      </c>
      <c r="N1709" s="11">
        <f t="shared" si="104"/>
        <v>17.442</v>
      </c>
      <c r="O1709" s="6">
        <v>0.91700000000000004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2.0299999999999998</v>
      </c>
      <c r="Z1709" s="6">
        <v>1.86151</v>
      </c>
      <c r="AA1709" s="6">
        <v>0.91700000000000004</v>
      </c>
      <c r="AB1709" s="6">
        <v>-2.0300000000000011</v>
      </c>
      <c r="AC1709" s="6">
        <v>2.0300000000000011</v>
      </c>
      <c r="AD1709" s="22" t="s">
        <v>3140</v>
      </c>
      <c r="AE1709" s="23">
        <f t="shared" si="105"/>
        <v>17.442</v>
      </c>
      <c r="AF1709" s="24">
        <f t="shared" si="106"/>
        <v>0</v>
      </c>
      <c r="AG1709" s="23">
        <f t="shared" si="107"/>
        <v>1</v>
      </c>
    </row>
    <row r="1710" spans="1:33" x14ac:dyDescent="0.25">
      <c r="A1710" s="12" t="s">
        <v>31</v>
      </c>
      <c r="B1710" s="9">
        <v>46199</v>
      </c>
      <c r="C1710" s="10" t="s">
        <v>2688</v>
      </c>
      <c r="D1710" s="10" t="s">
        <v>2689</v>
      </c>
      <c r="E1710" s="10" t="s">
        <v>51</v>
      </c>
      <c r="F1710" s="10" t="s">
        <v>35</v>
      </c>
      <c r="G1710" s="10" t="s">
        <v>3146</v>
      </c>
      <c r="H1710" s="8" t="s">
        <v>36</v>
      </c>
      <c r="I1710" s="11">
        <v>3.78</v>
      </c>
      <c r="J1710" s="6">
        <v>3.4662600000000001</v>
      </c>
      <c r="K1710" s="6">
        <v>0.91700000000000004</v>
      </c>
      <c r="L1710" s="6">
        <v>3.62</v>
      </c>
      <c r="M1710" s="11">
        <v>3.3195399999999999</v>
      </c>
      <c r="N1710" s="11">
        <f t="shared" si="104"/>
        <v>3.32</v>
      </c>
      <c r="O1710" s="6">
        <v>0.91699999999999993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0.16</v>
      </c>
      <c r="Z1710" s="6">
        <v>0.14671999999999999</v>
      </c>
      <c r="AA1710" s="6">
        <v>0.91699999999999993</v>
      </c>
      <c r="AB1710" s="6">
        <v>-0.1599999999999997</v>
      </c>
      <c r="AC1710" s="6">
        <v>0.1599999999999997</v>
      </c>
      <c r="AD1710" s="22" t="s">
        <v>3140</v>
      </c>
      <c r="AE1710" s="23">
        <f t="shared" si="105"/>
        <v>3.32</v>
      </c>
      <c r="AF1710" s="24">
        <f t="shared" si="106"/>
        <v>0</v>
      </c>
      <c r="AG1710" s="23">
        <f t="shared" si="107"/>
        <v>1</v>
      </c>
    </row>
    <row r="1711" spans="1:33" x14ac:dyDescent="0.25">
      <c r="A1711" s="12" t="s">
        <v>31</v>
      </c>
      <c r="B1711" s="9">
        <v>46199</v>
      </c>
      <c r="C1711" s="10" t="s">
        <v>2690</v>
      </c>
      <c r="D1711" s="10" t="s">
        <v>2691</v>
      </c>
      <c r="E1711" s="10" t="s">
        <v>51</v>
      </c>
      <c r="F1711" s="10" t="s">
        <v>35</v>
      </c>
      <c r="G1711" s="10" t="s">
        <v>3146</v>
      </c>
      <c r="H1711" s="8" t="s">
        <v>36</v>
      </c>
      <c r="I1711" s="11">
        <v>44.46</v>
      </c>
      <c r="J1711" s="6">
        <v>40.769820000000003</v>
      </c>
      <c r="K1711" s="6">
        <v>0.91700000000000004</v>
      </c>
      <c r="L1711" s="6">
        <v>40.83</v>
      </c>
      <c r="M1711" s="11">
        <v>37.441110000000002</v>
      </c>
      <c r="N1711" s="11">
        <f t="shared" si="104"/>
        <v>37.442</v>
      </c>
      <c r="O1711" s="6">
        <v>0.91700000000000004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3.63</v>
      </c>
      <c r="Z1711" s="6">
        <v>3.3287100000000001</v>
      </c>
      <c r="AA1711" s="6">
        <v>0.91700000000000004</v>
      </c>
      <c r="AB1711" s="6">
        <v>-3.6300000000000026</v>
      </c>
      <c r="AC1711" s="6">
        <v>3.6300000000000026</v>
      </c>
      <c r="AD1711" s="22" t="s">
        <v>3140</v>
      </c>
      <c r="AE1711" s="23">
        <f t="shared" si="105"/>
        <v>37.442</v>
      </c>
      <c r="AF1711" s="24">
        <f t="shared" si="106"/>
        <v>0</v>
      </c>
      <c r="AG1711" s="23">
        <f t="shared" si="107"/>
        <v>1</v>
      </c>
    </row>
    <row r="1712" spans="1:33" ht="20" hidden="1" customHeight="1" x14ac:dyDescent="0.25">
      <c r="A1712" s="12" t="s">
        <v>31</v>
      </c>
      <c r="B1712" s="9">
        <v>46199</v>
      </c>
      <c r="C1712" s="10" t="s">
        <v>2692</v>
      </c>
      <c r="D1712" s="10" t="s">
        <v>2693</v>
      </c>
      <c r="E1712" s="10" t="s">
        <v>51</v>
      </c>
      <c r="F1712" s="10" t="s">
        <v>35</v>
      </c>
      <c r="G1712" s="10" t="s">
        <v>3145</v>
      </c>
      <c r="H1712" s="8" t="s">
        <v>48</v>
      </c>
      <c r="I1712" s="11">
        <v>47.55</v>
      </c>
      <c r="J1712" s="6">
        <v>35.662500000000001</v>
      </c>
      <c r="K1712" s="6">
        <v>0.75000000000000011</v>
      </c>
      <c r="L1712" s="6">
        <v>43.48</v>
      </c>
      <c r="M1712" s="11">
        <v>32.61</v>
      </c>
      <c r="N1712" s="11">
        <f t="shared" si="104"/>
        <v>32.61</v>
      </c>
      <c r="O1712" s="6">
        <v>0.75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4.07</v>
      </c>
      <c r="Z1712" s="6">
        <v>3.0525000000000002</v>
      </c>
      <c r="AA1712" s="6">
        <v>0.75</v>
      </c>
      <c r="AB1712" s="6">
        <v>-4.07</v>
      </c>
      <c r="AC1712" s="6">
        <v>4.07</v>
      </c>
      <c r="AD1712" s="22" t="s">
        <v>3140</v>
      </c>
      <c r="AE1712" s="23">
        <f t="shared" si="105"/>
        <v>32.61</v>
      </c>
      <c r="AF1712" s="24">
        <f t="shared" si="106"/>
        <v>0</v>
      </c>
      <c r="AG1712" s="23">
        <f t="shared" si="107"/>
        <v>1</v>
      </c>
    </row>
    <row r="1713" spans="1:33" x14ac:dyDescent="0.25">
      <c r="A1713" s="12" t="s">
        <v>31</v>
      </c>
      <c r="B1713" s="9">
        <v>46199</v>
      </c>
      <c r="C1713" s="10" t="s">
        <v>2694</v>
      </c>
      <c r="D1713" s="10" t="s">
        <v>2695</v>
      </c>
      <c r="E1713" s="10" t="s">
        <v>51</v>
      </c>
      <c r="F1713" s="10" t="s">
        <v>35</v>
      </c>
      <c r="G1713" s="10" t="s">
        <v>3146</v>
      </c>
      <c r="H1713" s="8" t="s">
        <v>36</v>
      </c>
      <c r="I1713" s="11">
        <v>21.03</v>
      </c>
      <c r="J1713" s="6">
        <v>19.284510000000001</v>
      </c>
      <c r="K1713" s="6">
        <v>0.91700000000000004</v>
      </c>
      <c r="L1713" s="6">
        <v>18.5</v>
      </c>
      <c r="M1713" s="11">
        <v>16.964500000000001</v>
      </c>
      <c r="N1713" s="11">
        <f t="shared" si="104"/>
        <v>16.965</v>
      </c>
      <c r="O1713" s="6">
        <v>0.91700000000000004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2.5299999999999998</v>
      </c>
      <c r="Z1713" s="6">
        <v>2.3200099999999999</v>
      </c>
      <c r="AA1713" s="6">
        <v>0.91700000000000004</v>
      </c>
      <c r="AB1713" s="6">
        <v>-2.5300000000000011</v>
      </c>
      <c r="AC1713" s="6">
        <v>2.5300000000000011</v>
      </c>
      <c r="AD1713" s="22" t="s">
        <v>3140</v>
      </c>
      <c r="AE1713" s="23">
        <f t="shared" si="105"/>
        <v>16.965</v>
      </c>
      <c r="AF1713" s="24">
        <f t="shared" si="106"/>
        <v>0</v>
      </c>
      <c r="AG1713" s="23">
        <f t="shared" si="107"/>
        <v>1</v>
      </c>
    </row>
    <row r="1714" spans="1:33" x14ac:dyDescent="0.25">
      <c r="A1714" s="12" t="s">
        <v>31</v>
      </c>
      <c r="B1714" s="9">
        <v>46199</v>
      </c>
      <c r="C1714" s="10" t="s">
        <v>2696</v>
      </c>
      <c r="D1714" s="10" t="s">
        <v>2697</v>
      </c>
      <c r="E1714" s="10" t="s">
        <v>51</v>
      </c>
      <c r="F1714" s="10" t="s">
        <v>35</v>
      </c>
      <c r="G1714" s="10" t="s">
        <v>3146</v>
      </c>
      <c r="H1714" s="8" t="s">
        <v>36</v>
      </c>
      <c r="I1714" s="11">
        <v>86.63</v>
      </c>
      <c r="J1714" s="6">
        <v>79.439710000000005</v>
      </c>
      <c r="K1714" s="6">
        <v>0.91700000000000015</v>
      </c>
      <c r="L1714" s="6">
        <v>81.47</v>
      </c>
      <c r="M1714" s="11">
        <v>74.707989999999995</v>
      </c>
      <c r="N1714" s="11">
        <f t="shared" si="104"/>
        <v>74.707999999999998</v>
      </c>
      <c r="O1714" s="6">
        <v>0.91699999999999993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5.16</v>
      </c>
      <c r="Z1714" s="6">
        <v>4.7317200000000001</v>
      </c>
      <c r="AA1714" s="6">
        <v>0.91700000000000004</v>
      </c>
      <c r="AB1714" s="6">
        <v>-5.1599999999999966</v>
      </c>
      <c r="AC1714" s="6">
        <v>5.1599999999999966</v>
      </c>
      <c r="AD1714" s="22" t="s">
        <v>3140</v>
      </c>
      <c r="AE1714" s="23">
        <f t="shared" si="105"/>
        <v>74.707999999999998</v>
      </c>
      <c r="AF1714" s="24">
        <f t="shared" si="106"/>
        <v>0</v>
      </c>
      <c r="AG1714" s="23">
        <f t="shared" si="107"/>
        <v>1</v>
      </c>
    </row>
    <row r="1715" spans="1:33" ht="20" hidden="1" customHeight="1" x14ac:dyDescent="0.25">
      <c r="A1715" s="12" t="s">
        <v>31</v>
      </c>
      <c r="B1715" s="9">
        <v>46199</v>
      </c>
      <c r="C1715" s="10" t="s">
        <v>2698</v>
      </c>
      <c r="D1715" s="10" t="s">
        <v>2699</v>
      </c>
      <c r="E1715" s="10" t="s">
        <v>51</v>
      </c>
      <c r="F1715" s="10" t="s">
        <v>35</v>
      </c>
      <c r="G1715" s="10" t="s">
        <v>3145</v>
      </c>
      <c r="H1715" s="8" t="s">
        <v>48</v>
      </c>
      <c r="I1715" s="11">
        <v>71.37</v>
      </c>
      <c r="J1715" s="6">
        <v>53.527500000000003</v>
      </c>
      <c r="K1715" s="6">
        <v>0.75</v>
      </c>
      <c r="L1715" s="6">
        <v>66.48</v>
      </c>
      <c r="M1715" s="11">
        <v>49.86</v>
      </c>
      <c r="N1715" s="11">
        <f t="shared" si="104"/>
        <v>49.86</v>
      </c>
      <c r="O1715" s="6">
        <v>0.75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4.8899999999999997</v>
      </c>
      <c r="Z1715" s="6">
        <v>3.6675</v>
      </c>
      <c r="AA1715" s="6">
        <v>0.75</v>
      </c>
      <c r="AB1715" s="6">
        <v>-4.8900000000000006</v>
      </c>
      <c r="AC1715" s="6">
        <v>4.8900000000000006</v>
      </c>
      <c r="AD1715" s="22" t="s">
        <v>3140</v>
      </c>
      <c r="AE1715" s="23">
        <f t="shared" si="105"/>
        <v>49.86</v>
      </c>
      <c r="AF1715" s="24">
        <f t="shared" si="106"/>
        <v>0</v>
      </c>
      <c r="AG1715" s="23">
        <f t="shared" si="107"/>
        <v>1</v>
      </c>
    </row>
    <row r="1716" spans="1:33" x14ac:dyDescent="0.25">
      <c r="A1716" s="12" t="s">
        <v>31</v>
      </c>
      <c r="B1716" s="9">
        <v>46199</v>
      </c>
      <c r="C1716" s="10" t="s">
        <v>2700</v>
      </c>
      <c r="D1716" s="10" t="s">
        <v>2701</v>
      </c>
      <c r="E1716" s="10" t="s">
        <v>51</v>
      </c>
      <c r="F1716" s="10" t="s">
        <v>35</v>
      </c>
      <c r="G1716" s="10" t="s">
        <v>3146</v>
      </c>
      <c r="H1716" s="8" t="s">
        <v>36</v>
      </c>
      <c r="I1716" s="11">
        <v>92.36</v>
      </c>
      <c r="J1716" s="6">
        <v>84.694119999999998</v>
      </c>
      <c r="K1716" s="6">
        <v>0.91700000000000004</v>
      </c>
      <c r="L1716" s="6">
        <v>90.06</v>
      </c>
      <c r="M1716" s="11">
        <v>82.58502</v>
      </c>
      <c r="N1716" s="11">
        <f t="shared" si="104"/>
        <v>82.585999999999999</v>
      </c>
      <c r="O1716" s="6">
        <v>0.91699999999999993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2.2999999999999998</v>
      </c>
      <c r="Z1716" s="6">
        <v>2.1091000000000002</v>
      </c>
      <c r="AA1716" s="6">
        <v>0.91700000000000015</v>
      </c>
      <c r="AB1716" s="6">
        <v>-2.2999999999999972</v>
      </c>
      <c r="AC1716" s="6">
        <v>2.2999999999999972</v>
      </c>
      <c r="AD1716" s="22" t="s">
        <v>3140</v>
      </c>
      <c r="AE1716" s="23">
        <f t="shared" si="105"/>
        <v>82.585999999999999</v>
      </c>
      <c r="AF1716" s="24">
        <f t="shared" si="106"/>
        <v>0</v>
      </c>
      <c r="AG1716" s="23">
        <f t="shared" si="107"/>
        <v>1</v>
      </c>
    </row>
    <row r="1717" spans="1:33" x14ac:dyDescent="0.25">
      <c r="A1717" s="12" t="s">
        <v>31</v>
      </c>
      <c r="B1717" s="9">
        <v>46199</v>
      </c>
      <c r="C1717" s="10" t="s">
        <v>2702</v>
      </c>
      <c r="D1717" s="10" t="s">
        <v>2703</v>
      </c>
      <c r="E1717" s="10" t="s">
        <v>51</v>
      </c>
      <c r="F1717" s="10" t="s">
        <v>35</v>
      </c>
      <c r="G1717" s="10" t="s">
        <v>3146</v>
      </c>
      <c r="H1717" s="8" t="s">
        <v>36</v>
      </c>
      <c r="I1717" s="11">
        <v>45.37</v>
      </c>
      <c r="J1717" s="6">
        <v>41.604289999999999</v>
      </c>
      <c r="K1717" s="6">
        <v>0.91700000000000004</v>
      </c>
      <c r="L1717" s="6">
        <v>41.89</v>
      </c>
      <c r="M1717" s="11">
        <v>38.413130000000002</v>
      </c>
      <c r="N1717" s="11">
        <f t="shared" si="104"/>
        <v>38.413999999999994</v>
      </c>
      <c r="O1717" s="6">
        <v>0.91700000000000004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3.48</v>
      </c>
      <c r="Z1717" s="6">
        <v>3.19116</v>
      </c>
      <c r="AA1717" s="6">
        <v>0.91700000000000004</v>
      </c>
      <c r="AB1717" s="6">
        <v>-3.4799999999999969</v>
      </c>
      <c r="AC1717" s="6">
        <v>3.4799999999999969</v>
      </c>
      <c r="AD1717" s="22" t="s">
        <v>3140</v>
      </c>
      <c r="AE1717" s="23">
        <f t="shared" si="105"/>
        <v>38.413999999999994</v>
      </c>
      <c r="AF1717" s="24">
        <f t="shared" si="106"/>
        <v>0</v>
      </c>
      <c r="AG1717" s="23">
        <f t="shared" si="107"/>
        <v>1</v>
      </c>
    </row>
    <row r="1718" spans="1:33" x14ac:dyDescent="0.25">
      <c r="A1718" s="12" t="s">
        <v>31</v>
      </c>
      <c r="B1718" s="9">
        <v>46199</v>
      </c>
      <c r="C1718" s="10" t="s">
        <v>2704</v>
      </c>
      <c r="D1718" s="10" t="s">
        <v>2705</v>
      </c>
      <c r="E1718" s="10" t="s">
        <v>51</v>
      </c>
      <c r="F1718" s="10" t="s">
        <v>35</v>
      </c>
      <c r="G1718" s="10" t="s">
        <v>3146</v>
      </c>
      <c r="H1718" s="8" t="s">
        <v>36</v>
      </c>
      <c r="I1718" s="11">
        <v>4.08</v>
      </c>
      <c r="J1718" s="6">
        <v>3.7413599999999998</v>
      </c>
      <c r="K1718" s="6">
        <v>0.91699999999999993</v>
      </c>
      <c r="L1718" s="6">
        <v>3.87</v>
      </c>
      <c r="M1718" s="11">
        <v>3.5487899999999999</v>
      </c>
      <c r="N1718" s="11">
        <f t="shared" si="104"/>
        <v>3.5489999999999999</v>
      </c>
      <c r="O1718" s="6">
        <v>0.91699999999999993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0.21</v>
      </c>
      <c r="Z1718" s="6">
        <v>0.19256999999999999</v>
      </c>
      <c r="AA1718" s="6">
        <v>0.91700000000000004</v>
      </c>
      <c r="AB1718" s="6">
        <v>-0.20999999999999996</v>
      </c>
      <c r="AC1718" s="6">
        <v>0.20999999999999996</v>
      </c>
      <c r="AD1718" s="22" t="s">
        <v>3140</v>
      </c>
      <c r="AE1718" s="23">
        <f t="shared" si="105"/>
        <v>3.5489999999999999</v>
      </c>
      <c r="AF1718" s="24">
        <f t="shared" si="106"/>
        <v>0</v>
      </c>
      <c r="AG1718" s="23">
        <f t="shared" si="107"/>
        <v>1</v>
      </c>
    </row>
    <row r="1719" spans="1:33" x14ac:dyDescent="0.25">
      <c r="A1719" s="12" t="s">
        <v>31</v>
      </c>
      <c r="B1719" s="9">
        <v>46199</v>
      </c>
      <c r="C1719" s="10" t="s">
        <v>2706</v>
      </c>
      <c r="D1719" s="10" t="s">
        <v>2707</v>
      </c>
      <c r="E1719" s="10" t="s">
        <v>51</v>
      </c>
      <c r="F1719" s="10" t="s">
        <v>35</v>
      </c>
      <c r="G1719" s="10" t="s">
        <v>3146</v>
      </c>
      <c r="H1719" s="8" t="s">
        <v>36</v>
      </c>
      <c r="I1719" s="11">
        <v>23.13</v>
      </c>
      <c r="J1719" s="6">
        <v>21.21021</v>
      </c>
      <c r="K1719" s="6">
        <v>0.91700000000000004</v>
      </c>
      <c r="L1719" s="6">
        <v>20.79</v>
      </c>
      <c r="M1719" s="11">
        <v>19.064430000000002</v>
      </c>
      <c r="N1719" s="11">
        <f t="shared" si="104"/>
        <v>19.065000000000001</v>
      </c>
      <c r="O1719" s="6">
        <v>0.91700000000000015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2.34</v>
      </c>
      <c r="Z1719" s="6">
        <v>2.1457799999999998</v>
      </c>
      <c r="AA1719" s="6">
        <v>0.91699999999999993</v>
      </c>
      <c r="AB1719" s="6">
        <v>-2.34</v>
      </c>
      <c r="AC1719" s="6">
        <v>2.34</v>
      </c>
      <c r="AD1719" s="22" t="s">
        <v>3140</v>
      </c>
      <c r="AE1719" s="23">
        <f t="shared" si="105"/>
        <v>19.065000000000001</v>
      </c>
      <c r="AF1719" s="24">
        <f t="shared" si="106"/>
        <v>0</v>
      </c>
      <c r="AG1719" s="23">
        <f t="shared" si="107"/>
        <v>1</v>
      </c>
    </row>
    <row r="1720" spans="1:33" x14ac:dyDescent="0.25">
      <c r="A1720" s="12" t="s">
        <v>31</v>
      </c>
      <c r="B1720" s="9">
        <v>46199</v>
      </c>
      <c r="C1720" s="10" t="s">
        <v>2708</v>
      </c>
      <c r="D1720" s="10" t="s">
        <v>2709</v>
      </c>
      <c r="E1720" s="10" t="s">
        <v>51</v>
      </c>
      <c r="F1720" s="10" t="s">
        <v>35</v>
      </c>
      <c r="G1720" s="10" t="s">
        <v>3146</v>
      </c>
      <c r="H1720" s="8" t="s">
        <v>36</v>
      </c>
      <c r="I1720" s="11">
        <v>5.6</v>
      </c>
      <c r="J1720" s="6">
        <v>5.1352000000000002</v>
      </c>
      <c r="K1720" s="6">
        <v>0.91700000000000015</v>
      </c>
      <c r="L1720" s="6">
        <v>5.28</v>
      </c>
      <c r="M1720" s="11">
        <v>4.8417599999999998</v>
      </c>
      <c r="N1720" s="11">
        <f t="shared" si="104"/>
        <v>4.8420000000000005</v>
      </c>
      <c r="O1720" s="6">
        <v>0.91699999999999993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0.32</v>
      </c>
      <c r="Z1720" s="6">
        <v>0.29343999999999998</v>
      </c>
      <c r="AA1720" s="6">
        <v>0.91699999999999993</v>
      </c>
      <c r="AB1720" s="6">
        <v>-0.3199999999999994</v>
      </c>
      <c r="AC1720" s="6">
        <v>0.3199999999999994</v>
      </c>
      <c r="AD1720" s="22" t="s">
        <v>3140</v>
      </c>
      <c r="AE1720" s="23">
        <f t="shared" si="105"/>
        <v>4.8420000000000005</v>
      </c>
      <c r="AF1720" s="24">
        <f t="shared" si="106"/>
        <v>0</v>
      </c>
      <c r="AG1720" s="23">
        <f t="shared" si="107"/>
        <v>1</v>
      </c>
    </row>
    <row r="1721" spans="1:33" x14ac:dyDescent="0.25">
      <c r="A1721" s="12" t="s">
        <v>31</v>
      </c>
      <c r="B1721" s="9">
        <v>46199</v>
      </c>
      <c r="C1721" s="10" t="s">
        <v>2710</v>
      </c>
      <c r="D1721" s="10" t="s">
        <v>2711</v>
      </c>
      <c r="E1721" s="10" t="s">
        <v>51</v>
      </c>
      <c r="F1721" s="10" t="s">
        <v>35</v>
      </c>
      <c r="G1721" s="10" t="s">
        <v>3146</v>
      </c>
      <c r="H1721" s="8" t="s">
        <v>36</v>
      </c>
      <c r="I1721" s="11">
        <v>4.9000000000000004</v>
      </c>
      <c r="J1721" s="6">
        <v>4.4932999999999996</v>
      </c>
      <c r="K1721" s="6">
        <v>0.91699999999999982</v>
      </c>
      <c r="L1721" s="6">
        <v>4.5999999999999996</v>
      </c>
      <c r="M1721" s="11">
        <v>4.2182000000000004</v>
      </c>
      <c r="N1721" s="11">
        <f t="shared" si="104"/>
        <v>4.2190000000000003</v>
      </c>
      <c r="O1721" s="6">
        <v>0.91700000000000015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0.3</v>
      </c>
      <c r="Z1721" s="6">
        <v>0.27510000000000001</v>
      </c>
      <c r="AA1721" s="6">
        <v>0.91700000000000004</v>
      </c>
      <c r="AB1721" s="6">
        <v>-0.30000000000000071</v>
      </c>
      <c r="AC1721" s="6">
        <v>0.30000000000000071</v>
      </c>
      <c r="AD1721" s="22" t="s">
        <v>3140</v>
      </c>
      <c r="AE1721" s="23">
        <f t="shared" si="105"/>
        <v>4.2190000000000003</v>
      </c>
      <c r="AF1721" s="24">
        <f t="shared" si="106"/>
        <v>0</v>
      </c>
      <c r="AG1721" s="23">
        <f t="shared" si="107"/>
        <v>1</v>
      </c>
    </row>
    <row r="1722" spans="1:33" x14ac:dyDescent="0.25">
      <c r="A1722" s="12" t="s">
        <v>31</v>
      </c>
      <c r="B1722" s="9">
        <v>46199</v>
      </c>
      <c r="C1722" s="10" t="s">
        <v>2712</v>
      </c>
      <c r="D1722" s="10" t="s">
        <v>2713</v>
      </c>
      <c r="E1722" s="10" t="s">
        <v>51</v>
      </c>
      <c r="F1722" s="10" t="s">
        <v>35</v>
      </c>
      <c r="G1722" s="10" t="s">
        <v>3146</v>
      </c>
      <c r="H1722" s="8" t="s">
        <v>36</v>
      </c>
      <c r="I1722" s="11">
        <v>5.77</v>
      </c>
      <c r="J1722" s="6">
        <v>5.2910899999999996</v>
      </c>
      <c r="K1722" s="6">
        <v>0.91700000000000004</v>
      </c>
      <c r="L1722" s="6">
        <v>5.41</v>
      </c>
      <c r="M1722" s="11">
        <v>4.9609699999999997</v>
      </c>
      <c r="N1722" s="11">
        <f t="shared" si="104"/>
        <v>4.9610000000000003</v>
      </c>
      <c r="O1722" s="6">
        <v>0.91699999999999993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0.36</v>
      </c>
      <c r="Z1722" s="6">
        <v>0.33012000000000002</v>
      </c>
      <c r="AA1722" s="6">
        <v>0.91700000000000015</v>
      </c>
      <c r="AB1722" s="6">
        <v>-0.35999999999999943</v>
      </c>
      <c r="AC1722" s="6">
        <v>0.35999999999999943</v>
      </c>
      <c r="AD1722" s="22" t="s">
        <v>3140</v>
      </c>
      <c r="AE1722" s="23">
        <f t="shared" si="105"/>
        <v>4.9610000000000003</v>
      </c>
      <c r="AF1722" s="24">
        <f t="shared" si="106"/>
        <v>0</v>
      </c>
      <c r="AG1722" s="23">
        <f t="shared" si="107"/>
        <v>1</v>
      </c>
    </row>
    <row r="1723" spans="1:33" hidden="1" x14ac:dyDescent="0.25">
      <c r="A1723" s="12" t="s">
        <v>31</v>
      </c>
      <c r="B1723" s="9">
        <v>46199</v>
      </c>
      <c r="C1723" s="10" t="s">
        <v>2714</v>
      </c>
      <c r="D1723" s="10" t="s">
        <v>2715</v>
      </c>
      <c r="E1723" s="10" t="s">
        <v>51</v>
      </c>
      <c r="F1723" s="10" t="s">
        <v>35</v>
      </c>
      <c r="G1723" s="10" t="s">
        <v>3145</v>
      </c>
      <c r="H1723" s="8" t="s">
        <v>41</v>
      </c>
      <c r="I1723" s="11">
        <v>400.7</v>
      </c>
      <c r="J1723" s="6">
        <v>300.52499999999998</v>
      </c>
      <c r="K1723" s="6">
        <v>0.75</v>
      </c>
      <c r="L1723" s="6">
        <v>376.03</v>
      </c>
      <c r="M1723" s="11">
        <v>282.02249999999998</v>
      </c>
      <c r="N1723" s="11">
        <f t="shared" si="104"/>
        <v>282.02299999999997</v>
      </c>
      <c r="O1723" s="6">
        <v>0.75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24.67</v>
      </c>
      <c r="Z1723" s="6">
        <v>18.502500000000001</v>
      </c>
      <c r="AA1723" s="6">
        <v>0.75</v>
      </c>
      <c r="AB1723" s="6">
        <v>-24.670000000000016</v>
      </c>
      <c r="AC1723" s="6">
        <v>24.670000000000016</v>
      </c>
      <c r="AD1723" s="23" t="s">
        <v>3143</v>
      </c>
      <c r="AE1723" s="23">
        <f t="shared" si="105"/>
        <v>281.94799999999998</v>
      </c>
      <c r="AF1723" s="24">
        <f t="shared" si="106"/>
        <v>7.4999999999988631E-2</v>
      </c>
      <c r="AG1723" s="23">
        <f t="shared" si="107"/>
        <v>2</v>
      </c>
    </row>
    <row r="1724" spans="1:33" x14ac:dyDescent="0.25">
      <c r="A1724" s="12" t="s">
        <v>31</v>
      </c>
      <c r="B1724" s="9">
        <v>46199</v>
      </c>
      <c r="C1724" s="10" t="s">
        <v>2716</v>
      </c>
      <c r="D1724" s="10" t="s">
        <v>2717</v>
      </c>
      <c r="E1724" s="10" t="s">
        <v>51</v>
      </c>
      <c r="F1724" s="10" t="s">
        <v>35</v>
      </c>
      <c r="G1724" s="10" t="s">
        <v>3146</v>
      </c>
      <c r="H1724" s="8" t="s">
        <v>36</v>
      </c>
      <c r="I1724" s="11">
        <v>4.04</v>
      </c>
      <c r="J1724" s="6">
        <v>3.7046800000000002</v>
      </c>
      <c r="K1724" s="6">
        <v>0.91700000000000004</v>
      </c>
      <c r="L1724" s="6">
        <v>3.7</v>
      </c>
      <c r="M1724" s="11">
        <v>3.3929</v>
      </c>
      <c r="N1724" s="11">
        <f t="shared" si="104"/>
        <v>3.3929999999999998</v>
      </c>
      <c r="O1724" s="6">
        <v>0.91699999999999993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0.34</v>
      </c>
      <c r="Z1724" s="6">
        <v>0.31178</v>
      </c>
      <c r="AA1724" s="6">
        <v>0.91699999999999993</v>
      </c>
      <c r="AB1724" s="6">
        <v>-0.33999999999999986</v>
      </c>
      <c r="AC1724" s="6">
        <v>0.33999999999999986</v>
      </c>
      <c r="AD1724" s="23" t="s">
        <v>3143</v>
      </c>
      <c r="AE1724" s="23">
        <f t="shared" si="105"/>
        <v>3.3479999999999999</v>
      </c>
      <c r="AF1724" s="24">
        <f t="shared" si="106"/>
        <v>4.4999999999999929E-2</v>
      </c>
      <c r="AG1724" s="23">
        <f t="shared" si="107"/>
        <v>2</v>
      </c>
    </row>
    <row r="1725" spans="1:33" x14ac:dyDescent="0.25">
      <c r="A1725" s="12" t="s">
        <v>31</v>
      </c>
      <c r="B1725" s="9">
        <v>46199</v>
      </c>
      <c r="C1725" s="10" t="s">
        <v>2718</v>
      </c>
      <c r="D1725" s="10" t="s">
        <v>2719</v>
      </c>
      <c r="E1725" s="10" t="s">
        <v>51</v>
      </c>
      <c r="F1725" s="10" t="s">
        <v>35</v>
      </c>
      <c r="G1725" s="10" t="s">
        <v>3146</v>
      </c>
      <c r="H1725" s="8" t="s">
        <v>36</v>
      </c>
      <c r="I1725" s="11">
        <v>49.95</v>
      </c>
      <c r="J1725" s="6">
        <v>45.80415</v>
      </c>
      <c r="K1725" s="6">
        <v>0.91699999999999993</v>
      </c>
      <c r="L1725" s="6">
        <v>48.18</v>
      </c>
      <c r="M1725" s="11">
        <v>44.181060000000002</v>
      </c>
      <c r="N1725" s="11">
        <f t="shared" si="104"/>
        <v>44.181999999999995</v>
      </c>
      <c r="O1725" s="6">
        <v>0.91700000000000004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1.77</v>
      </c>
      <c r="Z1725" s="6">
        <v>1.6230899999999999</v>
      </c>
      <c r="AA1725" s="6">
        <v>0.91699999999999993</v>
      </c>
      <c r="AB1725" s="6">
        <v>-1.7700000000000031</v>
      </c>
      <c r="AC1725" s="6">
        <v>1.7700000000000031</v>
      </c>
      <c r="AD1725" s="22" t="s">
        <v>3140</v>
      </c>
      <c r="AE1725" s="23">
        <f t="shared" si="105"/>
        <v>44.181999999999995</v>
      </c>
      <c r="AF1725" s="24">
        <f t="shared" si="106"/>
        <v>0</v>
      </c>
      <c r="AG1725" s="23">
        <f t="shared" si="107"/>
        <v>1</v>
      </c>
    </row>
    <row r="1726" spans="1:33" x14ac:dyDescent="0.25">
      <c r="A1726" s="12" t="s">
        <v>31</v>
      </c>
      <c r="B1726" s="9">
        <v>46199</v>
      </c>
      <c r="C1726" s="10" t="s">
        <v>2720</v>
      </c>
      <c r="D1726" s="10" t="s">
        <v>2721</v>
      </c>
      <c r="E1726" s="10" t="s">
        <v>51</v>
      </c>
      <c r="F1726" s="10" t="s">
        <v>35</v>
      </c>
      <c r="G1726" s="10" t="s">
        <v>3146</v>
      </c>
      <c r="H1726" s="8" t="s">
        <v>36</v>
      </c>
      <c r="I1726" s="11">
        <v>23.74</v>
      </c>
      <c r="J1726" s="6">
        <v>21.769580000000001</v>
      </c>
      <c r="K1726" s="6">
        <v>0.91700000000000015</v>
      </c>
      <c r="L1726" s="6">
        <v>23.14</v>
      </c>
      <c r="M1726" s="11">
        <v>21.219380000000001</v>
      </c>
      <c r="N1726" s="11">
        <f t="shared" si="104"/>
        <v>21.220000000000002</v>
      </c>
      <c r="O1726" s="6">
        <v>0.91700000000000004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0.6</v>
      </c>
      <c r="Z1726" s="6">
        <v>0.55020000000000002</v>
      </c>
      <c r="AA1726" s="6">
        <v>0.91700000000000004</v>
      </c>
      <c r="AB1726" s="6">
        <v>-0.59999999999999787</v>
      </c>
      <c r="AC1726" s="6">
        <v>0.59999999999999787</v>
      </c>
      <c r="AD1726" s="22" t="s">
        <v>3140</v>
      </c>
      <c r="AE1726" s="23">
        <f t="shared" si="105"/>
        <v>21.220000000000002</v>
      </c>
      <c r="AF1726" s="24">
        <f t="shared" si="106"/>
        <v>0</v>
      </c>
      <c r="AG1726" s="23">
        <f t="shared" si="107"/>
        <v>1</v>
      </c>
    </row>
    <row r="1727" spans="1:33" x14ac:dyDescent="0.25">
      <c r="A1727" s="12" t="s">
        <v>31</v>
      </c>
      <c r="B1727" s="9">
        <v>46199</v>
      </c>
      <c r="C1727" s="10" t="s">
        <v>2722</v>
      </c>
      <c r="D1727" s="10" t="s">
        <v>2723</v>
      </c>
      <c r="E1727" s="10" t="s">
        <v>51</v>
      </c>
      <c r="F1727" s="10" t="s">
        <v>35</v>
      </c>
      <c r="G1727" s="10" t="s">
        <v>3146</v>
      </c>
      <c r="H1727" s="8" t="s">
        <v>36</v>
      </c>
      <c r="I1727" s="11">
        <v>29.04</v>
      </c>
      <c r="J1727" s="6">
        <v>26.62968</v>
      </c>
      <c r="K1727" s="6">
        <v>0.91700000000000004</v>
      </c>
      <c r="L1727" s="6">
        <v>28.23</v>
      </c>
      <c r="M1727" s="11">
        <v>25.88691</v>
      </c>
      <c r="N1727" s="11">
        <f t="shared" si="104"/>
        <v>25.887</v>
      </c>
      <c r="O1727" s="6">
        <v>0.91700000000000004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0.81</v>
      </c>
      <c r="Z1727" s="6">
        <v>0.74277000000000004</v>
      </c>
      <c r="AA1727" s="6">
        <v>0.91700000000000004</v>
      </c>
      <c r="AB1727" s="6">
        <v>-0.80999999999999872</v>
      </c>
      <c r="AC1727" s="6">
        <v>0.80999999999999872</v>
      </c>
      <c r="AD1727" s="22" t="s">
        <v>3140</v>
      </c>
      <c r="AE1727" s="23">
        <f t="shared" si="105"/>
        <v>25.887</v>
      </c>
      <c r="AF1727" s="24">
        <f t="shared" si="106"/>
        <v>0</v>
      </c>
      <c r="AG1727" s="23">
        <f t="shared" si="107"/>
        <v>1</v>
      </c>
    </row>
    <row r="1728" spans="1:33" ht="20" hidden="1" customHeight="1" x14ac:dyDescent="0.25">
      <c r="A1728" s="12" t="s">
        <v>31</v>
      </c>
      <c r="B1728" s="9">
        <v>46199</v>
      </c>
      <c r="C1728" s="10" t="s">
        <v>2724</v>
      </c>
      <c r="D1728" s="10" t="s">
        <v>2725</v>
      </c>
      <c r="E1728" s="10" t="s">
        <v>51</v>
      </c>
      <c r="F1728" s="10" t="s">
        <v>35</v>
      </c>
      <c r="G1728" s="10" t="s">
        <v>3145</v>
      </c>
      <c r="H1728" s="8" t="s">
        <v>48</v>
      </c>
      <c r="I1728" s="11">
        <v>1.48</v>
      </c>
      <c r="J1728" s="6">
        <v>1.1100000000000001</v>
      </c>
      <c r="K1728" s="6">
        <v>0.75000000000000011</v>
      </c>
      <c r="L1728" s="6">
        <v>1.38</v>
      </c>
      <c r="M1728" s="11">
        <v>1.0349999999999999</v>
      </c>
      <c r="N1728" s="11">
        <f t="shared" si="104"/>
        <v>1.0349999999999999</v>
      </c>
      <c r="O1728" s="6">
        <v>0.75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0.1</v>
      </c>
      <c r="Z1728" s="6">
        <v>7.4999999999999997E-2</v>
      </c>
      <c r="AA1728" s="6">
        <v>0.74999999999999989</v>
      </c>
      <c r="AB1728" s="6">
        <v>-0.10000000000000009</v>
      </c>
      <c r="AC1728" s="6">
        <v>0.10000000000000009</v>
      </c>
      <c r="AD1728" s="22" t="s">
        <v>3140</v>
      </c>
      <c r="AE1728" s="23">
        <f t="shared" si="105"/>
        <v>1.0349999999999999</v>
      </c>
      <c r="AF1728" s="24">
        <f t="shared" si="106"/>
        <v>0</v>
      </c>
      <c r="AG1728" s="23">
        <f t="shared" si="107"/>
        <v>1</v>
      </c>
    </row>
    <row r="1729" spans="1:33" hidden="1" x14ac:dyDescent="0.25">
      <c r="A1729" s="12" t="s">
        <v>31</v>
      </c>
      <c r="B1729" s="9">
        <v>46199</v>
      </c>
      <c r="C1729" s="10" t="s">
        <v>2726</v>
      </c>
      <c r="D1729" s="10" t="s">
        <v>2715</v>
      </c>
      <c r="E1729" s="10" t="s">
        <v>51</v>
      </c>
      <c r="F1729" s="10" t="s">
        <v>133</v>
      </c>
      <c r="G1729" s="10" t="s">
        <v>3145</v>
      </c>
      <c r="H1729" s="8" t="s">
        <v>41</v>
      </c>
      <c r="I1729" s="11">
        <v>376.03</v>
      </c>
      <c r="J1729" s="6">
        <v>282.02249999999998</v>
      </c>
      <c r="K1729" s="6">
        <v>0.75</v>
      </c>
      <c r="L1729" s="6">
        <v>375.93</v>
      </c>
      <c r="M1729" s="11">
        <v>281.94749999999999</v>
      </c>
      <c r="N1729" s="11">
        <f t="shared" si="104"/>
        <v>281.94799999999998</v>
      </c>
      <c r="O1729" s="6">
        <v>0.75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0.1</v>
      </c>
      <c r="Z1729" s="6">
        <v>7.4999999999999997E-2</v>
      </c>
      <c r="AA1729" s="6">
        <v>0.74999999999999989</v>
      </c>
      <c r="AB1729" s="6">
        <v>-9.9999999999965894E-2</v>
      </c>
      <c r="AC1729" s="6">
        <v>9.9999999999965894E-2</v>
      </c>
      <c r="AD1729" s="23" t="s">
        <v>3142</v>
      </c>
      <c r="AE1729" s="23">
        <f t="shared" si="105"/>
        <v>281.94799999999998</v>
      </c>
      <c r="AF1729" s="24">
        <f t="shared" si="106"/>
        <v>0</v>
      </c>
      <c r="AG1729" s="23">
        <f t="shared" si="107"/>
        <v>2</v>
      </c>
    </row>
    <row r="1730" spans="1:33" ht="20" hidden="1" customHeight="1" x14ac:dyDescent="0.25">
      <c r="A1730" s="12" t="s">
        <v>31</v>
      </c>
      <c r="B1730" s="9">
        <v>46199</v>
      </c>
      <c r="C1730" s="10" t="s">
        <v>2727</v>
      </c>
      <c r="D1730" s="10" t="s">
        <v>2653</v>
      </c>
      <c r="E1730" s="10" t="s">
        <v>51</v>
      </c>
      <c r="F1730" s="10" t="s">
        <v>35</v>
      </c>
      <c r="G1730" s="10" t="s">
        <v>3145</v>
      </c>
      <c r="H1730" s="8" t="s">
        <v>48</v>
      </c>
      <c r="I1730" s="11">
        <v>31.67</v>
      </c>
      <c r="J1730" s="6">
        <v>23.752500000000001</v>
      </c>
      <c r="K1730" s="6">
        <v>0.75</v>
      </c>
      <c r="L1730" s="6">
        <v>31.67</v>
      </c>
      <c r="M1730" s="11">
        <v>23.752500000000001</v>
      </c>
      <c r="N1730" s="11">
        <f t="shared" si="104"/>
        <v>23.753</v>
      </c>
      <c r="O1730" s="6">
        <v>0.75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23" t="s">
        <v>3143</v>
      </c>
      <c r="AE1730" s="23">
        <f t="shared" si="105"/>
        <v>23.528000000000002</v>
      </c>
      <c r="AF1730" s="24">
        <f t="shared" si="106"/>
        <v>0.22499999999999787</v>
      </c>
      <c r="AG1730" s="23">
        <f t="shared" si="107"/>
        <v>2</v>
      </c>
    </row>
    <row r="1731" spans="1:33" x14ac:dyDescent="0.25">
      <c r="A1731" s="12" t="s">
        <v>31</v>
      </c>
      <c r="B1731" s="9">
        <v>46199</v>
      </c>
      <c r="C1731" s="10" t="s">
        <v>2728</v>
      </c>
      <c r="D1731" s="10" t="s">
        <v>2729</v>
      </c>
      <c r="E1731" s="10" t="s">
        <v>51</v>
      </c>
      <c r="F1731" s="10" t="s">
        <v>35</v>
      </c>
      <c r="G1731" s="10" t="s">
        <v>3146</v>
      </c>
      <c r="H1731" s="8" t="s">
        <v>36</v>
      </c>
      <c r="I1731" s="11">
        <v>46.1</v>
      </c>
      <c r="J1731" s="6">
        <v>42.273699999999998</v>
      </c>
      <c r="K1731" s="6">
        <v>0.91699999999999993</v>
      </c>
      <c r="L1731" s="6">
        <v>46.01</v>
      </c>
      <c r="M1731" s="11">
        <v>42.19117</v>
      </c>
      <c r="N1731" s="11">
        <f t="shared" ref="N1731:N1794" si="108">ROUNDUP(M1731,3)</f>
        <v>42.192</v>
      </c>
      <c r="O1731" s="6">
        <v>0.91700000000000004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0.09</v>
      </c>
      <c r="Z1731" s="6">
        <v>8.2530000000000006E-2</v>
      </c>
      <c r="AA1731" s="6">
        <v>0.91700000000000015</v>
      </c>
      <c r="AB1731" s="6">
        <v>-9.0000000000003411E-2</v>
      </c>
      <c r="AC1731" s="6">
        <v>9.0000000000003411E-2</v>
      </c>
      <c r="AD1731" s="23" t="s">
        <v>3143</v>
      </c>
      <c r="AE1731" s="23">
        <f t="shared" ref="AE1731:AE1794" si="109">_xlfn.MINIFS(N:N,D:D,D1731)</f>
        <v>15.423999999999999</v>
      </c>
      <c r="AF1731" s="24">
        <f t="shared" ref="AF1731:AF1794" si="110">N1731-AE1731</f>
        <v>26.768000000000001</v>
      </c>
      <c r="AG1731" s="23">
        <f t="shared" ref="AG1731:AG1794" si="111">COUNTIF(D:D,D1731)</f>
        <v>2</v>
      </c>
    </row>
    <row r="1732" spans="1:33" x14ac:dyDescent="0.25">
      <c r="A1732" s="12" t="s">
        <v>31</v>
      </c>
      <c r="B1732" s="9">
        <v>46199</v>
      </c>
      <c r="C1732" s="10" t="s">
        <v>2730</v>
      </c>
      <c r="D1732" s="10" t="s">
        <v>2731</v>
      </c>
      <c r="E1732" s="10" t="s">
        <v>51</v>
      </c>
      <c r="F1732" s="10" t="s">
        <v>35</v>
      </c>
      <c r="G1732" s="10" t="s">
        <v>3146</v>
      </c>
      <c r="H1732" s="8" t="s">
        <v>36</v>
      </c>
      <c r="I1732" s="11">
        <v>12.22</v>
      </c>
      <c r="J1732" s="6">
        <v>11.20574</v>
      </c>
      <c r="K1732" s="6">
        <v>0.91700000000000004</v>
      </c>
      <c r="L1732" s="6">
        <v>11.25</v>
      </c>
      <c r="M1732" s="11">
        <v>10.31625</v>
      </c>
      <c r="N1732" s="11">
        <f t="shared" si="108"/>
        <v>10.317</v>
      </c>
      <c r="O1732" s="6">
        <v>0.91700000000000004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0.97</v>
      </c>
      <c r="Z1732" s="6">
        <v>0.88949</v>
      </c>
      <c r="AA1732" s="6">
        <v>0.91700000000000004</v>
      </c>
      <c r="AB1732" s="6">
        <v>-0.97000000000000064</v>
      </c>
      <c r="AC1732" s="6">
        <v>0.97000000000000064</v>
      </c>
      <c r="AD1732" s="22" t="s">
        <v>3140</v>
      </c>
      <c r="AE1732" s="23">
        <f t="shared" si="109"/>
        <v>10.317</v>
      </c>
      <c r="AF1732" s="24">
        <f t="shared" si="110"/>
        <v>0</v>
      </c>
      <c r="AG1732" s="23">
        <f t="shared" si="111"/>
        <v>1</v>
      </c>
    </row>
    <row r="1733" spans="1:33" x14ac:dyDescent="0.25">
      <c r="A1733" s="12" t="s">
        <v>31</v>
      </c>
      <c r="B1733" s="9">
        <v>46199</v>
      </c>
      <c r="C1733" s="10" t="s">
        <v>2732</v>
      </c>
      <c r="D1733" s="10" t="s">
        <v>2717</v>
      </c>
      <c r="E1733" s="10" t="s">
        <v>51</v>
      </c>
      <c r="F1733" s="10" t="s">
        <v>35</v>
      </c>
      <c r="G1733" s="10" t="s">
        <v>3146</v>
      </c>
      <c r="H1733" s="8" t="s">
        <v>36</v>
      </c>
      <c r="I1733" s="11">
        <v>3.7</v>
      </c>
      <c r="J1733" s="6">
        <v>3.3929</v>
      </c>
      <c r="K1733" s="6">
        <v>0.91699999999999993</v>
      </c>
      <c r="L1733" s="6">
        <v>3.65</v>
      </c>
      <c r="M1733" s="11">
        <v>3.3470499999999999</v>
      </c>
      <c r="N1733" s="11">
        <f t="shared" si="108"/>
        <v>3.3479999999999999</v>
      </c>
      <c r="O1733" s="6">
        <v>0.91700000000000004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0.05</v>
      </c>
      <c r="Z1733" s="6">
        <v>4.5850000000000002E-2</v>
      </c>
      <c r="AA1733" s="6">
        <v>0.91700000000000004</v>
      </c>
      <c r="AB1733" s="6">
        <v>-5.0000000000000266E-2</v>
      </c>
      <c r="AC1733" s="6">
        <v>5.0000000000000266E-2</v>
      </c>
      <c r="AD1733" s="22" t="s">
        <v>3140</v>
      </c>
      <c r="AE1733" s="23">
        <f t="shared" si="109"/>
        <v>3.3479999999999999</v>
      </c>
      <c r="AF1733" s="24">
        <f t="shared" si="110"/>
        <v>0</v>
      </c>
      <c r="AG1733" s="23">
        <f t="shared" si="111"/>
        <v>2</v>
      </c>
    </row>
    <row r="1734" spans="1:33" x14ac:dyDescent="0.25">
      <c r="A1734" s="12" t="s">
        <v>31</v>
      </c>
      <c r="B1734" s="9">
        <v>46199</v>
      </c>
      <c r="C1734" s="10" t="s">
        <v>2733</v>
      </c>
      <c r="D1734" s="10" t="s">
        <v>2734</v>
      </c>
      <c r="E1734" s="10" t="s">
        <v>51</v>
      </c>
      <c r="F1734" s="10" t="s">
        <v>35</v>
      </c>
      <c r="G1734" s="10" t="s">
        <v>3146</v>
      </c>
      <c r="H1734" s="8" t="s">
        <v>36</v>
      </c>
      <c r="I1734" s="11">
        <v>3.46</v>
      </c>
      <c r="J1734" s="6">
        <v>3.1728200000000002</v>
      </c>
      <c r="K1734" s="6">
        <v>0.91700000000000004</v>
      </c>
      <c r="L1734" s="6">
        <v>2.99</v>
      </c>
      <c r="M1734" s="11">
        <v>2.7418300000000002</v>
      </c>
      <c r="N1734" s="11">
        <f t="shared" si="108"/>
        <v>2.742</v>
      </c>
      <c r="O1734" s="6">
        <v>0.91700000000000004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0.47</v>
      </c>
      <c r="Z1734" s="6">
        <v>0.43098999999999998</v>
      </c>
      <c r="AA1734" s="6">
        <v>0.91700000000000004</v>
      </c>
      <c r="AB1734" s="6">
        <v>-0.46999999999999975</v>
      </c>
      <c r="AC1734" s="6">
        <v>0.46999999999999975</v>
      </c>
      <c r="AD1734" s="22" t="s">
        <v>3140</v>
      </c>
      <c r="AE1734" s="23">
        <f t="shared" si="109"/>
        <v>2.742</v>
      </c>
      <c r="AF1734" s="24">
        <f t="shared" si="110"/>
        <v>0</v>
      </c>
      <c r="AG1734" s="23">
        <f t="shared" si="111"/>
        <v>1</v>
      </c>
    </row>
    <row r="1735" spans="1:33" x14ac:dyDescent="0.25">
      <c r="A1735" s="12" t="s">
        <v>31</v>
      </c>
      <c r="B1735" s="9">
        <v>46199</v>
      </c>
      <c r="C1735" s="10" t="s">
        <v>2735</v>
      </c>
      <c r="D1735" s="10" t="s">
        <v>2736</v>
      </c>
      <c r="E1735" s="10" t="s">
        <v>51</v>
      </c>
      <c r="F1735" s="10" t="s">
        <v>35</v>
      </c>
      <c r="G1735" s="10" t="s">
        <v>3146</v>
      </c>
      <c r="H1735" s="8" t="s">
        <v>36</v>
      </c>
      <c r="I1735" s="11">
        <v>11.19</v>
      </c>
      <c r="J1735" s="6">
        <v>10.261229999999999</v>
      </c>
      <c r="K1735" s="6">
        <v>0.91700000000000004</v>
      </c>
      <c r="L1735" s="6">
        <v>10.11</v>
      </c>
      <c r="M1735" s="11">
        <v>9.2708700000000004</v>
      </c>
      <c r="N1735" s="11">
        <f t="shared" si="108"/>
        <v>9.270999999999999</v>
      </c>
      <c r="O1735" s="6">
        <v>0.91700000000000004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1.08</v>
      </c>
      <c r="Z1735" s="6">
        <v>0.99036000000000002</v>
      </c>
      <c r="AA1735" s="6">
        <v>0.91699999999999993</v>
      </c>
      <c r="AB1735" s="6">
        <v>-1.08</v>
      </c>
      <c r="AC1735" s="6">
        <v>1.08</v>
      </c>
      <c r="AD1735" s="22" t="s">
        <v>3140</v>
      </c>
      <c r="AE1735" s="23">
        <f t="shared" si="109"/>
        <v>9.270999999999999</v>
      </c>
      <c r="AF1735" s="24">
        <f t="shared" si="110"/>
        <v>0</v>
      </c>
      <c r="AG1735" s="23">
        <f t="shared" si="111"/>
        <v>1</v>
      </c>
    </row>
    <row r="1736" spans="1:33" x14ac:dyDescent="0.25">
      <c r="A1736" s="12" t="s">
        <v>31</v>
      </c>
      <c r="B1736" s="9">
        <v>46199</v>
      </c>
      <c r="C1736" s="10" t="s">
        <v>2737</v>
      </c>
      <c r="D1736" s="10" t="s">
        <v>2738</v>
      </c>
      <c r="E1736" s="10" t="s">
        <v>51</v>
      </c>
      <c r="F1736" s="10" t="s">
        <v>35</v>
      </c>
      <c r="G1736" s="10" t="s">
        <v>3146</v>
      </c>
      <c r="H1736" s="8" t="s">
        <v>36</v>
      </c>
      <c r="I1736" s="11">
        <v>60.92</v>
      </c>
      <c r="J1736" s="6">
        <v>55.863639999999997</v>
      </c>
      <c r="K1736" s="6">
        <v>0.91699999999999993</v>
      </c>
      <c r="L1736" s="6">
        <v>54.83</v>
      </c>
      <c r="M1736" s="11">
        <v>50.279110000000003</v>
      </c>
      <c r="N1736" s="11">
        <f t="shared" si="108"/>
        <v>50.28</v>
      </c>
      <c r="O1736" s="6">
        <v>0.91700000000000004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6.09</v>
      </c>
      <c r="Z1736" s="6">
        <v>5.58453</v>
      </c>
      <c r="AA1736" s="6">
        <v>0.91700000000000004</v>
      </c>
      <c r="AB1736" s="6">
        <v>-6.0900000000000034</v>
      </c>
      <c r="AC1736" s="6">
        <v>6.0900000000000034</v>
      </c>
      <c r="AD1736" s="22" t="s">
        <v>3140</v>
      </c>
      <c r="AE1736" s="23">
        <f t="shared" si="109"/>
        <v>50.28</v>
      </c>
      <c r="AF1736" s="24">
        <f t="shared" si="110"/>
        <v>0</v>
      </c>
      <c r="AG1736" s="23">
        <f t="shared" si="111"/>
        <v>1</v>
      </c>
    </row>
    <row r="1737" spans="1:33" x14ac:dyDescent="0.25">
      <c r="A1737" s="12" t="s">
        <v>31</v>
      </c>
      <c r="B1737" s="9">
        <v>46199</v>
      </c>
      <c r="C1737" s="10" t="s">
        <v>2739</v>
      </c>
      <c r="D1737" s="10" t="s">
        <v>2740</v>
      </c>
      <c r="E1737" s="10" t="s">
        <v>51</v>
      </c>
      <c r="F1737" s="10" t="s">
        <v>35</v>
      </c>
      <c r="G1737" s="10" t="s">
        <v>3146</v>
      </c>
      <c r="H1737" s="8" t="s">
        <v>36</v>
      </c>
      <c r="I1737" s="11">
        <v>59.21</v>
      </c>
      <c r="J1737" s="6">
        <v>54.295569999999998</v>
      </c>
      <c r="K1737" s="6">
        <v>0.91699999999999993</v>
      </c>
      <c r="L1737" s="6">
        <v>56.37</v>
      </c>
      <c r="M1737" s="11">
        <v>51.691290000000002</v>
      </c>
      <c r="N1737" s="11">
        <f t="shared" si="108"/>
        <v>51.692</v>
      </c>
      <c r="O1737" s="6">
        <v>0.91700000000000004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2.84</v>
      </c>
      <c r="Z1737" s="6">
        <v>2.6042800000000002</v>
      </c>
      <c r="AA1737" s="6">
        <v>0.91700000000000015</v>
      </c>
      <c r="AB1737" s="6">
        <v>-2.8400000000000034</v>
      </c>
      <c r="AC1737" s="6">
        <v>2.8400000000000034</v>
      </c>
      <c r="AD1737" s="22" t="s">
        <v>3140</v>
      </c>
      <c r="AE1737" s="23">
        <f t="shared" si="109"/>
        <v>51.692</v>
      </c>
      <c r="AF1737" s="24">
        <f t="shared" si="110"/>
        <v>0</v>
      </c>
      <c r="AG1737" s="23">
        <f t="shared" si="111"/>
        <v>1</v>
      </c>
    </row>
    <row r="1738" spans="1:33" ht="12.5" customHeight="1" x14ac:dyDescent="0.25">
      <c r="A1738" s="12" t="s">
        <v>31</v>
      </c>
      <c r="B1738" s="9">
        <v>46199</v>
      </c>
      <c r="C1738" s="8" t="s">
        <v>2741</v>
      </c>
      <c r="D1738" s="10" t="s">
        <v>2681</v>
      </c>
      <c r="E1738" s="10" t="s">
        <v>51</v>
      </c>
      <c r="F1738" s="10" t="s">
        <v>35</v>
      </c>
      <c r="G1738" s="10" t="s">
        <v>3146</v>
      </c>
      <c r="H1738" s="8" t="s">
        <v>36</v>
      </c>
      <c r="I1738" s="11">
        <v>12.84</v>
      </c>
      <c r="J1738" s="6">
        <v>11.774279999999999</v>
      </c>
      <c r="K1738" s="6">
        <v>0.91699999999999993</v>
      </c>
      <c r="L1738" s="6">
        <v>12.29</v>
      </c>
      <c r="M1738" s="11">
        <v>11.26993</v>
      </c>
      <c r="N1738" s="11">
        <f t="shared" si="108"/>
        <v>11.27</v>
      </c>
      <c r="O1738" s="6">
        <v>0.91700000000000015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0.55000000000000004</v>
      </c>
      <c r="Z1738" s="6">
        <v>0.50434999999999997</v>
      </c>
      <c r="AA1738" s="6">
        <v>0.91699999999999982</v>
      </c>
      <c r="AB1738" s="6">
        <v>-0.55000000000000071</v>
      </c>
      <c r="AC1738" s="6">
        <v>0.55000000000000071</v>
      </c>
      <c r="AD1738" s="23" t="s">
        <v>3143</v>
      </c>
      <c r="AE1738" s="23">
        <f t="shared" si="109"/>
        <v>11.16</v>
      </c>
      <c r="AF1738" s="24">
        <f t="shared" si="110"/>
        <v>0.10999999999999943</v>
      </c>
      <c r="AG1738" s="23">
        <f t="shared" si="111"/>
        <v>3</v>
      </c>
    </row>
    <row r="1739" spans="1:33" ht="12.5" hidden="1" customHeight="1" x14ac:dyDescent="0.25">
      <c r="A1739" s="12" t="s">
        <v>31</v>
      </c>
      <c r="B1739" s="9">
        <v>46199</v>
      </c>
      <c r="C1739" s="13" t="s">
        <v>2741</v>
      </c>
      <c r="D1739" s="10" t="s">
        <v>2643</v>
      </c>
      <c r="E1739" s="10" t="s">
        <v>51</v>
      </c>
      <c r="F1739" s="10" t="s">
        <v>35</v>
      </c>
      <c r="G1739" s="10" t="s">
        <v>3145</v>
      </c>
      <c r="H1739" s="8" t="s">
        <v>41</v>
      </c>
      <c r="I1739" s="11">
        <v>32.590000000000003</v>
      </c>
      <c r="J1739" s="6">
        <v>24.442499999999999</v>
      </c>
      <c r="K1739" s="6">
        <v>0.74999999999999989</v>
      </c>
      <c r="L1739" s="6">
        <v>30.84</v>
      </c>
      <c r="M1739" s="11">
        <v>23.13</v>
      </c>
      <c r="N1739" s="11">
        <f t="shared" si="108"/>
        <v>23.13</v>
      </c>
      <c r="O1739" s="6">
        <v>0.75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1.75</v>
      </c>
      <c r="Z1739" s="6">
        <v>1.3125</v>
      </c>
      <c r="AA1739" s="6">
        <v>0.75</v>
      </c>
      <c r="AB1739" s="6">
        <v>-1.7500000000000036</v>
      </c>
      <c r="AC1739" s="6">
        <v>1.7500000000000036</v>
      </c>
      <c r="AD1739" s="22" t="s">
        <v>3140</v>
      </c>
      <c r="AE1739" s="23">
        <f t="shared" si="109"/>
        <v>23.13</v>
      </c>
      <c r="AF1739" s="24">
        <f t="shared" si="110"/>
        <v>0</v>
      </c>
      <c r="AG1739" s="23">
        <f t="shared" si="111"/>
        <v>2</v>
      </c>
    </row>
    <row r="1740" spans="1:33" x14ac:dyDescent="0.25">
      <c r="A1740" s="12" t="s">
        <v>31</v>
      </c>
      <c r="B1740" s="9">
        <v>46199</v>
      </c>
      <c r="C1740" s="10" t="s">
        <v>2742</v>
      </c>
      <c r="D1740" s="10" t="s">
        <v>2743</v>
      </c>
      <c r="E1740" s="10" t="s">
        <v>51</v>
      </c>
      <c r="F1740" s="10" t="s">
        <v>35</v>
      </c>
      <c r="G1740" s="10" t="s">
        <v>3146</v>
      </c>
      <c r="H1740" s="8" t="s">
        <v>36</v>
      </c>
      <c r="I1740" s="11">
        <v>11.7</v>
      </c>
      <c r="J1740" s="6">
        <v>10.728899999999999</v>
      </c>
      <c r="K1740" s="6">
        <v>0.91700000000000004</v>
      </c>
      <c r="L1740" s="6">
        <v>11.04</v>
      </c>
      <c r="M1740" s="11">
        <v>10.12368</v>
      </c>
      <c r="N1740" s="11">
        <f t="shared" si="108"/>
        <v>10.123999999999999</v>
      </c>
      <c r="O1740" s="6">
        <v>0.91700000000000004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0.66</v>
      </c>
      <c r="Z1740" s="6">
        <v>0.60521999999999998</v>
      </c>
      <c r="AA1740" s="6">
        <v>0.91699999999999993</v>
      </c>
      <c r="AB1740" s="6">
        <v>-0.66000000000000014</v>
      </c>
      <c r="AC1740" s="6">
        <v>0.66000000000000014</v>
      </c>
      <c r="AD1740" s="22" t="s">
        <v>3140</v>
      </c>
      <c r="AE1740" s="23">
        <f t="shared" si="109"/>
        <v>10.123999999999999</v>
      </c>
      <c r="AF1740" s="24">
        <f t="shared" si="110"/>
        <v>0</v>
      </c>
      <c r="AG1740" s="23">
        <f t="shared" si="111"/>
        <v>1</v>
      </c>
    </row>
    <row r="1741" spans="1:33" x14ac:dyDescent="0.25">
      <c r="A1741" s="12" t="s">
        <v>31</v>
      </c>
      <c r="B1741" s="9">
        <v>46199</v>
      </c>
      <c r="C1741" s="10" t="s">
        <v>2744</v>
      </c>
      <c r="D1741" s="10" t="s">
        <v>2745</v>
      </c>
      <c r="E1741" s="10" t="s">
        <v>51</v>
      </c>
      <c r="F1741" s="10" t="s">
        <v>35</v>
      </c>
      <c r="G1741" s="10" t="s">
        <v>3146</v>
      </c>
      <c r="H1741" s="8" t="s">
        <v>36</v>
      </c>
      <c r="I1741" s="11">
        <v>11.73</v>
      </c>
      <c r="J1741" s="6">
        <v>10.756410000000001</v>
      </c>
      <c r="K1741" s="6">
        <v>0.91700000000000004</v>
      </c>
      <c r="L1741" s="6">
        <v>10.8</v>
      </c>
      <c r="M1741" s="11">
        <v>9.9036000000000008</v>
      </c>
      <c r="N1741" s="11">
        <f t="shared" si="108"/>
        <v>9.9039999999999999</v>
      </c>
      <c r="O1741" s="6">
        <v>0.91700000000000004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0.93</v>
      </c>
      <c r="Z1741" s="6">
        <v>0.85280999999999996</v>
      </c>
      <c r="AA1741" s="6">
        <v>0.91699999999999993</v>
      </c>
      <c r="AB1741" s="6">
        <v>-0.92999999999999972</v>
      </c>
      <c r="AC1741" s="6">
        <v>0.92999999999999972</v>
      </c>
      <c r="AD1741" s="22" t="s">
        <v>3140</v>
      </c>
      <c r="AE1741" s="23">
        <f t="shared" si="109"/>
        <v>9.9039999999999999</v>
      </c>
      <c r="AF1741" s="24">
        <f t="shared" si="110"/>
        <v>0</v>
      </c>
      <c r="AG1741" s="23">
        <f t="shared" si="111"/>
        <v>1</v>
      </c>
    </row>
    <row r="1742" spans="1:33" x14ac:dyDescent="0.25">
      <c r="A1742" s="12" t="s">
        <v>31</v>
      </c>
      <c r="B1742" s="9">
        <v>46199</v>
      </c>
      <c r="C1742" s="10" t="s">
        <v>2746</v>
      </c>
      <c r="D1742" s="10" t="s">
        <v>2747</v>
      </c>
      <c r="E1742" s="10" t="s">
        <v>51</v>
      </c>
      <c r="F1742" s="10" t="s">
        <v>35</v>
      </c>
      <c r="G1742" s="10" t="s">
        <v>3146</v>
      </c>
      <c r="H1742" s="8" t="s">
        <v>36</v>
      </c>
      <c r="I1742" s="11">
        <v>12.19</v>
      </c>
      <c r="J1742" s="6">
        <v>11.178229999999999</v>
      </c>
      <c r="K1742" s="6">
        <v>0.91699999999999993</v>
      </c>
      <c r="L1742" s="6">
        <v>10.19</v>
      </c>
      <c r="M1742" s="11">
        <v>9.3442299999999996</v>
      </c>
      <c r="N1742" s="11">
        <f t="shared" si="108"/>
        <v>9.3449999999999989</v>
      </c>
      <c r="O1742" s="6">
        <v>0.91700000000000004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2</v>
      </c>
      <c r="Z1742" s="6">
        <v>1.8340000000000001</v>
      </c>
      <c r="AA1742" s="6">
        <v>0.91700000000000004</v>
      </c>
      <c r="AB1742" s="6">
        <v>-2</v>
      </c>
      <c r="AC1742" s="6">
        <v>2</v>
      </c>
      <c r="AD1742" s="22" t="s">
        <v>3140</v>
      </c>
      <c r="AE1742" s="23">
        <f t="shared" si="109"/>
        <v>9.3449999999999989</v>
      </c>
      <c r="AF1742" s="24">
        <f t="shared" si="110"/>
        <v>0</v>
      </c>
      <c r="AG1742" s="23">
        <f t="shared" si="111"/>
        <v>1</v>
      </c>
    </row>
    <row r="1743" spans="1:33" ht="20" hidden="1" customHeight="1" x14ac:dyDescent="0.25">
      <c r="A1743" s="12" t="s">
        <v>31</v>
      </c>
      <c r="B1743" s="9">
        <v>46199</v>
      </c>
      <c r="C1743" s="10" t="s">
        <v>2748</v>
      </c>
      <c r="D1743" s="10" t="s">
        <v>2749</v>
      </c>
      <c r="E1743" s="10" t="s">
        <v>51</v>
      </c>
      <c r="F1743" s="10" t="s">
        <v>35</v>
      </c>
      <c r="G1743" s="10" t="s">
        <v>3145</v>
      </c>
      <c r="H1743" s="8" t="s">
        <v>48</v>
      </c>
      <c r="I1743" s="11">
        <v>53.04</v>
      </c>
      <c r="J1743" s="6">
        <v>39.78</v>
      </c>
      <c r="K1743" s="6">
        <v>0.75</v>
      </c>
      <c r="L1743" s="6">
        <v>49.92</v>
      </c>
      <c r="M1743" s="11">
        <v>37.44</v>
      </c>
      <c r="N1743" s="11">
        <f t="shared" si="108"/>
        <v>37.44</v>
      </c>
      <c r="O1743" s="6">
        <v>0.74999999999999989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3.12</v>
      </c>
      <c r="Z1743" s="6">
        <v>2.34</v>
      </c>
      <c r="AA1743" s="6">
        <v>0.74999999999999989</v>
      </c>
      <c r="AB1743" s="6">
        <v>-3.1199999999999974</v>
      </c>
      <c r="AC1743" s="6">
        <v>3.1199999999999974</v>
      </c>
      <c r="AD1743" s="22" t="s">
        <v>3140</v>
      </c>
      <c r="AE1743" s="23">
        <f t="shared" si="109"/>
        <v>37.44</v>
      </c>
      <c r="AF1743" s="24">
        <f t="shared" si="110"/>
        <v>0</v>
      </c>
      <c r="AG1743" s="23">
        <f t="shared" si="111"/>
        <v>1</v>
      </c>
    </row>
    <row r="1744" spans="1:33" x14ac:dyDescent="0.25">
      <c r="A1744" s="12" t="s">
        <v>31</v>
      </c>
      <c r="B1744" s="9">
        <v>46199</v>
      </c>
      <c r="C1744" s="10" t="s">
        <v>2750</v>
      </c>
      <c r="D1744" s="10" t="s">
        <v>2751</v>
      </c>
      <c r="E1744" s="10" t="s">
        <v>51</v>
      </c>
      <c r="F1744" s="10" t="s">
        <v>35</v>
      </c>
      <c r="G1744" s="10" t="s">
        <v>3146</v>
      </c>
      <c r="H1744" s="8" t="s">
        <v>36</v>
      </c>
      <c r="I1744" s="11">
        <v>11.92</v>
      </c>
      <c r="J1744" s="6">
        <v>10.93064</v>
      </c>
      <c r="K1744" s="6">
        <v>0.91700000000000004</v>
      </c>
      <c r="L1744" s="6">
        <v>10.82</v>
      </c>
      <c r="M1744" s="11">
        <v>9.9219399999999993</v>
      </c>
      <c r="N1744" s="11">
        <f t="shared" si="108"/>
        <v>9.9219999999999988</v>
      </c>
      <c r="O1744" s="6">
        <v>0.91699999999999993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1.1000000000000001</v>
      </c>
      <c r="Z1744" s="6">
        <v>1.0086999999999999</v>
      </c>
      <c r="AA1744" s="6">
        <v>0.91699999999999982</v>
      </c>
      <c r="AB1744" s="6">
        <v>-1.0999999999999996</v>
      </c>
      <c r="AC1744" s="6">
        <v>1.0999999999999996</v>
      </c>
      <c r="AD1744" s="22" t="s">
        <v>3140</v>
      </c>
      <c r="AE1744" s="23">
        <f t="shared" si="109"/>
        <v>9.9219999999999988</v>
      </c>
      <c r="AF1744" s="24">
        <f t="shared" si="110"/>
        <v>0</v>
      </c>
      <c r="AG1744" s="23">
        <f t="shared" si="111"/>
        <v>1</v>
      </c>
    </row>
    <row r="1745" spans="1:33" x14ac:dyDescent="0.25">
      <c r="A1745" s="12" t="s">
        <v>31</v>
      </c>
      <c r="B1745" s="9">
        <v>46199</v>
      </c>
      <c r="C1745" s="10" t="s">
        <v>2752</v>
      </c>
      <c r="D1745" s="10" t="s">
        <v>2753</v>
      </c>
      <c r="E1745" s="10" t="s">
        <v>51</v>
      </c>
      <c r="F1745" s="10" t="s">
        <v>35</v>
      </c>
      <c r="G1745" s="10" t="s">
        <v>3146</v>
      </c>
      <c r="H1745" s="8" t="s">
        <v>36</v>
      </c>
      <c r="I1745" s="11">
        <v>10.79</v>
      </c>
      <c r="J1745" s="6">
        <v>9.8944299999999998</v>
      </c>
      <c r="K1745" s="6">
        <v>0.91700000000000004</v>
      </c>
      <c r="L1745" s="6">
        <v>10.08</v>
      </c>
      <c r="M1745" s="11">
        <v>9.2433599999999991</v>
      </c>
      <c r="N1745" s="11">
        <f t="shared" si="108"/>
        <v>9.2439999999999998</v>
      </c>
      <c r="O1745" s="6">
        <v>0.91699999999999993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0.71</v>
      </c>
      <c r="Z1745" s="6">
        <v>0.65107000000000004</v>
      </c>
      <c r="AA1745" s="6">
        <v>0.91700000000000015</v>
      </c>
      <c r="AB1745" s="6">
        <v>-0.70999999999999908</v>
      </c>
      <c r="AC1745" s="6">
        <v>0.70999999999999908</v>
      </c>
      <c r="AD1745" s="22" t="s">
        <v>3140</v>
      </c>
      <c r="AE1745" s="23">
        <f t="shared" si="109"/>
        <v>9.2439999999999998</v>
      </c>
      <c r="AF1745" s="24">
        <f t="shared" si="110"/>
        <v>0</v>
      </c>
      <c r="AG1745" s="23">
        <f t="shared" si="111"/>
        <v>1</v>
      </c>
    </row>
    <row r="1746" spans="1:33" x14ac:dyDescent="0.25">
      <c r="A1746" s="12" t="s">
        <v>31</v>
      </c>
      <c r="B1746" s="9">
        <v>46199</v>
      </c>
      <c r="C1746" s="10" t="s">
        <v>2754</v>
      </c>
      <c r="D1746" s="10" t="s">
        <v>2755</v>
      </c>
      <c r="E1746" s="10" t="s">
        <v>51</v>
      </c>
      <c r="F1746" s="10" t="s">
        <v>35</v>
      </c>
      <c r="G1746" s="10" t="s">
        <v>3146</v>
      </c>
      <c r="H1746" s="8" t="s">
        <v>36</v>
      </c>
      <c r="I1746" s="11">
        <v>9.3800000000000008</v>
      </c>
      <c r="J1746" s="6">
        <v>8.6014599999999994</v>
      </c>
      <c r="K1746" s="6">
        <v>0.91699999999999982</v>
      </c>
      <c r="L1746" s="6">
        <v>8.7899999999999991</v>
      </c>
      <c r="M1746" s="11">
        <v>8.0604300000000002</v>
      </c>
      <c r="N1746" s="11">
        <f t="shared" si="108"/>
        <v>8.0609999999999999</v>
      </c>
      <c r="O1746" s="6">
        <v>0.91700000000000015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0.59</v>
      </c>
      <c r="Z1746" s="6">
        <v>0.54103000000000001</v>
      </c>
      <c r="AA1746" s="6">
        <v>0.91700000000000004</v>
      </c>
      <c r="AB1746" s="6">
        <v>-0.59000000000000163</v>
      </c>
      <c r="AC1746" s="6">
        <v>0.59000000000000163</v>
      </c>
      <c r="AD1746" s="22" t="s">
        <v>3140</v>
      </c>
      <c r="AE1746" s="23">
        <f t="shared" si="109"/>
        <v>8.0609999999999999</v>
      </c>
      <c r="AF1746" s="24">
        <f t="shared" si="110"/>
        <v>0</v>
      </c>
      <c r="AG1746" s="23">
        <f t="shared" si="111"/>
        <v>1</v>
      </c>
    </row>
    <row r="1747" spans="1:33" ht="20" hidden="1" customHeight="1" x14ac:dyDescent="0.25">
      <c r="A1747" s="12" t="s">
        <v>31</v>
      </c>
      <c r="B1747" s="9">
        <v>46199</v>
      </c>
      <c r="C1747" s="10" t="s">
        <v>2756</v>
      </c>
      <c r="D1747" s="10" t="s">
        <v>2757</v>
      </c>
      <c r="E1747" s="10" t="s">
        <v>51</v>
      </c>
      <c r="F1747" s="10" t="s">
        <v>35</v>
      </c>
      <c r="G1747" s="10" t="s">
        <v>3145</v>
      </c>
      <c r="H1747" s="8" t="s">
        <v>48</v>
      </c>
      <c r="I1747" s="11">
        <v>34.36</v>
      </c>
      <c r="J1747" s="6">
        <v>25.77</v>
      </c>
      <c r="K1747" s="6">
        <v>0.75</v>
      </c>
      <c r="L1747" s="6">
        <v>31.52</v>
      </c>
      <c r="M1747" s="11">
        <v>23.64</v>
      </c>
      <c r="N1747" s="11">
        <f t="shared" si="108"/>
        <v>23.64</v>
      </c>
      <c r="O1747" s="6">
        <v>0.75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2.84</v>
      </c>
      <c r="Z1747" s="6">
        <v>2.13</v>
      </c>
      <c r="AA1747" s="6">
        <v>0.75</v>
      </c>
      <c r="AB1747" s="6">
        <v>-2.84</v>
      </c>
      <c r="AC1747" s="6">
        <v>2.84</v>
      </c>
      <c r="AD1747" s="22" t="s">
        <v>3140</v>
      </c>
      <c r="AE1747" s="23">
        <f t="shared" si="109"/>
        <v>23.64</v>
      </c>
      <c r="AF1747" s="24">
        <f t="shared" si="110"/>
        <v>0</v>
      </c>
      <c r="AG1747" s="23">
        <f t="shared" si="111"/>
        <v>1</v>
      </c>
    </row>
    <row r="1748" spans="1:33" x14ac:dyDescent="0.25">
      <c r="A1748" s="12" t="s">
        <v>31</v>
      </c>
      <c r="B1748" s="9">
        <v>46199</v>
      </c>
      <c r="C1748" s="10" t="s">
        <v>2758</v>
      </c>
      <c r="D1748" s="10" t="s">
        <v>2759</v>
      </c>
      <c r="E1748" s="10" t="s">
        <v>51</v>
      </c>
      <c r="F1748" s="10" t="s">
        <v>35</v>
      </c>
      <c r="G1748" s="10" t="s">
        <v>3146</v>
      </c>
      <c r="H1748" s="8" t="s">
        <v>36</v>
      </c>
      <c r="I1748" s="11">
        <v>18.670000000000002</v>
      </c>
      <c r="J1748" s="6">
        <v>17.12039</v>
      </c>
      <c r="K1748" s="6">
        <v>0.91699999999999993</v>
      </c>
      <c r="L1748" s="6">
        <v>17.86</v>
      </c>
      <c r="M1748" s="11">
        <v>16.37762</v>
      </c>
      <c r="N1748" s="11">
        <f t="shared" si="108"/>
        <v>16.378</v>
      </c>
      <c r="O1748" s="6">
        <v>0.91700000000000004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0.81</v>
      </c>
      <c r="Z1748" s="6">
        <v>0.74277000000000004</v>
      </c>
      <c r="AA1748" s="6">
        <v>0.91700000000000004</v>
      </c>
      <c r="AB1748" s="6">
        <v>-0.81000000000000227</v>
      </c>
      <c r="AC1748" s="6">
        <v>0.81000000000000227</v>
      </c>
      <c r="AD1748" s="22" t="s">
        <v>3140</v>
      </c>
      <c r="AE1748" s="23">
        <f t="shared" si="109"/>
        <v>16.378</v>
      </c>
      <c r="AF1748" s="24">
        <f t="shared" si="110"/>
        <v>0</v>
      </c>
      <c r="AG1748" s="23">
        <f t="shared" si="111"/>
        <v>1</v>
      </c>
    </row>
    <row r="1749" spans="1:33" x14ac:dyDescent="0.25">
      <c r="A1749" s="12" t="s">
        <v>31</v>
      </c>
      <c r="B1749" s="9">
        <v>46199</v>
      </c>
      <c r="C1749" s="10" t="s">
        <v>2760</v>
      </c>
      <c r="D1749" s="10" t="s">
        <v>2761</v>
      </c>
      <c r="E1749" s="10" t="s">
        <v>51</v>
      </c>
      <c r="F1749" s="10" t="s">
        <v>35</v>
      </c>
      <c r="G1749" s="10" t="s">
        <v>3146</v>
      </c>
      <c r="H1749" s="8" t="s">
        <v>36</v>
      </c>
      <c r="I1749" s="11">
        <v>22.95</v>
      </c>
      <c r="J1749" s="6">
        <v>21.04515</v>
      </c>
      <c r="K1749" s="6">
        <v>0.91700000000000004</v>
      </c>
      <c r="L1749" s="6">
        <v>22.09</v>
      </c>
      <c r="M1749" s="11">
        <v>20.256530000000001</v>
      </c>
      <c r="N1749" s="11">
        <f t="shared" si="108"/>
        <v>20.257000000000001</v>
      </c>
      <c r="O1749" s="6">
        <v>0.91700000000000004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0.86</v>
      </c>
      <c r="Z1749" s="6">
        <v>0.78861999999999999</v>
      </c>
      <c r="AA1749" s="6">
        <v>0.91700000000000004</v>
      </c>
      <c r="AB1749" s="6">
        <v>-0.85999999999999943</v>
      </c>
      <c r="AC1749" s="6">
        <v>0.85999999999999943</v>
      </c>
      <c r="AD1749" s="22" t="s">
        <v>3140</v>
      </c>
      <c r="AE1749" s="23">
        <f t="shared" si="109"/>
        <v>20.257000000000001</v>
      </c>
      <c r="AF1749" s="24">
        <f t="shared" si="110"/>
        <v>0</v>
      </c>
      <c r="AG1749" s="23">
        <f t="shared" si="111"/>
        <v>1</v>
      </c>
    </row>
    <row r="1750" spans="1:33" hidden="1" x14ac:dyDescent="0.25">
      <c r="A1750" s="12" t="s">
        <v>31</v>
      </c>
      <c r="B1750" s="9">
        <v>46199</v>
      </c>
      <c r="C1750" s="10" t="s">
        <v>2762</v>
      </c>
      <c r="D1750" s="10" t="s">
        <v>2763</v>
      </c>
      <c r="E1750" s="10" t="s">
        <v>51</v>
      </c>
      <c r="F1750" s="10" t="s">
        <v>35</v>
      </c>
      <c r="G1750" s="10" t="s">
        <v>3145</v>
      </c>
      <c r="H1750" s="8" t="s">
        <v>41</v>
      </c>
      <c r="I1750" s="11">
        <v>477.72</v>
      </c>
      <c r="J1750" s="6">
        <v>358.29</v>
      </c>
      <c r="K1750" s="6">
        <v>0.75</v>
      </c>
      <c r="L1750" s="6">
        <v>448.23</v>
      </c>
      <c r="M1750" s="11">
        <v>336.17250000000001</v>
      </c>
      <c r="N1750" s="11">
        <f t="shared" si="108"/>
        <v>336.173</v>
      </c>
      <c r="O1750" s="6">
        <v>0.75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29.49</v>
      </c>
      <c r="Z1750" s="6">
        <v>22.1175</v>
      </c>
      <c r="AA1750" s="6">
        <v>0.75</v>
      </c>
      <c r="AB1750" s="6">
        <v>-29.490000000000009</v>
      </c>
      <c r="AC1750" s="6">
        <v>29.490000000000009</v>
      </c>
      <c r="AD1750" s="23" t="s">
        <v>3143</v>
      </c>
      <c r="AE1750" s="23">
        <f t="shared" si="109"/>
        <v>336.09799999999996</v>
      </c>
      <c r="AF1750" s="24">
        <f t="shared" si="110"/>
        <v>7.5000000000045475E-2</v>
      </c>
      <c r="AG1750" s="23">
        <f t="shared" si="111"/>
        <v>2</v>
      </c>
    </row>
    <row r="1751" spans="1:33" x14ac:dyDescent="0.25">
      <c r="A1751" s="12" t="s">
        <v>31</v>
      </c>
      <c r="B1751" s="9">
        <v>46199</v>
      </c>
      <c r="C1751" s="10" t="s">
        <v>2764</v>
      </c>
      <c r="D1751" s="10" t="s">
        <v>2765</v>
      </c>
      <c r="E1751" s="10" t="s">
        <v>51</v>
      </c>
      <c r="F1751" s="10" t="s">
        <v>35</v>
      </c>
      <c r="G1751" s="10" t="s">
        <v>3146</v>
      </c>
      <c r="H1751" s="8" t="s">
        <v>36</v>
      </c>
      <c r="I1751" s="11">
        <v>12.09</v>
      </c>
      <c r="J1751" s="6">
        <v>11.08653</v>
      </c>
      <c r="K1751" s="6">
        <v>0.91700000000000004</v>
      </c>
      <c r="L1751" s="6">
        <v>11.45</v>
      </c>
      <c r="M1751" s="11">
        <v>10.499650000000001</v>
      </c>
      <c r="N1751" s="11">
        <f t="shared" si="108"/>
        <v>10.5</v>
      </c>
      <c r="O1751" s="6">
        <v>0.91700000000000015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0.64</v>
      </c>
      <c r="Z1751" s="6">
        <v>0.58687999999999996</v>
      </c>
      <c r="AA1751" s="6">
        <v>0.91699999999999993</v>
      </c>
      <c r="AB1751" s="6">
        <v>-0.64000000000000057</v>
      </c>
      <c r="AC1751" s="6">
        <v>0.64000000000000057</v>
      </c>
      <c r="AD1751" s="22" t="s">
        <v>3140</v>
      </c>
      <c r="AE1751" s="23">
        <f t="shared" si="109"/>
        <v>10.5</v>
      </c>
      <c r="AF1751" s="24">
        <f t="shared" si="110"/>
        <v>0</v>
      </c>
      <c r="AG1751" s="23">
        <f t="shared" si="111"/>
        <v>1</v>
      </c>
    </row>
    <row r="1752" spans="1:33" x14ac:dyDescent="0.25">
      <c r="A1752" s="12" t="s">
        <v>31</v>
      </c>
      <c r="B1752" s="9">
        <v>46199</v>
      </c>
      <c r="C1752" s="10" t="s">
        <v>2766</v>
      </c>
      <c r="D1752" s="10" t="s">
        <v>2767</v>
      </c>
      <c r="E1752" s="10" t="s">
        <v>51</v>
      </c>
      <c r="F1752" s="10" t="s">
        <v>35</v>
      </c>
      <c r="G1752" s="10" t="s">
        <v>3146</v>
      </c>
      <c r="H1752" s="8" t="s">
        <v>36</v>
      </c>
      <c r="I1752" s="11">
        <v>4.3600000000000003</v>
      </c>
      <c r="J1752" s="6">
        <v>3.9981200000000001</v>
      </c>
      <c r="K1752" s="6">
        <v>0.91699999999999993</v>
      </c>
      <c r="L1752" s="6">
        <v>4.2300000000000004</v>
      </c>
      <c r="M1752" s="11">
        <v>3.8789099999999999</v>
      </c>
      <c r="N1752" s="11">
        <f t="shared" si="108"/>
        <v>3.879</v>
      </c>
      <c r="O1752" s="6">
        <v>0.91699999999999993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0.13</v>
      </c>
      <c r="Z1752" s="6">
        <v>0.11921</v>
      </c>
      <c r="AA1752" s="6">
        <v>0.91699999999999993</v>
      </c>
      <c r="AB1752" s="6">
        <v>-0.12999999999999989</v>
      </c>
      <c r="AC1752" s="6">
        <v>0.12999999999999989</v>
      </c>
      <c r="AD1752" s="22" t="s">
        <v>3140</v>
      </c>
      <c r="AE1752" s="23">
        <f t="shared" si="109"/>
        <v>3.879</v>
      </c>
      <c r="AF1752" s="24">
        <f t="shared" si="110"/>
        <v>0</v>
      </c>
      <c r="AG1752" s="23">
        <f t="shared" si="111"/>
        <v>1</v>
      </c>
    </row>
    <row r="1753" spans="1:33" hidden="1" x14ac:dyDescent="0.25">
      <c r="A1753" s="12" t="s">
        <v>31</v>
      </c>
      <c r="B1753" s="9">
        <v>46199</v>
      </c>
      <c r="C1753" s="10" t="s">
        <v>2768</v>
      </c>
      <c r="D1753" s="10" t="s">
        <v>2769</v>
      </c>
      <c r="E1753" s="10" t="s">
        <v>51</v>
      </c>
      <c r="F1753" s="10" t="s">
        <v>35</v>
      </c>
      <c r="G1753" s="10" t="s">
        <v>3145</v>
      </c>
      <c r="H1753" s="8" t="s">
        <v>41</v>
      </c>
      <c r="I1753" s="11">
        <v>32.14</v>
      </c>
      <c r="J1753" s="6">
        <v>24.105</v>
      </c>
      <c r="K1753" s="6">
        <v>0.75</v>
      </c>
      <c r="L1753" s="6">
        <v>29.89</v>
      </c>
      <c r="M1753" s="11">
        <v>22.4175</v>
      </c>
      <c r="N1753" s="11">
        <f t="shared" si="108"/>
        <v>22.418000000000003</v>
      </c>
      <c r="O1753" s="6">
        <v>0.75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2.25</v>
      </c>
      <c r="Z1753" s="6">
        <v>1.6875</v>
      </c>
      <c r="AA1753" s="6">
        <v>0.75</v>
      </c>
      <c r="AB1753" s="6">
        <v>-2.25</v>
      </c>
      <c r="AC1753" s="6">
        <v>2.25</v>
      </c>
      <c r="AD1753" s="22" t="s">
        <v>3140</v>
      </c>
      <c r="AE1753" s="23">
        <f t="shared" si="109"/>
        <v>22.418000000000003</v>
      </c>
      <c r="AF1753" s="24">
        <f t="shared" si="110"/>
        <v>0</v>
      </c>
      <c r="AG1753" s="23">
        <f t="shared" si="111"/>
        <v>1</v>
      </c>
    </row>
    <row r="1754" spans="1:33" ht="20" hidden="1" customHeight="1" x14ac:dyDescent="0.25">
      <c r="A1754" s="12" t="s">
        <v>31</v>
      </c>
      <c r="B1754" s="9">
        <v>46199</v>
      </c>
      <c r="C1754" s="10" t="s">
        <v>2770</v>
      </c>
      <c r="D1754" s="10" t="s">
        <v>2771</v>
      </c>
      <c r="E1754" s="10" t="s">
        <v>51</v>
      </c>
      <c r="F1754" s="10" t="s">
        <v>35</v>
      </c>
      <c r="G1754" s="10" t="s">
        <v>3145</v>
      </c>
      <c r="H1754" s="8" t="s">
        <v>48</v>
      </c>
      <c r="I1754" s="11">
        <v>31.46</v>
      </c>
      <c r="J1754" s="6">
        <v>23.594999999999999</v>
      </c>
      <c r="K1754" s="6">
        <v>0.74999999999999989</v>
      </c>
      <c r="L1754" s="6">
        <v>28.84</v>
      </c>
      <c r="M1754" s="11">
        <v>21.63</v>
      </c>
      <c r="N1754" s="11">
        <f t="shared" si="108"/>
        <v>21.63</v>
      </c>
      <c r="O1754" s="6">
        <v>0.75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2.62</v>
      </c>
      <c r="Z1754" s="6">
        <v>1.9650000000000001</v>
      </c>
      <c r="AA1754" s="6">
        <v>0.75</v>
      </c>
      <c r="AB1754" s="6">
        <v>-2.620000000000001</v>
      </c>
      <c r="AC1754" s="6">
        <v>2.620000000000001</v>
      </c>
      <c r="AD1754" s="22" t="s">
        <v>3140</v>
      </c>
      <c r="AE1754" s="23">
        <f t="shared" si="109"/>
        <v>21.63</v>
      </c>
      <c r="AF1754" s="24">
        <f t="shared" si="110"/>
        <v>0</v>
      </c>
      <c r="AG1754" s="23">
        <f t="shared" si="111"/>
        <v>1</v>
      </c>
    </row>
    <row r="1755" spans="1:33" x14ac:dyDescent="0.25">
      <c r="A1755" s="12" t="s">
        <v>31</v>
      </c>
      <c r="B1755" s="9">
        <v>46199</v>
      </c>
      <c r="C1755" s="10" t="s">
        <v>2772</v>
      </c>
      <c r="D1755" s="10" t="s">
        <v>2773</v>
      </c>
      <c r="E1755" s="10" t="s">
        <v>51</v>
      </c>
      <c r="F1755" s="10" t="s">
        <v>35</v>
      </c>
      <c r="G1755" s="10" t="s">
        <v>3146</v>
      </c>
      <c r="H1755" s="8" t="s">
        <v>36</v>
      </c>
      <c r="I1755" s="11">
        <v>4.4800000000000004</v>
      </c>
      <c r="J1755" s="6">
        <v>4.1081599999999998</v>
      </c>
      <c r="K1755" s="6">
        <v>0.91699999999999982</v>
      </c>
      <c r="L1755" s="6">
        <v>4.17</v>
      </c>
      <c r="M1755" s="11">
        <v>3.82389</v>
      </c>
      <c r="N1755" s="11">
        <f t="shared" si="108"/>
        <v>3.8239999999999998</v>
      </c>
      <c r="O1755" s="6">
        <v>0.91700000000000004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0.31</v>
      </c>
      <c r="Z1755" s="6">
        <v>0.28427000000000002</v>
      </c>
      <c r="AA1755" s="6">
        <v>0.91700000000000004</v>
      </c>
      <c r="AB1755" s="6">
        <v>-0.3100000000000005</v>
      </c>
      <c r="AC1755" s="6">
        <v>0.3100000000000005</v>
      </c>
      <c r="AD1755" s="22" t="s">
        <v>3140</v>
      </c>
      <c r="AE1755" s="23">
        <f t="shared" si="109"/>
        <v>3.8239999999999998</v>
      </c>
      <c r="AF1755" s="24">
        <f t="shared" si="110"/>
        <v>0</v>
      </c>
      <c r="AG1755" s="23">
        <f t="shared" si="111"/>
        <v>3</v>
      </c>
    </row>
    <row r="1756" spans="1:33" x14ac:dyDescent="0.25">
      <c r="A1756" s="12" t="s">
        <v>31</v>
      </c>
      <c r="B1756" s="9">
        <v>46199</v>
      </c>
      <c r="C1756" s="10" t="s">
        <v>2774</v>
      </c>
      <c r="D1756" s="10" t="s">
        <v>2775</v>
      </c>
      <c r="E1756" s="10" t="s">
        <v>51</v>
      </c>
      <c r="F1756" s="10" t="s">
        <v>35</v>
      </c>
      <c r="G1756" s="10" t="s">
        <v>3146</v>
      </c>
      <c r="H1756" s="8" t="s">
        <v>36</v>
      </c>
      <c r="I1756" s="11">
        <v>5.45</v>
      </c>
      <c r="J1756" s="6">
        <v>4.9976500000000001</v>
      </c>
      <c r="K1756" s="6">
        <v>0.91700000000000004</v>
      </c>
      <c r="L1756" s="6">
        <v>4.8600000000000003</v>
      </c>
      <c r="M1756" s="11">
        <v>4.45662</v>
      </c>
      <c r="N1756" s="11">
        <f t="shared" si="108"/>
        <v>4.4570000000000007</v>
      </c>
      <c r="O1756" s="6">
        <v>0.91699999999999993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0.59</v>
      </c>
      <c r="Z1756" s="6">
        <v>0.54103000000000001</v>
      </c>
      <c r="AA1756" s="6">
        <v>0.91700000000000004</v>
      </c>
      <c r="AB1756" s="6">
        <v>-0.58999999999999986</v>
      </c>
      <c r="AC1756" s="6">
        <v>0.58999999999999986</v>
      </c>
      <c r="AD1756" s="22" t="s">
        <v>3140</v>
      </c>
      <c r="AE1756" s="23">
        <f t="shared" si="109"/>
        <v>4.4570000000000007</v>
      </c>
      <c r="AF1756" s="24">
        <f t="shared" si="110"/>
        <v>0</v>
      </c>
      <c r="AG1756" s="23">
        <f t="shared" si="111"/>
        <v>1</v>
      </c>
    </row>
    <row r="1757" spans="1:33" x14ac:dyDescent="0.25">
      <c r="A1757" s="12" t="s">
        <v>31</v>
      </c>
      <c r="B1757" s="9">
        <v>46199</v>
      </c>
      <c r="C1757" s="10" t="s">
        <v>2776</v>
      </c>
      <c r="D1757" s="10" t="s">
        <v>2777</v>
      </c>
      <c r="E1757" s="10" t="s">
        <v>51</v>
      </c>
      <c r="F1757" s="10" t="s">
        <v>35</v>
      </c>
      <c r="G1757" s="10" t="s">
        <v>3146</v>
      </c>
      <c r="H1757" s="8" t="s">
        <v>36</v>
      </c>
      <c r="I1757" s="11">
        <v>11.56</v>
      </c>
      <c r="J1757" s="6">
        <v>10.600519999999999</v>
      </c>
      <c r="K1757" s="6">
        <v>0.91699999999999993</v>
      </c>
      <c r="L1757" s="6">
        <v>11.07</v>
      </c>
      <c r="M1757" s="11">
        <v>10.15119</v>
      </c>
      <c r="N1757" s="11">
        <f t="shared" si="108"/>
        <v>10.151999999999999</v>
      </c>
      <c r="O1757" s="6">
        <v>0.91699999999999993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0.49</v>
      </c>
      <c r="Z1757" s="6">
        <v>0.44933000000000001</v>
      </c>
      <c r="AA1757" s="6">
        <v>0.91700000000000004</v>
      </c>
      <c r="AB1757" s="6">
        <v>-0.49000000000000021</v>
      </c>
      <c r="AC1757" s="6">
        <v>0.49000000000000021</v>
      </c>
      <c r="AD1757" s="22" t="s">
        <v>3140</v>
      </c>
      <c r="AE1757" s="23">
        <f t="shared" si="109"/>
        <v>10.151999999999999</v>
      </c>
      <c r="AF1757" s="24">
        <f t="shared" si="110"/>
        <v>0</v>
      </c>
      <c r="AG1757" s="23">
        <f t="shared" si="111"/>
        <v>1</v>
      </c>
    </row>
    <row r="1758" spans="1:33" x14ac:dyDescent="0.25">
      <c r="A1758" s="12" t="s">
        <v>31</v>
      </c>
      <c r="B1758" s="9">
        <v>46199</v>
      </c>
      <c r="C1758" s="10" t="s">
        <v>2778</v>
      </c>
      <c r="D1758" s="10" t="s">
        <v>2779</v>
      </c>
      <c r="E1758" s="10" t="s">
        <v>51</v>
      </c>
      <c r="F1758" s="10" t="s">
        <v>35</v>
      </c>
      <c r="G1758" s="10" t="s">
        <v>3146</v>
      </c>
      <c r="H1758" s="8" t="s">
        <v>36</v>
      </c>
      <c r="I1758" s="11">
        <v>10.91</v>
      </c>
      <c r="J1758" s="6">
        <v>10.00447</v>
      </c>
      <c r="K1758" s="6">
        <v>0.91699999999999993</v>
      </c>
      <c r="L1758" s="6">
        <v>10.14</v>
      </c>
      <c r="M1758" s="11">
        <v>9.2983799999999999</v>
      </c>
      <c r="N1758" s="11">
        <f t="shared" si="108"/>
        <v>9.2989999999999995</v>
      </c>
      <c r="O1758" s="6">
        <v>0.91699999999999993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0.77</v>
      </c>
      <c r="Z1758" s="6">
        <v>0.70609</v>
      </c>
      <c r="AA1758" s="6">
        <v>0.91699999999999993</v>
      </c>
      <c r="AB1758" s="6">
        <v>-0.76999999999999957</v>
      </c>
      <c r="AC1758" s="6">
        <v>0.76999999999999957</v>
      </c>
      <c r="AD1758" s="22" t="s">
        <v>3140</v>
      </c>
      <c r="AE1758" s="23">
        <f t="shared" si="109"/>
        <v>9.2989999999999995</v>
      </c>
      <c r="AF1758" s="24">
        <f t="shared" si="110"/>
        <v>0</v>
      </c>
      <c r="AG1758" s="23">
        <f t="shared" si="111"/>
        <v>1</v>
      </c>
    </row>
    <row r="1759" spans="1:33" x14ac:dyDescent="0.25">
      <c r="A1759" s="12" t="s">
        <v>31</v>
      </c>
      <c r="B1759" s="9">
        <v>46199</v>
      </c>
      <c r="C1759" s="10" t="s">
        <v>2780</v>
      </c>
      <c r="D1759" s="10" t="s">
        <v>2781</v>
      </c>
      <c r="E1759" s="10" t="s">
        <v>51</v>
      </c>
      <c r="F1759" s="10" t="s">
        <v>35</v>
      </c>
      <c r="G1759" s="10" t="s">
        <v>3146</v>
      </c>
      <c r="H1759" s="8" t="s">
        <v>36</v>
      </c>
      <c r="I1759" s="11">
        <v>12.09</v>
      </c>
      <c r="J1759" s="6">
        <v>11.08653</v>
      </c>
      <c r="K1759" s="6">
        <v>0.91700000000000004</v>
      </c>
      <c r="L1759" s="6">
        <v>11.17</v>
      </c>
      <c r="M1759" s="11">
        <v>10.242889999999999</v>
      </c>
      <c r="N1759" s="11">
        <f t="shared" si="108"/>
        <v>10.243</v>
      </c>
      <c r="O1759" s="6">
        <v>0.91699999999999993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0.92</v>
      </c>
      <c r="Z1759" s="6">
        <v>0.84363999999999995</v>
      </c>
      <c r="AA1759" s="6">
        <v>0.91699999999999993</v>
      </c>
      <c r="AB1759" s="6">
        <v>-0.92</v>
      </c>
      <c r="AC1759" s="6">
        <v>0.92</v>
      </c>
      <c r="AD1759" s="22" t="s">
        <v>3140</v>
      </c>
      <c r="AE1759" s="23">
        <f t="shared" si="109"/>
        <v>10.243</v>
      </c>
      <c r="AF1759" s="24">
        <f t="shared" si="110"/>
        <v>0</v>
      </c>
      <c r="AG1759" s="23">
        <f t="shared" si="111"/>
        <v>1</v>
      </c>
    </row>
    <row r="1760" spans="1:33" x14ac:dyDescent="0.25">
      <c r="A1760" s="12" t="s">
        <v>31</v>
      </c>
      <c r="B1760" s="9">
        <v>46199</v>
      </c>
      <c r="C1760" s="10" t="s">
        <v>2782</v>
      </c>
      <c r="D1760" s="10" t="s">
        <v>2783</v>
      </c>
      <c r="E1760" s="10" t="s">
        <v>51</v>
      </c>
      <c r="F1760" s="10" t="s">
        <v>35</v>
      </c>
      <c r="G1760" s="10" t="s">
        <v>3146</v>
      </c>
      <c r="H1760" s="8" t="s">
        <v>36</v>
      </c>
      <c r="I1760" s="11">
        <v>19.18</v>
      </c>
      <c r="J1760" s="6">
        <v>17.588059999999999</v>
      </c>
      <c r="K1760" s="6">
        <v>0.91699999999999993</v>
      </c>
      <c r="L1760" s="6">
        <v>18.04</v>
      </c>
      <c r="M1760" s="11">
        <v>16.542680000000001</v>
      </c>
      <c r="N1760" s="11">
        <f t="shared" si="108"/>
        <v>16.543000000000003</v>
      </c>
      <c r="O1760" s="6">
        <v>0.91700000000000004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1.1399999999999999</v>
      </c>
      <c r="Z1760" s="6">
        <v>1.04538</v>
      </c>
      <c r="AA1760" s="6">
        <v>0.91700000000000004</v>
      </c>
      <c r="AB1760" s="6">
        <v>-1.1400000000000006</v>
      </c>
      <c r="AC1760" s="6">
        <v>1.1400000000000006</v>
      </c>
      <c r="AD1760" s="22" t="s">
        <v>3140</v>
      </c>
      <c r="AE1760" s="23">
        <f t="shared" si="109"/>
        <v>16.543000000000003</v>
      </c>
      <c r="AF1760" s="24">
        <f t="shared" si="110"/>
        <v>0</v>
      </c>
      <c r="AG1760" s="23">
        <f t="shared" si="111"/>
        <v>1</v>
      </c>
    </row>
    <row r="1761" spans="1:33" ht="20" hidden="1" customHeight="1" x14ac:dyDescent="0.25">
      <c r="A1761" s="12" t="s">
        <v>31</v>
      </c>
      <c r="B1761" s="9">
        <v>46199</v>
      </c>
      <c r="C1761" s="10" t="s">
        <v>2784</v>
      </c>
      <c r="D1761" s="10" t="s">
        <v>2785</v>
      </c>
      <c r="E1761" s="10" t="s">
        <v>34</v>
      </c>
      <c r="F1761" s="10" t="s">
        <v>35</v>
      </c>
      <c r="G1761" s="10" t="s">
        <v>3145</v>
      </c>
      <c r="H1761" s="8" t="s">
        <v>48</v>
      </c>
      <c r="I1761" s="11">
        <v>12.69</v>
      </c>
      <c r="J1761" s="6">
        <v>9.5175000000000001</v>
      </c>
      <c r="K1761" s="6">
        <v>0.75</v>
      </c>
      <c r="L1761" s="6">
        <v>12.69</v>
      </c>
      <c r="M1761" s="11">
        <v>9.5175000000000001</v>
      </c>
      <c r="N1761" s="11">
        <f t="shared" si="108"/>
        <v>9.5179999999999989</v>
      </c>
      <c r="O1761" s="6">
        <v>0.75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22" t="s">
        <v>3140</v>
      </c>
      <c r="AE1761" s="23">
        <f t="shared" si="109"/>
        <v>9.5179999999999989</v>
      </c>
      <c r="AF1761" s="24">
        <f t="shared" si="110"/>
        <v>0</v>
      </c>
      <c r="AG1761" s="23">
        <f t="shared" si="111"/>
        <v>2</v>
      </c>
    </row>
    <row r="1762" spans="1:33" ht="20" hidden="1" customHeight="1" x14ac:dyDescent="0.25">
      <c r="A1762" s="12" t="s">
        <v>31</v>
      </c>
      <c r="B1762" s="9">
        <v>46199</v>
      </c>
      <c r="C1762" s="10" t="s">
        <v>2786</v>
      </c>
      <c r="D1762" s="10" t="s">
        <v>2785</v>
      </c>
      <c r="E1762" s="10" t="s">
        <v>51</v>
      </c>
      <c r="F1762" s="10" t="s">
        <v>35</v>
      </c>
      <c r="G1762" s="10" t="s">
        <v>3145</v>
      </c>
      <c r="H1762" s="8" t="s">
        <v>48</v>
      </c>
      <c r="I1762" s="11">
        <v>12.73</v>
      </c>
      <c r="J1762" s="6">
        <v>9.5474999999999994</v>
      </c>
      <c r="K1762" s="6">
        <v>0.74999999999999989</v>
      </c>
      <c r="L1762" s="6">
        <v>12.73</v>
      </c>
      <c r="M1762" s="11">
        <v>9.5474999999999994</v>
      </c>
      <c r="N1762" s="11">
        <f t="shared" si="108"/>
        <v>9.548</v>
      </c>
      <c r="O1762" s="6">
        <v>0.74999999999999989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23" t="s">
        <v>3143</v>
      </c>
      <c r="AE1762" s="23">
        <f t="shared" si="109"/>
        <v>9.5179999999999989</v>
      </c>
      <c r="AF1762" s="24">
        <f t="shared" si="110"/>
        <v>3.0000000000001137E-2</v>
      </c>
      <c r="AG1762" s="23">
        <f t="shared" si="111"/>
        <v>2</v>
      </c>
    </row>
    <row r="1763" spans="1:33" hidden="1" x14ac:dyDescent="0.25">
      <c r="A1763" s="12" t="s">
        <v>31</v>
      </c>
      <c r="B1763" s="9">
        <v>46199</v>
      </c>
      <c r="C1763" s="10" t="s">
        <v>2787</v>
      </c>
      <c r="D1763" s="10" t="s">
        <v>2591</v>
      </c>
      <c r="E1763" s="10" t="s">
        <v>51</v>
      </c>
      <c r="F1763" s="10" t="s">
        <v>35</v>
      </c>
      <c r="G1763" s="10" t="s">
        <v>3145</v>
      </c>
      <c r="H1763" s="8" t="s">
        <v>41</v>
      </c>
      <c r="I1763" s="11">
        <v>36.17</v>
      </c>
      <c r="J1763" s="6">
        <v>27.127500000000001</v>
      </c>
      <c r="K1763" s="6">
        <v>0.75</v>
      </c>
      <c r="L1763" s="6">
        <v>35.72</v>
      </c>
      <c r="M1763" s="11">
        <v>26.79</v>
      </c>
      <c r="N1763" s="11">
        <f t="shared" si="108"/>
        <v>26.79</v>
      </c>
      <c r="O1763" s="6">
        <v>0.75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0.45</v>
      </c>
      <c r="Z1763" s="6">
        <v>0.33750000000000002</v>
      </c>
      <c r="AA1763" s="6">
        <v>0.75</v>
      </c>
      <c r="AB1763" s="6">
        <v>-0.45000000000000284</v>
      </c>
      <c r="AC1763" s="6">
        <v>0.45000000000000284</v>
      </c>
      <c r="AD1763" s="23" t="s">
        <v>3143</v>
      </c>
      <c r="AE1763" s="23">
        <f t="shared" si="109"/>
        <v>25.98</v>
      </c>
      <c r="AF1763" s="24">
        <f t="shared" si="110"/>
        <v>0.80999999999999872</v>
      </c>
      <c r="AG1763" s="23">
        <f t="shared" si="111"/>
        <v>2</v>
      </c>
    </row>
    <row r="1764" spans="1:33" x14ac:dyDescent="0.25">
      <c r="A1764" s="12" t="s">
        <v>31</v>
      </c>
      <c r="B1764" s="9">
        <v>46199</v>
      </c>
      <c r="C1764" s="10" t="s">
        <v>2788</v>
      </c>
      <c r="D1764" s="10" t="s">
        <v>2789</v>
      </c>
      <c r="E1764" s="10" t="s">
        <v>51</v>
      </c>
      <c r="F1764" s="10" t="s">
        <v>35</v>
      </c>
      <c r="G1764" s="10" t="s">
        <v>3146</v>
      </c>
      <c r="H1764" s="8" t="s">
        <v>36</v>
      </c>
      <c r="I1764" s="11">
        <v>3.55</v>
      </c>
      <c r="J1764" s="6">
        <v>3.25535</v>
      </c>
      <c r="K1764" s="6">
        <v>0.91700000000000004</v>
      </c>
      <c r="L1764" s="6">
        <v>3.33</v>
      </c>
      <c r="M1764" s="11">
        <v>3.0536099999999999</v>
      </c>
      <c r="N1764" s="11">
        <f t="shared" si="108"/>
        <v>3.0539999999999998</v>
      </c>
      <c r="O1764" s="6">
        <v>0.91699999999999993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0.22</v>
      </c>
      <c r="Z1764" s="6">
        <v>0.20174</v>
      </c>
      <c r="AA1764" s="6">
        <v>0.91700000000000004</v>
      </c>
      <c r="AB1764" s="6">
        <v>-0.21999999999999975</v>
      </c>
      <c r="AC1764" s="6">
        <v>0.21999999999999975</v>
      </c>
      <c r="AD1764" s="22" t="s">
        <v>3140</v>
      </c>
      <c r="AE1764" s="23">
        <f t="shared" si="109"/>
        <v>3.0539999999999998</v>
      </c>
      <c r="AF1764" s="24">
        <f t="shared" si="110"/>
        <v>0</v>
      </c>
      <c r="AG1764" s="23">
        <f t="shared" si="111"/>
        <v>2</v>
      </c>
    </row>
    <row r="1765" spans="1:33" x14ac:dyDescent="0.25">
      <c r="A1765" s="12" t="s">
        <v>31</v>
      </c>
      <c r="B1765" s="9">
        <v>46199</v>
      </c>
      <c r="C1765" s="10" t="s">
        <v>2790</v>
      </c>
      <c r="D1765" s="10" t="s">
        <v>2791</v>
      </c>
      <c r="E1765" s="10" t="s">
        <v>51</v>
      </c>
      <c r="F1765" s="10" t="s">
        <v>35</v>
      </c>
      <c r="G1765" s="10" t="s">
        <v>3146</v>
      </c>
      <c r="H1765" s="8" t="s">
        <v>36</v>
      </c>
      <c r="I1765" s="11">
        <v>39.17</v>
      </c>
      <c r="J1765" s="6">
        <v>35.918889999999998</v>
      </c>
      <c r="K1765" s="6">
        <v>0.91699999999999993</v>
      </c>
      <c r="L1765" s="6">
        <v>38.81</v>
      </c>
      <c r="M1765" s="11">
        <v>35.588769999999997</v>
      </c>
      <c r="N1765" s="11">
        <f t="shared" si="108"/>
        <v>35.588999999999999</v>
      </c>
      <c r="O1765" s="6">
        <v>0.91699999999999982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0.36</v>
      </c>
      <c r="Z1765" s="6">
        <v>0.33012000000000002</v>
      </c>
      <c r="AA1765" s="6">
        <v>0.91700000000000015</v>
      </c>
      <c r="AB1765" s="6">
        <v>-0.35999999999999943</v>
      </c>
      <c r="AC1765" s="6">
        <v>0.35999999999999943</v>
      </c>
      <c r="AD1765" s="22" t="s">
        <v>3140</v>
      </c>
      <c r="AE1765" s="23">
        <f t="shared" si="109"/>
        <v>35.588999999999999</v>
      </c>
      <c r="AF1765" s="24">
        <f t="shared" si="110"/>
        <v>0</v>
      </c>
      <c r="AG1765" s="23">
        <f t="shared" si="111"/>
        <v>1</v>
      </c>
    </row>
    <row r="1766" spans="1:33" x14ac:dyDescent="0.25">
      <c r="A1766" s="12" t="s">
        <v>31</v>
      </c>
      <c r="B1766" s="9">
        <v>46199</v>
      </c>
      <c r="C1766" s="10" t="s">
        <v>2792</v>
      </c>
      <c r="D1766" s="10" t="s">
        <v>2793</v>
      </c>
      <c r="E1766" s="10" t="s">
        <v>51</v>
      </c>
      <c r="F1766" s="10" t="s">
        <v>35</v>
      </c>
      <c r="G1766" s="10" t="s">
        <v>3146</v>
      </c>
      <c r="H1766" s="8" t="s">
        <v>36</v>
      </c>
      <c r="I1766" s="11">
        <v>3.17</v>
      </c>
      <c r="J1766" s="6">
        <v>2.9068900000000002</v>
      </c>
      <c r="K1766" s="6">
        <v>0.91700000000000004</v>
      </c>
      <c r="L1766" s="6">
        <v>2.91</v>
      </c>
      <c r="M1766" s="11">
        <v>2.6684700000000001</v>
      </c>
      <c r="N1766" s="11">
        <f t="shared" si="108"/>
        <v>2.669</v>
      </c>
      <c r="O1766" s="6">
        <v>0.91700000000000004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0.26</v>
      </c>
      <c r="Z1766" s="6">
        <v>0.23841999999999999</v>
      </c>
      <c r="AA1766" s="6">
        <v>0.91699999999999993</v>
      </c>
      <c r="AB1766" s="6">
        <v>-0.25999999999999979</v>
      </c>
      <c r="AC1766" s="6">
        <v>0.25999999999999979</v>
      </c>
      <c r="AD1766" s="22" t="s">
        <v>3140</v>
      </c>
      <c r="AE1766" s="23">
        <f t="shared" si="109"/>
        <v>2.669</v>
      </c>
      <c r="AF1766" s="24">
        <f t="shared" si="110"/>
        <v>0</v>
      </c>
      <c r="AG1766" s="23">
        <f t="shared" si="111"/>
        <v>2</v>
      </c>
    </row>
    <row r="1767" spans="1:33" x14ac:dyDescent="0.25">
      <c r="A1767" s="12" t="s">
        <v>31</v>
      </c>
      <c r="B1767" s="9">
        <v>46199</v>
      </c>
      <c r="C1767" s="10" t="s">
        <v>2794</v>
      </c>
      <c r="D1767" s="10" t="s">
        <v>2795</v>
      </c>
      <c r="E1767" s="10" t="s">
        <v>51</v>
      </c>
      <c r="F1767" s="10" t="s">
        <v>35</v>
      </c>
      <c r="G1767" s="10" t="s">
        <v>3146</v>
      </c>
      <c r="H1767" s="8" t="s">
        <v>36</v>
      </c>
      <c r="I1767" s="11">
        <v>24.5</v>
      </c>
      <c r="J1767" s="6">
        <v>22.4665</v>
      </c>
      <c r="K1767" s="6">
        <v>0.91700000000000004</v>
      </c>
      <c r="L1767" s="6">
        <v>23.07</v>
      </c>
      <c r="M1767" s="11">
        <v>21.155190000000001</v>
      </c>
      <c r="N1767" s="11">
        <f t="shared" si="108"/>
        <v>21.156000000000002</v>
      </c>
      <c r="O1767" s="6">
        <v>0.91700000000000004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1.43</v>
      </c>
      <c r="Z1767" s="6">
        <v>1.31131</v>
      </c>
      <c r="AA1767" s="6">
        <v>0.91700000000000004</v>
      </c>
      <c r="AB1767" s="6">
        <v>-1.4299999999999997</v>
      </c>
      <c r="AC1767" s="6">
        <v>1.4299999999999997</v>
      </c>
      <c r="AD1767" s="22" t="s">
        <v>3140</v>
      </c>
      <c r="AE1767" s="23">
        <f t="shared" si="109"/>
        <v>21.156000000000002</v>
      </c>
      <c r="AF1767" s="24">
        <f t="shared" si="110"/>
        <v>0</v>
      </c>
      <c r="AG1767" s="23">
        <f t="shared" si="111"/>
        <v>1</v>
      </c>
    </row>
    <row r="1768" spans="1:33" x14ac:dyDescent="0.25">
      <c r="A1768" s="12" t="s">
        <v>31</v>
      </c>
      <c r="B1768" s="9">
        <v>46199</v>
      </c>
      <c r="C1768" s="10" t="s">
        <v>2796</v>
      </c>
      <c r="D1768" s="10" t="s">
        <v>2797</v>
      </c>
      <c r="E1768" s="10" t="s">
        <v>51</v>
      </c>
      <c r="F1768" s="10" t="s">
        <v>35</v>
      </c>
      <c r="G1768" s="10" t="s">
        <v>3146</v>
      </c>
      <c r="H1768" s="8" t="s">
        <v>36</v>
      </c>
      <c r="I1768" s="11">
        <v>9.8000000000000007</v>
      </c>
      <c r="J1768" s="6">
        <v>8.9865999999999993</v>
      </c>
      <c r="K1768" s="6">
        <v>0.91699999999999982</v>
      </c>
      <c r="L1768" s="6">
        <v>9.24</v>
      </c>
      <c r="M1768" s="11">
        <v>8.4730799999999995</v>
      </c>
      <c r="N1768" s="11">
        <f t="shared" si="108"/>
        <v>8.4740000000000002</v>
      </c>
      <c r="O1768" s="6">
        <v>0.91699999999999993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0.56000000000000005</v>
      </c>
      <c r="Z1768" s="6">
        <v>0.51351999999999998</v>
      </c>
      <c r="AA1768" s="6">
        <v>0.91699999999999982</v>
      </c>
      <c r="AB1768" s="6">
        <v>-0.5600000000000005</v>
      </c>
      <c r="AC1768" s="6">
        <v>0.5600000000000005</v>
      </c>
      <c r="AD1768" s="22" t="s">
        <v>3140</v>
      </c>
      <c r="AE1768" s="23">
        <f t="shared" si="109"/>
        <v>8.4740000000000002</v>
      </c>
      <c r="AF1768" s="24">
        <f t="shared" si="110"/>
        <v>0</v>
      </c>
      <c r="AG1768" s="23">
        <f t="shared" si="111"/>
        <v>1</v>
      </c>
    </row>
    <row r="1769" spans="1:33" hidden="1" x14ac:dyDescent="0.25">
      <c r="A1769" s="12" t="s">
        <v>31</v>
      </c>
      <c r="B1769" s="9">
        <v>46199</v>
      </c>
      <c r="C1769" s="10" t="s">
        <v>2798</v>
      </c>
      <c r="D1769" s="10" t="s">
        <v>2458</v>
      </c>
      <c r="E1769" s="10" t="s">
        <v>51</v>
      </c>
      <c r="F1769" s="10" t="s">
        <v>35</v>
      </c>
      <c r="G1769" s="10" t="s">
        <v>3145</v>
      </c>
      <c r="H1769" s="8" t="s">
        <v>41</v>
      </c>
      <c r="I1769" s="11">
        <v>18.71</v>
      </c>
      <c r="J1769" s="6">
        <v>14.032500000000001</v>
      </c>
      <c r="K1769" s="6">
        <v>0.75</v>
      </c>
      <c r="L1769" s="6">
        <v>18.38</v>
      </c>
      <c r="M1769" s="11">
        <v>13.785</v>
      </c>
      <c r="N1769" s="11">
        <f t="shared" si="108"/>
        <v>13.785</v>
      </c>
      <c r="O1769" s="6">
        <v>0.75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0.33</v>
      </c>
      <c r="Z1769" s="6">
        <v>0.2475</v>
      </c>
      <c r="AA1769" s="6">
        <v>0.75</v>
      </c>
      <c r="AB1769" s="6">
        <v>-0.33000000000000185</v>
      </c>
      <c r="AC1769" s="6">
        <v>0.33000000000000185</v>
      </c>
      <c r="AD1769" s="23" t="s">
        <v>3143</v>
      </c>
      <c r="AE1769" s="23">
        <f t="shared" si="109"/>
        <v>13.664999999999999</v>
      </c>
      <c r="AF1769" s="24">
        <f t="shared" si="110"/>
        <v>0.12000000000000099</v>
      </c>
      <c r="AG1769" s="23">
        <f t="shared" si="111"/>
        <v>2</v>
      </c>
    </row>
    <row r="1770" spans="1:33" x14ac:dyDescent="0.25">
      <c r="A1770" s="12" t="s">
        <v>31</v>
      </c>
      <c r="B1770" s="9">
        <v>46199</v>
      </c>
      <c r="C1770" s="10" t="s">
        <v>2799</v>
      </c>
      <c r="D1770" s="10" t="s">
        <v>2800</v>
      </c>
      <c r="E1770" s="10" t="s">
        <v>51</v>
      </c>
      <c r="F1770" s="10" t="s">
        <v>35</v>
      </c>
      <c r="G1770" s="10" t="s">
        <v>3146</v>
      </c>
      <c r="H1770" s="8" t="s">
        <v>36</v>
      </c>
      <c r="I1770" s="11">
        <v>63.62</v>
      </c>
      <c r="J1770" s="6">
        <v>58.33954</v>
      </c>
      <c r="K1770" s="6">
        <v>0.91700000000000004</v>
      </c>
      <c r="L1770" s="6">
        <v>61.74</v>
      </c>
      <c r="M1770" s="11">
        <v>56.615580000000001</v>
      </c>
      <c r="N1770" s="11">
        <f t="shared" si="108"/>
        <v>56.616</v>
      </c>
      <c r="O1770" s="6">
        <v>0.91700000000000004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1.88</v>
      </c>
      <c r="Z1770" s="6">
        <v>1.7239599999999999</v>
      </c>
      <c r="AA1770" s="6">
        <v>0.91700000000000004</v>
      </c>
      <c r="AB1770" s="6">
        <v>-1.8799999999999955</v>
      </c>
      <c r="AC1770" s="6">
        <v>1.8799999999999955</v>
      </c>
      <c r="AD1770" s="22" t="s">
        <v>3140</v>
      </c>
      <c r="AE1770" s="23">
        <f t="shared" si="109"/>
        <v>56.616</v>
      </c>
      <c r="AF1770" s="24">
        <f t="shared" si="110"/>
        <v>0</v>
      </c>
      <c r="AG1770" s="23">
        <f t="shared" si="111"/>
        <v>2</v>
      </c>
    </row>
    <row r="1771" spans="1:33" ht="12.5" customHeight="1" x14ac:dyDescent="0.25">
      <c r="A1771" s="12" t="s">
        <v>31</v>
      </c>
      <c r="B1771" s="9">
        <v>46199</v>
      </c>
      <c r="C1771" s="8" t="s">
        <v>2801</v>
      </c>
      <c r="D1771" s="10" t="s">
        <v>2802</v>
      </c>
      <c r="E1771" s="10" t="s">
        <v>51</v>
      </c>
      <c r="F1771" s="10" t="s">
        <v>35</v>
      </c>
      <c r="G1771" s="10" t="s">
        <v>3146</v>
      </c>
      <c r="H1771" s="8" t="s">
        <v>36</v>
      </c>
      <c r="I1771" s="11">
        <v>11.02</v>
      </c>
      <c r="J1771" s="6">
        <v>10.10534</v>
      </c>
      <c r="K1771" s="6">
        <v>0.91700000000000004</v>
      </c>
      <c r="L1771" s="6">
        <v>10.48</v>
      </c>
      <c r="M1771" s="11">
        <v>9.6101600000000005</v>
      </c>
      <c r="N1771" s="11">
        <f t="shared" si="108"/>
        <v>9.6109999999999989</v>
      </c>
      <c r="O1771" s="6">
        <v>0.91700000000000004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0.54</v>
      </c>
      <c r="Z1771" s="6">
        <v>0.49518000000000001</v>
      </c>
      <c r="AA1771" s="6">
        <v>0.91699999999999993</v>
      </c>
      <c r="AB1771" s="6">
        <v>-0.53999999999999915</v>
      </c>
      <c r="AC1771" s="6">
        <v>0.53999999999999915</v>
      </c>
      <c r="AD1771" s="22" t="s">
        <v>3140</v>
      </c>
      <c r="AE1771" s="23">
        <f t="shared" si="109"/>
        <v>9.6109999999999989</v>
      </c>
      <c r="AF1771" s="24">
        <f t="shared" si="110"/>
        <v>0</v>
      </c>
      <c r="AG1771" s="23">
        <f t="shared" si="111"/>
        <v>1</v>
      </c>
    </row>
    <row r="1772" spans="1:33" ht="12.5" customHeight="1" x14ac:dyDescent="0.25">
      <c r="A1772" s="12" t="s">
        <v>31</v>
      </c>
      <c r="B1772" s="9">
        <v>46199</v>
      </c>
      <c r="C1772" s="13" t="s">
        <v>2801</v>
      </c>
      <c r="D1772" s="10" t="s">
        <v>2803</v>
      </c>
      <c r="E1772" s="10" t="s">
        <v>51</v>
      </c>
      <c r="F1772" s="10" t="s">
        <v>35</v>
      </c>
      <c r="G1772" s="10" t="s">
        <v>3146</v>
      </c>
      <c r="H1772" s="8" t="s">
        <v>36</v>
      </c>
      <c r="I1772" s="11">
        <v>14.22</v>
      </c>
      <c r="J1772" s="6">
        <v>13.03974</v>
      </c>
      <c r="K1772" s="6">
        <v>0.91699999999999993</v>
      </c>
      <c r="L1772" s="6">
        <v>13.98</v>
      </c>
      <c r="M1772" s="11">
        <v>12.819660000000001</v>
      </c>
      <c r="N1772" s="11">
        <f t="shared" si="108"/>
        <v>12.82</v>
      </c>
      <c r="O1772" s="6">
        <v>0.91700000000000004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0.24</v>
      </c>
      <c r="Z1772" s="6">
        <v>0.22008</v>
      </c>
      <c r="AA1772" s="6">
        <v>0.91700000000000004</v>
      </c>
      <c r="AB1772" s="6">
        <v>-0.24000000000000021</v>
      </c>
      <c r="AC1772" s="6">
        <v>0.24000000000000021</v>
      </c>
      <c r="AD1772" s="22" t="s">
        <v>3140</v>
      </c>
      <c r="AE1772" s="23">
        <f t="shared" si="109"/>
        <v>12.82</v>
      </c>
      <c r="AF1772" s="24">
        <f t="shared" si="110"/>
        <v>0</v>
      </c>
      <c r="AG1772" s="23">
        <f t="shared" si="111"/>
        <v>1</v>
      </c>
    </row>
    <row r="1773" spans="1:33" x14ac:dyDescent="0.25">
      <c r="A1773" s="12" t="s">
        <v>31</v>
      </c>
      <c r="B1773" s="9">
        <v>46199</v>
      </c>
      <c r="C1773" s="10" t="s">
        <v>2804</v>
      </c>
      <c r="D1773" s="10" t="s">
        <v>2805</v>
      </c>
      <c r="E1773" s="10" t="s">
        <v>51</v>
      </c>
      <c r="F1773" s="10" t="s">
        <v>35</v>
      </c>
      <c r="G1773" s="10" t="s">
        <v>3146</v>
      </c>
      <c r="H1773" s="8" t="s">
        <v>36</v>
      </c>
      <c r="I1773" s="11">
        <v>60.27</v>
      </c>
      <c r="J1773" s="6">
        <v>55.267589999999998</v>
      </c>
      <c r="K1773" s="6">
        <v>0.91699999999999993</v>
      </c>
      <c r="L1773" s="6">
        <v>58.33</v>
      </c>
      <c r="M1773" s="11">
        <v>53.488610000000001</v>
      </c>
      <c r="N1773" s="11">
        <f t="shared" si="108"/>
        <v>53.488999999999997</v>
      </c>
      <c r="O1773" s="6">
        <v>0.91700000000000004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1.94</v>
      </c>
      <c r="Z1773" s="6">
        <v>1.77898</v>
      </c>
      <c r="AA1773" s="6">
        <v>0.91700000000000004</v>
      </c>
      <c r="AB1773" s="6">
        <v>-1.9400000000000048</v>
      </c>
      <c r="AC1773" s="6">
        <v>1.9400000000000048</v>
      </c>
      <c r="AD1773" s="22" t="s">
        <v>3140</v>
      </c>
      <c r="AE1773" s="23">
        <f t="shared" si="109"/>
        <v>53.488999999999997</v>
      </c>
      <c r="AF1773" s="24">
        <f t="shared" si="110"/>
        <v>0</v>
      </c>
      <c r="AG1773" s="23">
        <f t="shared" si="111"/>
        <v>2</v>
      </c>
    </row>
    <row r="1774" spans="1:33" x14ac:dyDescent="0.25">
      <c r="A1774" s="12" t="s">
        <v>31</v>
      </c>
      <c r="B1774" s="9">
        <v>46199</v>
      </c>
      <c r="C1774" s="10" t="s">
        <v>2806</v>
      </c>
      <c r="D1774" s="10" t="s">
        <v>2681</v>
      </c>
      <c r="E1774" s="10" t="s">
        <v>51</v>
      </c>
      <c r="F1774" s="10" t="s">
        <v>133</v>
      </c>
      <c r="G1774" s="10" t="s">
        <v>3146</v>
      </c>
      <c r="H1774" s="8" t="s">
        <v>36</v>
      </c>
      <c r="I1774" s="11">
        <v>12.29</v>
      </c>
      <c r="J1774" s="6">
        <v>11.26993</v>
      </c>
      <c r="K1774" s="6">
        <v>0.91700000000000015</v>
      </c>
      <c r="L1774" s="6">
        <v>12.17</v>
      </c>
      <c r="M1774" s="11">
        <v>11.159890000000001</v>
      </c>
      <c r="N1774" s="11">
        <f t="shared" si="108"/>
        <v>11.16</v>
      </c>
      <c r="O1774" s="6">
        <v>0.91700000000000004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0.12</v>
      </c>
      <c r="Z1774" s="6">
        <v>0.11004</v>
      </c>
      <c r="AA1774" s="6">
        <v>0.91700000000000004</v>
      </c>
      <c r="AB1774" s="6">
        <v>-0.11999999999999922</v>
      </c>
      <c r="AC1774" s="6">
        <v>0.11999999999999922</v>
      </c>
      <c r="AD1774" s="23" t="s">
        <v>3142</v>
      </c>
      <c r="AE1774" s="23">
        <f t="shared" si="109"/>
        <v>11.16</v>
      </c>
      <c r="AF1774" s="24">
        <f t="shared" si="110"/>
        <v>0</v>
      </c>
      <c r="AG1774" s="23">
        <f t="shared" si="111"/>
        <v>3</v>
      </c>
    </row>
    <row r="1775" spans="1:33" x14ac:dyDescent="0.25">
      <c r="A1775" s="12" t="s">
        <v>31</v>
      </c>
      <c r="B1775" s="9">
        <v>46199</v>
      </c>
      <c r="C1775" s="10" t="s">
        <v>2807</v>
      </c>
      <c r="D1775" s="10" t="s">
        <v>2808</v>
      </c>
      <c r="E1775" s="10" t="s">
        <v>51</v>
      </c>
      <c r="F1775" s="10" t="s">
        <v>35</v>
      </c>
      <c r="G1775" s="10" t="s">
        <v>3146</v>
      </c>
      <c r="H1775" s="8" t="s">
        <v>36</v>
      </c>
      <c r="I1775" s="11">
        <v>11.06</v>
      </c>
      <c r="J1775" s="6">
        <v>10.14202</v>
      </c>
      <c r="K1775" s="6">
        <v>0.91700000000000004</v>
      </c>
      <c r="L1775" s="6">
        <v>10.83</v>
      </c>
      <c r="M1775" s="11">
        <v>9.9311100000000003</v>
      </c>
      <c r="N1775" s="11">
        <f t="shared" si="108"/>
        <v>9.9319999999999986</v>
      </c>
      <c r="O1775" s="6">
        <v>0.91700000000000004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0.23</v>
      </c>
      <c r="Z1775" s="6">
        <v>0.21090999999999999</v>
      </c>
      <c r="AA1775" s="6">
        <v>0.91699999999999993</v>
      </c>
      <c r="AB1775" s="6">
        <v>-0.23000000000000043</v>
      </c>
      <c r="AC1775" s="6">
        <v>0.23000000000000043</v>
      </c>
      <c r="AD1775" s="22" t="s">
        <v>3140</v>
      </c>
      <c r="AE1775" s="23">
        <f t="shared" si="109"/>
        <v>9.9319999999999986</v>
      </c>
      <c r="AF1775" s="24">
        <f t="shared" si="110"/>
        <v>0</v>
      </c>
      <c r="AG1775" s="23">
        <f t="shared" si="111"/>
        <v>1</v>
      </c>
    </row>
    <row r="1776" spans="1:33" ht="12.5" hidden="1" customHeight="1" x14ac:dyDescent="0.25">
      <c r="A1776" s="12" t="s">
        <v>31</v>
      </c>
      <c r="B1776" s="9">
        <v>46199</v>
      </c>
      <c r="C1776" s="8" t="s">
        <v>2809</v>
      </c>
      <c r="D1776" s="8" t="s">
        <v>338</v>
      </c>
      <c r="E1776" s="8" t="s">
        <v>51</v>
      </c>
      <c r="F1776" s="8" t="s">
        <v>35</v>
      </c>
      <c r="G1776" s="10" t="s">
        <v>3145</v>
      </c>
      <c r="H1776" s="8" t="s">
        <v>48</v>
      </c>
      <c r="I1776" s="11">
        <v>0.39</v>
      </c>
      <c r="J1776" s="6">
        <v>0.29249999999999998</v>
      </c>
      <c r="K1776" s="6">
        <v>0.74999999999999989</v>
      </c>
      <c r="L1776" s="6">
        <v>0.09</v>
      </c>
      <c r="M1776" s="11">
        <v>6.7500000000000004E-2</v>
      </c>
      <c r="N1776" s="11">
        <f t="shared" si="108"/>
        <v>6.8000000000000005E-2</v>
      </c>
      <c r="O1776" s="6">
        <v>0.75000000000000011</v>
      </c>
      <c r="P1776" s="6">
        <v>0.3</v>
      </c>
      <c r="Q1776" s="6">
        <v>0.22500000000000001</v>
      </c>
      <c r="R1776" s="6">
        <v>0.75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-0.60000000000000009</v>
      </c>
      <c r="AC1776" s="6">
        <v>5.5511151231257827E-17</v>
      </c>
      <c r="AD1776" s="23" t="s">
        <v>3143</v>
      </c>
      <c r="AE1776" s="23">
        <f t="shared" si="109"/>
        <v>0</v>
      </c>
      <c r="AF1776" s="24">
        <f t="shared" si="110"/>
        <v>6.8000000000000005E-2</v>
      </c>
      <c r="AG1776" s="23">
        <f t="shared" si="111"/>
        <v>67</v>
      </c>
    </row>
    <row r="1777" spans="1:33" ht="12.5" hidden="1" customHeight="1" x14ac:dyDescent="0.25">
      <c r="A1777" s="12" t="s">
        <v>31</v>
      </c>
      <c r="B1777" s="9">
        <v>46199</v>
      </c>
      <c r="C1777" s="12" t="s">
        <v>2809</v>
      </c>
      <c r="D1777" s="12" t="s">
        <v>338</v>
      </c>
      <c r="E1777" s="12" t="s">
        <v>51</v>
      </c>
      <c r="F1777" s="12" t="s">
        <v>35</v>
      </c>
      <c r="G1777" s="10" t="s">
        <v>3145</v>
      </c>
      <c r="H1777" s="8" t="s">
        <v>41</v>
      </c>
      <c r="I1777" s="11">
        <v>0.01</v>
      </c>
      <c r="J1777" s="6">
        <v>7.4999999999999997E-3</v>
      </c>
      <c r="K1777" s="6">
        <v>0.75</v>
      </c>
      <c r="L1777" s="6">
        <v>0.01</v>
      </c>
      <c r="M1777" s="11">
        <v>7.4999999999999997E-3</v>
      </c>
      <c r="N1777" s="11">
        <f t="shared" si="108"/>
        <v>8.0000000000000002E-3</v>
      </c>
      <c r="O1777" s="6">
        <v>0.75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23" t="s">
        <v>3143</v>
      </c>
      <c r="AE1777" s="23">
        <f t="shared" si="109"/>
        <v>0</v>
      </c>
      <c r="AF1777" s="24">
        <f t="shared" si="110"/>
        <v>8.0000000000000002E-3</v>
      </c>
      <c r="AG1777" s="23">
        <f t="shared" si="111"/>
        <v>67</v>
      </c>
    </row>
    <row r="1778" spans="1:33" ht="12.5" customHeight="1" x14ac:dyDescent="0.25">
      <c r="A1778" s="12" t="s">
        <v>31</v>
      </c>
      <c r="B1778" s="9">
        <v>46199</v>
      </c>
      <c r="C1778" s="13" t="s">
        <v>2809</v>
      </c>
      <c r="D1778" s="13" t="s">
        <v>338</v>
      </c>
      <c r="E1778" s="13" t="s">
        <v>51</v>
      </c>
      <c r="F1778" s="13" t="s">
        <v>35</v>
      </c>
      <c r="G1778" s="10" t="s">
        <v>3146</v>
      </c>
      <c r="H1778" s="8" t="s">
        <v>36</v>
      </c>
      <c r="I1778" s="11">
        <v>0.01</v>
      </c>
      <c r="J1778" s="6">
        <v>9.1699999999999993E-3</v>
      </c>
      <c r="K1778" s="6">
        <v>0.91699999999999993</v>
      </c>
      <c r="L1778" s="6">
        <v>0.01</v>
      </c>
      <c r="M1778" s="11">
        <v>9.1699999999999993E-3</v>
      </c>
      <c r="N1778" s="11">
        <f t="shared" si="108"/>
        <v>9.9999999999999985E-3</v>
      </c>
      <c r="O1778" s="6">
        <v>0.91699999999999993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23" t="s">
        <v>3143</v>
      </c>
      <c r="AE1778" s="23">
        <f t="shared" si="109"/>
        <v>0</v>
      </c>
      <c r="AF1778" s="24">
        <f t="shared" si="110"/>
        <v>9.9999999999999985E-3</v>
      </c>
      <c r="AG1778" s="23">
        <f t="shared" si="111"/>
        <v>67</v>
      </c>
    </row>
    <row r="1779" spans="1:33" ht="12.5" customHeight="1" x14ac:dyDescent="0.25">
      <c r="A1779" s="12" t="s">
        <v>31</v>
      </c>
      <c r="B1779" s="9">
        <v>46200</v>
      </c>
      <c r="C1779" s="10" t="s">
        <v>2810</v>
      </c>
      <c r="D1779" s="10" t="s">
        <v>2811</v>
      </c>
      <c r="E1779" s="10" t="s">
        <v>34</v>
      </c>
      <c r="F1779" s="10" t="s">
        <v>35</v>
      </c>
      <c r="G1779" s="10" t="s">
        <v>3146</v>
      </c>
      <c r="H1779" s="8" t="s">
        <v>36</v>
      </c>
      <c r="I1779" s="11">
        <v>342.2</v>
      </c>
      <c r="J1779" s="6">
        <v>313.79739999999998</v>
      </c>
      <c r="K1779" s="6">
        <v>0.91699999999999993</v>
      </c>
      <c r="L1779" s="6">
        <v>323.14</v>
      </c>
      <c r="M1779" s="11">
        <v>296.31938000000002</v>
      </c>
      <c r="N1779" s="11">
        <f t="shared" si="108"/>
        <v>296.32</v>
      </c>
      <c r="O1779" s="6">
        <v>0.91700000000000015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19.059999999999999</v>
      </c>
      <c r="Z1779" s="6">
        <v>17.478020000000001</v>
      </c>
      <c r="AA1779" s="6">
        <v>0.91700000000000015</v>
      </c>
      <c r="AB1779" s="6">
        <v>-19.060000000000002</v>
      </c>
      <c r="AC1779" s="6">
        <v>19.060000000000002</v>
      </c>
      <c r="AD1779" s="22" t="s">
        <v>3140</v>
      </c>
      <c r="AE1779" s="23">
        <f t="shared" si="109"/>
        <v>296.32</v>
      </c>
      <c r="AF1779" s="24">
        <f t="shared" si="110"/>
        <v>0</v>
      </c>
      <c r="AG1779" s="23">
        <f t="shared" si="111"/>
        <v>1</v>
      </c>
    </row>
    <row r="1780" spans="1:33" ht="12.5" customHeight="1" x14ac:dyDescent="0.25">
      <c r="A1780" s="12" t="s">
        <v>31</v>
      </c>
      <c r="B1780" s="9">
        <v>46200</v>
      </c>
      <c r="C1780" s="10" t="s">
        <v>2812</v>
      </c>
      <c r="D1780" s="10" t="s">
        <v>2813</v>
      </c>
      <c r="E1780" s="10" t="s">
        <v>34</v>
      </c>
      <c r="F1780" s="10" t="s">
        <v>35</v>
      </c>
      <c r="G1780" s="10" t="s">
        <v>3146</v>
      </c>
      <c r="H1780" s="8" t="s">
        <v>36</v>
      </c>
      <c r="I1780" s="11">
        <v>13.81</v>
      </c>
      <c r="J1780" s="6">
        <v>12.66377</v>
      </c>
      <c r="K1780" s="6">
        <v>0.91699999999999993</v>
      </c>
      <c r="L1780" s="6">
        <v>13</v>
      </c>
      <c r="M1780" s="11">
        <v>11.920999999999999</v>
      </c>
      <c r="N1780" s="11">
        <f t="shared" si="108"/>
        <v>11.920999999999999</v>
      </c>
      <c r="O1780" s="6">
        <v>0.91699999999999993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0.81</v>
      </c>
      <c r="Z1780" s="6">
        <v>0.74277000000000004</v>
      </c>
      <c r="AA1780" s="6">
        <v>0.91700000000000004</v>
      </c>
      <c r="AB1780" s="6">
        <v>-0.8100000000000005</v>
      </c>
      <c r="AC1780" s="6">
        <v>0.8100000000000005</v>
      </c>
      <c r="AD1780" s="22" t="s">
        <v>3140</v>
      </c>
      <c r="AE1780" s="23">
        <f t="shared" si="109"/>
        <v>11.920999999999999</v>
      </c>
      <c r="AF1780" s="24">
        <f t="shared" si="110"/>
        <v>0</v>
      </c>
      <c r="AG1780" s="23">
        <f t="shared" si="111"/>
        <v>1</v>
      </c>
    </row>
    <row r="1781" spans="1:33" ht="12.5" customHeight="1" x14ac:dyDescent="0.25">
      <c r="A1781" s="12" t="s">
        <v>31</v>
      </c>
      <c r="B1781" s="9">
        <v>46200</v>
      </c>
      <c r="C1781" s="10" t="s">
        <v>2814</v>
      </c>
      <c r="D1781" s="10" t="s">
        <v>2815</v>
      </c>
      <c r="E1781" s="10" t="s">
        <v>34</v>
      </c>
      <c r="F1781" s="10" t="s">
        <v>35</v>
      </c>
      <c r="G1781" s="10" t="s">
        <v>3146</v>
      </c>
      <c r="H1781" s="8" t="s">
        <v>36</v>
      </c>
      <c r="I1781" s="11">
        <v>166.21</v>
      </c>
      <c r="J1781" s="6">
        <v>152.41457</v>
      </c>
      <c r="K1781" s="6">
        <v>0.91699999999999993</v>
      </c>
      <c r="L1781" s="6">
        <v>154.91</v>
      </c>
      <c r="M1781" s="11">
        <v>142.05247</v>
      </c>
      <c r="N1781" s="11">
        <f t="shared" si="108"/>
        <v>142.053</v>
      </c>
      <c r="O1781" s="6">
        <v>0.91700000000000004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11.3</v>
      </c>
      <c r="Z1781" s="6">
        <v>10.3621</v>
      </c>
      <c r="AA1781" s="6">
        <v>0.91699999999999993</v>
      </c>
      <c r="AB1781" s="6">
        <v>-11.300000000000011</v>
      </c>
      <c r="AC1781" s="6">
        <v>11.300000000000011</v>
      </c>
      <c r="AD1781" s="23" t="s">
        <v>3143</v>
      </c>
      <c r="AE1781" s="23">
        <f t="shared" si="109"/>
        <v>141.84200000000001</v>
      </c>
      <c r="AF1781" s="24">
        <f t="shared" si="110"/>
        <v>0.21099999999998431</v>
      </c>
      <c r="AG1781" s="23">
        <f t="shared" si="111"/>
        <v>2</v>
      </c>
    </row>
    <row r="1782" spans="1:33" ht="12.5" customHeight="1" x14ac:dyDescent="0.25">
      <c r="A1782" s="12" t="s">
        <v>31</v>
      </c>
      <c r="B1782" s="9">
        <v>46200</v>
      </c>
      <c r="C1782" s="10" t="s">
        <v>2816</v>
      </c>
      <c r="D1782" s="10" t="s">
        <v>2817</v>
      </c>
      <c r="E1782" s="10" t="s">
        <v>34</v>
      </c>
      <c r="F1782" s="10" t="s">
        <v>35</v>
      </c>
      <c r="G1782" s="10" t="s">
        <v>3146</v>
      </c>
      <c r="H1782" s="8" t="s">
        <v>36</v>
      </c>
      <c r="I1782" s="11">
        <v>73.45</v>
      </c>
      <c r="J1782" s="6">
        <v>67.353650000000002</v>
      </c>
      <c r="K1782" s="6">
        <v>0.91700000000000004</v>
      </c>
      <c r="L1782" s="6">
        <v>70.28</v>
      </c>
      <c r="M1782" s="11">
        <v>64.446759999999998</v>
      </c>
      <c r="N1782" s="11">
        <f t="shared" si="108"/>
        <v>64.447000000000003</v>
      </c>
      <c r="O1782" s="6">
        <v>0.91699999999999993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3.17</v>
      </c>
      <c r="Z1782" s="6">
        <v>2.9068900000000002</v>
      </c>
      <c r="AA1782" s="6">
        <v>0.91700000000000004</v>
      </c>
      <c r="AB1782" s="6">
        <v>-3.1700000000000017</v>
      </c>
      <c r="AC1782" s="6">
        <v>3.1700000000000017</v>
      </c>
      <c r="AD1782" s="22" t="s">
        <v>3140</v>
      </c>
      <c r="AE1782" s="23">
        <f t="shared" si="109"/>
        <v>64.447000000000003</v>
      </c>
      <c r="AF1782" s="24">
        <f t="shared" si="110"/>
        <v>0</v>
      </c>
      <c r="AG1782" s="23">
        <f t="shared" si="111"/>
        <v>1</v>
      </c>
    </row>
    <row r="1783" spans="1:33" hidden="1" x14ac:dyDescent="0.25">
      <c r="A1783" s="12" t="s">
        <v>31</v>
      </c>
      <c r="B1783" s="9">
        <v>46200</v>
      </c>
      <c r="C1783" s="10" t="s">
        <v>2818</v>
      </c>
      <c r="D1783" s="10" t="s">
        <v>338</v>
      </c>
      <c r="E1783" s="10" t="s">
        <v>34</v>
      </c>
      <c r="F1783" s="10" t="s">
        <v>35</v>
      </c>
      <c r="G1783" s="10" t="s">
        <v>3145</v>
      </c>
      <c r="H1783" s="8" t="s">
        <v>41</v>
      </c>
      <c r="I1783" s="11">
        <v>13.88</v>
      </c>
      <c r="J1783" s="6">
        <v>10.41</v>
      </c>
      <c r="K1783" s="6">
        <v>0.75</v>
      </c>
      <c r="L1783" s="6">
        <v>12.46</v>
      </c>
      <c r="M1783" s="11">
        <v>9.3450000000000006</v>
      </c>
      <c r="N1783" s="11">
        <f t="shared" si="108"/>
        <v>9.3450000000000006</v>
      </c>
      <c r="O1783" s="6">
        <v>0.75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1.42</v>
      </c>
      <c r="Z1783" s="6">
        <v>1.0649999999999999</v>
      </c>
      <c r="AA1783" s="6">
        <v>0.75</v>
      </c>
      <c r="AB1783" s="6">
        <v>-1.42</v>
      </c>
      <c r="AC1783" s="6">
        <v>1.42</v>
      </c>
      <c r="AD1783" s="23" t="s">
        <v>3143</v>
      </c>
      <c r="AE1783" s="23">
        <f t="shared" si="109"/>
        <v>0</v>
      </c>
      <c r="AF1783" s="24">
        <f t="shared" si="110"/>
        <v>9.3450000000000006</v>
      </c>
      <c r="AG1783" s="23">
        <f t="shared" si="111"/>
        <v>67</v>
      </c>
    </row>
    <row r="1784" spans="1:33" hidden="1" x14ac:dyDescent="0.25">
      <c r="A1784" s="12" t="s">
        <v>31</v>
      </c>
      <c r="B1784" s="9">
        <v>46200</v>
      </c>
      <c r="C1784" s="10" t="s">
        <v>2819</v>
      </c>
      <c r="D1784" s="10" t="s">
        <v>2763</v>
      </c>
      <c r="E1784" s="10" t="s">
        <v>51</v>
      </c>
      <c r="F1784" s="10" t="s">
        <v>35</v>
      </c>
      <c r="G1784" s="10" t="s">
        <v>3145</v>
      </c>
      <c r="H1784" s="8" t="s">
        <v>41</v>
      </c>
      <c r="I1784" s="11">
        <v>448.23</v>
      </c>
      <c r="J1784" s="6">
        <v>336.17250000000001</v>
      </c>
      <c r="K1784" s="6">
        <v>0.75</v>
      </c>
      <c r="L1784" s="6">
        <v>448.13</v>
      </c>
      <c r="M1784" s="11">
        <v>336.09750000000003</v>
      </c>
      <c r="N1784" s="11">
        <f t="shared" si="108"/>
        <v>336.09799999999996</v>
      </c>
      <c r="O1784" s="6">
        <v>0.75000000000000011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0.1</v>
      </c>
      <c r="Z1784" s="6">
        <v>7.4999999999999997E-2</v>
      </c>
      <c r="AA1784" s="6">
        <v>0.74999999999999989</v>
      </c>
      <c r="AB1784" s="6">
        <v>-0.10000000000002274</v>
      </c>
      <c r="AC1784" s="6">
        <v>0.10000000000002274</v>
      </c>
      <c r="AD1784" s="22" t="s">
        <v>3140</v>
      </c>
      <c r="AE1784" s="23">
        <f t="shared" si="109"/>
        <v>336.09799999999996</v>
      </c>
      <c r="AF1784" s="24">
        <f t="shared" si="110"/>
        <v>0</v>
      </c>
      <c r="AG1784" s="23">
        <f t="shared" si="111"/>
        <v>2</v>
      </c>
    </row>
    <row r="1785" spans="1:33" x14ac:dyDescent="0.25">
      <c r="A1785" s="12" t="s">
        <v>31</v>
      </c>
      <c r="B1785" s="9">
        <v>46200</v>
      </c>
      <c r="C1785" s="10" t="s">
        <v>2820</v>
      </c>
      <c r="D1785" s="10" t="s">
        <v>2821</v>
      </c>
      <c r="E1785" s="10" t="s">
        <v>51</v>
      </c>
      <c r="F1785" s="10" t="s">
        <v>35</v>
      </c>
      <c r="G1785" s="10" t="s">
        <v>3146</v>
      </c>
      <c r="H1785" s="8" t="s">
        <v>36</v>
      </c>
      <c r="I1785" s="11">
        <v>11.64</v>
      </c>
      <c r="J1785" s="6">
        <v>10.67388</v>
      </c>
      <c r="K1785" s="6">
        <v>0.91700000000000004</v>
      </c>
      <c r="L1785" s="6">
        <v>10.98</v>
      </c>
      <c r="M1785" s="11">
        <v>10.068659999999999</v>
      </c>
      <c r="N1785" s="11">
        <f t="shared" si="108"/>
        <v>10.068999999999999</v>
      </c>
      <c r="O1785" s="6">
        <v>0.91699999999999993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0.66</v>
      </c>
      <c r="Z1785" s="6">
        <v>0.60521999999999998</v>
      </c>
      <c r="AA1785" s="6">
        <v>0.91699999999999993</v>
      </c>
      <c r="AB1785" s="6">
        <v>-0.66000000000000014</v>
      </c>
      <c r="AC1785" s="6">
        <v>0.66000000000000014</v>
      </c>
      <c r="AD1785" s="22" t="s">
        <v>3140</v>
      </c>
      <c r="AE1785" s="23">
        <f t="shared" si="109"/>
        <v>10.068999999999999</v>
      </c>
      <c r="AF1785" s="24">
        <f t="shared" si="110"/>
        <v>0</v>
      </c>
      <c r="AG1785" s="23">
        <f t="shared" si="111"/>
        <v>1</v>
      </c>
    </row>
    <row r="1786" spans="1:33" x14ac:dyDescent="0.25">
      <c r="A1786" s="12" t="s">
        <v>31</v>
      </c>
      <c r="B1786" s="9">
        <v>46200</v>
      </c>
      <c r="C1786" s="10" t="s">
        <v>2822</v>
      </c>
      <c r="D1786" s="10" t="s">
        <v>2823</v>
      </c>
      <c r="E1786" s="10" t="s">
        <v>51</v>
      </c>
      <c r="F1786" s="10" t="s">
        <v>35</v>
      </c>
      <c r="G1786" s="10" t="s">
        <v>3146</v>
      </c>
      <c r="H1786" s="8" t="s">
        <v>36</v>
      </c>
      <c r="I1786" s="11">
        <v>11.01</v>
      </c>
      <c r="J1786" s="6">
        <v>10.096170000000001</v>
      </c>
      <c r="K1786" s="6">
        <v>0.91700000000000004</v>
      </c>
      <c r="L1786" s="6">
        <v>10.34</v>
      </c>
      <c r="M1786" s="11">
        <v>9.4817800000000005</v>
      </c>
      <c r="N1786" s="11">
        <f t="shared" si="108"/>
        <v>9.4819999999999993</v>
      </c>
      <c r="O1786" s="6">
        <v>0.91700000000000004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0.67</v>
      </c>
      <c r="Z1786" s="6">
        <v>0.61438999999999999</v>
      </c>
      <c r="AA1786" s="6">
        <v>0.91699999999999993</v>
      </c>
      <c r="AB1786" s="6">
        <v>-0.67</v>
      </c>
      <c r="AC1786" s="6">
        <v>0.67</v>
      </c>
      <c r="AD1786" s="22" t="s">
        <v>3140</v>
      </c>
      <c r="AE1786" s="23">
        <f t="shared" si="109"/>
        <v>9.4819999999999993</v>
      </c>
      <c r="AF1786" s="24">
        <f t="shared" si="110"/>
        <v>0</v>
      </c>
      <c r="AG1786" s="23">
        <f t="shared" si="111"/>
        <v>1</v>
      </c>
    </row>
    <row r="1787" spans="1:33" x14ac:dyDescent="0.25">
      <c r="A1787" s="12" t="s">
        <v>31</v>
      </c>
      <c r="B1787" s="9">
        <v>46200</v>
      </c>
      <c r="C1787" s="10" t="s">
        <v>2824</v>
      </c>
      <c r="D1787" s="10" t="s">
        <v>2825</v>
      </c>
      <c r="E1787" s="10" t="s">
        <v>51</v>
      </c>
      <c r="F1787" s="10" t="s">
        <v>35</v>
      </c>
      <c r="G1787" s="10" t="s">
        <v>3146</v>
      </c>
      <c r="H1787" s="8" t="s">
        <v>36</v>
      </c>
      <c r="I1787" s="11">
        <v>12.1</v>
      </c>
      <c r="J1787" s="6">
        <v>11.095700000000001</v>
      </c>
      <c r="K1787" s="6">
        <v>0.91700000000000004</v>
      </c>
      <c r="L1787" s="6">
        <v>11.68</v>
      </c>
      <c r="M1787" s="11">
        <v>10.710559999999999</v>
      </c>
      <c r="N1787" s="11">
        <f t="shared" si="108"/>
        <v>10.711</v>
      </c>
      <c r="O1787" s="6">
        <v>0.91699999999999993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0.42</v>
      </c>
      <c r="Z1787" s="6">
        <v>0.38513999999999998</v>
      </c>
      <c r="AA1787" s="6">
        <v>0.91700000000000004</v>
      </c>
      <c r="AB1787" s="6">
        <v>-0.41999999999999993</v>
      </c>
      <c r="AC1787" s="6">
        <v>0.41999999999999993</v>
      </c>
      <c r="AD1787" s="22" t="s">
        <v>3140</v>
      </c>
      <c r="AE1787" s="23">
        <f t="shared" si="109"/>
        <v>10.711</v>
      </c>
      <c r="AF1787" s="24">
        <f t="shared" si="110"/>
        <v>0</v>
      </c>
      <c r="AG1787" s="23">
        <f t="shared" si="111"/>
        <v>1</v>
      </c>
    </row>
    <row r="1788" spans="1:33" x14ac:dyDescent="0.25">
      <c r="A1788" s="12" t="s">
        <v>31</v>
      </c>
      <c r="B1788" s="9">
        <v>46200</v>
      </c>
      <c r="C1788" s="10" t="s">
        <v>2826</v>
      </c>
      <c r="D1788" s="10" t="s">
        <v>2827</v>
      </c>
      <c r="E1788" s="10" t="s">
        <v>51</v>
      </c>
      <c r="F1788" s="10" t="s">
        <v>35</v>
      </c>
      <c r="G1788" s="10" t="s">
        <v>3146</v>
      </c>
      <c r="H1788" s="8" t="s">
        <v>36</v>
      </c>
      <c r="I1788" s="11">
        <v>11.19</v>
      </c>
      <c r="J1788" s="6">
        <v>10.261229999999999</v>
      </c>
      <c r="K1788" s="6">
        <v>0.91700000000000004</v>
      </c>
      <c r="L1788" s="6">
        <v>10.68</v>
      </c>
      <c r="M1788" s="11">
        <v>9.7935599999999994</v>
      </c>
      <c r="N1788" s="11">
        <f t="shared" si="108"/>
        <v>9.7939999999999987</v>
      </c>
      <c r="O1788" s="6">
        <v>0.91699999999999993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0.51</v>
      </c>
      <c r="Z1788" s="6">
        <v>0.46766999999999997</v>
      </c>
      <c r="AA1788" s="6">
        <v>0.91699999999999993</v>
      </c>
      <c r="AB1788" s="6">
        <v>-0.50999999999999979</v>
      </c>
      <c r="AC1788" s="6">
        <v>0.50999999999999979</v>
      </c>
      <c r="AD1788" s="22" t="s">
        <v>3140</v>
      </c>
      <c r="AE1788" s="23">
        <f t="shared" si="109"/>
        <v>9.7939999999999987</v>
      </c>
      <c r="AF1788" s="24">
        <f t="shared" si="110"/>
        <v>0</v>
      </c>
      <c r="AG1788" s="23">
        <f t="shared" si="111"/>
        <v>1</v>
      </c>
    </row>
    <row r="1789" spans="1:33" ht="20" hidden="1" customHeight="1" x14ac:dyDescent="0.25">
      <c r="A1789" s="12" t="s">
        <v>31</v>
      </c>
      <c r="B1789" s="9">
        <v>46200</v>
      </c>
      <c r="C1789" s="10" t="s">
        <v>2828</v>
      </c>
      <c r="D1789" s="10" t="s">
        <v>2829</v>
      </c>
      <c r="E1789" s="10" t="s">
        <v>51</v>
      </c>
      <c r="F1789" s="10" t="s">
        <v>35</v>
      </c>
      <c r="G1789" s="10" t="s">
        <v>3145</v>
      </c>
      <c r="H1789" s="8" t="s">
        <v>48</v>
      </c>
      <c r="I1789" s="11">
        <v>0.75</v>
      </c>
      <c r="J1789" s="6">
        <v>0.5625</v>
      </c>
      <c r="K1789" s="6">
        <v>0.75</v>
      </c>
      <c r="L1789" s="6">
        <v>0.72</v>
      </c>
      <c r="M1789" s="11">
        <v>0.54</v>
      </c>
      <c r="N1789" s="11">
        <f t="shared" si="108"/>
        <v>0.54</v>
      </c>
      <c r="O1789" s="6">
        <v>0.75000000000000011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0.03</v>
      </c>
      <c r="Z1789" s="6">
        <v>2.2499999999999999E-2</v>
      </c>
      <c r="AA1789" s="6">
        <v>0.75</v>
      </c>
      <c r="AB1789" s="6">
        <v>-3.0000000000000027E-2</v>
      </c>
      <c r="AC1789" s="6">
        <v>3.0000000000000027E-2</v>
      </c>
      <c r="AD1789" s="22" t="s">
        <v>3140</v>
      </c>
      <c r="AE1789" s="23">
        <f t="shared" si="109"/>
        <v>0.54</v>
      </c>
      <c r="AF1789" s="24">
        <f t="shared" si="110"/>
        <v>0</v>
      </c>
      <c r="AG1789" s="23">
        <f t="shared" si="111"/>
        <v>1</v>
      </c>
    </row>
    <row r="1790" spans="1:33" x14ac:dyDescent="0.25">
      <c r="A1790" s="12" t="s">
        <v>31</v>
      </c>
      <c r="B1790" s="9">
        <v>46200</v>
      </c>
      <c r="C1790" s="10" t="s">
        <v>2830</v>
      </c>
      <c r="D1790" s="10" t="s">
        <v>2831</v>
      </c>
      <c r="E1790" s="10" t="s">
        <v>51</v>
      </c>
      <c r="F1790" s="10" t="s">
        <v>35</v>
      </c>
      <c r="G1790" s="10" t="s">
        <v>3146</v>
      </c>
      <c r="H1790" s="8" t="s">
        <v>36</v>
      </c>
      <c r="I1790" s="11">
        <v>11.53</v>
      </c>
      <c r="J1790" s="6">
        <v>10.57301</v>
      </c>
      <c r="K1790" s="6">
        <v>0.91700000000000004</v>
      </c>
      <c r="L1790" s="6">
        <v>10.7</v>
      </c>
      <c r="M1790" s="11">
        <v>9.8118999999999996</v>
      </c>
      <c r="N1790" s="11">
        <f t="shared" si="108"/>
        <v>9.8119999999999994</v>
      </c>
      <c r="O1790" s="6">
        <v>0.91700000000000004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0.83</v>
      </c>
      <c r="Z1790" s="6">
        <v>0.76110999999999995</v>
      </c>
      <c r="AA1790" s="6">
        <v>0.91700000000000004</v>
      </c>
      <c r="AB1790" s="6">
        <v>-0.83</v>
      </c>
      <c r="AC1790" s="6">
        <v>0.83</v>
      </c>
      <c r="AD1790" s="22" t="s">
        <v>3140</v>
      </c>
      <c r="AE1790" s="23">
        <f t="shared" si="109"/>
        <v>9.8119999999999994</v>
      </c>
      <c r="AF1790" s="24">
        <f t="shared" si="110"/>
        <v>0</v>
      </c>
      <c r="AG1790" s="23">
        <f t="shared" si="111"/>
        <v>1</v>
      </c>
    </row>
    <row r="1791" spans="1:33" x14ac:dyDescent="0.25">
      <c r="A1791" s="12" t="s">
        <v>31</v>
      </c>
      <c r="B1791" s="9">
        <v>46200</v>
      </c>
      <c r="C1791" s="10" t="s">
        <v>2832</v>
      </c>
      <c r="D1791" s="10" t="s">
        <v>2833</v>
      </c>
      <c r="E1791" s="10" t="s">
        <v>51</v>
      </c>
      <c r="F1791" s="10" t="s">
        <v>35</v>
      </c>
      <c r="G1791" s="10" t="s">
        <v>3146</v>
      </c>
      <c r="H1791" s="8" t="s">
        <v>36</v>
      </c>
      <c r="I1791" s="11">
        <v>10.89</v>
      </c>
      <c r="J1791" s="6">
        <v>9.9861299999999993</v>
      </c>
      <c r="K1791" s="6">
        <v>0.91699999999999993</v>
      </c>
      <c r="L1791" s="6">
        <v>10.26</v>
      </c>
      <c r="M1791" s="11">
        <v>9.4084199999999996</v>
      </c>
      <c r="N1791" s="11">
        <f t="shared" si="108"/>
        <v>9.4089999999999989</v>
      </c>
      <c r="O1791" s="6">
        <v>0.91699999999999993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0.63</v>
      </c>
      <c r="Z1791" s="6">
        <v>0.57770999999999995</v>
      </c>
      <c r="AA1791" s="6">
        <v>0.91699999999999993</v>
      </c>
      <c r="AB1791" s="6">
        <v>-0.63000000000000078</v>
      </c>
      <c r="AC1791" s="6">
        <v>0.63000000000000078</v>
      </c>
      <c r="AD1791" s="22" t="s">
        <v>3140</v>
      </c>
      <c r="AE1791" s="23">
        <f t="shared" si="109"/>
        <v>9.4089999999999989</v>
      </c>
      <c r="AF1791" s="24">
        <f t="shared" si="110"/>
        <v>0</v>
      </c>
      <c r="AG1791" s="23">
        <f t="shared" si="111"/>
        <v>1</v>
      </c>
    </row>
    <row r="1792" spans="1:33" x14ac:dyDescent="0.25">
      <c r="A1792" s="12" t="s">
        <v>31</v>
      </c>
      <c r="B1792" s="9">
        <v>46200</v>
      </c>
      <c r="C1792" s="10" t="s">
        <v>2834</v>
      </c>
      <c r="D1792" s="10" t="s">
        <v>2835</v>
      </c>
      <c r="E1792" s="10" t="s">
        <v>51</v>
      </c>
      <c r="F1792" s="10" t="s">
        <v>35</v>
      </c>
      <c r="G1792" s="10" t="s">
        <v>3146</v>
      </c>
      <c r="H1792" s="8" t="s">
        <v>36</v>
      </c>
      <c r="I1792" s="11">
        <v>4.5999999999999996</v>
      </c>
      <c r="J1792" s="6">
        <v>4.2182000000000004</v>
      </c>
      <c r="K1792" s="6">
        <v>0.91700000000000015</v>
      </c>
      <c r="L1792" s="6">
        <v>4.3099999999999996</v>
      </c>
      <c r="M1792" s="11">
        <v>3.9522699999999999</v>
      </c>
      <c r="N1792" s="11">
        <f t="shared" si="108"/>
        <v>3.9529999999999998</v>
      </c>
      <c r="O1792" s="6">
        <v>0.91700000000000004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0.28999999999999998</v>
      </c>
      <c r="Z1792" s="6">
        <v>0.26593</v>
      </c>
      <c r="AA1792" s="6">
        <v>0.91700000000000004</v>
      </c>
      <c r="AB1792" s="6">
        <v>-0.29000000000000004</v>
      </c>
      <c r="AC1792" s="6">
        <v>0.29000000000000004</v>
      </c>
      <c r="AD1792" s="22" t="s">
        <v>3140</v>
      </c>
      <c r="AE1792" s="23">
        <f t="shared" si="109"/>
        <v>3.9529999999999998</v>
      </c>
      <c r="AF1792" s="24">
        <f t="shared" si="110"/>
        <v>0</v>
      </c>
      <c r="AG1792" s="23">
        <f t="shared" si="111"/>
        <v>3</v>
      </c>
    </row>
    <row r="1793" spans="1:33" x14ac:dyDescent="0.25">
      <c r="A1793" s="12" t="s">
        <v>31</v>
      </c>
      <c r="B1793" s="9">
        <v>46200</v>
      </c>
      <c r="C1793" s="10" t="s">
        <v>2836</v>
      </c>
      <c r="D1793" s="10" t="s">
        <v>2837</v>
      </c>
      <c r="E1793" s="10" t="s">
        <v>51</v>
      </c>
      <c r="F1793" s="10" t="s">
        <v>35</v>
      </c>
      <c r="G1793" s="10" t="s">
        <v>3146</v>
      </c>
      <c r="H1793" s="8" t="s">
        <v>36</v>
      </c>
      <c r="I1793" s="11">
        <v>0.74</v>
      </c>
      <c r="J1793" s="6">
        <v>0.67857999999999996</v>
      </c>
      <c r="K1793" s="6">
        <v>0.91699999999999993</v>
      </c>
      <c r="L1793" s="6">
        <v>0.72</v>
      </c>
      <c r="M1793" s="11">
        <v>0.66024000000000005</v>
      </c>
      <c r="N1793" s="11">
        <f t="shared" si="108"/>
        <v>0.66100000000000003</v>
      </c>
      <c r="O1793" s="6">
        <v>0.91700000000000015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0.02</v>
      </c>
      <c r="Z1793" s="6">
        <v>1.8339999999999999E-2</v>
      </c>
      <c r="AA1793" s="6">
        <v>0.91699999999999993</v>
      </c>
      <c r="AB1793" s="6">
        <v>-2.0000000000000018E-2</v>
      </c>
      <c r="AC1793" s="6">
        <v>2.0000000000000018E-2</v>
      </c>
      <c r="AD1793" s="22" t="s">
        <v>3140</v>
      </c>
      <c r="AE1793" s="23">
        <f t="shared" si="109"/>
        <v>0.66100000000000003</v>
      </c>
      <c r="AF1793" s="24">
        <f t="shared" si="110"/>
        <v>0</v>
      </c>
      <c r="AG1793" s="23">
        <f t="shared" si="111"/>
        <v>1</v>
      </c>
    </row>
    <row r="1794" spans="1:33" x14ac:dyDescent="0.25">
      <c r="A1794" s="12" t="s">
        <v>31</v>
      </c>
      <c r="B1794" s="9">
        <v>46200</v>
      </c>
      <c r="C1794" s="10" t="s">
        <v>2838</v>
      </c>
      <c r="D1794" s="10" t="s">
        <v>2839</v>
      </c>
      <c r="E1794" s="10" t="s">
        <v>51</v>
      </c>
      <c r="F1794" s="10" t="s">
        <v>35</v>
      </c>
      <c r="G1794" s="10" t="s">
        <v>3146</v>
      </c>
      <c r="H1794" s="8" t="s">
        <v>36</v>
      </c>
      <c r="I1794" s="11">
        <v>0.77</v>
      </c>
      <c r="J1794" s="6">
        <v>0.70609</v>
      </c>
      <c r="K1794" s="6">
        <v>0.91699999999999993</v>
      </c>
      <c r="L1794" s="6">
        <v>0.75</v>
      </c>
      <c r="M1794" s="11">
        <v>0.68774999999999997</v>
      </c>
      <c r="N1794" s="11">
        <f t="shared" si="108"/>
        <v>0.68800000000000006</v>
      </c>
      <c r="O1794" s="6">
        <v>0.91699999999999993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0.02</v>
      </c>
      <c r="Z1794" s="6">
        <v>1.8339999999999999E-2</v>
      </c>
      <c r="AA1794" s="6">
        <v>0.91699999999999993</v>
      </c>
      <c r="AB1794" s="6">
        <v>-2.0000000000000018E-2</v>
      </c>
      <c r="AC1794" s="6">
        <v>2.0000000000000018E-2</v>
      </c>
      <c r="AD1794" s="22" t="s">
        <v>3140</v>
      </c>
      <c r="AE1794" s="23">
        <f t="shared" si="109"/>
        <v>0.68800000000000006</v>
      </c>
      <c r="AF1794" s="24">
        <f t="shared" si="110"/>
        <v>0</v>
      </c>
      <c r="AG1794" s="23">
        <f t="shared" si="111"/>
        <v>1</v>
      </c>
    </row>
    <row r="1795" spans="1:33" x14ac:dyDescent="0.25">
      <c r="A1795" s="12" t="s">
        <v>31</v>
      </c>
      <c r="B1795" s="9">
        <v>46200</v>
      </c>
      <c r="C1795" s="10" t="s">
        <v>2840</v>
      </c>
      <c r="D1795" s="10" t="s">
        <v>2841</v>
      </c>
      <c r="E1795" s="10" t="s">
        <v>51</v>
      </c>
      <c r="F1795" s="10" t="s">
        <v>35</v>
      </c>
      <c r="G1795" s="10" t="s">
        <v>3146</v>
      </c>
      <c r="H1795" s="8" t="s">
        <v>36</v>
      </c>
      <c r="I1795" s="11">
        <v>1</v>
      </c>
      <c r="J1795" s="6">
        <v>0.91700000000000004</v>
      </c>
      <c r="K1795" s="6">
        <v>0.91700000000000004</v>
      </c>
      <c r="L1795" s="6">
        <v>0.98</v>
      </c>
      <c r="M1795" s="11">
        <v>0.89866000000000001</v>
      </c>
      <c r="N1795" s="11">
        <f t="shared" ref="N1795:N1858" si="112">ROUNDUP(M1795,3)</f>
        <v>0.89900000000000002</v>
      </c>
      <c r="O1795" s="6">
        <v>0.91700000000000004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0.02</v>
      </c>
      <c r="Z1795" s="6">
        <v>1.8339999999999999E-2</v>
      </c>
      <c r="AA1795" s="6">
        <v>0.91699999999999993</v>
      </c>
      <c r="AB1795" s="6">
        <v>-2.0000000000000018E-2</v>
      </c>
      <c r="AC1795" s="6">
        <v>2.0000000000000018E-2</v>
      </c>
      <c r="AD1795" s="22" t="s">
        <v>3140</v>
      </c>
      <c r="AE1795" s="23">
        <f t="shared" ref="AE1795:AE1858" si="113">_xlfn.MINIFS(N:N,D:D,D1795)</f>
        <v>0.89900000000000002</v>
      </c>
      <c r="AF1795" s="24">
        <f t="shared" ref="AF1795:AF1858" si="114">N1795-AE1795</f>
        <v>0</v>
      </c>
      <c r="AG1795" s="23">
        <f t="shared" ref="AG1795:AG1858" si="115">COUNTIF(D:D,D1795)</f>
        <v>1</v>
      </c>
    </row>
    <row r="1796" spans="1:33" x14ac:dyDescent="0.25">
      <c r="A1796" s="12" t="s">
        <v>31</v>
      </c>
      <c r="B1796" s="9">
        <v>46200</v>
      </c>
      <c r="C1796" s="10" t="s">
        <v>2842</v>
      </c>
      <c r="D1796" s="10" t="s">
        <v>2843</v>
      </c>
      <c r="E1796" s="10" t="s">
        <v>51</v>
      </c>
      <c r="F1796" s="10" t="s">
        <v>35</v>
      </c>
      <c r="G1796" s="10" t="s">
        <v>3146</v>
      </c>
      <c r="H1796" s="8" t="s">
        <v>36</v>
      </c>
      <c r="I1796" s="11">
        <v>13.62</v>
      </c>
      <c r="J1796" s="6">
        <v>12.48954</v>
      </c>
      <c r="K1796" s="6">
        <v>0.91700000000000004</v>
      </c>
      <c r="L1796" s="6">
        <v>13.17</v>
      </c>
      <c r="M1796" s="11">
        <v>12.076890000000001</v>
      </c>
      <c r="N1796" s="11">
        <f t="shared" si="112"/>
        <v>12.077</v>
      </c>
      <c r="O1796" s="6">
        <v>0.91700000000000004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0.45</v>
      </c>
      <c r="Z1796" s="6">
        <v>0.41265000000000002</v>
      </c>
      <c r="AA1796" s="6">
        <v>0.91700000000000004</v>
      </c>
      <c r="AB1796" s="6">
        <v>-0.44999999999999929</v>
      </c>
      <c r="AC1796" s="6">
        <v>0.44999999999999929</v>
      </c>
      <c r="AD1796" s="22" t="s">
        <v>3140</v>
      </c>
      <c r="AE1796" s="23">
        <f t="shared" si="113"/>
        <v>12.077</v>
      </c>
      <c r="AF1796" s="24">
        <f t="shared" si="114"/>
        <v>0</v>
      </c>
      <c r="AG1796" s="23">
        <f t="shared" si="115"/>
        <v>1</v>
      </c>
    </row>
    <row r="1797" spans="1:33" x14ac:dyDescent="0.25">
      <c r="A1797" s="12" t="s">
        <v>31</v>
      </c>
      <c r="B1797" s="9">
        <v>46200</v>
      </c>
      <c r="C1797" s="10" t="s">
        <v>2844</v>
      </c>
      <c r="D1797" s="10" t="s">
        <v>2845</v>
      </c>
      <c r="E1797" s="10" t="s">
        <v>51</v>
      </c>
      <c r="F1797" s="10" t="s">
        <v>35</v>
      </c>
      <c r="G1797" s="10" t="s">
        <v>3146</v>
      </c>
      <c r="H1797" s="8" t="s">
        <v>36</v>
      </c>
      <c r="I1797" s="11">
        <v>10.83</v>
      </c>
      <c r="J1797" s="6">
        <v>9.9311100000000003</v>
      </c>
      <c r="K1797" s="6">
        <v>0.91700000000000004</v>
      </c>
      <c r="L1797" s="6">
        <v>10.72</v>
      </c>
      <c r="M1797" s="11">
        <v>9.8302399999999999</v>
      </c>
      <c r="N1797" s="11">
        <f t="shared" si="112"/>
        <v>9.8309999999999995</v>
      </c>
      <c r="O1797" s="6">
        <v>0.91699999999999993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0.11</v>
      </c>
      <c r="Z1797" s="6">
        <v>0.10087</v>
      </c>
      <c r="AA1797" s="6">
        <v>0.91700000000000004</v>
      </c>
      <c r="AB1797" s="6">
        <v>-0.10999999999999943</v>
      </c>
      <c r="AC1797" s="6">
        <v>0.10999999999999943</v>
      </c>
      <c r="AD1797" s="22" t="s">
        <v>3140</v>
      </c>
      <c r="AE1797" s="23">
        <f t="shared" si="113"/>
        <v>9.8309999999999995</v>
      </c>
      <c r="AF1797" s="24">
        <f t="shared" si="114"/>
        <v>0</v>
      </c>
      <c r="AG1797" s="23">
        <f t="shared" si="115"/>
        <v>1</v>
      </c>
    </row>
    <row r="1798" spans="1:33" x14ac:dyDescent="0.25">
      <c r="A1798" s="12" t="s">
        <v>31</v>
      </c>
      <c r="B1798" s="9">
        <v>46200</v>
      </c>
      <c r="C1798" s="10" t="s">
        <v>2846</v>
      </c>
      <c r="D1798" s="10" t="s">
        <v>2847</v>
      </c>
      <c r="E1798" s="10" t="s">
        <v>51</v>
      </c>
      <c r="F1798" s="10" t="s">
        <v>35</v>
      </c>
      <c r="G1798" s="10" t="s">
        <v>3146</v>
      </c>
      <c r="H1798" s="8" t="s">
        <v>36</v>
      </c>
      <c r="I1798" s="11">
        <v>2.2599999999999998</v>
      </c>
      <c r="J1798" s="6">
        <v>2.0724200000000002</v>
      </c>
      <c r="K1798" s="6">
        <v>0.91700000000000015</v>
      </c>
      <c r="L1798" s="6">
        <v>2.12</v>
      </c>
      <c r="M1798" s="11">
        <v>1.94404</v>
      </c>
      <c r="N1798" s="11">
        <f t="shared" si="112"/>
        <v>1.9449999999999998</v>
      </c>
      <c r="O1798" s="6">
        <v>0.91699999999999993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0.14000000000000001</v>
      </c>
      <c r="Z1798" s="6">
        <v>0.12837999999999999</v>
      </c>
      <c r="AA1798" s="6">
        <v>0.91699999999999982</v>
      </c>
      <c r="AB1798" s="6">
        <v>-0.13999999999999968</v>
      </c>
      <c r="AC1798" s="6">
        <v>0.13999999999999968</v>
      </c>
      <c r="AD1798" s="22" t="s">
        <v>3140</v>
      </c>
      <c r="AE1798" s="23">
        <f t="shared" si="113"/>
        <v>1.9449999999999998</v>
      </c>
      <c r="AF1798" s="24">
        <f t="shared" si="114"/>
        <v>0</v>
      </c>
      <c r="AG1798" s="23">
        <f t="shared" si="115"/>
        <v>1</v>
      </c>
    </row>
    <row r="1799" spans="1:33" ht="20" hidden="1" customHeight="1" x14ac:dyDescent="0.25">
      <c r="A1799" s="12" t="s">
        <v>31</v>
      </c>
      <c r="B1799" s="9">
        <v>46200</v>
      </c>
      <c r="C1799" s="10" t="s">
        <v>2848</v>
      </c>
      <c r="D1799" s="10" t="s">
        <v>2849</v>
      </c>
      <c r="E1799" s="10" t="s">
        <v>51</v>
      </c>
      <c r="F1799" s="10" t="s">
        <v>35</v>
      </c>
      <c r="G1799" s="10" t="s">
        <v>3145</v>
      </c>
      <c r="H1799" s="8" t="s">
        <v>48</v>
      </c>
      <c r="I1799" s="11">
        <v>2.79</v>
      </c>
      <c r="J1799" s="6">
        <v>2.0924999999999998</v>
      </c>
      <c r="K1799" s="6">
        <v>0.74999999999999989</v>
      </c>
      <c r="L1799" s="6">
        <v>2.65</v>
      </c>
      <c r="M1799" s="11">
        <v>1.9875</v>
      </c>
      <c r="N1799" s="11">
        <f t="shared" si="112"/>
        <v>1.988</v>
      </c>
      <c r="O1799" s="6">
        <v>0.75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0.14000000000000001</v>
      </c>
      <c r="Z1799" s="6">
        <v>0.105</v>
      </c>
      <c r="AA1799" s="6">
        <v>0.74999999999999989</v>
      </c>
      <c r="AB1799" s="6">
        <v>-0.14000000000000012</v>
      </c>
      <c r="AC1799" s="6">
        <v>0.14000000000000012</v>
      </c>
      <c r="AD1799" s="23" t="s">
        <v>3143</v>
      </c>
      <c r="AE1799" s="23">
        <f t="shared" si="113"/>
        <v>1.98</v>
      </c>
      <c r="AF1799" s="24">
        <f t="shared" si="114"/>
        <v>8.0000000000000071E-3</v>
      </c>
      <c r="AG1799" s="23">
        <f t="shared" si="115"/>
        <v>2</v>
      </c>
    </row>
    <row r="1800" spans="1:33" x14ac:dyDescent="0.25">
      <c r="A1800" s="12" t="s">
        <v>31</v>
      </c>
      <c r="B1800" s="9">
        <v>46200</v>
      </c>
      <c r="C1800" s="10" t="s">
        <v>2850</v>
      </c>
      <c r="D1800" s="10" t="s">
        <v>2851</v>
      </c>
      <c r="E1800" s="10" t="s">
        <v>51</v>
      </c>
      <c r="F1800" s="10" t="s">
        <v>35</v>
      </c>
      <c r="G1800" s="10" t="s">
        <v>3146</v>
      </c>
      <c r="H1800" s="8" t="s">
        <v>36</v>
      </c>
      <c r="I1800" s="11">
        <v>9.83</v>
      </c>
      <c r="J1800" s="6">
        <v>9.0141100000000005</v>
      </c>
      <c r="K1800" s="6">
        <v>0.91700000000000004</v>
      </c>
      <c r="L1800" s="6">
        <v>9.15</v>
      </c>
      <c r="M1800" s="11">
        <v>8.3905499999999993</v>
      </c>
      <c r="N1800" s="11">
        <f t="shared" si="112"/>
        <v>8.391</v>
      </c>
      <c r="O1800" s="6">
        <v>0.91699999999999993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0.68</v>
      </c>
      <c r="Z1800" s="6">
        <v>0.62356</v>
      </c>
      <c r="AA1800" s="6">
        <v>0.91699999999999993</v>
      </c>
      <c r="AB1800" s="6">
        <v>-0.67999999999999972</v>
      </c>
      <c r="AC1800" s="6">
        <v>0.67999999999999972</v>
      </c>
      <c r="AD1800" s="22" t="s">
        <v>3140</v>
      </c>
      <c r="AE1800" s="23">
        <f t="shared" si="113"/>
        <v>8.391</v>
      </c>
      <c r="AF1800" s="24">
        <f t="shared" si="114"/>
        <v>0</v>
      </c>
      <c r="AG1800" s="23">
        <f t="shared" si="115"/>
        <v>1</v>
      </c>
    </row>
    <row r="1801" spans="1:33" x14ac:dyDescent="0.25">
      <c r="A1801" s="12" t="s">
        <v>31</v>
      </c>
      <c r="B1801" s="9">
        <v>46200</v>
      </c>
      <c r="C1801" s="10" t="s">
        <v>2852</v>
      </c>
      <c r="D1801" s="10" t="s">
        <v>2853</v>
      </c>
      <c r="E1801" s="10" t="s">
        <v>51</v>
      </c>
      <c r="F1801" s="10" t="s">
        <v>35</v>
      </c>
      <c r="G1801" s="10" t="s">
        <v>3146</v>
      </c>
      <c r="H1801" s="8" t="s">
        <v>36</v>
      </c>
      <c r="I1801" s="11">
        <v>10.86</v>
      </c>
      <c r="J1801" s="6">
        <v>9.9586199999999998</v>
      </c>
      <c r="K1801" s="6">
        <v>0.91700000000000004</v>
      </c>
      <c r="L1801" s="6">
        <v>10.199999999999999</v>
      </c>
      <c r="M1801" s="11">
        <v>9.3534000000000006</v>
      </c>
      <c r="N1801" s="11">
        <f t="shared" si="112"/>
        <v>9.3539999999999992</v>
      </c>
      <c r="O1801" s="6">
        <v>0.91700000000000015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0.66</v>
      </c>
      <c r="Z1801" s="6">
        <v>0.60521999999999998</v>
      </c>
      <c r="AA1801" s="6">
        <v>0.91699999999999993</v>
      </c>
      <c r="AB1801" s="6">
        <v>-0.66000000000000014</v>
      </c>
      <c r="AC1801" s="6">
        <v>0.66000000000000014</v>
      </c>
      <c r="AD1801" s="22" t="s">
        <v>3140</v>
      </c>
      <c r="AE1801" s="23">
        <f t="shared" si="113"/>
        <v>9.3539999999999992</v>
      </c>
      <c r="AF1801" s="24">
        <f t="shared" si="114"/>
        <v>0</v>
      </c>
      <c r="AG1801" s="23">
        <f t="shared" si="115"/>
        <v>1</v>
      </c>
    </row>
    <row r="1802" spans="1:33" x14ac:dyDescent="0.25">
      <c r="A1802" s="12" t="s">
        <v>31</v>
      </c>
      <c r="B1802" s="9">
        <v>46200</v>
      </c>
      <c r="C1802" s="10" t="s">
        <v>2854</v>
      </c>
      <c r="D1802" s="10" t="s">
        <v>2855</v>
      </c>
      <c r="E1802" s="10" t="s">
        <v>51</v>
      </c>
      <c r="F1802" s="10" t="s">
        <v>35</v>
      </c>
      <c r="G1802" s="10" t="s">
        <v>3146</v>
      </c>
      <c r="H1802" s="8" t="s">
        <v>36</v>
      </c>
      <c r="I1802" s="11">
        <v>23.02</v>
      </c>
      <c r="J1802" s="6">
        <v>21.10934</v>
      </c>
      <c r="K1802" s="6">
        <v>0.91700000000000004</v>
      </c>
      <c r="L1802" s="6">
        <v>22.26</v>
      </c>
      <c r="M1802" s="11">
        <v>20.412420000000001</v>
      </c>
      <c r="N1802" s="11">
        <f t="shared" si="112"/>
        <v>20.413</v>
      </c>
      <c r="O1802" s="6">
        <v>0.91699999999999993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0.76</v>
      </c>
      <c r="Z1802" s="6">
        <v>0.69691999999999998</v>
      </c>
      <c r="AA1802" s="6">
        <v>0.91699999999999993</v>
      </c>
      <c r="AB1802" s="6">
        <v>-0.75999999999999801</v>
      </c>
      <c r="AC1802" s="6">
        <v>0.75999999999999801</v>
      </c>
      <c r="AD1802" s="22" t="s">
        <v>3140</v>
      </c>
      <c r="AE1802" s="23">
        <f t="shared" si="113"/>
        <v>20.413</v>
      </c>
      <c r="AF1802" s="24">
        <f t="shared" si="114"/>
        <v>0</v>
      </c>
      <c r="AG1802" s="23">
        <f t="shared" si="115"/>
        <v>1</v>
      </c>
    </row>
    <row r="1803" spans="1:33" ht="12.5" customHeight="1" x14ac:dyDescent="0.25">
      <c r="A1803" s="12" t="s">
        <v>31</v>
      </c>
      <c r="B1803" s="9">
        <v>46200</v>
      </c>
      <c r="C1803" s="8" t="s">
        <v>2856</v>
      </c>
      <c r="D1803" s="10" t="s">
        <v>2857</v>
      </c>
      <c r="E1803" s="10" t="s">
        <v>51</v>
      </c>
      <c r="F1803" s="10" t="s">
        <v>35</v>
      </c>
      <c r="G1803" s="10" t="s">
        <v>3146</v>
      </c>
      <c r="H1803" s="8" t="s">
        <v>36</v>
      </c>
      <c r="I1803" s="11">
        <v>1.51</v>
      </c>
      <c r="J1803" s="6">
        <v>1.3846700000000001</v>
      </c>
      <c r="K1803" s="6">
        <v>0.91700000000000004</v>
      </c>
      <c r="L1803" s="6">
        <v>1.45</v>
      </c>
      <c r="M1803" s="11">
        <v>1.32965</v>
      </c>
      <c r="N1803" s="11">
        <f t="shared" si="112"/>
        <v>1.3299999999999998</v>
      </c>
      <c r="O1803" s="6">
        <v>0.91700000000000004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0.06</v>
      </c>
      <c r="Z1803" s="6">
        <v>5.5019999999999999E-2</v>
      </c>
      <c r="AA1803" s="6">
        <v>0.91700000000000004</v>
      </c>
      <c r="AB1803" s="6">
        <v>-6.0000000000000053E-2</v>
      </c>
      <c r="AC1803" s="6">
        <v>6.0000000000000053E-2</v>
      </c>
      <c r="AD1803" s="22" t="s">
        <v>3140</v>
      </c>
      <c r="AE1803" s="23">
        <f t="shared" si="113"/>
        <v>1.3299999999999998</v>
      </c>
      <c r="AF1803" s="24">
        <f t="shared" si="114"/>
        <v>0</v>
      </c>
      <c r="AG1803" s="23">
        <f t="shared" si="115"/>
        <v>1</v>
      </c>
    </row>
    <row r="1804" spans="1:33" ht="12.5" customHeight="1" x14ac:dyDescent="0.25">
      <c r="A1804" s="12" t="s">
        <v>31</v>
      </c>
      <c r="B1804" s="9">
        <v>46200</v>
      </c>
      <c r="C1804" s="12" t="s">
        <v>2856</v>
      </c>
      <c r="D1804" s="10" t="s">
        <v>2858</v>
      </c>
      <c r="E1804" s="10" t="s">
        <v>51</v>
      </c>
      <c r="F1804" s="10" t="s">
        <v>35</v>
      </c>
      <c r="G1804" s="10" t="s">
        <v>3146</v>
      </c>
      <c r="H1804" s="8" t="s">
        <v>36</v>
      </c>
      <c r="I1804" s="11">
        <v>62.5</v>
      </c>
      <c r="J1804" s="6">
        <v>57.3125</v>
      </c>
      <c r="K1804" s="6">
        <v>0.91700000000000004</v>
      </c>
      <c r="L1804" s="6">
        <v>59.82</v>
      </c>
      <c r="M1804" s="11">
        <v>54.854939999999999</v>
      </c>
      <c r="N1804" s="11">
        <f t="shared" si="112"/>
        <v>54.854999999999997</v>
      </c>
      <c r="O1804" s="6">
        <v>0.91699999999999993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2.68</v>
      </c>
      <c r="Z1804" s="6">
        <v>2.45756</v>
      </c>
      <c r="AA1804" s="6">
        <v>0.91699999999999993</v>
      </c>
      <c r="AB1804" s="6">
        <v>-2.68</v>
      </c>
      <c r="AC1804" s="6">
        <v>2.68</v>
      </c>
      <c r="AD1804" s="22" t="s">
        <v>3140</v>
      </c>
      <c r="AE1804" s="23">
        <f t="shared" si="113"/>
        <v>54.854999999999997</v>
      </c>
      <c r="AF1804" s="24">
        <f t="shared" si="114"/>
        <v>0</v>
      </c>
      <c r="AG1804" s="23">
        <f t="shared" si="115"/>
        <v>1</v>
      </c>
    </row>
    <row r="1805" spans="1:33" ht="12.5" hidden="1" customHeight="1" x14ac:dyDescent="0.25">
      <c r="A1805" s="12" t="s">
        <v>31</v>
      </c>
      <c r="B1805" s="9">
        <v>46200</v>
      </c>
      <c r="C1805" s="12" t="s">
        <v>2856</v>
      </c>
      <c r="D1805" s="10" t="s">
        <v>2859</v>
      </c>
      <c r="E1805" s="10" t="s">
        <v>51</v>
      </c>
      <c r="F1805" s="10" t="s">
        <v>35</v>
      </c>
      <c r="G1805" s="10" t="s">
        <v>3145</v>
      </c>
      <c r="H1805" s="8" t="s">
        <v>41</v>
      </c>
      <c r="I1805" s="11">
        <v>57.24</v>
      </c>
      <c r="J1805" s="6">
        <v>42.93</v>
      </c>
      <c r="K1805" s="6">
        <v>0.75</v>
      </c>
      <c r="L1805" s="6">
        <v>54.04</v>
      </c>
      <c r="M1805" s="11">
        <v>40.53</v>
      </c>
      <c r="N1805" s="11">
        <f t="shared" si="112"/>
        <v>40.53</v>
      </c>
      <c r="O1805" s="6">
        <v>0.75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3.2</v>
      </c>
      <c r="Z1805" s="6">
        <v>2.4</v>
      </c>
      <c r="AA1805" s="6">
        <v>0.74999999999999989</v>
      </c>
      <c r="AB1805" s="6">
        <v>-3.2000000000000028</v>
      </c>
      <c r="AC1805" s="6">
        <v>3.2000000000000028</v>
      </c>
      <c r="AD1805" s="22" t="s">
        <v>3140</v>
      </c>
      <c r="AE1805" s="23">
        <f t="shared" si="113"/>
        <v>40.53</v>
      </c>
      <c r="AF1805" s="24">
        <f t="shared" si="114"/>
        <v>0</v>
      </c>
      <c r="AG1805" s="23">
        <f t="shared" si="115"/>
        <v>1</v>
      </c>
    </row>
    <row r="1806" spans="1:33" ht="12.5" hidden="1" customHeight="1" x14ac:dyDescent="0.25">
      <c r="A1806" s="12" t="s">
        <v>31</v>
      </c>
      <c r="B1806" s="9">
        <v>46200</v>
      </c>
      <c r="C1806" s="12" t="s">
        <v>2856</v>
      </c>
      <c r="D1806" s="10" t="s">
        <v>2860</v>
      </c>
      <c r="E1806" s="10" t="s">
        <v>51</v>
      </c>
      <c r="F1806" s="10" t="s">
        <v>35</v>
      </c>
      <c r="G1806" s="10" t="s">
        <v>3145</v>
      </c>
      <c r="H1806" s="8" t="s">
        <v>41</v>
      </c>
      <c r="I1806" s="11">
        <v>51.85</v>
      </c>
      <c r="J1806" s="6">
        <v>38.887500000000003</v>
      </c>
      <c r="K1806" s="6">
        <v>0.75</v>
      </c>
      <c r="L1806" s="6">
        <v>49.55</v>
      </c>
      <c r="M1806" s="11">
        <v>37.162500000000001</v>
      </c>
      <c r="N1806" s="11">
        <f t="shared" si="112"/>
        <v>37.162999999999997</v>
      </c>
      <c r="O1806" s="6">
        <v>0.75000000000000011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2.2999999999999998</v>
      </c>
      <c r="Z1806" s="6">
        <v>1.7250000000000001</v>
      </c>
      <c r="AA1806" s="6">
        <v>0.75000000000000011</v>
      </c>
      <c r="AB1806" s="6">
        <v>-2.3000000000000043</v>
      </c>
      <c r="AC1806" s="6">
        <v>2.3000000000000043</v>
      </c>
      <c r="AD1806" s="22" t="s">
        <v>3140</v>
      </c>
      <c r="AE1806" s="23">
        <f t="shared" si="113"/>
        <v>37.162999999999997</v>
      </c>
      <c r="AF1806" s="24">
        <f t="shared" si="114"/>
        <v>0</v>
      </c>
      <c r="AG1806" s="23">
        <f t="shared" si="115"/>
        <v>1</v>
      </c>
    </row>
    <row r="1807" spans="1:33" ht="12.5" customHeight="1" x14ac:dyDescent="0.25">
      <c r="A1807" s="12" t="s">
        <v>31</v>
      </c>
      <c r="B1807" s="9">
        <v>46200</v>
      </c>
      <c r="C1807" s="12" t="s">
        <v>2856</v>
      </c>
      <c r="D1807" s="10" t="s">
        <v>2861</v>
      </c>
      <c r="E1807" s="10" t="s">
        <v>51</v>
      </c>
      <c r="F1807" s="10" t="s">
        <v>35</v>
      </c>
      <c r="G1807" s="10" t="s">
        <v>3146</v>
      </c>
      <c r="H1807" s="8" t="s">
        <v>36</v>
      </c>
      <c r="I1807" s="11">
        <v>11.77</v>
      </c>
      <c r="J1807" s="6">
        <v>10.793089999999999</v>
      </c>
      <c r="K1807" s="6">
        <v>0.91700000000000004</v>
      </c>
      <c r="L1807" s="6">
        <v>11.26</v>
      </c>
      <c r="M1807" s="11">
        <v>10.325419999999999</v>
      </c>
      <c r="N1807" s="11">
        <f t="shared" si="112"/>
        <v>10.325999999999999</v>
      </c>
      <c r="O1807" s="6">
        <v>0.91699999999999993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0.51</v>
      </c>
      <c r="Z1807" s="6">
        <v>0.46766999999999997</v>
      </c>
      <c r="AA1807" s="6">
        <v>0.91699999999999993</v>
      </c>
      <c r="AB1807" s="6">
        <v>-0.50999999999999979</v>
      </c>
      <c r="AC1807" s="6">
        <v>0.50999999999999979</v>
      </c>
      <c r="AD1807" s="22" t="s">
        <v>3140</v>
      </c>
      <c r="AE1807" s="23">
        <f t="shared" si="113"/>
        <v>10.325999999999999</v>
      </c>
      <c r="AF1807" s="24">
        <f t="shared" si="114"/>
        <v>0</v>
      </c>
      <c r="AG1807" s="23">
        <f t="shared" si="115"/>
        <v>1</v>
      </c>
    </row>
    <row r="1808" spans="1:33" ht="12.5" customHeight="1" x14ac:dyDescent="0.25">
      <c r="A1808" s="12" t="s">
        <v>31</v>
      </c>
      <c r="B1808" s="9">
        <v>46200</v>
      </c>
      <c r="C1808" s="12" t="s">
        <v>2856</v>
      </c>
      <c r="D1808" s="10" t="s">
        <v>2862</v>
      </c>
      <c r="E1808" s="10" t="s">
        <v>51</v>
      </c>
      <c r="F1808" s="10" t="s">
        <v>35</v>
      </c>
      <c r="G1808" s="10" t="s">
        <v>3146</v>
      </c>
      <c r="H1808" s="8" t="s">
        <v>36</v>
      </c>
      <c r="I1808" s="11">
        <v>82.98</v>
      </c>
      <c r="J1808" s="6">
        <v>76.092659999999995</v>
      </c>
      <c r="K1808" s="6">
        <v>0.91699999999999993</v>
      </c>
      <c r="L1808" s="6">
        <v>78.56</v>
      </c>
      <c r="M1808" s="11">
        <v>72.039519999999996</v>
      </c>
      <c r="N1808" s="11">
        <f t="shared" si="112"/>
        <v>72.040000000000006</v>
      </c>
      <c r="O1808" s="6">
        <v>0.91699999999999993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4.42</v>
      </c>
      <c r="Z1808" s="6">
        <v>4.05314</v>
      </c>
      <c r="AA1808" s="6">
        <v>0.91700000000000004</v>
      </c>
      <c r="AB1808" s="6">
        <v>-4.4200000000000017</v>
      </c>
      <c r="AC1808" s="6">
        <v>4.4200000000000017</v>
      </c>
      <c r="AD1808" s="22" t="s">
        <v>3140</v>
      </c>
      <c r="AE1808" s="23">
        <f t="shared" si="113"/>
        <v>72.040000000000006</v>
      </c>
      <c r="AF1808" s="24">
        <f t="shared" si="114"/>
        <v>0</v>
      </c>
      <c r="AG1808" s="23">
        <f t="shared" si="115"/>
        <v>1</v>
      </c>
    </row>
    <row r="1809" spans="1:33" ht="12.5" hidden="1" customHeight="1" x14ac:dyDescent="0.25">
      <c r="A1809" s="12" t="s">
        <v>31</v>
      </c>
      <c r="B1809" s="9">
        <v>46200</v>
      </c>
      <c r="C1809" s="13" t="s">
        <v>2856</v>
      </c>
      <c r="D1809" s="10" t="s">
        <v>2863</v>
      </c>
      <c r="E1809" s="10" t="s">
        <v>51</v>
      </c>
      <c r="F1809" s="10" t="s">
        <v>35</v>
      </c>
      <c r="G1809" s="10" t="s">
        <v>3145</v>
      </c>
      <c r="H1809" s="8" t="s">
        <v>41</v>
      </c>
      <c r="I1809" s="11">
        <v>28.97</v>
      </c>
      <c r="J1809" s="6">
        <v>21.727499999999999</v>
      </c>
      <c r="K1809" s="6">
        <v>0.75</v>
      </c>
      <c r="L1809" s="6">
        <v>27.74</v>
      </c>
      <c r="M1809" s="11">
        <v>20.805</v>
      </c>
      <c r="N1809" s="11">
        <f t="shared" si="112"/>
        <v>20.805</v>
      </c>
      <c r="O1809" s="6">
        <v>0.75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1.23</v>
      </c>
      <c r="Z1809" s="6">
        <v>0.92249999999999999</v>
      </c>
      <c r="AA1809" s="6">
        <v>0.75</v>
      </c>
      <c r="AB1809" s="6">
        <v>-1.2300000000000004</v>
      </c>
      <c r="AC1809" s="6">
        <v>1.2300000000000004</v>
      </c>
      <c r="AD1809" s="22" t="s">
        <v>3140</v>
      </c>
      <c r="AE1809" s="23">
        <f t="shared" si="113"/>
        <v>20.805</v>
      </c>
      <c r="AF1809" s="24">
        <f t="shared" si="114"/>
        <v>0</v>
      </c>
      <c r="AG1809" s="23">
        <f t="shared" si="115"/>
        <v>1</v>
      </c>
    </row>
    <row r="1810" spans="1:33" ht="20" hidden="1" customHeight="1" x14ac:dyDescent="0.25">
      <c r="A1810" s="12" t="s">
        <v>31</v>
      </c>
      <c r="B1810" s="9">
        <v>46200</v>
      </c>
      <c r="C1810" s="10" t="s">
        <v>2864</v>
      </c>
      <c r="D1810" s="10" t="s">
        <v>2865</v>
      </c>
      <c r="E1810" s="10" t="s">
        <v>51</v>
      </c>
      <c r="F1810" s="10" t="s">
        <v>35</v>
      </c>
      <c r="G1810" s="10" t="s">
        <v>3145</v>
      </c>
      <c r="H1810" s="8" t="s">
        <v>48</v>
      </c>
      <c r="I1810" s="11">
        <v>24.62</v>
      </c>
      <c r="J1810" s="6">
        <v>18.465</v>
      </c>
      <c r="K1810" s="6">
        <v>0.75</v>
      </c>
      <c r="L1810" s="6">
        <v>23.39</v>
      </c>
      <c r="M1810" s="11">
        <v>17.5425</v>
      </c>
      <c r="N1810" s="11">
        <f t="shared" si="112"/>
        <v>17.543000000000003</v>
      </c>
      <c r="O1810" s="6">
        <v>0.75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1.23</v>
      </c>
      <c r="Z1810" s="6">
        <v>0.92249999999999999</v>
      </c>
      <c r="AA1810" s="6">
        <v>0.75</v>
      </c>
      <c r="AB1810" s="6">
        <v>-1.2300000000000004</v>
      </c>
      <c r="AC1810" s="6">
        <v>1.2300000000000004</v>
      </c>
      <c r="AD1810" s="22" t="s">
        <v>3140</v>
      </c>
      <c r="AE1810" s="23">
        <f t="shared" si="113"/>
        <v>17.543000000000003</v>
      </c>
      <c r="AF1810" s="24">
        <f t="shared" si="114"/>
        <v>0</v>
      </c>
      <c r="AG1810" s="23">
        <f t="shared" si="115"/>
        <v>1</v>
      </c>
    </row>
    <row r="1811" spans="1:33" ht="12.5" customHeight="1" x14ac:dyDescent="0.25">
      <c r="A1811" s="12" t="s">
        <v>31</v>
      </c>
      <c r="B1811" s="9">
        <v>46200</v>
      </c>
      <c r="C1811" s="8" t="s">
        <v>2866</v>
      </c>
      <c r="D1811" s="10" t="s">
        <v>2867</v>
      </c>
      <c r="E1811" s="10" t="s">
        <v>51</v>
      </c>
      <c r="F1811" s="10" t="s">
        <v>35</v>
      </c>
      <c r="G1811" s="10" t="s">
        <v>3146</v>
      </c>
      <c r="H1811" s="8" t="s">
        <v>36</v>
      </c>
      <c r="I1811" s="11">
        <v>11.33</v>
      </c>
      <c r="J1811" s="6">
        <v>10.389609999999999</v>
      </c>
      <c r="K1811" s="6">
        <v>0.91699999999999993</v>
      </c>
      <c r="L1811" s="6">
        <v>10.89</v>
      </c>
      <c r="M1811" s="11">
        <v>9.9861299999999993</v>
      </c>
      <c r="N1811" s="11">
        <f t="shared" si="112"/>
        <v>9.9870000000000001</v>
      </c>
      <c r="O1811" s="6">
        <v>0.91699999999999993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0.44</v>
      </c>
      <c r="Z1811" s="6">
        <v>0.40348000000000001</v>
      </c>
      <c r="AA1811" s="6">
        <v>0.91700000000000004</v>
      </c>
      <c r="AB1811" s="6">
        <v>-0.4399999999999995</v>
      </c>
      <c r="AC1811" s="6">
        <v>0.4399999999999995</v>
      </c>
      <c r="AD1811" s="22" t="s">
        <v>3140</v>
      </c>
      <c r="AE1811" s="23">
        <f t="shared" si="113"/>
        <v>9.9870000000000001</v>
      </c>
      <c r="AF1811" s="24">
        <f t="shared" si="114"/>
        <v>0</v>
      </c>
      <c r="AG1811" s="23">
        <f t="shared" si="115"/>
        <v>1</v>
      </c>
    </row>
    <row r="1812" spans="1:33" ht="12.5" customHeight="1" x14ac:dyDescent="0.25">
      <c r="A1812" s="12" t="s">
        <v>31</v>
      </c>
      <c r="B1812" s="9">
        <v>46200</v>
      </c>
      <c r="C1812" s="12" t="s">
        <v>2866</v>
      </c>
      <c r="D1812" s="10" t="s">
        <v>2868</v>
      </c>
      <c r="E1812" s="10" t="s">
        <v>51</v>
      </c>
      <c r="F1812" s="10" t="s">
        <v>35</v>
      </c>
      <c r="G1812" s="10" t="s">
        <v>3146</v>
      </c>
      <c r="H1812" s="8" t="s">
        <v>36</v>
      </c>
      <c r="I1812" s="11">
        <v>11.39</v>
      </c>
      <c r="J1812" s="6">
        <v>10.44463</v>
      </c>
      <c r="K1812" s="6">
        <v>0.91699999999999993</v>
      </c>
      <c r="L1812" s="6">
        <v>10.98</v>
      </c>
      <c r="M1812" s="11">
        <v>10.068659999999999</v>
      </c>
      <c r="N1812" s="11">
        <f t="shared" si="112"/>
        <v>10.068999999999999</v>
      </c>
      <c r="O1812" s="6">
        <v>0.91699999999999993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0.41</v>
      </c>
      <c r="Z1812" s="6">
        <v>0.37597000000000003</v>
      </c>
      <c r="AA1812" s="6">
        <v>0.91700000000000015</v>
      </c>
      <c r="AB1812" s="6">
        <v>-0.41000000000000014</v>
      </c>
      <c r="AC1812" s="6">
        <v>0.41000000000000014</v>
      </c>
      <c r="AD1812" s="22" t="s">
        <v>3140</v>
      </c>
      <c r="AE1812" s="23">
        <f t="shared" si="113"/>
        <v>10.068999999999999</v>
      </c>
      <c r="AF1812" s="24">
        <f t="shared" si="114"/>
        <v>0</v>
      </c>
      <c r="AG1812" s="23">
        <f t="shared" si="115"/>
        <v>1</v>
      </c>
    </row>
    <row r="1813" spans="1:33" ht="12.5" hidden="1" customHeight="1" x14ac:dyDescent="0.25">
      <c r="A1813" s="12" t="s">
        <v>31</v>
      </c>
      <c r="B1813" s="9">
        <v>46200</v>
      </c>
      <c r="C1813" s="12" t="s">
        <v>2866</v>
      </c>
      <c r="D1813" s="10" t="s">
        <v>2869</v>
      </c>
      <c r="E1813" s="10" t="s">
        <v>51</v>
      </c>
      <c r="F1813" s="10" t="s">
        <v>35</v>
      </c>
      <c r="G1813" s="10" t="s">
        <v>3145</v>
      </c>
      <c r="H1813" s="8" t="s">
        <v>41</v>
      </c>
      <c r="I1813" s="11">
        <v>45.11</v>
      </c>
      <c r="J1813" s="6">
        <v>33.832500000000003</v>
      </c>
      <c r="K1813" s="6">
        <v>0.75000000000000011</v>
      </c>
      <c r="L1813" s="6">
        <v>42.46</v>
      </c>
      <c r="M1813" s="11">
        <v>31.844999999999999</v>
      </c>
      <c r="N1813" s="11">
        <f t="shared" si="112"/>
        <v>31.844999999999999</v>
      </c>
      <c r="O1813" s="6">
        <v>0.75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2.65</v>
      </c>
      <c r="Z1813" s="6">
        <v>1.9875</v>
      </c>
      <c r="AA1813" s="6">
        <v>0.75</v>
      </c>
      <c r="AB1813" s="6">
        <v>-2.6499999999999986</v>
      </c>
      <c r="AC1813" s="6">
        <v>2.6499999999999986</v>
      </c>
      <c r="AD1813" s="22" t="s">
        <v>3140</v>
      </c>
      <c r="AE1813" s="23">
        <f t="shared" si="113"/>
        <v>31.844999999999999</v>
      </c>
      <c r="AF1813" s="24">
        <f t="shared" si="114"/>
        <v>0</v>
      </c>
      <c r="AG1813" s="23">
        <f t="shared" si="115"/>
        <v>1</v>
      </c>
    </row>
    <row r="1814" spans="1:33" ht="12.5" customHeight="1" x14ac:dyDescent="0.25">
      <c r="A1814" s="12" t="s">
        <v>31</v>
      </c>
      <c r="B1814" s="9">
        <v>46200</v>
      </c>
      <c r="C1814" s="13" t="s">
        <v>2866</v>
      </c>
      <c r="D1814" s="10" t="s">
        <v>2870</v>
      </c>
      <c r="E1814" s="10" t="s">
        <v>51</v>
      </c>
      <c r="F1814" s="10" t="s">
        <v>35</v>
      </c>
      <c r="G1814" s="10" t="s">
        <v>3146</v>
      </c>
      <c r="H1814" s="8" t="s">
        <v>36</v>
      </c>
      <c r="I1814" s="11">
        <v>7.39</v>
      </c>
      <c r="J1814" s="6">
        <v>6.7766299999999999</v>
      </c>
      <c r="K1814" s="6">
        <v>0.91700000000000004</v>
      </c>
      <c r="L1814" s="6">
        <v>7.39</v>
      </c>
      <c r="M1814" s="11">
        <v>6.7766299999999999</v>
      </c>
      <c r="N1814" s="11">
        <f t="shared" si="112"/>
        <v>6.7770000000000001</v>
      </c>
      <c r="O1814" s="6">
        <v>0.91700000000000004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22" t="s">
        <v>3140</v>
      </c>
      <c r="AE1814" s="23">
        <f t="shared" si="113"/>
        <v>6.7770000000000001</v>
      </c>
      <c r="AF1814" s="24">
        <f t="shared" si="114"/>
        <v>0</v>
      </c>
      <c r="AG1814" s="23">
        <f t="shared" si="115"/>
        <v>2</v>
      </c>
    </row>
    <row r="1815" spans="1:33" ht="12.5" customHeight="1" x14ac:dyDescent="0.25">
      <c r="A1815" s="12" t="s">
        <v>31</v>
      </c>
      <c r="B1815" s="9">
        <v>46200</v>
      </c>
      <c r="C1815" s="8" t="s">
        <v>2871</v>
      </c>
      <c r="D1815" s="10" t="s">
        <v>2872</v>
      </c>
      <c r="E1815" s="10" t="s">
        <v>51</v>
      </c>
      <c r="F1815" s="10" t="s">
        <v>35</v>
      </c>
      <c r="G1815" s="10" t="s">
        <v>3146</v>
      </c>
      <c r="H1815" s="8" t="s">
        <v>36</v>
      </c>
      <c r="I1815" s="11">
        <v>22.42</v>
      </c>
      <c r="J1815" s="6">
        <v>20.559139999999999</v>
      </c>
      <c r="K1815" s="6">
        <v>0.91699999999999993</v>
      </c>
      <c r="L1815" s="6">
        <v>21.41</v>
      </c>
      <c r="M1815" s="11">
        <v>19.63297</v>
      </c>
      <c r="N1815" s="11">
        <f t="shared" si="112"/>
        <v>19.633000000000003</v>
      </c>
      <c r="O1815" s="6">
        <v>0.91700000000000004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1.01</v>
      </c>
      <c r="Z1815" s="6">
        <v>0.92617000000000005</v>
      </c>
      <c r="AA1815" s="6">
        <v>0.91700000000000004</v>
      </c>
      <c r="AB1815" s="6">
        <v>-1.0100000000000016</v>
      </c>
      <c r="AC1815" s="6">
        <v>1.0100000000000016</v>
      </c>
      <c r="AD1815" s="22" t="s">
        <v>3140</v>
      </c>
      <c r="AE1815" s="23">
        <f t="shared" si="113"/>
        <v>19.633000000000003</v>
      </c>
      <c r="AF1815" s="24">
        <f t="shared" si="114"/>
        <v>0</v>
      </c>
      <c r="AG1815" s="23">
        <f t="shared" si="115"/>
        <v>1</v>
      </c>
    </row>
    <row r="1816" spans="1:33" ht="12.5" customHeight="1" x14ac:dyDescent="0.25">
      <c r="A1816" s="12" t="s">
        <v>31</v>
      </c>
      <c r="B1816" s="9">
        <v>46200</v>
      </c>
      <c r="C1816" s="13" t="s">
        <v>2871</v>
      </c>
      <c r="D1816" s="10" t="s">
        <v>2873</v>
      </c>
      <c r="E1816" s="10" t="s">
        <v>51</v>
      </c>
      <c r="F1816" s="10" t="s">
        <v>35</v>
      </c>
      <c r="G1816" s="10" t="s">
        <v>3146</v>
      </c>
      <c r="H1816" s="8" t="s">
        <v>36</v>
      </c>
      <c r="I1816" s="11">
        <v>11.29</v>
      </c>
      <c r="J1816" s="6">
        <v>10.352930000000001</v>
      </c>
      <c r="K1816" s="6">
        <v>0.91700000000000015</v>
      </c>
      <c r="L1816" s="6">
        <v>10.46</v>
      </c>
      <c r="M1816" s="11">
        <v>9.5918200000000002</v>
      </c>
      <c r="N1816" s="11">
        <f t="shared" si="112"/>
        <v>9.5919999999999987</v>
      </c>
      <c r="O1816" s="6">
        <v>0.91699999999999993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0.83</v>
      </c>
      <c r="Z1816" s="6">
        <v>0.76110999999999995</v>
      </c>
      <c r="AA1816" s="6">
        <v>0.91700000000000004</v>
      </c>
      <c r="AB1816" s="6">
        <v>-0.82999999999999829</v>
      </c>
      <c r="AC1816" s="6">
        <v>0.82999999999999829</v>
      </c>
      <c r="AD1816" s="22" t="s">
        <v>3140</v>
      </c>
      <c r="AE1816" s="23">
        <f t="shared" si="113"/>
        <v>9.5919999999999987</v>
      </c>
      <c r="AF1816" s="24">
        <f t="shared" si="114"/>
        <v>0</v>
      </c>
      <c r="AG1816" s="23">
        <f t="shared" si="115"/>
        <v>1</v>
      </c>
    </row>
    <row r="1817" spans="1:33" ht="12.5" customHeight="1" x14ac:dyDescent="0.25">
      <c r="A1817" s="12" t="s">
        <v>31</v>
      </c>
      <c r="B1817" s="9">
        <v>46200</v>
      </c>
      <c r="C1817" s="8" t="s">
        <v>2874</v>
      </c>
      <c r="D1817" s="10" t="s">
        <v>2171</v>
      </c>
      <c r="E1817" s="10" t="s">
        <v>51</v>
      </c>
      <c r="F1817" s="10" t="s">
        <v>35</v>
      </c>
      <c r="G1817" s="10" t="s">
        <v>3146</v>
      </c>
      <c r="H1817" s="8" t="s">
        <v>36</v>
      </c>
      <c r="I1817" s="11">
        <v>3.36</v>
      </c>
      <c r="J1817" s="6">
        <v>3.0811199999999999</v>
      </c>
      <c r="K1817" s="6">
        <v>0.91700000000000004</v>
      </c>
      <c r="L1817" s="6">
        <v>3.27</v>
      </c>
      <c r="M1817" s="11">
        <v>2.9985900000000001</v>
      </c>
      <c r="N1817" s="11">
        <f t="shared" si="112"/>
        <v>2.9990000000000001</v>
      </c>
      <c r="O1817" s="6">
        <v>0.91700000000000004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0.09</v>
      </c>
      <c r="Z1817" s="6">
        <v>8.2530000000000006E-2</v>
      </c>
      <c r="AA1817" s="6">
        <v>0.91700000000000015</v>
      </c>
      <c r="AB1817" s="6">
        <v>-8.9999999999999858E-2</v>
      </c>
      <c r="AC1817" s="6">
        <v>8.9999999999999858E-2</v>
      </c>
      <c r="AD1817" s="22" t="s">
        <v>3140</v>
      </c>
      <c r="AE1817" s="23">
        <f t="shared" si="113"/>
        <v>2.9990000000000001</v>
      </c>
      <c r="AF1817" s="24">
        <f t="shared" si="114"/>
        <v>0</v>
      </c>
      <c r="AG1817" s="23">
        <f t="shared" si="115"/>
        <v>2</v>
      </c>
    </row>
    <row r="1818" spans="1:33" ht="12.5" customHeight="1" x14ac:dyDescent="0.25">
      <c r="A1818" s="12" t="s">
        <v>31</v>
      </c>
      <c r="B1818" s="9">
        <v>46200</v>
      </c>
      <c r="C1818" s="12" t="s">
        <v>2874</v>
      </c>
      <c r="D1818" s="10" t="s">
        <v>2875</v>
      </c>
      <c r="E1818" s="10" t="s">
        <v>51</v>
      </c>
      <c r="F1818" s="10" t="s">
        <v>35</v>
      </c>
      <c r="G1818" s="10" t="s">
        <v>3146</v>
      </c>
      <c r="H1818" s="8" t="s">
        <v>36</v>
      </c>
      <c r="I1818" s="11">
        <v>117.69</v>
      </c>
      <c r="J1818" s="6">
        <v>107.92173</v>
      </c>
      <c r="K1818" s="6">
        <v>0.91700000000000004</v>
      </c>
      <c r="L1818" s="6">
        <v>112.86</v>
      </c>
      <c r="M1818" s="11">
        <v>103.49262</v>
      </c>
      <c r="N1818" s="11">
        <f t="shared" si="112"/>
        <v>103.49300000000001</v>
      </c>
      <c r="O1818" s="6">
        <v>0.91700000000000004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4.83</v>
      </c>
      <c r="Z1818" s="6">
        <v>4.4291099999999997</v>
      </c>
      <c r="AA1818" s="6">
        <v>0.91699999999999993</v>
      </c>
      <c r="AB1818" s="6">
        <v>-4.8299999999999983</v>
      </c>
      <c r="AC1818" s="6">
        <v>4.8299999999999983</v>
      </c>
      <c r="AD1818" s="22" t="s">
        <v>3140</v>
      </c>
      <c r="AE1818" s="23">
        <f t="shared" si="113"/>
        <v>103.49300000000001</v>
      </c>
      <c r="AF1818" s="24">
        <f t="shared" si="114"/>
        <v>0</v>
      </c>
      <c r="AG1818" s="23">
        <f t="shared" si="115"/>
        <v>1</v>
      </c>
    </row>
    <row r="1819" spans="1:33" ht="12.5" customHeight="1" x14ac:dyDescent="0.25">
      <c r="A1819" s="12" t="s">
        <v>31</v>
      </c>
      <c r="B1819" s="9">
        <v>46200</v>
      </c>
      <c r="C1819" s="12" t="s">
        <v>2874</v>
      </c>
      <c r="D1819" s="10" t="s">
        <v>2876</v>
      </c>
      <c r="E1819" s="10" t="s">
        <v>51</v>
      </c>
      <c r="F1819" s="10" t="s">
        <v>35</v>
      </c>
      <c r="G1819" s="10" t="s">
        <v>3146</v>
      </c>
      <c r="H1819" s="8" t="s">
        <v>36</v>
      </c>
      <c r="I1819" s="11">
        <v>5.41</v>
      </c>
      <c r="J1819" s="6">
        <v>4.9609699999999997</v>
      </c>
      <c r="K1819" s="6">
        <v>0.91699999999999993</v>
      </c>
      <c r="L1819" s="6">
        <v>5.0599999999999996</v>
      </c>
      <c r="M1819" s="11">
        <v>4.6400199999999998</v>
      </c>
      <c r="N1819" s="11">
        <f t="shared" si="112"/>
        <v>4.641</v>
      </c>
      <c r="O1819" s="6">
        <v>0.91700000000000004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0.35</v>
      </c>
      <c r="Z1819" s="6">
        <v>0.32095000000000001</v>
      </c>
      <c r="AA1819" s="6">
        <v>0.91700000000000015</v>
      </c>
      <c r="AB1819" s="6">
        <v>-0.35000000000000053</v>
      </c>
      <c r="AC1819" s="6">
        <v>0.35000000000000053</v>
      </c>
      <c r="AD1819" s="22" t="s">
        <v>3140</v>
      </c>
      <c r="AE1819" s="23">
        <f t="shared" si="113"/>
        <v>4.641</v>
      </c>
      <c r="AF1819" s="24">
        <f t="shared" si="114"/>
        <v>0</v>
      </c>
      <c r="AG1819" s="23">
        <f t="shared" si="115"/>
        <v>1</v>
      </c>
    </row>
    <row r="1820" spans="1:33" ht="12.5" customHeight="1" x14ac:dyDescent="0.25">
      <c r="A1820" s="12" t="s">
        <v>31</v>
      </c>
      <c r="B1820" s="9">
        <v>46200</v>
      </c>
      <c r="C1820" s="12" t="s">
        <v>2874</v>
      </c>
      <c r="D1820" s="10" t="s">
        <v>2877</v>
      </c>
      <c r="E1820" s="10" t="s">
        <v>51</v>
      </c>
      <c r="F1820" s="10" t="s">
        <v>35</v>
      </c>
      <c r="G1820" s="10" t="s">
        <v>3146</v>
      </c>
      <c r="H1820" s="8" t="s">
        <v>36</v>
      </c>
      <c r="I1820" s="11">
        <v>15.49</v>
      </c>
      <c r="J1820" s="6">
        <v>14.204330000000001</v>
      </c>
      <c r="K1820" s="6">
        <v>0.91700000000000004</v>
      </c>
      <c r="L1820" s="6">
        <v>14.73</v>
      </c>
      <c r="M1820" s="11">
        <v>13.50741</v>
      </c>
      <c r="N1820" s="11">
        <f t="shared" si="112"/>
        <v>13.507999999999999</v>
      </c>
      <c r="O1820" s="6">
        <v>0.91700000000000004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0.76</v>
      </c>
      <c r="Z1820" s="6">
        <v>0.69691999999999998</v>
      </c>
      <c r="AA1820" s="6">
        <v>0.91699999999999993</v>
      </c>
      <c r="AB1820" s="6">
        <v>-0.75999999999999979</v>
      </c>
      <c r="AC1820" s="6">
        <v>0.75999999999999979</v>
      </c>
      <c r="AD1820" s="22" t="s">
        <v>3140</v>
      </c>
      <c r="AE1820" s="23">
        <f t="shared" si="113"/>
        <v>13.507999999999999</v>
      </c>
      <c r="AF1820" s="24">
        <f t="shared" si="114"/>
        <v>0</v>
      </c>
      <c r="AG1820" s="23">
        <f t="shared" si="115"/>
        <v>1</v>
      </c>
    </row>
    <row r="1821" spans="1:33" ht="12.5" customHeight="1" x14ac:dyDescent="0.25">
      <c r="A1821" s="12" t="s">
        <v>31</v>
      </c>
      <c r="B1821" s="9">
        <v>46200</v>
      </c>
      <c r="C1821" s="13" t="s">
        <v>2874</v>
      </c>
      <c r="D1821" s="10" t="s">
        <v>2878</v>
      </c>
      <c r="E1821" s="10" t="s">
        <v>51</v>
      </c>
      <c r="F1821" s="10" t="s">
        <v>35</v>
      </c>
      <c r="G1821" s="10" t="s">
        <v>3146</v>
      </c>
      <c r="H1821" s="8" t="s">
        <v>36</v>
      </c>
      <c r="I1821" s="11">
        <v>16.510000000000002</v>
      </c>
      <c r="J1821" s="6">
        <v>15.139670000000001</v>
      </c>
      <c r="K1821" s="6">
        <v>0.91699999999999993</v>
      </c>
      <c r="L1821" s="6">
        <v>15.66</v>
      </c>
      <c r="M1821" s="11">
        <v>14.36022</v>
      </c>
      <c r="N1821" s="11">
        <f t="shared" si="112"/>
        <v>14.360999999999999</v>
      </c>
      <c r="O1821" s="6">
        <v>0.91700000000000004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0.85</v>
      </c>
      <c r="Z1821" s="6">
        <v>0.77944999999999998</v>
      </c>
      <c r="AA1821" s="6">
        <v>0.91700000000000004</v>
      </c>
      <c r="AB1821" s="6">
        <v>-0.85000000000000142</v>
      </c>
      <c r="AC1821" s="6">
        <v>0.85000000000000142</v>
      </c>
      <c r="AD1821" s="22" t="s">
        <v>3140</v>
      </c>
      <c r="AE1821" s="23">
        <f t="shared" si="113"/>
        <v>14.360999999999999</v>
      </c>
      <c r="AF1821" s="24">
        <f t="shared" si="114"/>
        <v>0</v>
      </c>
      <c r="AG1821" s="23">
        <f t="shared" si="115"/>
        <v>1</v>
      </c>
    </row>
    <row r="1822" spans="1:33" ht="12.5" customHeight="1" x14ac:dyDescent="0.25">
      <c r="A1822" s="12" t="s">
        <v>31</v>
      </c>
      <c r="B1822" s="9">
        <v>46200</v>
      </c>
      <c r="C1822" s="8" t="s">
        <v>2879</v>
      </c>
      <c r="D1822" s="10" t="s">
        <v>2173</v>
      </c>
      <c r="E1822" s="10" t="s">
        <v>51</v>
      </c>
      <c r="F1822" s="10" t="s">
        <v>35</v>
      </c>
      <c r="G1822" s="10" t="s">
        <v>3146</v>
      </c>
      <c r="H1822" s="8" t="s">
        <v>36</v>
      </c>
      <c r="I1822" s="11">
        <v>3.49</v>
      </c>
      <c r="J1822" s="6">
        <v>3.2003300000000001</v>
      </c>
      <c r="K1822" s="6">
        <v>0.91699999999999993</v>
      </c>
      <c r="L1822" s="6">
        <v>3.3</v>
      </c>
      <c r="M1822" s="11">
        <v>3.0261</v>
      </c>
      <c r="N1822" s="11">
        <f t="shared" si="112"/>
        <v>3.0269999999999997</v>
      </c>
      <c r="O1822" s="6">
        <v>0.91700000000000004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0.19</v>
      </c>
      <c r="Z1822" s="6">
        <v>0.17423</v>
      </c>
      <c r="AA1822" s="6">
        <v>0.91699999999999993</v>
      </c>
      <c r="AB1822" s="6">
        <v>-0.19000000000000039</v>
      </c>
      <c r="AC1822" s="6">
        <v>0.19000000000000039</v>
      </c>
      <c r="AD1822" s="22" t="s">
        <v>3140</v>
      </c>
      <c r="AE1822" s="23">
        <f t="shared" si="113"/>
        <v>3.0269999999999997</v>
      </c>
      <c r="AF1822" s="24">
        <f t="shared" si="114"/>
        <v>0</v>
      </c>
      <c r="AG1822" s="23">
        <f t="shared" si="115"/>
        <v>3</v>
      </c>
    </row>
    <row r="1823" spans="1:33" ht="12.5" hidden="1" customHeight="1" x14ac:dyDescent="0.25">
      <c r="A1823" s="12" t="s">
        <v>31</v>
      </c>
      <c r="B1823" s="9">
        <v>46200</v>
      </c>
      <c r="C1823" s="12" t="s">
        <v>2879</v>
      </c>
      <c r="D1823" s="10" t="s">
        <v>2880</v>
      </c>
      <c r="E1823" s="10" t="s">
        <v>51</v>
      </c>
      <c r="F1823" s="10" t="s">
        <v>35</v>
      </c>
      <c r="G1823" s="10" t="s">
        <v>3145</v>
      </c>
      <c r="H1823" s="8" t="s">
        <v>41</v>
      </c>
      <c r="I1823" s="11">
        <v>10.07</v>
      </c>
      <c r="J1823" s="6">
        <v>7.5525000000000002</v>
      </c>
      <c r="K1823" s="6">
        <v>0.75</v>
      </c>
      <c r="L1823" s="6">
        <v>9.64</v>
      </c>
      <c r="M1823" s="11">
        <v>7.23</v>
      </c>
      <c r="N1823" s="11">
        <f t="shared" si="112"/>
        <v>7.23</v>
      </c>
      <c r="O1823" s="6">
        <v>0.75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0.43</v>
      </c>
      <c r="Z1823" s="6">
        <v>0.32250000000000001</v>
      </c>
      <c r="AA1823" s="6">
        <v>0.75</v>
      </c>
      <c r="AB1823" s="6">
        <v>-0.42999999999999972</v>
      </c>
      <c r="AC1823" s="6">
        <v>0.42999999999999972</v>
      </c>
      <c r="AD1823" s="22" t="s">
        <v>3140</v>
      </c>
      <c r="AE1823" s="23">
        <f t="shared" si="113"/>
        <v>7.23</v>
      </c>
      <c r="AF1823" s="24">
        <f t="shared" si="114"/>
        <v>0</v>
      </c>
      <c r="AG1823" s="23">
        <f t="shared" si="115"/>
        <v>1</v>
      </c>
    </row>
    <row r="1824" spans="1:33" ht="12.5" hidden="1" customHeight="1" x14ac:dyDescent="0.25">
      <c r="A1824" s="12" t="s">
        <v>31</v>
      </c>
      <c r="B1824" s="9">
        <v>46200</v>
      </c>
      <c r="C1824" s="12" t="s">
        <v>2879</v>
      </c>
      <c r="D1824" s="10" t="s">
        <v>2881</v>
      </c>
      <c r="E1824" s="10" t="s">
        <v>51</v>
      </c>
      <c r="F1824" s="10" t="s">
        <v>35</v>
      </c>
      <c r="G1824" s="10" t="s">
        <v>3145</v>
      </c>
      <c r="H1824" s="8" t="s">
        <v>41</v>
      </c>
      <c r="I1824" s="11">
        <v>41.27</v>
      </c>
      <c r="J1824" s="6">
        <v>30.952500000000001</v>
      </c>
      <c r="K1824" s="6">
        <v>0.75</v>
      </c>
      <c r="L1824" s="6">
        <v>35.770000000000003</v>
      </c>
      <c r="M1824" s="11">
        <v>26.827500000000001</v>
      </c>
      <c r="N1824" s="11">
        <f t="shared" si="112"/>
        <v>26.828000000000003</v>
      </c>
      <c r="O1824" s="6">
        <v>0.75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5.5</v>
      </c>
      <c r="Z1824" s="6">
        <v>4.125</v>
      </c>
      <c r="AA1824" s="6">
        <v>0.75</v>
      </c>
      <c r="AB1824" s="6">
        <v>-5.5</v>
      </c>
      <c r="AC1824" s="6">
        <v>5.5</v>
      </c>
      <c r="AD1824" s="23" t="s">
        <v>3143</v>
      </c>
      <c r="AE1824" s="23">
        <f t="shared" si="113"/>
        <v>25.664999999999999</v>
      </c>
      <c r="AF1824" s="24">
        <f t="shared" si="114"/>
        <v>1.1630000000000038</v>
      </c>
      <c r="AG1824" s="23">
        <f t="shared" si="115"/>
        <v>2</v>
      </c>
    </row>
    <row r="1825" spans="1:33" ht="12.5" hidden="1" customHeight="1" x14ac:dyDescent="0.25">
      <c r="A1825" s="12" t="s">
        <v>31</v>
      </c>
      <c r="B1825" s="9">
        <v>46200</v>
      </c>
      <c r="C1825" s="13" t="s">
        <v>2879</v>
      </c>
      <c r="D1825" s="10" t="s">
        <v>2882</v>
      </c>
      <c r="E1825" s="10" t="s">
        <v>51</v>
      </c>
      <c r="F1825" s="10" t="s">
        <v>35</v>
      </c>
      <c r="G1825" s="10" t="s">
        <v>3145</v>
      </c>
      <c r="H1825" s="8" t="s">
        <v>41</v>
      </c>
      <c r="I1825" s="11">
        <v>28</v>
      </c>
      <c r="J1825" s="6">
        <v>21</v>
      </c>
      <c r="K1825" s="6">
        <v>0.75</v>
      </c>
      <c r="L1825" s="6">
        <v>26.06</v>
      </c>
      <c r="M1825" s="11">
        <v>19.545000000000002</v>
      </c>
      <c r="N1825" s="11">
        <f t="shared" si="112"/>
        <v>19.545000000000002</v>
      </c>
      <c r="O1825" s="6">
        <v>0.75000000000000011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1.94</v>
      </c>
      <c r="Z1825" s="6">
        <v>1.4550000000000001</v>
      </c>
      <c r="AA1825" s="6">
        <v>0.75000000000000011</v>
      </c>
      <c r="AB1825" s="6">
        <v>-1.9400000000000013</v>
      </c>
      <c r="AC1825" s="6">
        <v>1.9400000000000013</v>
      </c>
      <c r="AD1825" s="22" t="s">
        <v>3140</v>
      </c>
      <c r="AE1825" s="23">
        <f t="shared" si="113"/>
        <v>19.545000000000002</v>
      </c>
      <c r="AF1825" s="24">
        <f t="shared" si="114"/>
        <v>0</v>
      </c>
      <c r="AG1825" s="23">
        <f t="shared" si="115"/>
        <v>1</v>
      </c>
    </row>
    <row r="1826" spans="1:33" x14ac:dyDescent="0.25">
      <c r="A1826" s="12" t="s">
        <v>31</v>
      </c>
      <c r="B1826" s="9">
        <v>46200</v>
      </c>
      <c r="C1826" s="10" t="s">
        <v>2883</v>
      </c>
      <c r="D1826" s="10" t="s">
        <v>2170</v>
      </c>
      <c r="E1826" s="10" t="s">
        <v>51</v>
      </c>
      <c r="F1826" s="10" t="s">
        <v>35</v>
      </c>
      <c r="G1826" s="10" t="s">
        <v>3146</v>
      </c>
      <c r="H1826" s="8" t="s">
        <v>36</v>
      </c>
      <c r="I1826" s="11">
        <v>3.86</v>
      </c>
      <c r="J1826" s="6">
        <v>3.5396200000000002</v>
      </c>
      <c r="K1826" s="6">
        <v>0.91700000000000004</v>
      </c>
      <c r="L1826" s="6">
        <v>3.74</v>
      </c>
      <c r="M1826" s="11">
        <v>3.4295800000000001</v>
      </c>
      <c r="N1826" s="11">
        <f t="shared" si="112"/>
        <v>3.4299999999999997</v>
      </c>
      <c r="O1826" s="6">
        <v>0.91699999999999993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0.12</v>
      </c>
      <c r="Z1826" s="6">
        <v>0.11004</v>
      </c>
      <c r="AA1826" s="6">
        <v>0.91700000000000004</v>
      </c>
      <c r="AB1826" s="6">
        <v>-0.11999999999999966</v>
      </c>
      <c r="AC1826" s="6">
        <v>0.11999999999999966</v>
      </c>
      <c r="AD1826" s="22" t="s">
        <v>3140</v>
      </c>
      <c r="AE1826" s="23">
        <f t="shared" si="113"/>
        <v>3.4299999999999997</v>
      </c>
      <c r="AF1826" s="24">
        <f t="shared" si="114"/>
        <v>0</v>
      </c>
      <c r="AG1826" s="23">
        <f t="shared" si="115"/>
        <v>2</v>
      </c>
    </row>
    <row r="1827" spans="1:33" x14ac:dyDescent="0.25">
      <c r="A1827" s="12" t="s">
        <v>31</v>
      </c>
      <c r="B1827" s="9">
        <v>46200</v>
      </c>
      <c r="C1827" s="10" t="s">
        <v>2884</v>
      </c>
      <c r="D1827" s="10" t="s">
        <v>2835</v>
      </c>
      <c r="E1827" s="10" t="s">
        <v>51</v>
      </c>
      <c r="F1827" s="10" t="s">
        <v>35</v>
      </c>
      <c r="G1827" s="10" t="s">
        <v>3146</v>
      </c>
      <c r="H1827" s="8" t="s">
        <v>36</v>
      </c>
      <c r="I1827" s="11">
        <v>35.78</v>
      </c>
      <c r="J1827" s="6">
        <v>32.81026</v>
      </c>
      <c r="K1827" s="6">
        <v>0.91699999999999993</v>
      </c>
      <c r="L1827" s="6">
        <v>35.72</v>
      </c>
      <c r="M1827" s="11">
        <v>32.755240000000001</v>
      </c>
      <c r="N1827" s="11">
        <f t="shared" si="112"/>
        <v>32.756</v>
      </c>
      <c r="O1827" s="6">
        <v>0.91700000000000004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0.06</v>
      </c>
      <c r="Z1827" s="6">
        <v>5.5019999999999999E-2</v>
      </c>
      <c r="AA1827" s="6">
        <v>0.91700000000000004</v>
      </c>
      <c r="AB1827" s="6">
        <v>-6.0000000000002274E-2</v>
      </c>
      <c r="AC1827" s="6">
        <v>6.0000000000002274E-2</v>
      </c>
      <c r="AD1827" s="23" t="s">
        <v>3143</v>
      </c>
      <c r="AE1827" s="23">
        <f t="shared" si="113"/>
        <v>3.9529999999999998</v>
      </c>
      <c r="AF1827" s="24">
        <f t="shared" si="114"/>
        <v>28.803000000000001</v>
      </c>
      <c r="AG1827" s="23">
        <f t="shared" si="115"/>
        <v>3</v>
      </c>
    </row>
    <row r="1828" spans="1:33" x14ac:dyDescent="0.25">
      <c r="A1828" s="12" t="s">
        <v>31</v>
      </c>
      <c r="B1828" s="9">
        <v>46200</v>
      </c>
      <c r="C1828" s="10" t="s">
        <v>2885</v>
      </c>
      <c r="D1828" s="10" t="s">
        <v>2773</v>
      </c>
      <c r="E1828" s="10" t="s">
        <v>51</v>
      </c>
      <c r="F1828" s="10" t="s">
        <v>35</v>
      </c>
      <c r="G1828" s="10" t="s">
        <v>3146</v>
      </c>
      <c r="H1828" s="8" t="s">
        <v>36</v>
      </c>
      <c r="I1828" s="11">
        <v>48.1</v>
      </c>
      <c r="J1828" s="6">
        <v>44.107700000000001</v>
      </c>
      <c r="K1828" s="6">
        <v>0.91700000000000004</v>
      </c>
      <c r="L1828" s="6">
        <v>47.81</v>
      </c>
      <c r="M1828" s="11">
        <v>43.841769999999997</v>
      </c>
      <c r="N1828" s="11">
        <f t="shared" si="112"/>
        <v>43.841999999999999</v>
      </c>
      <c r="O1828" s="6">
        <v>0.91699999999999993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0.28999999999999998</v>
      </c>
      <c r="Z1828" s="6">
        <v>0.26593</v>
      </c>
      <c r="AA1828" s="6">
        <v>0.91700000000000004</v>
      </c>
      <c r="AB1828" s="6">
        <v>-0.28999999999999915</v>
      </c>
      <c r="AC1828" s="6">
        <v>0.28999999999999915</v>
      </c>
      <c r="AD1828" s="23" t="s">
        <v>3143</v>
      </c>
      <c r="AE1828" s="23">
        <f t="shared" si="113"/>
        <v>3.8239999999999998</v>
      </c>
      <c r="AF1828" s="24">
        <f t="shared" si="114"/>
        <v>40.018000000000001</v>
      </c>
      <c r="AG1828" s="23">
        <f t="shared" si="115"/>
        <v>3</v>
      </c>
    </row>
    <row r="1829" spans="1:33" ht="12.5" hidden="1" customHeight="1" x14ac:dyDescent="0.25">
      <c r="A1829" s="12" t="s">
        <v>31</v>
      </c>
      <c r="B1829" s="9">
        <v>46200</v>
      </c>
      <c r="C1829" s="8" t="s">
        <v>2886</v>
      </c>
      <c r="D1829" s="10" t="s">
        <v>2887</v>
      </c>
      <c r="E1829" s="10" t="s">
        <v>51</v>
      </c>
      <c r="F1829" s="10" t="s">
        <v>35</v>
      </c>
      <c r="G1829" s="10" t="s">
        <v>3145</v>
      </c>
      <c r="H1829" s="8" t="s">
        <v>48</v>
      </c>
      <c r="I1829" s="11">
        <v>49.91</v>
      </c>
      <c r="J1829" s="6">
        <v>37.432499999999997</v>
      </c>
      <c r="K1829" s="6">
        <v>0.75</v>
      </c>
      <c r="L1829" s="6">
        <v>45</v>
      </c>
      <c r="M1829" s="11">
        <v>33.75</v>
      </c>
      <c r="N1829" s="11">
        <f t="shared" si="112"/>
        <v>33.75</v>
      </c>
      <c r="O1829" s="6">
        <v>0.75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4.91</v>
      </c>
      <c r="Z1829" s="6">
        <v>3.6825000000000001</v>
      </c>
      <c r="AA1829" s="6">
        <v>0.75</v>
      </c>
      <c r="AB1829" s="6">
        <v>-4.9099999999999966</v>
      </c>
      <c r="AC1829" s="6">
        <v>4.9099999999999966</v>
      </c>
      <c r="AD1829" s="22" t="s">
        <v>3140</v>
      </c>
      <c r="AE1829" s="23">
        <f t="shared" si="113"/>
        <v>33.75</v>
      </c>
      <c r="AF1829" s="24">
        <f t="shared" si="114"/>
        <v>0</v>
      </c>
      <c r="AG1829" s="23">
        <f t="shared" si="115"/>
        <v>1</v>
      </c>
    </row>
    <row r="1830" spans="1:33" ht="12.5" hidden="1" customHeight="1" x14ac:dyDescent="0.25">
      <c r="A1830" s="12" t="s">
        <v>31</v>
      </c>
      <c r="B1830" s="9">
        <v>46200</v>
      </c>
      <c r="C1830" s="12" t="s">
        <v>2886</v>
      </c>
      <c r="D1830" s="10" t="s">
        <v>2888</v>
      </c>
      <c r="E1830" s="10" t="s">
        <v>51</v>
      </c>
      <c r="F1830" s="10" t="s">
        <v>35</v>
      </c>
      <c r="G1830" s="10" t="s">
        <v>3145</v>
      </c>
      <c r="H1830" s="8" t="s">
        <v>41</v>
      </c>
      <c r="I1830" s="11">
        <v>10.97</v>
      </c>
      <c r="J1830" s="6">
        <v>8.2274999999999991</v>
      </c>
      <c r="K1830" s="6">
        <v>0.74999999999999989</v>
      </c>
      <c r="L1830" s="6">
        <v>10.42</v>
      </c>
      <c r="M1830" s="11">
        <v>7.8150000000000004</v>
      </c>
      <c r="N1830" s="11">
        <f t="shared" si="112"/>
        <v>7.8150000000000004</v>
      </c>
      <c r="O1830" s="6">
        <v>0.75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0.55000000000000004</v>
      </c>
      <c r="Z1830" s="6">
        <v>0.41249999999999998</v>
      </c>
      <c r="AA1830" s="6">
        <v>0.74999999999999989</v>
      </c>
      <c r="AB1830" s="6">
        <v>-0.55000000000000071</v>
      </c>
      <c r="AC1830" s="6">
        <v>0.55000000000000071</v>
      </c>
      <c r="AD1830" s="22" t="s">
        <v>3140</v>
      </c>
      <c r="AE1830" s="23">
        <f t="shared" si="113"/>
        <v>7.8150000000000004</v>
      </c>
      <c r="AF1830" s="24">
        <f t="shared" si="114"/>
        <v>0</v>
      </c>
      <c r="AG1830" s="23">
        <f t="shared" si="115"/>
        <v>1</v>
      </c>
    </row>
    <row r="1831" spans="1:33" ht="12.5" customHeight="1" x14ac:dyDescent="0.25">
      <c r="A1831" s="12" t="s">
        <v>31</v>
      </c>
      <c r="B1831" s="9">
        <v>46200</v>
      </c>
      <c r="C1831" s="12" t="s">
        <v>2886</v>
      </c>
      <c r="D1831" s="10" t="s">
        <v>2889</v>
      </c>
      <c r="E1831" s="10" t="s">
        <v>51</v>
      </c>
      <c r="F1831" s="10" t="s">
        <v>35</v>
      </c>
      <c r="G1831" s="10" t="s">
        <v>3146</v>
      </c>
      <c r="H1831" s="8" t="s">
        <v>36</v>
      </c>
      <c r="I1831" s="11">
        <v>1.05</v>
      </c>
      <c r="J1831" s="6">
        <v>0.96284999999999998</v>
      </c>
      <c r="K1831" s="6">
        <v>0.91699999999999993</v>
      </c>
      <c r="L1831" s="6">
        <v>1</v>
      </c>
      <c r="M1831" s="11">
        <v>0.91700000000000004</v>
      </c>
      <c r="N1831" s="11">
        <f t="shared" si="112"/>
        <v>0.91700000000000004</v>
      </c>
      <c r="O1831" s="6">
        <v>0.91700000000000004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0.05</v>
      </c>
      <c r="Z1831" s="6">
        <v>4.5850000000000002E-2</v>
      </c>
      <c r="AA1831" s="6">
        <v>0.91700000000000004</v>
      </c>
      <c r="AB1831" s="6">
        <v>-5.0000000000000044E-2</v>
      </c>
      <c r="AC1831" s="6">
        <v>5.0000000000000044E-2</v>
      </c>
      <c r="AD1831" s="22" t="s">
        <v>3140</v>
      </c>
      <c r="AE1831" s="23">
        <f t="shared" si="113"/>
        <v>0.91700000000000004</v>
      </c>
      <c r="AF1831" s="24">
        <f t="shared" si="114"/>
        <v>0</v>
      </c>
      <c r="AG1831" s="23">
        <f t="shared" si="115"/>
        <v>1</v>
      </c>
    </row>
    <row r="1832" spans="1:33" ht="12.5" customHeight="1" x14ac:dyDescent="0.25">
      <c r="A1832" s="12" t="s">
        <v>31</v>
      </c>
      <c r="B1832" s="9">
        <v>46200</v>
      </c>
      <c r="C1832" s="13" t="s">
        <v>2886</v>
      </c>
      <c r="D1832" s="10" t="s">
        <v>2890</v>
      </c>
      <c r="E1832" s="10" t="s">
        <v>51</v>
      </c>
      <c r="F1832" s="10" t="s">
        <v>35</v>
      </c>
      <c r="G1832" s="10" t="s">
        <v>3146</v>
      </c>
      <c r="H1832" s="8" t="s">
        <v>36</v>
      </c>
      <c r="I1832" s="11">
        <v>116.06</v>
      </c>
      <c r="J1832" s="6">
        <v>106.42702</v>
      </c>
      <c r="K1832" s="6">
        <v>0.91699999999999993</v>
      </c>
      <c r="L1832" s="6">
        <v>111.88</v>
      </c>
      <c r="M1832" s="11">
        <v>102.59396</v>
      </c>
      <c r="N1832" s="11">
        <f t="shared" si="112"/>
        <v>102.59400000000001</v>
      </c>
      <c r="O1832" s="6">
        <v>0.91700000000000004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4.18</v>
      </c>
      <c r="Z1832" s="6">
        <v>3.8330600000000001</v>
      </c>
      <c r="AA1832" s="6">
        <v>0.91700000000000015</v>
      </c>
      <c r="AB1832" s="6">
        <v>-4.1800000000000068</v>
      </c>
      <c r="AC1832" s="6">
        <v>4.1800000000000068</v>
      </c>
      <c r="AD1832" s="22" t="s">
        <v>3140</v>
      </c>
      <c r="AE1832" s="23">
        <f t="shared" si="113"/>
        <v>102.59400000000001</v>
      </c>
      <c r="AF1832" s="24">
        <f t="shared" si="114"/>
        <v>0</v>
      </c>
      <c r="AG1832" s="23">
        <f t="shared" si="115"/>
        <v>1</v>
      </c>
    </row>
    <row r="1833" spans="1:33" x14ac:dyDescent="0.25">
      <c r="A1833" s="12" t="s">
        <v>31</v>
      </c>
      <c r="B1833" s="9">
        <v>46200</v>
      </c>
      <c r="C1833" s="10" t="s">
        <v>2891</v>
      </c>
      <c r="D1833" s="10" t="s">
        <v>2729</v>
      </c>
      <c r="E1833" s="10" t="s">
        <v>51</v>
      </c>
      <c r="F1833" s="10" t="s">
        <v>35</v>
      </c>
      <c r="G1833" s="10" t="s">
        <v>3146</v>
      </c>
      <c r="H1833" s="8" t="s">
        <v>36</v>
      </c>
      <c r="I1833" s="11">
        <v>16.88</v>
      </c>
      <c r="J1833" s="6">
        <v>15.478960000000001</v>
      </c>
      <c r="K1833" s="6">
        <v>0.91700000000000015</v>
      </c>
      <c r="L1833" s="6">
        <v>16.82</v>
      </c>
      <c r="M1833" s="11">
        <v>15.42394</v>
      </c>
      <c r="N1833" s="11">
        <f t="shared" si="112"/>
        <v>15.423999999999999</v>
      </c>
      <c r="O1833" s="6">
        <v>0.91700000000000004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0.06</v>
      </c>
      <c r="Z1833" s="6">
        <v>5.5019999999999999E-2</v>
      </c>
      <c r="AA1833" s="6">
        <v>0.91700000000000004</v>
      </c>
      <c r="AB1833" s="6">
        <v>-5.9999999999998721E-2</v>
      </c>
      <c r="AC1833" s="6">
        <v>5.9999999999998721E-2</v>
      </c>
      <c r="AD1833" s="22" t="s">
        <v>3140</v>
      </c>
      <c r="AE1833" s="23">
        <f t="shared" si="113"/>
        <v>15.423999999999999</v>
      </c>
      <c r="AF1833" s="24">
        <f t="shared" si="114"/>
        <v>0</v>
      </c>
      <c r="AG1833" s="23">
        <f t="shared" si="115"/>
        <v>2</v>
      </c>
    </row>
    <row r="1834" spans="1:33" ht="12.5" customHeight="1" x14ac:dyDescent="0.25">
      <c r="A1834" s="12" t="s">
        <v>31</v>
      </c>
      <c r="B1834" s="9">
        <v>46200</v>
      </c>
      <c r="C1834" s="8" t="s">
        <v>2892</v>
      </c>
      <c r="D1834" s="10" t="s">
        <v>2893</v>
      </c>
      <c r="E1834" s="10" t="s">
        <v>51</v>
      </c>
      <c r="F1834" s="10" t="s">
        <v>35</v>
      </c>
      <c r="G1834" s="10" t="s">
        <v>3146</v>
      </c>
      <c r="H1834" s="8" t="s">
        <v>36</v>
      </c>
      <c r="I1834" s="11">
        <v>7.32</v>
      </c>
      <c r="J1834" s="6">
        <v>6.71244</v>
      </c>
      <c r="K1834" s="6">
        <v>0.91699999999999993</v>
      </c>
      <c r="L1834" s="6">
        <v>6.6</v>
      </c>
      <c r="M1834" s="11">
        <v>6.0522</v>
      </c>
      <c r="N1834" s="11">
        <f t="shared" si="112"/>
        <v>6.0529999999999999</v>
      </c>
      <c r="O1834" s="6">
        <v>0.91700000000000004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0.72</v>
      </c>
      <c r="Z1834" s="6">
        <v>0.66024000000000005</v>
      </c>
      <c r="AA1834" s="6">
        <v>0.91700000000000015</v>
      </c>
      <c r="AB1834" s="6">
        <v>-0.72000000000000064</v>
      </c>
      <c r="AC1834" s="6">
        <v>0.72000000000000064</v>
      </c>
      <c r="AD1834" s="22" t="s">
        <v>3140</v>
      </c>
      <c r="AE1834" s="23">
        <f t="shared" si="113"/>
        <v>6.0529999999999999</v>
      </c>
      <c r="AF1834" s="24">
        <f t="shared" si="114"/>
        <v>0</v>
      </c>
      <c r="AG1834" s="23">
        <f t="shared" si="115"/>
        <v>1</v>
      </c>
    </row>
    <row r="1835" spans="1:33" ht="12.5" customHeight="1" x14ac:dyDescent="0.25">
      <c r="A1835" s="12" t="s">
        <v>31</v>
      </c>
      <c r="B1835" s="9">
        <v>46200</v>
      </c>
      <c r="C1835" s="12" t="s">
        <v>2892</v>
      </c>
      <c r="D1835" s="10" t="s">
        <v>2153</v>
      </c>
      <c r="E1835" s="10" t="s">
        <v>51</v>
      </c>
      <c r="F1835" s="10" t="s">
        <v>35</v>
      </c>
      <c r="G1835" s="10" t="s">
        <v>3146</v>
      </c>
      <c r="H1835" s="8" t="s">
        <v>36</v>
      </c>
      <c r="I1835" s="11">
        <v>2.12</v>
      </c>
      <c r="J1835" s="6">
        <v>1.94404</v>
      </c>
      <c r="K1835" s="6">
        <v>0.91699999999999993</v>
      </c>
      <c r="L1835" s="6">
        <v>2.0099999999999998</v>
      </c>
      <c r="M1835" s="11">
        <v>1.84317</v>
      </c>
      <c r="N1835" s="11">
        <f t="shared" si="112"/>
        <v>1.8439999999999999</v>
      </c>
      <c r="O1835" s="6">
        <v>0.91700000000000004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0.11</v>
      </c>
      <c r="Z1835" s="6">
        <v>0.10087</v>
      </c>
      <c r="AA1835" s="6">
        <v>0.91700000000000004</v>
      </c>
      <c r="AB1835" s="6">
        <v>-0.11000000000000032</v>
      </c>
      <c r="AC1835" s="6">
        <v>0.11000000000000032</v>
      </c>
      <c r="AD1835" s="22" t="s">
        <v>3140</v>
      </c>
      <c r="AE1835" s="23">
        <f t="shared" si="113"/>
        <v>1.8439999999999999</v>
      </c>
      <c r="AF1835" s="24">
        <f t="shared" si="114"/>
        <v>0</v>
      </c>
      <c r="AG1835" s="23">
        <f t="shared" si="115"/>
        <v>2</v>
      </c>
    </row>
    <row r="1836" spans="1:33" ht="12.5" customHeight="1" x14ac:dyDescent="0.25">
      <c r="A1836" s="12" t="s">
        <v>31</v>
      </c>
      <c r="B1836" s="9">
        <v>46200</v>
      </c>
      <c r="C1836" s="12" t="s">
        <v>2892</v>
      </c>
      <c r="D1836" s="10" t="s">
        <v>2894</v>
      </c>
      <c r="E1836" s="10" t="s">
        <v>51</v>
      </c>
      <c r="F1836" s="10" t="s">
        <v>35</v>
      </c>
      <c r="G1836" s="10" t="s">
        <v>3146</v>
      </c>
      <c r="H1836" s="8" t="s">
        <v>36</v>
      </c>
      <c r="I1836" s="11">
        <v>0.64</v>
      </c>
      <c r="J1836" s="6">
        <v>0.58687999999999996</v>
      </c>
      <c r="K1836" s="6">
        <v>0.91699999999999993</v>
      </c>
      <c r="L1836" s="6">
        <v>0.62</v>
      </c>
      <c r="M1836" s="11">
        <v>0.56854000000000005</v>
      </c>
      <c r="N1836" s="11">
        <f t="shared" si="112"/>
        <v>0.56899999999999995</v>
      </c>
      <c r="O1836" s="6">
        <v>0.91700000000000004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0.02</v>
      </c>
      <c r="Z1836" s="6">
        <v>1.8339999999999999E-2</v>
      </c>
      <c r="AA1836" s="6">
        <v>0.91699999999999993</v>
      </c>
      <c r="AB1836" s="6">
        <v>-2.0000000000000018E-2</v>
      </c>
      <c r="AC1836" s="6">
        <v>2.0000000000000018E-2</v>
      </c>
      <c r="AD1836" s="22" t="s">
        <v>3140</v>
      </c>
      <c r="AE1836" s="23">
        <f t="shared" si="113"/>
        <v>0.56899999999999995</v>
      </c>
      <c r="AF1836" s="24">
        <f t="shared" si="114"/>
        <v>0</v>
      </c>
      <c r="AG1836" s="23">
        <f t="shared" si="115"/>
        <v>1</v>
      </c>
    </row>
    <row r="1837" spans="1:33" ht="12.5" hidden="1" customHeight="1" x14ac:dyDescent="0.25">
      <c r="A1837" s="12" t="s">
        <v>31</v>
      </c>
      <c r="B1837" s="9">
        <v>46200</v>
      </c>
      <c r="C1837" s="13" t="s">
        <v>2892</v>
      </c>
      <c r="D1837" s="10" t="s">
        <v>2895</v>
      </c>
      <c r="E1837" s="10" t="s">
        <v>51</v>
      </c>
      <c r="F1837" s="10" t="s">
        <v>35</v>
      </c>
      <c r="G1837" s="10" t="s">
        <v>3145</v>
      </c>
      <c r="H1837" s="8" t="s">
        <v>48</v>
      </c>
      <c r="I1837" s="11">
        <v>30.34</v>
      </c>
      <c r="J1837" s="6">
        <v>22.754999999999999</v>
      </c>
      <c r="K1837" s="6">
        <v>0.75</v>
      </c>
      <c r="L1837" s="6">
        <v>26.58</v>
      </c>
      <c r="M1837" s="11">
        <v>19.934999999999999</v>
      </c>
      <c r="N1837" s="11">
        <f t="shared" si="112"/>
        <v>19.934999999999999</v>
      </c>
      <c r="O1837" s="6">
        <v>0.75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3.76</v>
      </c>
      <c r="Z1837" s="6">
        <v>2.82</v>
      </c>
      <c r="AA1837" s="6">
        <v>0.75</v>
      </c>
      <c r="AB1837" s="6">
        <v>-3.7600000000000016</v>
      </c>
      <c r="AC1837" s="6">
        <v>3.7600000000000016</v>
      </c>
      <c r="AD1837" s="22" t="s">
        <v>3140</v>
      </c>
      <c r="AE1837" s="23">
        <f t="shared" si="113"/>
        <v>19.934999999999999</v>
      </c>
      <c r="AF1837" s="24">
        <f t="shared" si="114"/>
        <v>0</v>
      </c>
      <c r="AG1837" s="23">
        <f t="shared" si="115"/>
        <v>1</v>
      </c>
    </row>
    <row r="1838" spans="1:33" ht="12.5" hidden="1" customHeight="1" x14ac:dyDescent="0.25">
      <c r="A1838" s="12" t="s">
        <v>31</v>
      </c>
      <c r="B1838" s="9">
        <v>46200</v>
      </c>
      <c r="C1838" s="8" t="s">
        <v>2896</v>
      </c>
      <c r="D1838" s="10" t="s">
        <v>2897</v>
      </c>
      <c r="E1838" s="10" t="s">
        <v>51</v>
      </c>
      <c r="F1838" s="10" t="s">
        <v>35</v>
      </c>
      <c r="G1838" s="10" t="s">
        <v>3145</v>
      </c>
      <c r="H1838" s="8" t="s">
        <v>41</v>
      </c>
      <c r="I1838" s="11">
        <v>9.08</v>
      </c>
      <c r="J1838" s="6">
        <v>6.81</v>
      </c>
      <c r="K1838" s="6">
        <v>0.75</v>
      </c>
      <c r="L1838" s="6">
        <v>8.6999999999999993</v>
      </c>
      <c r="M1838" s="11">
        <v>6.5250000000000004</v>
      </c>
      <c r="N1838" s="11">
        <f t="shared" si="112"/>
        <v>6.5250000000000004</v>
      </c>
      <c r="O1838" s="6">
        <v>0.75000000000000011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0.38</v>
      </c>
      <c r="Z1838" s="6">
        <v>0.28499999999999998</v>
      </c>
      <c r="AA1838" s="6">
        <v>0.74999999999999989</v>
      </c>
      <c r="AB1838" s="6">
        <v>-0.38000000000000078</v>
      </c>
      <c r="AC1838" s="6">
        <v>0.38000000000000078</v>
      </c>
      <c r="AD1838" s="22" t="s">
        <v>3140</v>
      </c>
      <c r="AE1838" s="23">
        <f t="shared" si="113"/>
        <v>6.5250000000000004</v>
      </c>
      <c r="AF1838" s="24">
        <f t="shared" si="114"/>
        <v>0</v>
      </c>
      <c r="AG1838" s="23">
        <f t="shared" si="115"/>
        <v>1</v>
      </c>
    </row>
    <row r="1839" spans="1:33" ht="12.5" hidden="1" customHeight="1" x14ac:dyDescent="0.25">
      <c r="A1839" s="12" t="s">
        <v>31</v>
      </c>
      <c r="B1839" s="9">
        <v>46200</v>
      </c>
      <c r="C1839" s="12" t="s">
        <v>2896</v>
      </c>
      <c r="D1839" s="10" t="s">
        <v>2898</v>
      </c>
      <c r="E1839" s="10" t="s">
        <v>51</v>
      </c>
      <c r="F1839" s="10" t="s">
        <v>35</v>
      </c>
      <c r="G1839" s="10" t="s">
        <v>3145</v>
      </c>
      <c r="H1839" s="8" t="s">
        <v>41</v>
      </c>
      <c r="I1839" s="11">
        <v>10.88</v>
      </c>
      <c r="J1839" s="6">
        <v>8.16</v>
      </c>
      <c r="K1839" s="6">
        <v>0.75</v>
      </c>
      <c r="L1839" s="6">
        <v>10.45</v>
      </c>
      <c r="M1839" s="11">
        <v>7.8375000000000004</v>
      </c>
      <c r="N1839" s="11">
        <f t="shared" si="112"/>
        <v>7.8380000000000001</v>
      </c>
      <c r="O1839" s="6">
        <v>0.75000000000000011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0.43</v>
      </c>
      <c r="Z1839" s="6">
        <v>0.32250000000000001</v>
      </c>
      <c r="AA1839" s="6">
        <v>0.75</v>
      </c>
      <c r="AB1839" s="6">
        <v>-0.43000000000000149</v>
      </c>
      <c r="AC1839" s="6">
        <v>0.43000000000000149</v>
      </c>
      <c r="AD1839" s="22" t="s">
        <v>3140</v>
      </c>
      <c r="AE1839" s="23">
        <f t="shared" si="113"/>
        <v>7.8380000000000001</v>
      </c>
      <c r="AF1839" s="24">
        <f t="shared" si="114"/>
        <v>0</v>
      </c>
      <c r="AG1839" s="23">
        <f t="shared" si="115"/>
        <v>1</v>
      </c>
    </row>
    <row r="1840" spans="1:33" ht="12.5" customHeight="1" x14ac:dyDescent="0.25">
      <c r="A1840" s="12" t="s">
        <v>31</v>
      </c>
      <c r="B1840" s="9">
        <v>46200</v>
      </c>
      <c r="C1840" s="12" t="s">
        <v>2896</v>
      </c>
      <c r="D1840" s="10" t="s">
        <v>2899</v>
      </c>
      <c r="E1840" s="10" t="s">
        <v>51</v>
      </c>
      <c r="F1840" s="10" t="s">
        <v>35</v>
      </c>
      <c r="G1840" s="10" t="s">
        <v>3146</v>
      </c>
      <c r="H1840" s="8" t="s">
        <v>36</v>
      </c>
      <c r="I1840" s="11">
        <v>108.21</v>
      </c>
      <c r="J1840" s="6">
        <v>99.228570000000005</v>
      </c>
      <c r="K1840" s="6">
        <v>0.91700000000000015</v>
      </c>
      <c r="L1840" s="6">
        <v>103.25</v>
      </c>
      <c r="M1840" s="11">
        <v>94.680250000000001</v>
      </c>
      <c r="N1840" s="11">
        <f t="shared" si="112"/>
        <v>94.681000000000012</v>
      </c>
      <c r="O1840" s="6">
        <v>0.91700000000000004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4.96</v>
      </c>
      <c r="Z1840" s="6">
        <v>4.5483200000000004</v>
      </c>
      <c r="AA1840" s="6">
        <v>0.91700000000000004</v>
      </c>
      <c r="AB1840" s="6">
        <v>-4.9599999999999937</v>
      </c>
      <c r="AC1840" s="6">
        <v>4.9599999999999937</v>
      </c>
      <c r="AD1840" s="22" t="s">
        <v>3140</v>
      </c>
      <c r="AE1840" s="23">
        <f t="shared" si="113"/>
        <v>94.681000000000012</v>
      </c>
      <c r="AF1840" s="24">
        <f t="shared" si="114"/>
        <v>0</v>
      </c>
      <c r="AG1840" s="23">
        <f t="shared" si="115"/>
        <v>1</v>
      </c>
    </row>
    <row r="1841" spans="1:33" ht="12.5" customHeight="1" x14ac:dyDescent="0.25">
      <c r="A1841" s="12" t="s">
        <v>31</v>
      </c>
      <c r="B1841" s="9">
        <v>46200</v>
      </c>
      <c r="C1841" s="12" t="s">
        <v>2896</v>
      </c>
      <c r="D1841" s="10" t="s">
        <v>2900</v>
      </c>
      <c r="E1841" s="10" t="s">
        <v>51</v>
      </c>
      <c r="F1841" s="10" t="s">
        <v>35</v>
      </c>
      <c r="G1841" s="10" t="s">
        <v>3146</v>
      </c>
      <c r="H1841" s="8" t="s">
        <v>36</v>
      </c>
      <c r="I1841" s="11">
        <v>10.71</v>
      </c>
      <c r="J1841" s="6">
        <v>9.8210700000000006</v>
      </c>
      <c r="K1841" s="6">
        <v>0.91700000000000004</v>
      </c>
      <c r="L1841" s="6">
        <v>9.9700000000000006</v>
      </c>
      <c r="M1841" s="11">
        <v>9.1424900000000004</v>
      </c>
      <c r="N1841" s="11">
        <f t="shared" si="112"/>
        <v>9.1429999999999989</v>
      </c>
      <c r="O1841" s="6">
        <v>0.91700000000000004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0.74</v>
      </c>
      <c r="Z1841" s="6">
        <v>0.67857999999999996</v>
      </c>
      <c r="AA1841" s="6">
        <v>0.91699999999999993</v>
      </c>
      <c r="AB1841" s="6">
        <v>-0.74000000000000021</v>
      </c>
      <c r="AC1841" s="6">
        <v>0.74000000000000021</v>
      </c>
      <c r="AD1841" s="22" t="s">
        <v>3140</v>
      </c>
      <c r="AE1841" s="23">
        <f t="shared" si="113"/>
        <v>9.1429999999999989</v>
      </c>
      <c r="AF1841" s="24">
        <f t="shared" si="114"/>
        <v>0</v>
      </c>
      <c r="AG1841" s="23">
        <f t="shared" si="115"/>
        <v>1</v>
      </c>
    </row>
    <row r="1842" spans="1:33" ht="12.5" customHeight="1" x14ac:dyDescent="0.25">
      <c r="A1842" s="12" t="s">
        <v>31</v>
      </c>
      <c r="B1842" s="9">
        <v>46200</v>
      </c>
      <c r="C1842" s="13" t="s">
        <v>2896</v>
      </c>
      <c r="D1842" s="10" t="s">
        <v>2901</v>
      </c>
      <c r="E1842" s="10" t="s">
        <v>51</v>
      </c>
      <c r="F1842" s="10" t="s">
        <v>35</v>
      </c>
      <c r="G1842" s="10" t="s">
        <v>3146</v>
      </c>
      <c r="H1842" s="8" t="s">
        <v>36</v>
      </c>
      <c r="I1842" s="11">
        <v>48.58</v>
      </c>
      <c r="J1842" s="6">
        <v>44.54786</v>
      </c>
      <c r="K1842" s="6">
        <v>0.91700000000000004</v>
      </c>
      <c r="L1842" s="6">
        <v>48.58</v>
      </c>
      <c r="M1842" s="11">
        <v>44.54786</v>
      </c>
      <c r="N1842" s="11">
        <f t="shared" si="112"/>
        <v>44.547999999999995</v>
      </c>
      <c r="O1842" s="6">
        <v>0.91700000000000004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23" t="s">
        <v>3143</v>
      </c>
      <c r="AE1842" s="23">
        <f t="shared" si="113"/>
        <v>42.723999999999997</v>
      </c>
      <c r="AF1842" s="24">
        <f t="shared" si="114"/>
        <v>1.8239999999999981</v>
      </c>
      <c r="AG1842" s="23">
        <f t="shared" si="115"/>
        <v>2</v>
      </c>
    </row>
    <row r="1843" spans="1:33" ht="12.5" customHeight="1" x14ac:dyDescent="0.25">
      <c r="A1843" s="12" t="s">
        <v>31</v>
      </c>
      <c r="B1843" s="9">
        <v>46200</v>
      </c>
      <c r="C1843" s="8" t="s">
        <v>2902</v>
      </c>
      <c r="D1843" s="10" t="s">
        <v>2789</v>
      </c>
      <c r="E1843" s="10" t="s">
        <v>51</v>
      </c>
      <c r="F1843" s="10" t="s">
        <v>35</v>
      </c>
      <c r="G1843" s="10" t="s">
        <v>3146</v>
      </c>
      <c r="H1843" s="8" t="s">
        <v>36</v>
      </c>
      <c r="I1843" s="11">
        <v>4.1399999999999997</v>
      </c>
      <c r="J1843" s="6">
        <v>3.7963800000000001</v>
      </c>
      <c r="K1843" s="6">
        <v>0.91700000000000004</v>
      </c>
      <c r="L1843" s="6">
        <v>4.01</v>
      </c>
      <c r="M1843" s="11">
        <v>3.6771699999999998</v>
      </c>
      <c r="N1843" s="11">
        <f t="shared" si="112"/>
        <v>3.6779999999999999</v>
      </c>
      <c r="O1843" s="6">
        <v>0.91700000000000004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0.13</v>
      </c>
      <c r="Z1843" s="6">
        <v>0.11921</v>
      </c>
      <c r="AA1843" s="6">
        <v>0.91699999999999993</v>
      </c>
      <c r="AB1843" s="6">
        <v>-0.12999999999999989</v>
      </c>
      <c r="AC1843" s="6">
        <v>0.12999999999999989</v>
      </c>
      <c r="AD1843" s="23" t="s">
        <v>3143</v>
      </c>
      <c r="AE1843" s="23">
        <f t="shared" si="113"/>
        <v>3.0539999999999998</v>
      </c>
      <c r="AF1843" s="24">
        <f t="shared" si="114"/>
        <v>0.62400000000000011</v>
      </c>
      <c r="AG1843" s="23">
        <f t="shared" si="115"/>
        <v>2</v>
      </c>
    </row>
    <row r="1844" spans="1:33" ht="12.5" customHeight="1" x14ac:dyDescent="0.25">
      <c r="A1844" s="12" t="s">
        <v>31</v>
      </c>
      <c r="B1844" s="9">
        <v>46200</v>
      </c>
      <c r="C1844" s="12" t="s">
        <v>2902</v>
      </c>
      <c r="D1844" s="10" t="s">
        <v>2793</v>
      </c>
      <c r="E1844" s="10" t="s">
        <v>51</v>
      </c>
      <c r="F1844" s="10" t="s">
        <v>35</v>
      </c>
      <c r="G1844" s="10" t="s">
        <v>3146</v>
      </c>
      <c r="H1844" s="8" t="s">
        <v>36</v>
      </c>
      <c r="I1844" s="11">
        <v>3.75</v>
      </c>
      <c r="J1844" s="6">
        <v>3.4387500000000002</v>
      </c>
      <c r="K1844" s="6">
        <v>0.91700000000000004</v>
      </c>
      <c r="L1844" s="6">
        <v>3.66</v>
      </c>
      <c r="M1844" s="11">
        <v>3.35622</v>
      </c>
      <c r="N1844" s="11">
        <f t="shared" si="112"/>
        <v>3.3569999999999998</v>
      </c>
      <c r="O1844" s="6">
        <v>0.91699999999999993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0.09</v>
      </c>
      <c r="Z1844" s="6">
        <v>8.2530000000000006E-2</v>
      </c>
      <c r="AA1844" s="6">
        <v>0.91700000000000015</v>
      </c>
      <c r="AB1844" s="6">
        <v>-8.9999999999999858E-2</v>
      </c>
      <c r="AC1844" s="6">
        <v>8.9999999999999858E-2</v>
      </c>
      <c r="AD1844" s="23" t="s">
        <v>3143</v>
      </c>
      <c r="AE1844" s="23">
        <f t="shared" si="113"/>
        <v>2.669</v>
      </c>
      <c r="AF1844" s="24">
        <f t="shared" si="114"/>
        <v>0.68799999999999972</v>
      </c>
      <c r="AG1844" s="23">
        <f t="shared" si="115"/>
        <v>2</v>
      </c>
    </row>
    <row r="1845" spans="1:33" ht="12.5" hidden="1" customHeight="1" x14ac:dyDescent="0.25">
      <c r="A1845" s="12" t="s">
        <v>31</v>
      </c>
      <c r="B1845" s="9">
        <v>46200</v>
      </c>
      <c r="C1845" s="12" t="s">
        <v>2902</v>
      </c>
      <c r="D1845" s="10" t="s">
        <v>2849</v>
      </c>
      <c r="E1845" s="10" t="s">
        <v>51</v>
      </c>
      <c r="F1845" s="10" t="s">
        <v>35</v>
      </c>
      <c r="G1845" s="10" t="s">
        <v>3145</v>
      </c>
      <c r="H1845" s="8" t="s">
        <v>48</v>
      </c>
      <c r="I1845" s="11">
        <v>2.64</v>
      </c>
      <c r="J1845" s="6">
        <v>1.98</v>
      </c>
      <c r="K1845" s="6">
        <v>0.75</v>
      </c>
      <c r="L1845" s="6">
        <v>2.64</v>
      </c>
      <c r="M1845" s="11">
        <v>1.98</v>
      </c>
      <c r="N1845" s="11">
        <f t="shared" si="112"/>
        <v>1.98</v>
      </c>
      <c r="O1845" s="6">
        <v>0.75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22" t="s">
        <v>3140</v>
      </c>
      <c r="AE1845" s="23">
        <f t="shared" si="113"/>
        <v>1.98</v>
      </c>
      <c r="AF1845" s="24">
        <f t="shared" si="114"/>
        <v>0</v>
      </c>
      <c r="AG1845" s="23">
        <f t="shared" si="115"/>
        <v>2</v>
      </c>
    </row>
    <row r="1846" spans="1:33" ht="12.5" customHeight="1" x14ac:dyDescent="0.25">
      <c r="A1846" s="12" t="s">
        <v>31</v>
      </c>
      <c r="B1846" s="9">
        <v>46200</v>
      </c>
      <c r="C1846" s="13" t="s">
        <v>2902</v>
      </c>
      <c r="D1846" s="10" t="s">
        <v>2903</v>
      </c>
      <c r="E1846" s="10" t="s">
        <v>51</v>
      </c>
      <c r="F1846" s="10" t="s">
        <v>35</v>
      </c>
      <c r="G1846" s="10" t="s">
        <v>3146</v>
      </c>
      <c r="H1846" s="8" t="s">
        <v>36</v>
      </c>
      <c r="I1846" s="11">
        <v>32.1</v>
      </c>
      <c r="J1846" s="6">
        <v>29.435700000000001</v>
      </c>
      <c r="K1846" s="6">
        <v>0.91699999999999993</v>
      </c>
      <c r="L1846" s="6">
        <v>32.020000000000003</v>
      </c>
      <c r="M1846" s="11">
        <v>29.36234</v>
      </c>
      <c r="N1846" s="11">
        <f t="shared" si="112"/>
        <v>29.363</v>
      </c>
      <c r="O1846" s="6">
        <v>0.91699999999999993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0.08</v>
      </c>
      <c r="Z1846" s="6">
        <v>7.3359999999999995E-2</v>
      </c>
      <c r="AA1846" s="6">
        <v>0.91699999999999993</v>
      </c>
      <c r="AB1846" s="6">
        <v>-7.9999999999998295E-2</v>
      </c>
      <c r="AC1846" s="6">
        <v>7.9999999999998295E-2</v>
      </c>
      <c r="AD1846" s="22" t="s">
        <v>3140</v>
      </c>
      <c r="AE1846" s="23">
        <f t="shared" si="113"/>
        <v>29.363</v>
      </c>
      <c r="AF1846" s="24">
        <f t="shared" si="114"/>
        <v>0</v>
      </c>
      <c r="AG1846" s="23">
        <f t="shared" si="115"/>
        <v>1</v>
      </c>
    </row>
    <row r="1847" spans="1:33" ht="20" hidden="1" customHeight="1" x14ac:dyDescent="0.25">
      <c r="A1847" s="12" t="s">
        <v>31</v>
      </c>
      <c r="B1847" s="9">
        <v>46200</v>
      </c>
      <c r="C1847" s="10" t="s">
        <v>2904</v>
      </c>
      <c r="D1847" s="10" t="s">
        <v>2905</v>
      </c>
      <c r="E1847" s="10" t="s">
        <v>51</v>
      </c>
      <c r="F1847" s="10" t="s">
        <v>35</v>
      </c>
      <c r="G1847" s="10" t="s">
        <v>3145</v>
      </c>
      <c r="H1847" s="8" t="s">
        <v>48</v>
      </c>
      <c r="I1847" s="11">
        <v>29.58</v>
      </c>
      <c r="J1847" s="6">
        <v>22.184999999999999</v>
      </c>
      <c r="K1847" s="6">
        <v>0.75</v>
      </c>
      <c r="L1847" s="6">
        <v>26.74</v>
      </c>
      <c r="M1847" s="11">
        <v>20.055</v>
      </c>
      <c r="N1847" s="11">
        <f t="shared" si="112"/>
        <v>20.055</v>
      </c>
      <c r="O1847" s="6">
        <v>0.75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2.84</v>
      </c>
      <c r="Z1847" s="6">
        <v>2.13</v>
      </c>
      <c r="AA1847" s="6">
        <v>0.75</v>
      </c>
      <c r="AB1847" s="6">
        <v>-2.84</v>
      </c>
      <c r="AC1847" s="6">
        <v>2.84</v>
      </c>
      <c r="AD1847" s="22" t="s">
        <v>3140</v>
      </c>
      <c r="AE1847" s="23">
        <f t="shared" si="113"/>
        <v>20.055</v>
      </c>
      <c r="AF1847" s="24">
        <f t="shared" si="114"/>
        <v>0</v>
      </c>
      <c r="AG1847" s="23">
        <f t="shared" si="115"/>
        <v>1</v>
      </c>
    </row>
    <row r="1848" spans="1:33" x14ac:dyDescent="0.25">
      <c r="A1848" s="12" t="s">
        <v>31</v>
      </c>
      <c r="B1848" s="9">
        <v>46200</v>
      </c>
      <c r="C1848" s="10" t="s">
        <v>2906</v>
      </c>
      <c r="D1848" s="10" t="s">
        <v>2907</v>
      </c>
      <c r="E1848" s="10" t="s">
        <v>51</v>
      </c>
      <c r="F1848" s="10" t="s">
        <v>35</v>
      </c>
      <c r="G1848" s="10" t="s">
        <v>3146</v>
      </c>
      <c r="H1848" s="8" t="s">
        <v>36</v>
      </c>
      <c r="I1848" s="11">
        <v>10.77</v>
      </c>
      <c r="J1848" s="6">
        <v>9.8760899999999996</v>
      </c>
      <c r="K1848" s="6">
        <v>0.91700000000000004</v>
      </c>
      <c r="L1848" s="6">
        <v>9.59</v>
      </c>
      <c r="M1848" s="11">
        <v>8.7940299999999993</v>
      </c>
      <c r="N1848" s="11">
        <f t="shared" si="112"/>
        <v>8.7949999999999999</v>
      </c>
      <c r="O1848" s="6">
        <v>0.91699999999999993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1.18</v>
      </c>
      <c r="Z1848" s="6">
        <v>1.08206</v>
      </c>
      <c r="AA1848" s="6">
        <v>0.91700000000000004</v>
      </c>
      <c r="AB1848" s="6">
        <v>-1.1799999999999997</v>
      </c>
      <c r="AC1848" s="6">
        <v>1.1799999999999997</v>
      </c>
      <c r="AD1848" s="22" t="s">
        <v>3140</v>
      </c>
      <c r="AE1848" s="23">
        <f t="shared" si="113"/>
        <v>8.7949999999999999</v>
      </c>
      <c r="AF1848" s="24">
        <f t="shared" si="114"/>
        <v>0</v>
      </c>
      <c r="AG1848" s="23">
        <f t="shared" si="115"/>
        <v>1</v>
      </c>
    </row>
    <row r="1849" spans="1:33" x14ac:dyDescent="0.25">
      <c r="A1849" s="12" t="s">
        <v>31</v>
      </c>
      <c r="B1849" s="9">
        <v>46200</v>
      </c>
      <c r="C1849" s="10" t="s">
        <v>2908</v>
      </c>
      <c r="D1849" s="10" t="s">
        <v>2909</v>
      </c>
      <c r="E1849" s="10" t="s">
        <v>51</v>
      </c>
      <c r="F1849" s="10" t="s">
        <v>35</v>
      </c>
      <c r="G1849" s="10" t="s">
        <v>3146</v>
      </c>
      <c r="H1849" s="8" t="s">
        <v>36</v>
      </c>
      <c r="I1849" s="11">
        <v>33.380000000000003</v>
      </c>
      <c r="J1849" s="6">
        <v>30.609459999999999</v>
      </c>
      <c r="K1849" s="6">
        <v>0.91699999999999993</v>
      </c>
      <c r="L1849" s="6">
        <v>30.61</v>
      </c>
      <c r="M1849" s="11">
        <v>28.069369999999999</v>
      </c>
      <c r="N1849" s="11">
        <f t="shared" si="112"/>
        <v>28.07</v>
      </c>
      <c r="O1849" s="6">
        <v>0.91700000000000004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2.77</v>
      </c>
      <c r="Z1849" s="6">
        <v>2.5400900000000002</v>
      </c>
      <c r="AA1849" s="6">
        <v>0.91700000000000004</v>
      </c>
      <c r="AB1849" s="6">
        <v>-2.7700000000000031</v>
      </c>
      <c r="AC1849" s="6">
        <v>2.7700000000000031</v>
      </c>
      <c r="AD1849" s="22" t="s">
        <v>3140</v>
      </c>
      <c r="AE1849" s="23">
        <f t="shared" si="113"/>
        <v>28.07</v>
      </c>
      <c r="AF1849" s="24">
        <f t="shared" si="114"/>
        <v>0</v>
      </c>
      <c r="AG1849" s="23">
        <f t="shared" si="115"/>
        <v>1</v>
      </c>
    </row>
    <row r="1850" spans="1:33" ht="20" hidden="1" customHeight="1" x14ac:dyDescent="0.25">
      <c r="A1850" s="12" t="s">
        <v>31</v>
      </c>
      <c r="B1850" s="9">
        <v>46200</v>
      </c>
      <c r="C1850" s="10" t="s">
        <v>2910</v>
      </c>
      <c r="D1850" s="10" t="s">
        <v>2911</v>
      </c>
      <c r="E1850" s="10" t="s">
        <v>51</v>
      </c>
      <c r="F1850" s="10" t="s">
        <v>35</v>
      </c>
      <c r="G1850" s="10" t="s">
        <v>3145</v>
      </c>
      <c r="H1850" s="8" t="s">
        <v>48</v>
      </c>
      <c r="I1850" s="11">
        <v>49.28</v>
      </c>
      <c r="J1850" s="6">
        <v>36.96</v>
      </c>
      <c r="K1850" s="6">
        <v>0.75</v>
      </c>
      <c r="L1850" s="6">
        <v>47.14</v>
      </c>
      <c r="M1850" s="11">
        <v>35.354999999999997</v>
      </c>
      <c r="N1850" s="11">
        <f t="shared" si="112"/>
        <v>35.354999999999997</v>
      </c>
      <c r="O1850" s="6">
        <v>0.74999999999999989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2.14</v>
      </c>
      <c r="Z1850" s="6">
        <v>1.605</v>
      </c>
      <c r="AA1850" s="6">
        <v>0.75</v>
      </c>
      <c r="AB1850" s="6">
        <v>-2.1400000000000006</v>
      </c>
      <c r="AC1850" s="6">
        <v>2.1400000000000006</v>
      </c>
      <c r="AD1850" s="22" t="s">
        <v>3140</v>
      </c>
      <c r="AE1850" s="23">
        <f t="shared" si="113"/>
        <v>35.354999999999997</v>
      </c>
      <c r="AF1850" s="24">
        <f t="shared" si="114"/>
        <v>0</v>
      </c>
      <c r="AG1850" s="23">
        <f t="shared" si="115"/>
        <v>1</v>
      </c>
    </row>
    <row r="1851" spans="1:33" hidden="1" x14ac:dyDescent="0.25">
      <c r="A1851" s="12" t="s">
        <v>31</v>
      </c>
      <c r="B1851" s="9">
        <v>46200</v>
      </c>
      <c r="C1851" s="10" t="s">
        <v>2912</v>
      </c>
      <c r="D1851" s="10" t="s">
        <v>2913</v>
      </c>
      <c r="E1851" s="10" t="s">
        <v>51</v>
      </c>
      <c r="F1851" s="10" t="s">
        <v>35</v>
      </c>
      <c r="G1851" s="10" t="s">
        <v>3145</v>
      </c>
      <c r="H1851" s="8" t="s">
        <v>41</v>
      </c>
      <c r="I1851" s="11">
        <v>8.2100000000000009</v>
      </c>
      <c r="J1851" s="6">
        <v>6.1574999999999998</v>
      </c>
      <c r="K1851" s="6">
        <v>0.74999999999999989</v>
      </c>
      <c r="L1851" s="6">
        <v>7.65</v>
      </c>
      <c r="M1851" s="11">
        <v>5.7374999999999998</v>
      </c>
      <c r="N1851" s="11">
        <f t="shared" si="112"/>
        <v>5.7380000000000004</v>
      </c>
      <c r="O1851" s="6">
        <v>0.74999999999999989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0.56000000000000005</v>
      </c>
      <c r="Z1851" s="6">
        <v>0.42</v>
      </c>
      <c r="AA1851" s="6">
        <v>0.74999999999999989</v>
      </c>
      <c r="AB1851" s="6">
        <v>-0.5600000000000005</v>
      </c>
      <c r="AC1851" s="6">
        <v>0.5600000000000005</v>
      </c>
      <c r="AD1851" s="22" t="s">
        <v>3140</v>
      </c>
      <c r="AE1851" s="23">
        <f t="shared" si="113"/>
        <v>5.7380000000000004</v>
      </c>
      <c r="AF1851" s="24">
        <f t="shared" si="114"/>
        <v>0</v>
      </c>
      <c r="AG1851" s="23">
        <f t="shared" si="115"/>
        <v>1</v>
      </c>
    </row>
    <row r="1852" spans="1:33" x14ac:dyDescent="0.25">
      <c r="A1852" s="12" t="s">
        <v>31</v>
      </c>
      <c r="B1852" s="9">
        <v>46200</v>
      </c>
      <c r="C1852" s="10" t="s">
        <v>2914</v>
      </c>
      <c r="D1852" s="10" t="s">
        <v>2915</v>
      </c>
      <c r="E1852" s="10" t="s">
        <v>51</v>
      </c>
      <c r="F1852" s="10" t="s">
        <v>35</v>
      </c>
      <c r="G1852" s="10" t="s">
        <v>3146</v>
      </c>
      <c r="H1852" s="8" t="s">
        <v>36</v>
      </c>
      <c r="I1852" s="11">
        <v>7.09</v>
      </c>
      <c r="J1852" s="6">
        <v>6.5015299999999998</v>
      </c>
      <c r="K1852" s="6">
        <v>0.91700000000000004</v>
      </c>
      <c r="L1852" s="6">
        <v>6.32</v>
      </c>
      <c r="M1852" s="11">
        <v>5.7954400000000001</v>
      </c>
      <c r="N1852" s="11">
        <f t="shared" si="112"/>
        <v>5.7960000000000003</v>
      </c>
      <c r="O1852" s="6">
        <v>0.91700000000000004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0.77</v>
      </c>
      <c r="Z1852" s="6">
        <v>0.70609</v>
      </c>
      <c r="AA1852" s="6">
        <v>0.91699999999999993</v>
      </c>
      <c r="AB1852" s="6">
        <v>-0.76999999999999957</v>
      </c>
      <c r="AC1852" s="6">
        <v>0.76999999999999957</v>
      </c>
      <c r="AD1852" s="22" t="s">
        <v>3140</v>
      </c>
      <c r="AE1852" s="23">
        <f t="shared" si="113"/>
        <v>5.7960000000000003</v>
      </c>
      <c r="AF1852" s="24">
        <f t="shared" si="114"/>
        <v>0</v>
      </c>
      <c r="AG1852" s="23">
        <f t="shared" si="115"/>
        <v>1</v>
      </c>
    </row>
    <row r="1853" spans="1:33" x14ac:dyDescent="0.25">
      <c r="A1853" s="12" t="s">
        <v>31</v>
      </c>
      <c r="B1853" s="9">
        <v>46200</v>
      </c>
      <c r="C1853" s="10" t="s">
        <v>2916</v>
      </c>
      <c r="D1853" s="10" t="s">
        <v>2917</v>
      </c>
      <c r="E1853" s="10" t="s">
        <v>51</v>
      </c>
      <c r="F1853" s="10" t="s">
        <v>35</v>
      </c>
      <c r="G1853" s="10" t="s">
        <v>3146</v>
      </c>
      <c r="H1853" s="8" t="s">
        <v>36</v>
      </c>
      <c r="I1853" s="11">
        <v>1.034</v>
      </c>
      <c r="J1853" s="6">
        <v>0.94817799999999997</v>
      </c>
      <c r="K1853" s="6">
        <v>0.91699999999999993</v>
      </c>
      <c r="L1853" s="6">
        <v>0.98399999999999999</v>
      </c>
      <c r="M1853" s="11">
        <v>0.90232800000000002</v>
      </c>
      <c r="N1853" s="11">
        <f t="shared" si="112"/>
        <v>0.90300000000000002</v>
      </c>
      <c r="O1853" s="6">
        <v>0.91700000000000004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0.05</v>
      </c>
      <c r="Z1853" s="6">
        <v>4.5850000000000002E-2</v>
      </c>
      <c r="AA1853" s="6">
        <v>0.91700000000000004</v>
      </c>
      <c r="AB1853" s="6">
        <v>-5.0000000000000044E-2</v>
      </c>
      <c r="AC1853" s="6">
        <v>5.0000000000000044E-2</v>
      </c>
      <c r="AD1853" s="22" t="s">
        <v>3140</v>
      </c>
      <c r="AE1853" s="23">
        <f t="shared" si="113"/>
        <v>0.90300000000000002</v>
      </c>
      <c r="AF1853" s="24">
        <f t="shared" si="114"/>
        <v>0</v>
      </c>
      <c r="AG1853" s="23">
        <f t="shared" si="115"/>
        <v>1</v>
      </c>
    </row>
    <row r="1854" spans="1:33" hidden="1" x14ac:dyDescent="0.25">
      <c r="A1854" s="12" t="s">
        <v>31</v>
      </c>
      <c r="B1854" s="9">
        <v>46200</v>
      </c>
      <c r="C1854" s="10" t="s">
        <v>2918</v>
      </c>
      <c r="D1854" s="10" t="s">
        <v>2919</v>
      </c>
      <c r="E1854" s="10" t="s">
        <v>51</v>
      </c>
      <c r="F1854" s="10" t="s">
        <v>35</v>
      </c>
      <c r="G1854" s="10" t="s">
        <v>3145</v>
      </c>
      <c r="H1854" s="8" t="s">
        <v>41</v>
      </c>
      <c r="I1854" s="11">
        <v>10.19</v>
      </c>
      <c r="J1854" s="6">
        <v>7.6425000000000001</v>
      </c>
      <c r="K1854" s="6">
        <v>0.75</v>
      </c>
      <c r="L1854" s="6">
        <v>9.92</v>
      </c>
      <c r="M1854" s="11">
        <v>7.44</v>
      </c>
      <c r="N1854" s="11">
        <f t="shared" si="112"/>
        <v>7.44</v>
      </c>
      <c r="O1854" s="6">
        <v>0.75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0.27</v>
      </c>
      <c r="Z1854" s="6">
        <v>0.20250000000000001</v>
      </c>
      <c r="AA1854" s="6">
        <v>0.75</v>
      </c>
      <c r="AB1854" s="6">
        <v>-0.26999999999999957</v>
      </c>
      <c r="AC1854" s="6">
        <v>0.26999999999999957</v>
      </c>
      <c r="AD1854" s="22" t="s">
        <v>3140</v>
      </c>
      <c r="AE1854" s="23">
        <f t="shared" si="113"/>
        <v>7.44</v>
      </c>
      <c r="AF1854" s="24">
        <f t="shared" si="114"/>
        <v>0</v>
      </c>
      <c r="AG1854" s="23">
        <f t="shared" si="115"/>
        <v>1</v>
      </c>
    </row>
    <row r="1855" spans="1:33" x14ac:dyDescent="0.25">
      <c r="A1855" s="12" t="s">
        <v>31</v>
      </c>
      <c r="B1855" s="9">
        <v>46200</v>
      </c>
      <c r="C1855" s="10" t="s">
        <v>2920</v>
      </c>
      <c r="D1855" s="10" t="s">
        <v>2921</v>
      </c>
      <c r="E1855" s="10" t="s">
        <v>51</v>
      </c>
      <c r="F1855" s="10" t="s">
        <v>35</v>
      </c>
      <c r="G1855" s="10" t="s">
        <v>3146</v>
      </c>
      <c r="H1855" s="8" t="s">
        <v>36</v>
      </c>
      <c r="I1855" s="11">
        <v>31.84</v>
      </c>
      <c r="J1855" s="6">
        <v>29.197279999999999</v>
      </c>
      <c r="K1855" s="6">
        <v>0.91699999999999993</v>
      </c>
      <c r="L1855" s="6">
        <v>31.22</v>
      </c>
      <c r="M1855" s="11">
        <v>28.628740000000001</v>
      </c>
      <c r="N1855" s="11">
        <f t="shared" si="112"/>
        <v>28.629000000000001</v>
      </c>
      <c r="O1855" s="6">
        <v>0.91700000000000004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0.62</v>
      </c>
      <c r="Z1855" s="6">
        <v>0.56854000000000005</v>
      </c>
      <c r="AA1855" s="6">
        <v>0.91700000000000004</v>
      </c>
      <c r="AB1855" s="6">
        <v>-0.62000000000000099</v>
      </c>
      <c r="AC1855" s="6">
        <v>0.62000000000000099</v>
      </c>
      <c r="AD1855" s="22" t="s">
        <v>3140</v>
      </c>
      <c r="AE1855" s="23">
        <f t="shared" si="113"/>
        <v>28.629000000000001</v>
      </c>
      <c r="AF1855" s="24">
        <f t="shared" si="114"/>
        <v>0</v>
      </c>
      <c r="AG1855" s="23">
        <f t="shared" si="115"/>
        <v>1</v>
      </c>
    </row>
    <row r="1856" spans="1:33" x14ac:dyDescent="0.25">
      <c r="A1856" s="12" t="s">
        <v>31</v>
      </c>
      <c r="B1856" s="9">
        <v>46200</v>
      </c>
      <c r="C1856" s="10" t="s">
        <v>2922</v>
      </c>
      <c r="D1856" s="10" t="s">
        <v>2923</v>
      </c>
      <c r="E1856" s="10" t="s">
        <v>51</v>
      </c>
      <c r="F1856" s="10" t="s">
        <v>35</v>
      </c>
      <c r="G1856" s="10" t="s">
        <v>3146</v>
      </c>
      <c r="H1856" s="8" t="s">
        <v>36</v>
      </c>
      <c r="I1856" s="11">
        <v>8.11</v>
      </c>
      <c r="J1856" s="6">
        <v>7.4368699999999999</v>
      </c>
      <c r="K1856" s="6">
        <v>0.91700000000000004</v>
      </c>
      <c r="L1856" s="6">
        <v>7.31</v>
      </c>
      <c r="M1856" s="11">
        <v>6.7032699999999998</v>
      </c>
      <c r="N1856" s="11">
        <f t="shared" si="112"/>
        <v>6.7040000000000006</v>
      </c>
      <c r="O1856" s="6">
        <v>0.91700000000000004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0.8</v>
      </c>
      <c r="Z1856" s="6">
        <v>0.73360000000000003</v>
      </c>
      <c r="AA1856" s="6">
        <v>0.91700000000000004</v>
      </c>
      <c r="AB1856" s="6">
        <v>-0.79999999999999982</v>
      </c>
      <c r="AC1856" s="6">
        <v>0.79999999999999982</v>
      </c>
      <c r="AD1856" s="22" t="s">
        <v>3140</v>
      </c>
      <c r="AE1856" s="23">
        <f t="shared" si="113"/>
        <v>6.7040000000000006</v>
      </c>
      <c r="AF1856" s="24">
        <f t="shared" si="114"/>
        <v>0</v>
      </c>
      <c r="AG1856" s="23">
        <f t="shared" si="115"/>
        <v>1</v>
      </c>
    </row>
    <row r="1857" spans="1:33" hidden="1" x14ac:dyDescent="0.25">
      <c r="A1857" s="12" t="s">
        <v>31</v>
      </c>
      <c r="B1857" s="9">
        <v>46200</v>
      </c>
      <c r="C1857" s="10" t="s">
        <v>2924</v>
      </c>
      <c r="D1857" s="10" t="s">
        <v>2925</v>
      </c>
      <c r="E1857" s="10" t="s">
        <v>51</v>
      </c>
      <c r="F1857" s="10" t="s">
        <v>35</v>
      </c>
      <c r="G1857" s="10" t="s">
        <v>3145</v>
      </c>
      <c r="H1857" s="8" t="s">
        <v>41</v>
      </c>
      <c r="I1857" s="11">
        <v>24.9</v>
      </c>
      <c r="J1857" s="6">
        <v>18.675000000000001</v>
      </c>
      <c r="K1857" s="6">
        <v>0.75000000000000011</v>
      </c>
      <c r="L1857" s="6">
        <v>23.55</v>
      </c>
      <c r="M1857" s="11">
        <v>17.662500000000001</v>
      </c>
      <c r="N1857" s="11">
        <f t="shared" si="112"/>
        <v>17.663</v>
      </c>
      <c r="O1857" s="6">
        <v>0.75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1.35</v>
      </c>
      <c r="Z1857" s="6">
        <v>1.0125</v>
      </c>
      <c r="AA1857" s="6">
        <v>0.74999999999999989</v>
      </c>
      <c r="AB1857" s="6">
        <v>-1.3499999999999979</v>
      </c>
      <c r="AC1857" s="6">
        <v>1.3499999999999979</v>
      </c>
      <c r="AD1857" s="22" t="s">
        <v>3140</v>
      </c>
      <c r="AE1857" s="23">
        <f t="shared" si="113"/>
        <v>17.663</v>
      </c>
      <c r="AF1857" s="24">
        <f t="shared" si="114"/>
        <v>0</v>
      </c>
      <c r="AG1857" s="23">
        <f t="shared" si="115"/>
        <v>1</v>
      </c>
    </row>
    <row r="1858" spans="1:33" hidden="1" x14ac:dyDescent="0.25">
      <c r="A1858" s="12" t="s">
        <v>31</v>
      </c>
      <c r="B1858" s="9">
        <v>46200</v>
      </c>
      <c r="C1858" s="10" t="s">
        <v>2926</v>
      </c>
      <c r="D1858" s="10" t="s">
        <v>2927</v>
      </c>
      <c r="E1858" s="10" t="s">
        <v>51</v>
      </c>
      <c r="F1858" s="10" t="s">
        <v>35</v>
      </c>
      <c r="G1858" s="10" t="s">
        <v>3145</v>
      </c>
      <c r="H1858" s="8" t="s">
        <v>41</v>
      </c>
      <c r="I1858" s="11">
        <v>10.34</v>
      </c>
      <c r="J1858" s="6">
        <v>7.7549999999999999</v>
      </c>
      <c r="K1858" s="6">
        <v>0.75</v>
      </c>
      <c r="L1858" s="6">
        <v>9.7799999999999994</v>
      </c>
      <c r="M1858" s="11">
        <v>7.335</v>
      </c>
      <c r="N1858" s="11">
        <f t="shared" si="112"/>
        <v>7.335</v>
      </c>
      <c r="O1858" s="6">
        <v>0.75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0.56000000000000005</v>
      </c>
      <c r="Z1858" s="6">
        <v>0.42</v>
      </c>
      <c r="AA1858" s="6">
        <v>0.74999999999999989</v>
      </c>
      <c r="AB1858" s="6">
        <v>-0.5600000000000005</v>
      </c>
      <c r="AC1858" s="6">
        <v>0.5600000000000005</v>
      </c>
      <c r="AD1858" s="22" t="s">
        <v>3140</v>
      </c>
      <c r="AE1858" s="23">
        <f t="shared" si="113"/>
        <v>7.335</v>
      </c>
      <c r="AF1858" s="24">
        <f t="shared" si="114"/>
        <v>0</v>
      </c>
      <c r="AG1858" s="23">
        <f t="shared" si="115"/>
        <v>1</v>
      </c>
    </row>
    <row r="1859" spans="1:33" hidden="1" x14ac:dyDescent="0.25">
      <c r="A1859" s="12" t="s">
        <v>31</v>
      </c>
      <c r="B1859" s="9">
        <v>46200</v>
      </c>
      <c r="C1859" s="10" t="s">
        <v>2928</v>
      </c>
      <c r="D1859" s="10" t="s">
        <v>2929</v>
      </c>
      <c r="E1859" s="10" t="s">
        <v>51</v>
      </c>
      <c r="F1859" s="10" t="s">
        <v>35</v>
      </c>
      <c r="G1859" s="10" t="s">
        <v>3145</v>
      </c>
      <c r="H1859" s="8" t="s">
        <v>41</v>
      </c>
      <c r="I1859" s="11">
        <v>18.739999999999998</v>
      </c>
      <c r="J1859" s="6">
        <v>14.055</v>
      </c>
      <c r="K1859" s="6">
        <v>0.75</v>
      </c>
      <c r="L1859" s="6">
        <v>17.78</v>
      </c>
      <c r="M1859" s="11">
        <v>13.335000000000001</v>
      </c>
      <c r="N1859" s="11">
        <f t="shared" ref="N1859:N1922" si="116">ROUNDUP(M1859,3)</f>
        <v>13.335000000000001</v>
      </c>
      <c r="O1859" s="6">
        <v>0.75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0.96</v>
      </c>
      <c r="Z1859" s="6">
        <v>0.72</v>
      </c>
      <c r="AA1859" s="6">
        <v>0.75</v>
      </c>
      <c r="AB1859" s="6">
        <v>-0.9599999999999973</v>
      </c>
      <c r="AC1859" s="6">
        <v>0.9599999999999973</v>
      </c>
      <c r="AD1859" s="22" t="s">
        <v>3140</v>
      </c>
      <c r="AE1859" s="23">
        <f t="shared" ref="AE1859:AE1922" si="117">_xlfn.MINIFS(N:N,D:D,D1859)</f>
        <v>13.335000000000001</v>
      </c>
      <c r="AF1859" s="24">
        <f t="shared" ref="AF1859:AF1922" si="118">N1859-AE1859</f>
        <v>0</v>
      </c>
      <c r="AG1859" s="23">
        <f t="shared" ref="AG1859:AG1922" si="119">COUNTIF(D:D,D1859)</f>
        <v>1</v>
      </c>
    </row>
    <row r="1860" spans="1:33" x14ac:dyDescent="0.25">
      <c r="A1860" s="12" t="s">
        <v>31</v>
      </c>
      <c r="B1860" s="9">
        <v>46200</v>
      </c>
      <c r="C1860" s="10" t="s">
        <v>2930</v>
      </c>
      <c r="D1860" s="10" t="s">
        <v>2931</v>
      </c>
      <c r="E1860" s="10" t="s">
        <v>51</v>
      </c>
      <c r="F1860" s="10" t="s">
        <v>35</v>
      </c>
      <c r="G1860" s="10" t="s">
        <v>3146</v>
      </c>
      <c r="H1860" s="8" t="s">
        <v>36</v>
      </c>
      <c r="I1860" s="11">
        <v>8.0299999999999994</v>
      </c>
      <c r="J1860" s="6">
        <v>7.3635099999999998</v>
      </c>
      <c r="K1860" s="6">
        <v>0.91700000000000004</v>
      </c>
      <c r="L1860" s="6">
        <v>7.57</v>
      </c>
      <c r="M1860" s="11">
        <v>6.9416900000000004</v>
      </c>
      <c r="N1860" s="11">
        <f t="shared" si="116"/>
        <v>6.9420000000000002</v>
      </c>
      <c r="O1860" s="6">
        <v>0.91700000000000004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0.46</v>
      </c>
      <c r="Z1860" s="6">
        <v>0.42181999999999997</v>
      </c>
      <c r="AA1860" s="6">
        <v>0.91699999999999993</v>
      </c>
      <c r="AB1860" s="6">
        <v>-0.45999999999999908</v>
      </c>
      <c r="AC1860" s="6">
        <v>0.45999999999999908</v>
      </c>
      <c r="AD1860" s="22" t="s">
        <v>3140</v>
      </c>
      <c r="AE1860" s="23">
        <f t="shared" si="117"/>
        <v>6.9420000000000002</v>
      </c>
      <c r="AF1860" s="24">
        <f t="shared" si="118"/>
        <v>0</v>
      </c>
      <c r="AG1860" s="23">
        <f t="shared" si="119"/>
        <v>1</v>
      </c>
    </row>
    <row r="1861" spans="1:33" x14ac:dyDescent="0.25">
      <c r="A1861" s="12" t="s">
        <v>31</v>
      </c>
      <c r="B1861" s="9">
        <v>46200</v>
      </c>
      <c r="C1861" s="10" t="s">
        <v>2932</v>
      </c>
      <c r="D1861" s="10" t="s">
        <v>2800</v>
      </c>
      <c r="E1861" s="10" t="s">
        <v>51</v>
      </c>
      <c r="F1861" s="10" t="s">
        <v>35</v>
      </c>
      <c r="G1861" s="10" t="s">
        <v>3146</v>
      </c>
      <c r="H1861" s="8" t="s">
        <v>36</v>
      </c>
      <c r="I1861" s="11">
        <v>131.83000000000001</v>
      </c>
      <c r="J1861" s="6">
        <v>120.88811</v>
      </c>
      <c r="K1861" s="6">
        <v>0.91699999999999993</v>
      </c>
      <c r="L1861" s="6">
        <v>130.76</v>
      </c>
      <c r="M1861" s="11">
        <v>119.90692</v>
      </c>
      <c r="N1861" s="11">
        <f t="shared" si="116"/>
        <v>119.90700000000001</v>
      </c>
      <c r="O1861" s="6">
        <v>0.91700000000000004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1.07</v>
      </c>
      <c r="Z1861" s="6">
        <v>0.98119000000000001</v>
      </c>
      <c r="AA1861" s="6">
        <v>0.91699999999999993</v>
      </c>
      <c r="AB1861" s="6">
        <v>-1.0700000000000216</v>
      </c>
      <c r="AC1861" s="6">
        <v>1.0700000000000216</v>
      </c>
      <c r="AD1861" s="23" t="s">
        <v>3143</v>
      </c>
      <c r="AE1861" s="23">
        <f t="shared" si="117"/>
        <v>56.616</v>
      </c>
      <c r="AF1861" s="24">
        <f t="shared" si="118"/>
        <v>63.291000000000011</v>
      </c>
      <c r="AG1861" s="23">
        <f t="shared" si="119"/>
        <v>2</v>
      </c>
    </row>
    <row r="1862" spans="1:33" x14ac:dyDescent="0.25">
      <c r="A1862" s="12" t="s">
        <v>31</v>
      </c>
      <c r="B1862" s="9">
        <v>46200</v>
      </c>
      <c r="C1862" s="10" t="s">
        <v>2933</v>
      </c>
      <c r="D1862" s="10" t="s">
        <v>2934</v>
      </c>
      <c r="E1862" s="10" t="s">
        <v>51</v>
      </c>
      <c r="F1862" s="10" t="s">
        <v>35</v>
      </c>
      <c r="G1862" s="10" t="s">
        <v>3146</v>
      </c>
      <c r="H1862" s="8" t="s">
        <v>36</v>
      </c>
      <c r="I1862" s="11">
        <v>11.45</v>
      </c>
      <c r="J1862" s="6">
        <v>10.499650000000001</v>
      </c>
      <c r="K1862" s="6">
        <v>0.91700000000000015</v>
      </c>
      <c r="L1862" s="6">
        <v>10.78</v>
      </c>
      <c r="M1862" s="11">
        <v>9.8852600000000006</v>
      </c>
      <c r="N1862" s="11">
        <f t="shared" si="116"/>
        <v>9.8859999999999992</v>
      </c>
      <c r="O1862" s="6">
        <v>0.91700000000000015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0.67</v>
      </c>
      <c r="Z1862" s="6">
        <v>0.61438999999999999</v>
      </c>
      <c r="AA1862" s="6">
        <v>0.91699999999999993</v>
      </c>
      <c r="AB1862" s="6">
        <v>-0.67</v>
      </c>
      <c r="AC1862" s="6">
        <v>0.67</v>
      </c>
      <c r="AD1862" s="22" t="s">
        <v>3140</v>
      </c>
      <c r="AE1862" s="23">
        <f t="shared" si="117"/>
        <v>9.8859999999999992</v>
      </c>
      <c r="AF1862" s="24">
        <f t="shared" si="118"/>
        <v>0</v>
      </c>
      <c r="AG1862" s="23">
        <f t="shared" si="119"/>
        <v>1</v>
      </c>
    </row>
    <row r="1863" spans="1:33" ht="12.5" customHeight="1" x14ac:dyDescent="0.25">
      <c r="A1863" s="12" t="s">
        <v>31</v>
      </c>
      <c r="B1863" s="9">
        <v>46200</v>
      </c>
      <c r="C1863" s="8" t="s">
        <v>2935</v>
      </c>
      <c r="D1863" s="10" t="s">
        <v>2936</v>
      </c>
      <c r="E1863" s="10" t="s">
        <v>51</v>
      </c>
      <c r="F1863" s="10" t="s">
        <v>35</v>
      </c>
      <c r="G1863" s="10" t="s">
        <v>3146</v>
      </c>
      <c r="H1863" s="8" t="s">
        <v>36</v>
      </c>
      <c r="I1863" s="11">
        <v>8.8000000000000007</v>
      </c>
      <c r="J1863" s="6">
        <v>8.0695999999999994</v>
      </c>
      <c r="K1863" s="6">
        <v>0.91699999999999982</v>
      </c>
      <c r="L1863" s="6">
        <v>8.02</v>
      </c>
      <c r="M1863" s="11">
        <v>7.3543399999999997</v>
      </c>
      <c r="N1863" s="11">
        <f t="shared" si="116"/>
        <v>7.3550000000000004</v>
      </c>
      <c r="O1863" s="6">
        <v>0.91700000000000004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0.78</v>
      </c>
      <c r="Z1863" s="6">
        <v>0.71526000000000001</v>
      </c>
      <c r="AA1863" s="6">
        <v>0.91699999999999993</v>
      </c>
      <c r="AB1863" s="6">
        <v>-0.78000000000000114</v>
      </c>
      <c r="AC1863" s="6">
        <v>0.78000000000000114</v>
      </c>
      <c r="AD1863" s="22" t="s">
        <v>3140</v>
      </c>
      <c r="AE1863" s="23">
        <f t="shared" si="117"/>
        <v>7.3550000000000004</v>
      </c>
      <c r="AF1863" s="24">
        <f t="shared" si="118"/>
        <v>0</v>
      </c>
      <c r="AG1863" s="23">
        <f t="shared" si="119"/>
        <v>1</v>
      </c>
    </row>
    <row r="1864" spans="1:33" ht="12.5" customHeight="1" x14ac:dyDescent="0.25">
      <c r="A1864" s="12" t="s">
        <v>31</v>
      </c>
      <c r="B1864" s="9">
        <v>46200</v>
      </c>
      <c r="C1864" s="12" t="s">
        <v>2935</v>
      </c>
      <c r="D1864" s="10" t="s">
        <v>2937</v>
      </c>
      <c r="E1864" s="10" t="s">
        <v>51</v>
      </c>
      <c r="F1864" s="10" t="s">
        <v>35</v>
      </c>
      <c r="G1864" s="10" t="s">
        <v>3146</v>
      </c>
      <c r="H1864" s="8" t="s">
        <v>36</v>
      </c>
      <c r="I1864" s="11">
        <v>20.079999999999998</v>
      </c>
      <c r="J1864" s="6">
        <v>18.413360000000001</v>
      </c>
      <c r="K1864" s="6">
        <v>0.91700000000000015</v>
      </c>
      <c r="L1864" s="6">
        <v>19.27</v>
      </c>
      <c r="M1864" s="11">
        <v>17.670590000000001</v>
      </c>
      <c r="N1864" s="11">
        <f t="shared" si="116"/>
        <v>17.671000000000003</v>
      </c>
      <c r="O1864" s="6">
        <v>0.91700000000000004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0.81</v>
      </c>
      <c r="Z1864" s="6">
        <v>0.74277000000000004</v>
      </c>
      <c r="AA1864" s="6">
        <v>0.91700000000000004</v>
      </c>
      <c r="AB1864" s="6">
        <v>-0.80999999999999872</v>
      </c>
      <c r="AC1864" s="6">
        <v>0.80999999999999872</v>
      </c>
      <c r="AD1864" s="22" t="s">
        <v>3140</v>
      </c>
      <c r="AE1864" s="23">
        <f t="shared" si="117"/>
        <v>17.671000000000003</v>
      </c>
      <c r="AF1864" s="24">
        <f t="shared" si="118"/>
        <v>0</v>
      </c>
      <c r="AG1864" s="23">
        <f t="shared" si="119"/>
        <v>1</v>
      </c>
    </row>
    <row r="1865" spans="1:33" ht="12.5" hidden="1" customHeight="1" x14ac:dyDescent="0.25">
      <c r="A1865" s="12" t="s">
        <v>31</v>
      </c>
      <c r="B1865" s="9">
        <v>46200</v>
      </c>
      <c r="C1865" s="13" t="s">
        <v>2935</v>
      </c>
      <c r="D1865" s="10" t="s">
        <v>2938</v>
      </c>
      <c r="E1865" s="10" t="s">
        <v>51</v>
      </c>
      <c r="F1865" s="10" t="s">
        <v>35</v>
      </c>
      <c r="G1865" s="10" t="s">
        <v>3145</v>
      </c>
      <c r="H1865" s="8" t="s">
        <v>41</v>
      </c>
      <c r="I1865" s="11">
        <v>0.86</v>
      </c>
      <c r="J1865" s="6">
        <v>0.64500000000000002</v>
      </c>
      <c r="K1865" s="6">
        <v>0.75</v>
      </c>
      <c r="L1865" s="6">
        <v>0.82</v>
      </c>
      <c r="M1865" s="11">
        <v>0.61499999999999999</v>
      </c>
      <c r="N1865" s="11">
        <f t="shared" si="116"/>
        <v>0.61499999999999999</v>
      </c>
      <c r="O1865" s="6">
        <v>0.75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0.04</v>
      </c>
      <c r="Z1865" s="6">
        <v>0.03</v>
      </c>
      <c r="AA1865" s="6">
        <v>0.75</v>
      </c>
      <c r="AB1865" s="6">
        <v>-4.0000000000000036E-2</v>
      </c>
      <c r="AC1865" s="6">
        <v>4.0000000000000036E-2</v>
      </c>
      <c r="AD1865" s="22" t="s">
        <v>3140</v>
      </c>
      <c r="AE1865" s="23">
        <f t="shared" si="117"/>
        <v>0.61499999999999999</v>
      </c>
      <c r="AF1865" s="24">
        <f t="shared" si="118"/>
        <v>0</v>
      </c>
      <c r="AG1865" s="23">
        <f t="shared" si="119"/>
        <v>2</v>
      </c>
    </row>
    <row r="1866" spans="1:33" x14ac:dyDescent="0.25">
      <c r="A1866" s="12" t="s">
        <v>31</v>
      </c>
      <c r="B1866" s="9">
        <v>46200</v>
      </c>
      <c r="C1866" s="10" t="s">
        <v>2939</v>
      </c>
      <c r="D1866" s="10" t="s">
        <v>2940</v>
      </c>
      <c r="E1866" s="10" t="s">
        <v>51</v>
      </c>
      <c r="F1866" s="10" t="s">
        <v>35</v>
      </c>
      <c r="G1866" s="10" t="s">
        <v>3146</v>
      </c>
      <c r="H1866" s="8" t="s">
        <v>36</v>
      </c>
      <c r="I1866" s="11">
        <v>2.5950000000000002</v>
      </c>
      <c r="J1866" s="6">
        <v>2.3796149999999998</v>
      </c>
      <c r="K1866" s="6">
        <v>0.91699999999999982</v>
      </c>
      <c r="L1866" s="6">
        <v>2.4849999999999999</v>
      </c>
      <c r="M1866" s="11">
        <v>2.2787449999999998</v>
      </c>
      <c r="N1866" s="11">
        <f t="shared" si="116"/>
        <v>2.2789999999999999</v>
      </c>
      <c r="O1866" s="6">
        <v>0.91699999999999993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0.11</v>
      </c>
      <c r="Z1866" s="6">
        <v>0.10087</v>
      </c>
      <c r="AA1866" s="6">
        <v>0.91700000000000004</v>
      </c>
      <c r="AB1866" s="6">
        <v>-0.11000000000000032</v>
      </c>
      <c r="AC1866" s="6">
        <v>0.11000000000000032</v>
      </c>
      <c r="AD1866" s="22" t="s">
        <v>3140</v>
      </c>
      <c r="AE1866" s="23">
        <f t="shared" si="117"/>
        <v>2.2789999999999999</v>
      </c>
      <c r="AF1866" s="24">
        <f t="shared" si="118"/>
        <v>0</v>
      </c>
      <c r="AG1866" s="23">
        <f t="shared" si="119"/>
        <v>1</v>
      </c>
    </row>
    <row r="1867" spans="1:33" ht="20" hidden="1" customHeight="1" x14ac:dyDescent="0.25">
      <c r="A1867" s="12" t="s">
        <v>31</v>
      </c>
      <c r="B1867" s="9">
        <v>46200</v>
      </c>
      <c r="C1867" s="10" t="s">
        <v>2941</v>
      </c>
      <c r="D1867" s="10" t="s">
        <v>1945</v>
      </c>
      <c r="E1867" s="10" t="s">
        <v>51</v>
      </c>
      <c r="F1867" s="10" t="s">
        <v>35</v>
      </c>
      <c r="G1867" s="10" t="s">
        <v>3145</v>
      </c>
      <c r="H1867" s="8" t="s">
        <v>48</v>
      </c>
      <c r="I1867" s="11">
        <v>22.56</v>
      </c>
      <c r="J1867" s="6">
        <v>16.920000000000002</v>
      </c>
      <c r="K1867" s="6">
        <v>0.75000000000000011</v>
      </c>
      <c r="L1867" s="6">
        <v>21.75</v>
      </c>
      <c r="M1867" s="11">
        <v>16.3125</v>
      </c>
      <c r="N1867" s="11">
        <f t="shared" si="116"/>
        <v>16.313000000000002</v>
      </c>
      <c r="O1867" s="6">
        <v>0.75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0.81</v>
      </c>
      <c r="Z1867" s="6">
        <v>0.60750000000000004</v>
      </c>
      <c r="AA1867" s="6">
        <v>0.75</v>
      </c>
      <c r="AB1867" s="6">
        <v>-0.80999999999999872</v>
      </c>
      <c r="AC1867" s="6">
        <v>0.80999999999999872</v>
      </c>
      <c r="AD1867" s="22" t="s">
        <v>3140</v>
      </c>
      <c r="AE1867" s="23">
        <f t="shared" si="117"/>
        <v>16.313000000000002</v>
      </c>
      <c r="AF1867" s="24">
        <f t="shared" si="118"/>
        <v>0</v>
      </c>
      <c r="AG1867" s="23">
        <f t="shared" si="119"/>
        <v>4</v>
      </c>
    </row>
    <row r="1868" spans="1:33" ht="12.5" hidden="1" customHeight="1" x14ac:dyDescent="0.25">
      <c r="A1868" s="12" t="s">
        <v>31</v>
      </c>
      <c r="B1868" s="9">
        <v>46200</v>
      </c>
      <c r="C1868" s="8" t="s">
        <v>2942</v>
      </c>
      <c r="D1868" s="10" t="s">
        <v>2943</v>
      </c>
      <c r="E1868" s="10" t="s">
        <v>51</v>
      </c>
      <c r="F1868" s="10" t="s">
        <v>35</v>
      </c>
      <c r="G1868" s="10" t="s">
        <v>3145</v>
      </c>
      <c r="H1868" s="8" t="s">
        <v>41</v>
      </c>
      <c r="I1868" s="11">
        <v>7.56</v>
      </c>
      <c r="J1868" s="6">
        <v>5.67</v>
      </c>
      <c r="K1868" s="6">
        <v>0.75</v>
      </c>
      <c r="L1868" s="6">
        <v>6.87</v>
      </c>
      <c r="M1868" s="11">
        <v>5.1524999999999999</v>
      </c>
      <c r="N1868" s="11">
        <f t="shared" si="116"/>
        <v>5.1530000000000005</v>
      </c>
      <c r="O1868" s="6">
        <v>0.75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0.69</v>
      </c>
      <c r="Z1868" s="6">
        <v>0.51749999999999996</v>
      </c>
      <c r="AA1868" s="6">
        <v>0.75</v>
      </c>
      <c r="AB1868" s="6">
        <v>-0.6899999999999995</v>
      </c>
      <c r="AC1868" s="6">
        <v>0.6899999999999995</v>
      </c>
      <c r="AD1868" s="22" t="s">
        <v>3140</v>
      </c>
      <c r="AE1868" s="23">
        <f t="shared" si="117"/>
        <v>5.1530000000000005</v>
      </c>
      <c r="AF1868" s="24">
        <f t="shared" si="118"/>
        <v>0</v>
      </c>
      <c r="AG1868" s="23">
        <f t="shared" si="119"/>
        <v>1</v>
      </c>
    </row>
    <row r="1869" spans="1:33" ht="12.5" customHeight="1" x14ac:dyDescent="0.25">
      <c r="A1869" s="12" t="s">
        <v>31</v>
      </c>
      <c r="B1869" s="9">
        <v>46200</v>
      </c>
      <c r="C1869" s="13" t="s">
        <v>2942</v>
      </c>
      <c r="D1869" s="10" t="s">
        <v>2944</v>
      </c>
      <c r="E1869" s="10" t="s">
        <v>51</v>
      </c>
      <c r="F1869" s="10" t="s">
        <v>35</v>
      </c>
      <c r="G1869" s="10" t="s">
        <v>3146</v>
      </c>
      <c r="H1869" s="8" t="s">
        <v>36</v>
      </c>
      <c r="I1869" s="11">
        <v>1.518</v>
      </c>
      <c r="J1869" s="6">
        <v>1.3920060000000001</v>
      </c>
      <c r="K1869" s="6">
        <v>0.91700000000000004</v>
      </c>
      <c r="L1869" s="6">
        <v>1.4279999999999999</v>
      </c>
      <c r="M1869" s="11">
        <v>1.3094760000000001</v>
      </c>
      <c r="N1869" s="11">
        <f t="shared" si="116"/>
        <v>1.3099999999999998</v>
      </c>
      <c r="O1869" s="6">
        <v>0.91700000000000015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0.09</v>
      </c>
      <c r="Z1869" s="6">
        <v>8.2530000000000006E-2</v>
      </c>
      <c r="AA1869" s="6">
        <v>0.91700000000000015</v>
      </c>
      <c r="AB1869" s="6">
        <v>-9.000000000000008E-2</v>
      </c>
      <c r="AC1869" s="6">
        <v>9.000000000000008E-2</v>
      </c>
      <c r="AD1869" s="22" t="s">
        <v>3140</v>
      </c>
      <c r="AE1869" s="23">
        <f t="shared" si="117"/>
        <v>1.3099999999999998</v>
      </c>
      <c r="AF1869" s="24">
        <f t="shared" si="118"/>
        <v>0</v>
      </c>
      <c r="AG1869" s="23">
        <f t="shared" si="119"/>
        <v>1</v>
      </c>
    </row>
    <row r="1870" spans="1:33" x14ac:dyDescent="0.25">
      <c r="A1870" s="12" t="s">
        <v>31</v>
      </c>
      <c r="B1870" s="9">
        <v>46200</v>
      </c>
      <c r="C1870" s="10" t="s">
        <v>2945</v>
      </c>
      <c r="D1870" s="10" t="s">
        <v>2835</v>
      </c>
      <c r="E1870" s="10" t="s">
        <v>51</v>
      </c>
      <c r="F1870" s="10" t="s">
        <v>35</v>
      </c>
      <c r="G1870" s="10" t="s">
        <v>3146</v>
      </c>
      <c r="H1870" s="8" t="s">
        <v>36</v>
      </c>
      <c r="I1870" s="11">
        <v>17.97</v>
      </c>
      <c r="J1870" s="6">
        <v>16.478490000000001</v>
      </c>
      <c r="K1870" s="6">
        <v>0.91700000000000015</v>
      </c>
      <c r="L1870" s="6">
        <v>17.73</v>
      </c>
      <c r="M1870" s="11">
        <v>16.258410000000001</v>
      </c>
      <c r="N1870" s="11">
        <f t="shared" si="116"/>
        <v>16.259</v>
      </c>
      <c r="O1870" s="6">
        <v>0.91700000000000004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0.24</v>
      </c>
      <c r="Z1870" s="6">
        <v>0.22008</v>
      </c>
      <c r="AA1870" s="6">
        <v>0.91700000000000004</v>
      </c>
      <c r="AB1870" s="6">
        <v>-0.23999999999999844</v>
      </c>
      <c r="AC1870" s="6">
        <v>0.23999999999999844</v>
      </c>
      <c r="AD1870" s="23" t="s">
        <v>3143</v>
      </c>
      <c r="AE1870" s="23">
        <f t="shared" si="117"/>
        <v>3.9529999999999998</v>
      </c>
      <c r="AF1870" s="24">
        <f t="shared" si="118"/>
        <v>12.306000000000001</v>
      </c>
      <c r="AG1870" s="23">
        <f t="shared" si="119"/>
        <v>3</v>
      </c>
    </row>
    <row r="1871" spans="1:33" x14ac:dyDescent="0.25">
      <c r="A1871" s="12" t="s">
        <v>31</v>
      </c>
      <c r="B1871" s="9">
        <v>46200</v>
      </c>
      <c r="C1871" s="10" t="s">
        <v>2946</v>
      </c>
      <c r="D1871" s="10" t="s">
        <v>2805</v>
      </c>
      <c r="E1871" s="10" t="s">
        <v>51</v>
      </c>
      <c r="F1871" s="10" t="s">
        <v>35</v>
      </c>
      <c r="G1871" s="10" t="s">
        <v>3146</v>
      </c>
      <c r="H1871" s="8" t="s">
        <v>36</v>
      </c>
      <c r="I1871" s="11">
        <v>152.91999999999999</v>
      </c>
      <c r="J1871" s="6">
        <v>140.22764000000001</v>
      </c>
      <c r="K1871" s="6">
        <v>0.91700000000000015</v>
      </c>
      <c r="L1871" s="6">
        <v>151.97</v>
      </c>
      <c r="M1871" s="11">
        <v>139.35649000000001</v>
      </c>
      <c r="N1871" s="11">
        <f t="shared" si="116"/>
        <v>139.357</v>
      </c>
      <c r="O1871" s="6">
        <v>0.91700000000000004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0.95</v>
      </c>
      <c r="Z1871" s="6">
        <v>0.87114999999999998</v>
      </c>
      <c r="AA1871" s="6">
        <v>0.91700000000000004</v>
      </c>
      <c r="AB1871" s="6">
        <v>-0.94999999999998863</v>
      </c>
      <c r="AC1871" s="6">
        <v>0.94999999999998863</v>
      </c>
      <c r="AD1871" s="23" t="s">
        <v>3143</v>
      </c>
      <c r="AE1871" s="23">
        <f t="shared" si="117"/>
        <v>53.488999999999997</v>
      </c>
      <c r="AF1871" s="24">
        <f t="shared" si="118"/>
        <v>85.867999999999995</v>
      </c>
      <c r="AG1871" s="23">
        <f t="shared" si="119"/>
        <v>2</v>
      </c>
    </row>
    <row r="1872" spans="1:33" ht="12.5" hidden="1" customHeight="1" x14ac:dyDescent="0.25">
      <c r="A1872" s="12" t="s">
        <v>31</v>
      </c>
      <c r="B1872" s="9">
        <v>46202</v>
      </c>
      <c r="C1872" s="10" t="s">
        <v>2947</v>
      </c>
      <c r="D1872" s="10" t="s">
        <v>2948</v>
      </c>
      <c r="E1872" s="10" t="s">
        <v>34</v>
      </c>
      <c r="F1872" s="10" t="s">
        <v>35</v>
      </c>
      <c r="G1872" s="10" t="s">
        <v>3145</v>
      </c>
      <c r="H1872" s="8" t="s">
        <v>48</v>
      </c>
      <c r="I1872" s="11">
        <v>16.13</v>
      </c>
      <c r="J1872" s="6">
        <v>12.0975</v>
      </c>
      <c r="K1872" s="6">
        <v>0.75</v>
      </c>
      <c r="L1872" s="6">
        <v>14.19</v>
      </c>
      <c r="M1872" s="11">
        <v>10.6425</v>
      </c>
      <c r="N1872" s="11">
        <f t="shared" si="116"/>
        <v>10.642999999999999</v>
      </c>
      <c r="O1872" s="6">
        <v>0.75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1.94</v>
      </c>
      <c r="Z1872" s="6">
        <v>1.4550000000000001</v>
      </c>
      <c r="AA1872" s="6">
        <v>0.75000000000000011</v>
      </c>
      <c r="AB1872" s="6">
        <v>-1.9399999999999995</v>
      </c>
      <c r="AC1872" s="6">
        <v>1.9399999999999995</v>
      </c>
      <c r="AD1872" s="22" t="s">
        <v>3140</v>
      </c>
      <c r="AE1872" s="23">
        <f t="shared" si="117"/>
        <v>10.642999999999999</v>
      </c>
      <c r="AF1872" s="24">
        <f t="shared" si="118"/>
        <v>0</v>
      </c>
      <c r="AG1872" s="23">
        <f t="shared" si="119"/>
        <v>1</v>
      </c>
    </row>
    <row r="1873" spans="1:33" ht="12.5" customHeight="1" x14ac:dyDescent="0.25">
      <c r="A1873" s="12" t="s">
        <v>31</v>
      </c>
      <c r="B1873" s="9">
        <v>46202</v>
      </c>
      <c r="C1873" s="10" t="s">
        <v>2949</v>
      </c>
      <c r="D1873" s="10" t="s">
        <v>2815</v>
      </c>
      <c r="E1873" s="10" t="s">
        <v>34</v>
      </c>
      <c r="F1873" s="10" t="s">
        <v>35</v>
      </c>
      <c r="G1873" s="10" t="s">
        <v>3146</v>
      </c>
      <c r="H1873" s="8" t="s">
        <v>36</v>
      </c>
      <c r="I1873" s="11">
        <v>154.81</v>
      </c>
      <c r="J1873" s="6">
        <v>141.96077</v>
      </c>
      <c r="K1873" s="6">
        <v>0.91699999999999993</v>
      </c>
      <c r="L1873" s="6">
        <v>154.68</v>
      </c>
      <c r="M1873" s="11">
        <v>141.84155999999999</v>
      </c>
      <c r="N1873" s="11">
        <f t="shared" si="116"/>
        <v>141.84200000000001</v>
      </c>
      <c r="O1873" s="6">
        <v>0.91699999999999993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0.13</v>
      </c>
      <c r="Z1873" s="6">
        <v>0.11921</v>
      </c>
      <c r="AA1873" s="6">
        <v>0.91699999999999993</v>
      </c>
      <c r="AB1873" s="6">
        <v>-0.12999999999999545</v>
      </c>
      <c r="AC1873" s="6">
        <v>0.12999999999999545</v>
      </c>
      <c r="AD1873" s="22" t="s">
        <v>3140</v>
      </c>
      <c r="AE1873" s="23">
        <f t="shared" si="117"/>
        <v>141.84200000000001</v>
      </c>
      <c r="AF1873" s="24">
        <f t="shared" si="118"/>
        <v>0</v>
      </c>
      <c r="AG1873" s="23">
        <f t="shared" si="119"/>
        <v>2</v>
      </c>
    </row>
    <row r="1874" spans="1:33" ht="12.5" customHeight="1" x14ac:dyDescent="0.25">
      <c r="A1874" s="12" t="s">
        <v>31</v>
      </c>
      <c r="B1874" s="9">
        <v>46202</v>
      </c>
      <c r="C1874" s="10" t="s">
        <v>2950</v>
      </c>
      <c r="D1874" s="10" t="s">
        <v>2951</v>
      </c>
      <c r="E1874" s="10" t="s">
        <v>34</v>
      </c>
      <c r="F1874" s="10" t="s">
        <v>35</v>
      </c>
      <c r="G1874" s="10" t="s">
        <v>3146</v>
      </c>
      <c r="H1874" s="8" t="s">
        <v>36</v>
      </c>
      <c r="I1874" s="11">
        <v>275.66000000000003</v>
      </c>
      <c r="J1874" s="6">
        <v>252.78022000000001</v>
      </c>
      <c r="K1874" s="6">
        <v>0.91699999999999993</v>
      </c>
      <c r="L1874" s="6">
        <v>258.27999999999997</v>
      </c>
      <c r="M1874" s="11">
        <v>236.84276</v>
      </c>
      <c r="N1874" s="11">
        <f t="shared" si="116"/>
        <v>236.84300000000002</v>
      </c>
      <c r="O1874" s="6">
        <v>0.91700000000000004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17.38</v>
      </c>
      <c r="Z1874" s="6">
        <v>15.93746</v>
      </c>
      <c r="AA1874" s="6">
        <v>0.91700000000000004</v>
      </c>
      <c r="AB1874" s="6">
        <v>-17.380000000000052</v>
      </c>
      <c r="AC1874" s="6">
        <v>17.380000000000052</v>
      </c>
      <c r="AD1874" s="22" t="s">
        <v>3140</v>
      </c>
      <c r="AE1874" s="23">
        <f t="shared" si="117"/>
        <v>236.84300000000002</v>
      </c>
      <c r="AF1874" s="24">
        <f t="shared" si="118"/>
        <v>0</v>
      </c>
      <c r="AG1874" s="23">
        <f t="shared" si="119"/>
        <v>1</v>
      </c>
    </row>
    <row r="1875" spans="1:33" ht="12.5" customHeight="1" x14ac:dyDescent="0.25">
      <c r="A1875" s="12" t="s">
        <v>31</v>
      </c>
      <c r="B1875" s="9">
        <v>46202</v>
      </c>
      <c r="C1875" s="10" t="s">
        <v>2952</v>
      </c>
      <c r="D1875" s="10" t="s">
        <v>2953</v>
      </c>
      <c r="E1875" s="10" t="s">
        <v>34</v>
      </c>
      <c r="F1875" s="10" t="s">
        <v>35</v>
      </c>
      <c r="G1875" s="10" t="s">
        <v>3146</v>
      </c>
      <c r="H1875" s="8" t="s">
        <v>36</v>
      </c>
      <c r="I1875" s="11">
        <v>216.67</v>
      </c>
      <c r="J1875" s="6">
        <v>198.68638999999999</v>
      </c>
      <c r="K1875" s="6">
        <v>0.91700000000000004</v>
      </c>
      <c r="L1875" s="6">
        <v>201.6</v>
      </c>
      <c r="M1875" s="11">
        <v>184.8672</v>
      </c>
      <c r="N1875" s="11">
        <f t="shared" si="116"/>
        <v>184.86799999999999</v>
      </c>
      <c r="O1875" s="6">
        <v>0.91700000000000004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15.07</v>
      </c>
      <c r="Z1875" s="6">
        <v>13.819190000000001</v>
      </c>
      <c r="AA1875" s="6">
        <v>0.91700000000000004</v>
      </c>
      <c r="AB1875" s="6">
        <v>-15.069999999999993</v>
      </c>
      <c r="AC1875" s="6">
        <v>15.069999999999993</v>
      </c>
      <c r="AD1875" s="22" t="s">
        <v>3140</v>
      </c>
      <c r="AE1875" s="23">
        <f t="shared" si="117"/>
        <v>184.86799999999999</v>
      </c>
      <c r="AF1875" s="24">
        <f t="shared" si="118"/>
        <v>0</v>
      </c>
      <c r="AG1875" s="23">
        <f t="shared" si="119"/>
        <v>1</v>
      </c>
    </row>
    <row r="1876" spans="1:33" ht="12.5" customHeight="1" x14ac:dyDescent="0.25">
      <c r="A1876" s="12" t="s">
        <v>31</v>
      </c>
      <c r="B1876" s="9">
        <v>46202</v>
      </c>
      <c r="C1876" s="10" t="s">
        <v>2954</v>
      </c>
      <c r="D1876" s="10" t="s">
        <v>2955</v>
      </c>
      <c r="E1876" s="10" t="s">
        <v>34</v>
      </c>
      <c r="F1876" s="10" t="s">
        <v>35</v>
      </c>
      <c r="G1876" s="10" t="s">
        <v>3146</v>
      </c>
      <c r="H1876" s="8" t="s">
        <v>36</v>
      </c>
      <c r="I1876" s="11">
        <v>67.680000000000007</v>
      </c>
      <c r="J1876" s="6">
        <v>62.062559999999998</v>
      </c>
      <c r="K1876" s="6">
        <v>0.91699999999999993</v>
      </c>
      <c r="L1876" s="6">
        <v>64.239999999999995</v>
      </c>
      <c r="M1876" s="11">
        <v>58.908079999999998</v>
      </c>
      <c r="N1876" s="11">
        <f t="shared" si="116"/>
        <v>58.908999999999999</v>
      </c>
      <c r="O1876" s="6">
        <v>0.91700000000000004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3.44</v>
      </c>
      <c r="Z1876" s="6">
        <v>3.15448</v>
      </c>
      <c r="AA1876" s="6">
        <v>0.91700000000000004</v>
      </c>
      <c r="AB1876" s="6">
        <v>-3.4400000000000119</v>
      </c>
      <c r="AC1876" s="6">
        <v>3.4400000000000119</v>
      </c>
      <c r="AD1876" s="22" t="s">
        <v>3140</v>
      </c>
      <c r="AE1876" s="23">
        <f t="shared" si="117"/>
        <v>58.908999999999999</v>
      </c>
      <c r="AF1876" s="24">
        <f t="shared" si="118"/>
        <v>0</v>
      </c>
      <c r="AG1876" s="23">
        <f t="shared" si="119"/>
        <v>1</v>
      </c>
    </row>
    <row r="1877" spans="1:33" ht="12.5" hidden="1" customHeight="1" x14ac:dyDescent="0.25">
      <c r="A1877" s="12" t="s">
        <v>31</v>
      </c>
      <c r="B1877" s="9">
        <v>46202</v>
      </c>
      <c r="C1877" s="10" t="s">
        <v>2956</v>
      </c>
      <c r="D1877" s="10" t="s">
        <v>2957</v>
      </c>
      <c r="E1877" s="10" t="s">
        <v>34</v>
      </c>
      <c r="F1877" s="10" t="s">
        <v>35</v>
      </c>
      <c r="G1877" s="10" t="s">
        <v>3145</v>
      </c>
      <c r="H1877" s="8" t="s">
        <v>48</v>
      </c>
      <c r="I1877" s="11">
        <v>77.28</v>
      </c>
      <c r="J1877" s="6">
        <v>57.96</v>
      </c>
      <c r="K1877" s="6">
        <v>0.75</v>
      </c>
      <c r="L1877" s="6">
        <v>70.06</v>
      </c>
      <c r="M1877" s="11">
        <v>52.545000000000002</v>
      </c>
      <c r="N1877" s="11">
        <f t="shared" si="116"/>
        <v>52.545000000000002</v>
      </c>
      <c r="O1877" s="6">
        <v>0.75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7.22</v>
      </c>
      <c r="Z1877" s="6">
        <v>5.415</v>
      </c>
      <c r="AA1877" s="6">
        <v>0.75</v>
      </c>
      <c r="AB1877" s="6">
        <v>-7.2199999999999989</v>
      </c>
      <c r="AC1877" s="6">
        <v>7.2199999999999989</v>
      </c>
      <c r="AD1877" s="22" t="s">
        <v>3140</v>
      </c>
      <c r="AE1877" s="23">
        <f t="shared" si="117"/>
        <v>52.545000000000002</v>
      </c>
      <c r="AF1877" s="24">
        <f t="shared" si="118"/>
        <v>0</v>
      </c>
      <c r="AG1877" s="23">
        <f t="shared" si="119"/>
        <v>1</v>
      </c>
    </row>
    <row r="1878" spans="1:33" ht="12.5" hidden="1" customHeight="1" x14ac:dyDescent="0.25">
      <c r="A1878" s="12" t="s">
        <v>31</v>
      </c>
      <c r="B1878" s="9">
        <v>46202</v>
      </c>
      <c r="C1878" s="10" t="s">
        <v>2958</v>
      </c>
      <c r="D1878" s="10" t="s">
        <v>2959</v>
      </c>
      <c r="E1878" s="10" t="s">
        <v>34</v>
      </c>
      <c r="F1878" s="10" t="s">
        <v>35</v>
      </c>
      <c r="G1878" s="10" t="s">
        <v>3145</v>
      </c>
      <c r="H1878" s="8" t="s">
        <v>48</v>
      </c>
      <c r="I1878" s="11">
        <v>74.569999999999993</v>
      </c>
      <c r="J1878" s="6">
        <v>55.927500000000002</v>
      </c>
      <c r="K1878" s="6">
        <v>0.75000000000000011</v>
      </c>
      <c r="L1878" s="6">
        <v>69.55</v>
      </c>
      <c r="M1878" s="11">
        <v>52.162500000000001</v>
      </c>
      <c r="N1878" s="11">
        <f t="shared" si="116"/>
        <v>52.162999999999997</v>
      </c>
      <c r="O1878" s="6">
        <v>0.75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5.0199999999999996</v>
      </c>
      <c r="Z1878" s="6">
        <v>3.7650000000000001</v>
      </c>
      <c r="AA1878" s="6">
        <v>0.75000000000000011</v>
      </c>
      <c r="AB1878" s="6">
        <v>-5.019999999999996</v>
      </c>
      <c r="AC1878" s="6">
        <v>5.019999999999996</v>
      </c>
      <c r="AD1878" s="22" t="s">
        <v>3140</v>
      </c>
      <c r="AE1878" s="23">
        <f t="shared" si="117"/>
        <v>52.162999999999997</v>
      </c>
      <c r="AF1878" s="24">
        <f t="shared" si="118"/>
        <v>0</v>
      </c>
      <c r="AG1878" s="23">
        <f t="shared" si="119"/>
        <v>1</v>
      </c>
    </row>
    <row r="1879" spans="1:33" ht="12.5" customHeight="1" x14ac:dyDescent="0.25">
      <c r="A1879" s="12" t="s">
        <v>31</v>
      </c>
      <c r="B1879" s="9">
        <v>46202</v>
      </c>
      <c r="C1879" s="10" t="s">
        <v>2960</v>
      </c>
      <c r="D1879" s="10" t="s">
        <v>2961</v>
      </c>
      <c r="E1879" s="10" t="s">
        <v>34</v>
      </c>
      <c r="F1879" s="10" t="s">
        <v>35</v>
      </c>
      <c r="G1879" s="10" t="s">
        <v>3146</v>
      </c>
      <c r="H1879" s="8" t="s">
        <v>36</v>
      </c>
      <c r="I1879" s="11">
        <v>180.8</v>
      </c>
      <c r="J1879" s="6">
        <v>165.7936</v>
      </c>
      <c r="K1879" s="6">
        <v>0.91699999999999993</v>
      </c>
      <c r="L1879" s="6">
        <v>174.22</v>
      </c>
      <c r="M1879" s="11">
        <v>159.75973999999999</v>
      </c>
      <c r="N1879" s="11">
        <f t="shared" si="116"/>
        <v>159.76</v>
      </c>
      <c r="O1879" s="6">
        <v>0.91699999999999993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6.58</v>
      </c>
      <c r="Z1879" s="6">
        <v>6.0338599999999998</v>
      </c>
      <c r="AA1879" s="6">
        <v>0.91699999999999993</v>
      </c>
      <c r="AB1879" s="6">
        <v>-6.5800000000000125</v>
      </c>
      <c r="AC1879" s="6">
        <v>6.5800000000000125</v>
      </c>
      <c r="AD1879" s="22" t="s">
        <v>3140</v>
      </c>
      <c r="AE1879" s="23">
        <f t="shared" si="117"/>
        <v>159.76</v>
      </c>
      <c r="AF1879" s="24">
        <f t="shared" si="118"/>
        <v>0</v>
      </c>
      <c r="AG1879" s="23">
        <f t="shared" si="119"/>
        <v>1</v>
      </c>
    </row>
    <row r="1880" spans="1:33" ht="12.5" customHeight="1" x14ac:dyDescent="0.25">
      <c r="A1880" s="12" t="s">
        <v>31</v>
      </c>
      <c r="B1880" s="9">
        <v>46202</v>
      </c>
      <c r="C1880" s="10" t="s">
        <v>2962</v>
      </c>
      <c r="D1880" s="10" t="s">
        <v>2963</v>
      </c>
      <c r="E1880" s="10" t="s">
        <v>34</v>
      </c>
      <c r="F1880" s="10" t="s">
        <v>35</v>
      </c>
      <c r="G1880" s="10" t="s">
        <v>3146</v>
      </c>
      <c r="H1880" s="8" t="s">
        <v>36</v>
      </c>
      <c r="I1880" s="11">
        <v>70.69</v>
      </c>
      <c r="J1880" s="6">
        <v>64.822730000000007</v>
      </c>
      <c r="K1880" s="6">
        <v>0.91700000000000015</v>
      </c>
      <c r="L1880" s="6">
        <v>69.650000000000006</v>
      </c>
      <c r="M1880" s="11">
        <v>63.869050000000001</v>
      </c>
      <c r="N1880" s="11">
        <f t="shared" si="116"/>
        <v>63.87</v>
      </c>
      <c r="O1880" s="6">
        <v>0.91699999999999993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1.04</v>
      </c>
      <c r="Z1880" s="6">
        <v>0.95367999999999997</v>
      </c>
      <c r="AA1880" s="6">
        <v>0.91699999999999993</v>
      </c>
      <c r="AB1880" s="6">
        <v>-1.039999999999992</v>
      </c>
      <c r="AC1880" s="6">
        <v>1.039999999999992</v>
      </c>
      <c r="AD1880" s="23" t="s">
        <v>3143</v>
      </c>
      <c r="AE1880" s="23">
        <f t="shared" si="117"/>
        <v>61.448999999999998</v>
      </c>
      <c r="AF1880" s="24">
        <f t="shared" si="118"/>
        <v>2.4209999999999994</v>
      </c>
      <c r="AG1880" s="23">
        <f t="shared" si="119"/>
        <v>2</v>
      </c>
    </row>
    <row r="1881" spans="1:33" ht="12.5" hidden="1" customHeight="1" x14ac:dyDescent="0.25">
      <c r="A1881" s="12" t="s">
        <v>31</v>
      </c>
      <c r="B1881" s="9">
        <v>46202</v>
      </c>
      <c r="C1881" s="10" t="s">
        <v>2964</v>
      </c>
      <c r="D1881" s="10" t="s">
        <v>2965</v>
      </c>
      <c r="E1881" s="10" t="s">
        <v>34</v>
      </c>
      <c r="F1881" s="10" t="s">
        <v>35</v>
      </c>
      <c r="G1881" s="10" t="s">
        <v>3145</v>
      </c>
      <c r="H1881" s="8" t="s">
        <v>48</v>
      </c>
      <c r="I1881" s="11">
        <v>92.48</v>
      </c>
      <c r="J1881" s="6">
        <v>69.36</v>
      </c>
      <c r="K1881" s="6">
        <v>0.75</v>
      </c>
      <c r="L1881" s="6">
        <v>81.64</v>
      </c>
      <c r="M1881" s="11">
        <v>61.23</v>
      </c>
      <c r="N1881" s="11">
        <f t="shared" si="116"/>
        <v>61.23</v>
      </c>
      <c r="O1881" s="6">
        <v>0.75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10.84</v>
      </c>
      <c r="Z1881" s="6">
        <v>8.1300000000000008</v>
      </c>
      <c r="AA1881" s="6">
        <v>0.75000000000000011</v>
      </c>
      <c r="AB1881" s="6">
        <v>-10.840000000000003</v>
      </c>
      <c r="AC1881" s="6">
        <v>10.840000000000003</v>
      </c>
      <c r="AD1881" s="22" t="s">
        <v>3140</v>
      </c>
      <c r="AE1881" s="23">
        <f t="shared" si="117"/>
        <v>61.23</v>
      </c>
      <c r="AF1881" s="24">
        <f t="shared" si="118"/>
        <v>0</v>
      </c>
      <c r="AG1881" s="23">
        <f t="shared" si="119"/>
        <v>1</v>
      </c>
    </row>
    <row r="1882" spans="1:33" ht="12.5" hidden="1" customHeight="1" x14ac:dyDescent="0.25">
      <c r="A1882" s="12" t="s">
        <v>31</v>
      </c>
      <c r="B1882" s="9">
        <v>46202</v>
      </c>
      <c r="C1882" s="10" t="s">
        <v>2966</v>
      </c>
      <c r="D1882" s="10" t="s">
        <v>2967</v>
      </c>
      <c r="E1882" s="10" t="s">
        <v>34</v>
      </c>
      <c r="F1882" s="10" t="s">
        <v>35</v>
      </c>
      <c r="G1882" s="10" t="s">
        <v>3145</v>
      </c>
      <c r="H1882" s="8" t="s">
        <v>48</v>
      </c>
      <c r="I1882" s="11">
        <v>95.2</v>
      </c>
      <c r="J1882" s="6">
        <v>71.400000000000006</v>
      </c>
      <c r="K1882" s="6">
        <v>0.75</v>
      </c>
      <c r="L1882" s="6">
        <v>84.81</v>
      </c>
      <c r="M1882" s="11">
        <v>63.607500000000002</v>
      </c>
      <c r="N1882" s="11">
        <f t="shared" si="116"/>
        <v>63.607999999999997</v>
      </c>
      <c r="O1882" s="6">
        <v>0.75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10.39</v>
      </c>
      <c r="Z1882" s="6">
        <v>7.7925000000000004</v>
      </c>
      <c r="AA1882" s="6">
        <v>0.75</v>
      </c>
      <c r="AB1882" s="6">
        <v>-10.39</v>
      </c>
      <c r="AC1882" s="6">
        <v>10.39</v>
      </c>
      <c r="AD1882" s="22" t="s">
        <v>3140</v>
      </c>
      <c r="AE1882" s="23">
        <f t="shared" si="117"/>
        <v>63.607999999999997</v>
      </c>
      <c r="AF1882" s="24">
        <f t="shared" si="118"/>
        <v>0</v>
      </c>
      <c r="AG1882" s="23">
        <f t="shared" si="119"/>
        <v>1</v>
      </c>
    </row>
    <row r="1883" spans="1:33" ht="12.5" customHeight="1" x14ac:dyDescent="0.25">
      <c r="A1883" s="12" t="s">
        <v>31</v>
      </c>
      <c r="B1883" s="9">
        <v>46202</v>
      </c>
      <c r="C1883" s="10" t="s">
        <v>2968</v>
      </c>
      <c r="D1883" s="10" t="s">
        <v>2969</v>
      </c>
      <c r="E1883" s="10" t="s">
        <v>34</v>
      </c>
      <c r="F1883" s="10" t="s">
        <v>35</v>
      </c>
      <c r="G1883" s="10" t="s">
        <v>3146</v>
      </c>
      <c r="H1883" s="8" t="s">
        <v>36</v>
      </c>
      <c r="I1883" s="11">
        <v>80.209999999999994</v>
      </c>
      <c r="J1883" s="6">
        <v>73.552570000000003</v>
      </c>
      <c r="K1883" s="6">
        <v>0.91700000000000015</v>
      </c>
      <c r="L1883" s="6">
        <v>71.3</v>
      </c>
      <c r="M1883" s="11">
        <v>65.382099999999994</v>
      </c>
      <c r="N1883" s="11">
        <f t="shared" si="116"/>
        <v>65.38300000000001</v>
      </c>
      <c r="O1883" s="6">
        <v>0.91699999999999993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8.91</v>
      </c>
      <c r="Z1883" s="6">
        <v>8.1704699999999999</v>
      </c>
      <c r="AA1883" s="6">
        <v>0.91699999999999993</v>
      </c>
      <c r="AB1883" s="6">
        <v>-8.9099999999999966</v>
      </c>
      <c r="AC1883" s="6">
        <v>8.9099999999999966</v>
      </c>
      <c r="AD1883" s="22" t="s">
        <v>3140</v>
      </c>
      <c r="AE1883" s="23">
        <f t="shared" si="117"/>
        <v>65.38300000000001</v>
      </c>
      <c r="AF1883" s="24">
        <f t="shared" si="118"/>
        <v>0</v>
      </c>
      <c r="AG1883" s="23">
        <f t="shared" si="119"/>
        <v>1</v>
      </c>
    </row>
    <row r="1884" spans="1:33" ht="12.5" customHeight="1" x14ac:dyDescent="0.25">
      <c r="A1884" s="12" t="s">
        <v>31</v>
      </c>
      <c r="B1884" s="9">
        <v>46202</v>
      </c>
      <c r="C1884" s="10" t="s">
        <v>2970</v>
      </c>
      <c r="D1884" s="10" t="s">
        <v>2971</v>
      </c>
      <c r="E1884" s="10" t="s">
        <v>34</v>
      </c>
      <c r="F1884" s="10" t="s">
        <v>35</v>
      </c>
      <c r="G1884" s="10" t="s">
        <v>3146</v>
      </c>
      <c r="H1884" s="8" t="s">
        <v>36</v>
      </c>
      <c r="I1884" s="11">
        <v>137.93</v>
      </c>
      <c r="J1884" s="6">
        <v>126.48181</v>
      </c>
      <c r="K1884" s="6">
        <v>0.91699999999999993</v>
      </c>
      <c r="L1884" s="6">
        <v>128.30000000000001</v>
      </c>
      <c r="M1884" s="11">
        <v>117.6511</v>
      </c>
      <c r="N1884" s="11">
        <f t="shared" si="116"/>
        <v>117.652</v>
      </c>
      <c r="O1884" s="6">
        <v>0.91699999999999993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9.6300000000000008</v>
      </c>
      <c r="Z1884" s="6">
        <v>8.8307099999999998</v>
      </c>
      <c r="AA1884" s="6">
        <v>0.91699999999999993</v>
      </c>
      <c r="AB1884" s="6">
        <v>-9.6299999999999955</v>
      </c>
      <c r="AC1884" s="6">
        <v>9.6299999999999955</v>
      </c>
      <c r="AD1884" s="22" t="s">
        <v>3140</v>
      </c>
      <c r="AE1884" s="23">
        <f t="shared" si="117"/>
        <v>117.652</v>
      </c>
      <c r="AF1884" s="24">
        <f t="shared" si="118"/>
        <v>0</v>
      </c>
      <c r="AG1884" s="23">
        <f t="shared" si="119"/>
        <v>1</v>
      </c>
    </row>
    <row r="1885" spans="1:33" x14ac:dyDescent="0.25">
      <c r="A1885" s="12" t="s">
        <v>31</v>
      </c>
      <c r="B1885" s="9">
        <v>46202</v>
      </c>
      <c r="C1885" s="10" t="s">
        <v>2972</v>
      </c>
      <c r="D1885" s="10" t="s">
        <v>2973</v>
      </c>
      <c r="E1885" s="10" t="s">
        <v>51</v>
      </c>
      <c r="F1885" s="10" t="s">
        <v>35</v>
      </c>
      <c r="G1885" s="10" t="s">
        <v>3146</v>
      </c>
      <c r="H1885" s="8" t="s">
        <v>36</v>
      </c>
      <c r="I1885" s="11">
        <v>120</v>
      </c>
      <c r="J1885" s="6">
        <v>110.04</v>
      </c>
      <c r="K1885" s="6">
        <v>0.91700000000000004</v>
      </c>
      <c r="L1885" s="6">
        <v>107.32</v>
      </c>
      <c r="M1885" s="11">
        <v>98.412440000000004</v>
      </c>
      <c r="N1885" s="11">
        <f t="shared" si="116"/>
        <v>98.413000000000011</v>
      </c>
      <c r="O1885" s="6">
        <v>0.91700000000000004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12.68</v>
      </c>
      <c r="Z1885" s="6">
        <v>11.627560000000001</v>
      </c>
      <c r="AA1885" s="6">
        <v>0.91700000000000004</v>
      </c>
      <c r="AB1885" s="6">
        <v>-12.680000000000007</v>
      </c>
      <c r="AC1885" s="6">
        <v>12.680000000000007</v>
      </c>
      <c r="AD1885" s="22" t="s">
        <v>3140</v>
      </c>
      <c r="AE1885" s="23">
        <f t="shared" si="117"/>
        <v>98.413000000000011</v>
      </c>
      <c r="AF1885" s="24">
        <f t="shared" si="118"/>
        <v>0</v>
      </c>
      <c r="AG1885" s="23">
        <f t="shared" si="119"/>
        <v>1</v>
      </c>
    </row>
    <row r="1886" spans="1:33" ht="20" hidden="1" customHeight="1" x14ac:dyDescent="0.25">
      <c r="A1886" s="12" t="s">
        <v>31</v>
      </c>
      <c r="B1886" s="9">
        <v>46202</v>
      </c>
      <c r="C1886" s="10" t="s">
        <v>2974</v>
      </c>
      <c r="D1886" s="10" t="s">
        <v>2975</v>
      </c>
      <c r="E1886" s="10" t="s">
        <v>51</v>
      </c>
      <c r="F1886" s="10" t="s">
        <v>35</v>
      </c>
      <c r="G1886" s="10" t="s">
        <v>3145</v>
      </c>
      <c r="H1886" s="8" t="s">
        <v>48</v>
      </c>
      <c r="I1886" s="11">
        <v>17.579999999999998</v>
      </c>
      <c r="J1886" s="6">
        <v>13.185</v>
      </c>
      <c r="K1886" s="6">
        <v>0.75000000000000011</v>
      </c>
      <c r="L1886" s="6">
        <v>16.8</v>
      </c>
      <c r="M1886" s="11">
        <v>12.6</v>
      </c>
      <c r="N1886" s="11">
        <f t="shared" si="116"/>
        <v>12.6</v>
      </c>
      <c r="O1886" s="6">
        <v>0.75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0.78</v>
      </c>
      <c r="Z1886" s="6">
        <v>0.58499999999999996</v>
      </c>
      <c r="AA1886" s="6">
        <v>0.74999999999999989</v>
      </c>
      <c r="AB1886" s="6">
        <v>-0.77999999999999758</v>
      </c>
      <c r="AC1886" s="6">
        <v>0.77999999999999758</v>
      </c>
      <c r="AD1886" s="22" t="s">
        <v>3140</v>
      </c>
      <c r="AE1886" s="23">
        <f t="shared" si="117"/>
        <v>12.6</v>
      </c>
      <c r="AF1886" s="24">
        <f t="shared" si="118"/>
        <v>0</v>
      </c>
      <c r="AG1886" s="23">
        <f t="shared" si="119"/>
        <v>1</v>
      </c>
    </row>
    <row r="1887" spans="1:33" x14ac:dyDescent="0.25">
      <c r="A1887" s="12" t="s">
        <v>31</v>
      </c>
      <c r="B1887" s="9">
        <v>46202</v>
      </c>
      <c r="C1887" s="10" t="s">
        <v>2976</v>
      </c>
      <c r="D1887" s="10" t="s">
        <v>2977</v>
      </c>
      <c r="E1887" s="10" t="s">
        <v>51</v>
      </c>
      <c r="F1887" s="10" t="s">
        <v>35</v>
      </c>
      <c r="G1887" s="10" t="s">
        <v>3146</v>
      </c>
      <c r="H1887" s="8" t="s">
        <v>36</v>
      </c>
      <c r="I1887" s="11">
        <v>11.11</v>
      </c>
      <c r="J1887" s="6">
        <v>10.18787</v>
      </c>
      <c r="K1887" s="6">
        <v>0.91700000000000004</v>
      </c>
      <c r="L1887" s="6">
        <v>10.17</v>
      </c>
      <c r="M1887" s="11">
        <v>9.3258899999999993</v>
      </c>
      <c r="N1887" s="11">
        <f t="shared" si="116"/>
        <v>9.3259999999999987</v>
      </c>
      <c r="O1887" s="6">
        <v>0.91699999999999993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0.94</v>
      </c>
      <c r="Z1887" s="6">
        <v>0.86197999999999997</v>
      </c>
      <c r="AA1887" s="6">
        <v>0.91700000000000004</v>
      </c>
      <c r="AB1887" s="6">
        <v>-0.9399999999999995</v>
      </c>
      <c r="AC1887" s="6">
        <v>0.9399999999999995</v>
      </c>
      <c r="AD1887" s="22" t="s">
        <v>3140</v>
      </c>
      <c r="AE1887" s="23">
        <f t="shared" si="117"/>
        <v>9.3259999999999987</v>
      </c>
      <c r="AF1887" s="24">
        <f t="shared" si="118"/>
        <v>0</v>
      </c>
      <c r="AG1887" s="23">
        <f t="shared" si="119"/>
        <v>1</v>
      </c>
    </row>
    <row r="1888" spans="1:33" x14ac:dyDescent="0.25">
      <c r="A1888" s="12" t="s">
        <v>31</v>
      </c>
      <c r="B1888" s="9">
        <v>46202</v>
      </c>
      <c r="C1888" s="10" t="s">
        <v>2978</v>
      </c>
      <c r="D1888" s="10" t="s">
        <v>2979</v>
      </c>
      <c r="E1888" s="10" t="s">
        <v>51</v>
      </c>
      <c r="F1888" s="10" t="s">
        <v>35</v>
      </c>
      <c r="G1888" s="10" t="s">
        <v>3146</v>
      </c>
      <c r="H1888" s="8" t="s">
        <v>36</v>
      </c>
      <c r="I1888" s="11">
        <v>37.81</v>
      </c>
      <c r="J1888" s="6">
        <v>34.671770000000002</v>
      </c>
      <c r="K1888" s="6">
        <v>0.91700000000000004</v>
      </c>
      <c r="L1888" s="6">
        <v>33.5</v>
      </c>
      <c r="M1888" s="11">
        <v>30.7195</v>
      </c>
      <c r="N1888" s="11">
        <f t="shared" si="116"/>
        <v>30.720000000000002</v>
      </c>
      <c r="O1888" s="6">
        <v>0.91700000000000004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4.3099999999999996</v>
      </c>
      <c r="Z1888" s="6">
        <v>3.9522699999999999</v>
      </c>
      <c r="AA1888" s="6">
        <v>0.91700000000000004</v>
      </c>
      <c r="AB1888" s="6">
        <v>-4.3100000000000023</v>
      </c>
      <c r="AC1888" s="6">
        <v>4.3100000000000023</v>
      </c>
      <c r="AD1888" s="22" t="s">
        <v>3140</v>
      </c>
      <c r="AE1888" s="23">
        <f t="shared" si="117"/>
        <v>30.720000000000002</v>
      </c>
      <c r="AF1888" s="24">
        <f t="shared" si="118"/>
        <v>0</v>
      </c>
      <c r="AG1888" s="23">
        <f t="shared" si="119"/>
        <v>1</v>
      </c>
    </row>
    <row r="1889" spans="1:33" x14ac:dyDescent="0.25">
      <c r="A1889" s="12" t="s">
        <v>31</v>
      </c>
      <c r="B1889" s="9">
        <v>46202</v>
      </c>
      <c r="C1889" s="10" t="s">
        <v>2980</v>
      </c>
      <c r="D1889" s="10" t="s">
        <v>2981</v>
      </c>
      <c r="E1889" s="10" t="s">
        <v>51</v>
      </c>
      <c r="F1889" s="10" t="s">
        <v>35</v>
      </c>
      <c r="G1889" s="10" t="s">
        <v>3146</v>
      </c>
      <c r="H1889" s="8" t="s">
        <v>36</v>
      </c>
      <c r="I1889" s="11">
        <v>9.35</v>
      </c>
      <c r="J1889" s="6">
        <v>8.57395</v>
      </c>
      <c r="K1889" s="6">
        <v>0.91700000000000004</v>
      </c>
      <c r="L1889" s="6">
        <v>8.19</v>
      </c>
      <c r="M1889" s="11">
        <v>7.51023</v>
      </c>
      <c r="N1889" s="11">
        <f t="shared" si="116"/>
        <v>7.5110000000000001</v>
      </c>
      <c r="O1889" s="6">
        <v>0.91700000000000004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6">
        <v>1.1599999999999999</v>
      </c>
      <c r="Z1889" s="6">
        <v>1.06372</v>
      </c>
      <c r="AA1889" s="6">
        <v>0.91700000000000004</v>
      </c>
      <c r="AB1889" s="6">
        <v>-1.1600000000000001</v>
      </c>
      <c r="AC1889" s="6">
        <v>1.1600000000000001</v>
      </c>
      <c r="AD1889" s="22" t="s">
        <v>3140</v>
      </c>
      <c r="AE1889" s="23">
        <f t="shared" si="117"/>
        <v>7.5110000000000001</v>
      </c>
      <c r="AF1889" s="24">
        <f t="shared" si="118"/>
        <v>0</v>
      </c>
      <c r="AG1889" s="23">
        <f t="shared" si="119"/>
        <v>1</v>
      </c>
    </row>
    <row r="1890" spans="1:33" hidden="1" x14ac:dyDescent="0.25">
      <c r="A1890" s="12" t="s">
        <v>31</v>
      </c>
      <c r="B1890" s="9">
        <v>46202</v>
      </c>
      <c r="C1890" s="10" t="s">
        <v>2982</v>
      </c>
      <c r="D1890" s="10" t="s">
        <v>2983</v>
      </c>
      <c r="E1890" s="10" t="s">
        <v>51</v>
      </c>
      <c r="F1890" s="10" t="s">
        <v>35</v>
      </c>
      <c r="G1890" s="10" t="s">
        <v>3145</v>
      </c>
      <c r="H1890" s="8" t="s">
        <v>41</v>
      </c>
      <c r="I1890" s="11">
        <v>12.06</v>
      </c>
      <c r="J1890" s="6">
        <v>9.0449999999999999</v>
      </c>
      <c r="K1890" s="6">
        <v>0.75</v>
      </c>
      <c r="L1890" s="6">
        <v>11.01</v>
      </c>
      <c r="M1890" s="11">
        <v>8.2575000000000003</v>
      </c>
      <c r="N1890" s="11">
        <f t="shared" si="116"/>
        <v>8.2579999999999991</v>
      </c>
      <c r="O1890" s="6">
        <v>0.75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1.05</v>
      </c>
      <c r="Z1890" s="6">
        <v>0.78749999999999998</v>
      </c>
      <c r="AA1890" s="6">
        <v>0.75</v>
      </c>
      <c r="AB1890" s="6">
        <v>-1.0500000000000007</v>
      </c>
      <c r="AC1890" s="6">
        <v>1.0500000000000007</v>
      </c>
      <c r="AD1890" s="22" t="s">
        <v>3140</v>
      </c>
      <c r="AE1890" s="23">
        <f t="shared" si="117"/>
        <v>8.2579999999999991</v>
      </c>
      <c r="AF1890" s="24">
        <f t="shared" si="118"/>
        <v>0</v>
      </c>
      <c r="AG1890" s="23">
        <f t="shared" si="119"/>
        <v>1</v>
      </c>
    </row>
    <row r="1891" spans="1:33" ht="12.5" customHeight="1" x14ac:dyDescent="0.25">
      <c r="A1891" s="12" t="s">
        <v>31</v>
      </c>
      <c r="B1891" s="9">
        <v>46202</v>
      </c>
      <c r="C1891" s="8" t="s">
        <v>2984</v>
      </c>
      <c r="D1891" s="10" t="s">
        <v>2985</v>
      </c>
      <c r="E1891" s="10" t="s">
        <v>51</v>
      </c>
      <c r="F1891" s="10" t="s">
        <v>35</v>
      </c>
      <c r="G1891" s="10" t="s">
        <v>3146</v>
      </c>
      <c r="H1891" s="8" t="s">
        <v>36</v>
      </c>
      <c r="I1891" s="11">
        <v>9.2100000000000009</v>
      </c>
      <c r="J1891" s="6">
        <v>8.44557</v>
      </c>
      <c r="K1891" s="6">
        <v>0.91699999999999993</v>
      </c>
      <c r="L1891" s="6">
        <v>8.5</v>
      </c>
      <c r="M1891" s="11">
        <v>7.7945000000000002</v>
      </c>
      <c r="N1891" s="11">
        <f t="shared" si="116"/>
        <v>7.7949999999999999</v>
      </c>
      <c r="O1891" s="6">
        <v>0.91700000000000004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0.71</v>
      </c>
      <c r="Z1891" s="6">
        <v>0.65107000000000004</v>
      </c>
      <c r="AA1891" s="6">
        <v>0.91700000000000015</v>
      </c>
      <c r="AB1891" s="6">
        <v>-0.71000000000000085</v>
      </c>
      <c r="AC1891" s="6">
        <v>0.71000000000000085</v>
      </c>
      <c r="AD1891" s="22" t="s">
        <v>3140</v>
      </c>
      <c r="AE1891" s="23">
        <f t="shared" si="117"/>
        <v>7.7949999999999999</v>
      </c>
      <c r="AF1891" s="24">
        <f t="shared" si="118"/>
        <v>0</v>
      </c>
      <c r="AG1891" s="23">
        <f t="shared" si="119"/>
        <v>1</v>
      </c>
    </row>
    <row r="1892" spans="1:33" ht="12.5" customHeight="1" x14ac:dyDescent="0.25">
      <c r="A1892" s="12" t="s">
        <v>31</v>
      </c>
      <c r="B1892" s="9">
        <v>46202</v>
      </c>
      <c r="C1892" s="13" t="s">
        <v>2984</v>
      </c>
      <c r="D1892" s="10" t="s">
        <v>2986</v>
      </c>
      <c r="E1892" s="10" t="s">
        <v>51</v>
      </c>
      <c r="F1892" s="10" t="s">
        <v>35</v>
      </c>
      <c r="G1892" s="10" t="s">
        <v>3146</v>
      </c>
      <c r="H1892" s="8" t="s">
        <v>36</v>
      </c>
      <c r="I1892" s="11">
        <v>49.42</v>
      </c>
      <c r="J1892" s="6">
        <v>45.31814</v>
      </c>
      <c r="K1892" s="6">
        <v>0.91699999999999993</v>
      </c>
      <c r="L1892" s="6">
        <v>46.97</v>
      </c>
      <c r="M1892" s="11">
        <v>43.071489999999997</v>
      </c>
      <c r="N1892" s="11">
        <f t="shared" si="116"/>
        <v>43.071999999999996</v>
      </c>
      <c r="O1892" s="6">
        <v>0.91699999999999993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2.4500000000000002</v>
      </c>
      <c r="Z1892" s="6">
        <v>2.2466499999999998</v>
      </c>
      <c r="AA1892" s="6">
        <v>0.91699999999999982</v>
      </c>
      <c r="AB1892" s="6">
        <v>-2.4500000000000028</v>
      </c>
      <c r="AC1892" s="6">
        <v>2.4500000000000028</v>
      </c>
      <c r="AD1892" s="22" t="s">
        <v>3140</v>
      </c>
      <c r="AE1892" s="23">
        <f t="shared" si="117"/>
        <v>43.071999999999996</v>
      </c>
      <c r="AF1892" s="24">
        <f t="shared" si="118"/>
        <v>0</v>
      </c>
      <c r="AG1892" s="23">
        <f t="shared" si="119"/>
        <v>1</v>
      </c>
    </row>
    <row r="1893" spans="1:33" x14ac:dyDescent="0.25">
      <c r="A1893" s="12" t="s">
        <v>31</v>
      </c>
      <c r="B1893" s="9">
        <v>46202</v>
      </c>
      <c r="C1893" s="10" t="s">
        <v>2987</v>
      </c>
      <c r="D1893" s="10" t="s">
        <v>2988</v>
      </c>
      <c r="E1893" s="10" t="s">
        <v>51</v>
      </c>
      <c r="F1893" s="10" t="s">
        <v>35</v>
      </c>
      <c r="G1893" s="10" t="s">
        <v>3146</v>
      </c>
      <c r="H1893" s="8" t="s">
        <v>36</v>
      </c>
      <c r="I1893" s="11">
        <v>74.11</v>
      </c>
      <c r="J1893" s="6">
        <v>67.958870000000005</v>
      </c>
      <c r="K1893" s="6">
        <v>0.91700000000000004</v>
      </c>
      <c r="L1893" s="6">
        <v>69.3</v>
      </c>
      <c r="M1893" s="11">
        <v>63.548099999999998</v>
      </c>
      <c r="N1893" s="11">
        <f t="shared" si="116"/>
        <v>63.548999999999999</v>
      </c>
      <c r="O1893" s="6">
        <v>0.91700000000000004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4.8099999999999996</v>
      </c>
      <c r="Z1893" s="6">
        <v>4.4107700000000003</v>
      </c>
      <c r="AA1893" s="6">
        <v>0.91700000000000015</v>
      </c>
      <c r="AB1893" s="6">
        <v>-4.8100000000000023</v>
      </c>
      <c r="AC1893" s="6">
        <v>4.8100000000000023</v>
      </c>
      <c r="AD1893" s="23" t="s">
        <v>3143</v>
      </c>
      <c r="AE1893" s="23">
        <f t="shared" si="117"/>
        <v>62.823999999999998</v>
      </c>
      <c r="AF1893" s="24">
        <f t="shared" si="118"/>
        <v>0.72500000000000142</v>
      </c>
      <c r="AG1893" s="23">
        <f t="shared" si="119"/>
        <v>3</v>
      </c>
    </row>
    <row r="1894" spans="1:33" x14ac:dyDescent="0.25">
      <c r="A1894" s="12" t="s">
        <v>31</v>
      </c>
      <c r="B1894" s="9">
        <v>46202</v>
      </c>
      <c r="C1894" s="10" t="s">
        <v>2989</v>
      </c>
      <c r="D1894" s="10" t="s">
        <v>2988</v>
      </c>
      <c r="E1894" s="10" t="s">
        <v>51</v>
      </c>
      <c r="F1894" s="10" t="s">
        <v>35</v>
      </c>
      <c r="G1894" s="10" t="s">
        <v>3146</v>
      </c>
      <c r="H1894" s="8" t="s">
        <v>36</v>
      </c>
      <c r="I1894" s="11">
        <v>69.3</v>
      </c>
      <c r="J1894" s="6">
        <v>63.548099999999998</v>
      </c>
      <c r="K1894" s="6">
        <v>0.91700000000000004</v>
      </c>
      <c r="L1894" s="6">
        <v>69.3</v>
      </c>
      <c r="M1894" s="11">
        <v>63.548099999999998</v>
      </c>
      <c r="N1894" s="11">
        <f t="shared" si="116"/>
        <v>63.548999999999999</v>
      </c>
      <c r="O1894" s="6">
        <v>0.91700000000000004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23" t="s">
        <v>3143</v>
      </c>
      <c r="AE1894" s="23">
        <f t="shared" si="117"/>
        <v>62.823999999999998</v>
      </c>
      <c r="AF1894" s="24">
        <f t="shared" si="118"/>
        <v>0.72500000000000142</v>
      </c>
      <c r="AG1894" s="23">
        <f t="shared" si="119"/>
        <v>3</v>
      </c>
    </row>
    <row r="1895" spans="1:33" x14ac:dyDescent="0.25">
      <c r="A1895" s="12" t="s">
        <v>31</v>
      </c>
      <c r="B1895" s="9">
        <v>46202</v>
      </c>
      <c r="C1895" s="10" t="s">
        <v>2990</v>
      </c>
      <c r="D1895" s="10" t="s">
        <v>2991</v>
      </c>
      <c r="E1895" s="10" t="s">
        <v>51</v>
      </c>
      <c r="F1895" s="10" t="s">
        <v>35</v>
      </c>
      <c r="G1895" s="10" t="s">
        <v>3146</v>
      </c>
      <c r="H1895" s="8" t="s">
        <v>36</v>
      </c>
      <c r="I1895" s="11">
        <v>10.34</v>
      </c>
      <c r="J1895" s="6">
        <v>9.4817800000000005</v>
      </c>
      <c r="K1895" s="6">
        <v>0.91700000000000004</v>
      </c>
      <c r="L1895" s="6">
        <v>9.48</v>
      </c>
      <c r="M1895" s="11">
        <v>8.6931600000000007</v>
      </c>
      <c r="N1895" s="11">
        <f t="shared" si="116"/>
        <v>8.6939999999999991</v>
      </c>
      <c r="O1895" s="6">
        <v>0.91700000000000004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0.86</v>
      </c>
      <c r="Z1895" s="6">
        <v>0.78861999999999999</v>
      </c>
      <c r="AA1895" s="6">
        <v>0.91700000000000004</v>
      </c>
      <c r="AB1895" s="6">
        <v>-0.85999999999999943</v>
      </c>
      <c r="AC1895" s="6">
        <v>0.85999999999999943</v>
      </c>
      <c r="AD1895" s="22" t="s">
        <v>3140</v>
      </c>
      <c r="AE1895" s="23">
        <f t="shared" si="117"/>
        <v>8.6939999999999991</v>
      </c>
      <c r="AF1895" s="24">
        <f t="shared" si="118"/>
        <v>0</v>
      </c>
      <c r="AG1895" s="23">
        <f t="shared" si="119"/>
        <v>1</v>
      </c>
    </row>
    <row r="1896" spans="1:33" ht="12.5" customHeight="1" x14ac:dyDescent="0.25">
      <c r="A1896" s="12" t="s">
        <v>31</v>
      </c>
      <c r="B1896" s="9">
        <v>46202</v>
      </c>
      <c r="C1896" s="8" t="s">
        <v>2992</v>
      </c>
      <c r="D1896" s="10" t="s">
        <v>231</v>
      </c>
      <c r="E1896" s="10" t="s">
        <v>51</v>
      </c>
      <c r="F1896" s="10" t="s">
        <v>35</v>
      </c>
      <c r="G1896" s="10" t="s">
        <v>3146</v>
      </c>
      <c r="H1896" s="8" t="s">
        <v>36</v>
      </c>
      <c r="I1896" s="11">
        <v>13.64</v>
      </c>
      <c r="J1896" s="6">
        <v>12.50788</v>
      </c>
      <c r="K1896" s="6">
        <v>0.91699999999999993</v>
      </c>
      <c r="L1896" s="6">
        <v>12.92</v>
      </c>
      <c r="M1896" s="11">
        <v>11.84764</v>
      </c>
      <c r="N1896" s="11">
        <f t="shared" si="116"/>
        <v>11.847999999999999</v>
      </c>
      <c r="O1896" s="6">
        <v>0.91700000000000004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0.72</v>
      </c>
      <c r="Z1896" s="6">
        <v>0.66024000000000005</v>
      </c>
      <c r="AA1896" s="6">
        <v>0.91700000000000015</v>
      </c>
      <c r="AB1896" s="6">
        <v>-0.72000000000000064</v>
      </c>
      <c r="AC1896" s="6">
        <v>0.72000000000000064</v>
      </c>
      <c r="AD1896" s="23" t="s">
        <v>3143</v>
      </c>
      <c r="AE1896" s="23">
        <f t="shared" si="117"/>
        <v>8.9599999999999991</v>
      </c>
      <c r="AF1896" s="24">
        <f t="shared" si="118"/>
        <v>2.8879999999999999</v>
      </c>
      <c r="AG1896" s="23">
        <f t="shared" si="119"/>
        <v>2</v>
      </c>
    </row>
    <row r="1897" spans="1:33" ht="12.5" customHeight="1" x14ac:dyDescent="0.25">
      <c r="A1897" s="12" t="s">
        <v>31</v>
      </c>
      <c r="B1897" s="9">
        <v>46202</v>
      </c>
      <c r="C1897" s="13" t="s">
        <v>2992</v>
      </c>
      <c r="D1897" s="10" t="s">
        <v>2993</v>
      </c>
      <c r="E1897" s="10" t="s">
        <v>51</v>
      </c>
      <c r="F1897" s="10" t="s">
        <v>35</v>
      </c>
      <c r="G1897" s="10" t="s">
        <v>3146</v>
      </c>
      <c r="H1897" s="8" t="s">
        <v>36</v>
      </c>
      <c r="I1897" s="11">
        <v>9.48</v>
      </c>
      <c r="J1897" s="6">
        <v>8.6931600000000007</v>
      </c>
      <c r="K1897" s="6">
        <v>0.91700000000000004</v>
      </c>
      <c r="L1897" s="6">
        <v>8.82</v>
      </c>
      <c r="M1897" s="11">
        <v>8.0879399999999997</v>
      </c>
      <c r="N1897" s="11">
        <f t="shared" si="116"/>
        <v>8.0879999999999992</v>
      </c>
      <c r="O1897" s="6">
        <v>0.91699999999999993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0.66</v>
      </c>
      <c r="Z1897" s="6">
        <v>0.60521999999999998</v>
      </c>
      <c r="AA1897" s="6">
        <v>0.91699999999999993</v>
      </c>
      <c r="AB1897" s="6">
        <v>-0.66000000000000014</v>
      </c>
      <c r="AC1897" s="6">
        <v>0.66000000000000014</v>
      </c>
      <c r="AD1897" s="22" t="s">
        <v>3140</v>
      </c>
      <c r="AE1897" s="23">
        <f t="shared" si="117"/>
        <v>8.0879999999999992</v>
      </c>
      <c r="AF1897" s="24">
        <f t="shared" si="118"/>
        <v>0</v>
      </c>
      <c r="AG1897" s="23">
        <f t="shared" si="119"/>
        <v>1</v>
      </c>
    </row>
    <row r="1898" spans="1:33" ht="12.5" customHeight="1" x14ac:dyDescent="0.25">
      <c r="A1898" s="12" t="s">
        <v>31</v>
      </c>
      <c r="B1898" s="9">
        <v>46202</v>
      </c>
      <c r="C1898" s="8" t="s">
        <v>2994</v>
      </c>
      <c r="D1898" s="10" t="s">
        <v>2995</v>
      </c>
      <c r="E1898" s="10" t="s">
        <v>51</v>
      </c>
      <c r="F1898" s="10" t="s">
        <v>35</v>
      </c>
      <c r="G1898" s="10" t="s">
        <v>3146</v>
      </c>
      <c r="H1898" s="8" t="s">
        <v>36</v>
      </c>
      <c r="I1898" s="11">
        <v>28.89</v>
      </c>
      <c r="J1898" s="6">
        <v>26.49213</v>
      </c>
      <c r="K1898" s="6">
        <v>0.91699999999999993</v>
      </c>
      <c r="L1898" s="6">
        <v>28</v>
      </c>
      <c r="M1898" s="11">
        <v>25.675999999999998</v>
      </c>
      <c r="N1898" s="11">
        <f t="shared" si="116"/>
        <v>25.675999999999998</v>
      </c>
      <c r="O1898" s="6">
        <v>0.91699999999999993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0.89</v>
      </c>
      <c r="Z1898" s="6">
        <v>0.81613000000000002</v>
      </c>
      <c r="AA1898" s="6">
        <v>0.91700000000000004</v>
      </c>
      <c r="AB1898" s="6">
        <v>-0.89000000000000057</v>
      </c>
      <c r="AC1898" s="6">
        <v>0.89000000000000057</v>
      </c>
      <c r="AD1898" s="22" t="s">
        <v>3140</v>
      </c>
      <c r="AE1898" s="23">
        <f t="shared" si="117"/>
        <v>25.675999999999998</v>
      </c>
      <c r="AF1898" s="24">
        <f t="shared" si="118"/>
        <v>0</v>
      </c>
      <c r="AG1898" s="23">
        <f t="shared" si="119"/>
        <v>1</v>
      </c>
    </row>
    <row r="1899" spans="1:33" ht="12.5" hidden="1" customHeight="1" x14ac:dyDescent="0.25">
      <c r="A1899" s="12" t="s">
        <v>31</v>
      </c>
      <c r="B1899" s="9">
        <v>46202</v>
      </c>
      <c r="C1899" s="13" t="s">
        <v>2994</v>
      </c>
      <c r="D1899" s="10" t="s">
        <v>2996</v>
      </c>
      <c r="E1899" s="10" t="s">
        <v>51</v>
      </c>
      <c r="F1899" s="10" t="s">
        <v>35</v>
      </c>
      <c r="G1899" s="10" t="s">
        <v>3145</v>
      </c>
      <c r="H1899" s="8" t="s">
        <v>48</v>
      </c>
      <c r="I1899" s="11">
        <v>5.79</v>
      </c>
      <c r="J1899" s="6">
        <v>4.3425000000000002</v>
      </c>
      <c r="K1899" s="6">
        <v>0.75</v>
      </c>
      <c r="L1899" s="6">
        <v>5.29</v>
      </c>
      <c r="M1899" s="11">
        <v>3.9674999999999998</v>
      </c>
      <c r="N1899" s="11">
        <f t="shared" si="116"/>
        <v>3.968</v>
      </c>
      <c r="O1899" s="6">
        <v>0.75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0.5</v>
      </c>
      <c r="Z1899" s="6">
        <v>0.375</v>
      </c>
      <c r="AA1899" s="6">
        <v>0.75</v>
      </c>
      <c r="AB1899" s="6">
        <v>-0.5</v>
      </c>
      <c r="AC1899" s="6">
        <v>0.5</v>
      </c>
      <c r="AD1899" s="22" t="s">
        <v>3140</v>
      </c>
      <c r="AE1899" s="23">
        <f t="shared" si="117"/>
        <v>3.968</v>
      </c>
      <c r="AF1899" s="24">
        <f t="shared" si="118"/>
        <v>0</v>
      </c>
      <c r="AG1899" s="23">
        <f t="shared" si="119"/>
        <v>1</v>
      </c>
    </row>
    <row r="1900" spans="1:33" x14ac:dyDescent="0.25">
      <c r="A1900" s="12" t="s">
        <v>31</v>
      </c>
      <c r="B1900" s="9">
        <v>46202</v>
      </c>
      <c r="C1900" s="10" t="s">
        <v>2997</v>
      </c>
      <c r="D1900" s="10" t="s">
        <v>260</v>
      </c>
      <c r="E1900" s="10" t="s">
        <v>51</v>
      </c>
      <c r="F1900" s="10" t="s">
        <v>35</v>
      </c>
      <c r="G1900" s="10" t="s">
        <v>3146</v>
      </c>
      <c r="H1900" s="8" t="s">
        <v>36</v>
      </c>
      <c r="I1900" s="11">
        <v>18.02</v>
      </c>
      <c r="J1900" s="6">
        <v>16.524339999999999</v>
      </c>
      <c r="K1900" s="6">
        <v>0.91699999999999993</v>
      </c>
      <c r="L1900" s="6">
        <v>17.27</v>
      </c>
      <c r="M1900" s="11">
        <v>15.836589999999999</v>
      </c>
      <c r="N1900" s="11">
        <f t="shared" si="116"/>
        <v>15.837</v>
      </c>
      <c r="O1900" s="6">
        <v>0.91699999999999993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0.75</v>
      </c>
      <c r="Z1900" s="6">
        <v>0.68774999999999997</v>
      </c>
      <c r="AA1900" s="6">
        <v>0.91699999999999993</v>
      </c>
      <c r="AB1900" s="6">
        <v>-0.75</v>
      </c>
      <c r="AC1900" s="6">
        <v>0.75</v>
      </c>
      <c r="AD1900" s="23" t="s">
        <v>3143</v>
      </c>
      <c r="AE1900" s="23">
        <f t="shared" si="117"/>
        <v>7.7120000000000006</v>
      </c>
      <c r="AF1900" s="24">
        <f t="shared" si="118"/>
        <v>8.125</v>
      </c>
      <c r="AG1900" s="23">
        <f t="shared" si="119"/>
        <v>2</v>
      </c>
    </row>
    <row r="1901" spans="1:33" x14ac:dyDescent="0.25">
      <c r="A1901" s="12" t="s">
        <v>31</v>
      </c>
      <c r="B1901" s="9">
        <v>46202</v>
      </c>
      <c r="C1901" s="10" t="s">
        <v>2998</v>
      </c>
      <c r="D1901" s="10" t="s">
        <v>2773</v>
      </c>
      <c r="E1901" s="10" t="s">
        <v>51</v>
      </c>
      <c r="F1901" s="10" t="s">
        <v>35</v>
      </c>
      <c r="G1901" s="10" t="s">
        <v>3146</v>
      </c>
      <c r="H1901" s="8" t="s">
        <v>36</v>
      </c>
      <c r="I1901" s="11">
        <v>26.31</v>
      </c>
      <c r="J1901" s="6">
        <v>24.126270000000002</v>
      </c>
      <c r="K1901" s="6">
        <v>0.91700000000000015</v>
      </c>
      <c r="L1901" s="6">
        <v>26.05</v>
      </c>
      <c r="M1901" s="11">
        <v>23.88785</v>
      </c>
      <c r="N1901" s="11">
        <f t="shared" si="116"/>
        <v>23.888000000000002</v>
      </c>
      <c r="O1901" s="6">
        <v>0.91700000000000004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0.26</v>
      </c>
      <c r="Z1901" s="6">
        <v>0.23841999999999999</v>
      </c>
      <c r="AA1901" s="6">
        <v>0.91699999999999993</v>
      </c>
      <c r="AB1901" s="6">
        <v>-0.25999999999999801</v>
      </c>
      <c r="AC1901" s="6">
        <v>0.25999999999999801</v>
      </c>
      <c r="AD1901" s="23" t="s">
        <v>3143</v>
      </c>
      <c r="AE1901" s="23">
        <f t="shared" si="117"/>
        <v>3.8239999999999998</v>
      </c>
      <c r="AF1901" s="24">
        <f t="shared" si="118"/>
        <v>20.064</v>
      </c>
      <c r="AG1901" s="23">
        <f t="shared" si="119"/>
        <v>3</v>
      </c>
    </row>
    <row r="1902" spans="1:33" ht="20" hidden="1" customHeight="1" x14ac:dyDescent="0.25">
      <c r="A1902" s="12" t="s">
        <v>31</v>
      </c>
      <c r="B1902" s="9">
        <v>46202</v>
      </c>
      <c r="C1902" s="10" t="s">
        <v>2999</v>
      </c>
      <c r="D1902" s="10" t="s">
        <v>3000</v>
      </c>
      <c r="E1902" s="10" t="s">
        <v>51</v>
      </c>
      <c r="F1902" s="10" t="s">
        <v>35</v>
      </c>
      <c r="G1902" s="10" t="s">
        <v>3145</v>
      </c>
      <c r="H1902" s="8" t="s">
        <v>48</v>
      </c>
      <c r="I1902" s="11">
        <v>21.93</v>
      </c>
      <c r="J1902" s="6">
        <v>16.447500000000002</v>
      </c>
      <c r="K1902" s="6">
        <v>0.75000000000000011</v>
      </c>
      <c r="L1902" s="6">
        <v>20.65</v>
      </c>
      <c r="M1902" s="11">
        <v>15.487500000000001</v>
      </c>
      <c r="N1902" s="11">
        <f t="shared" si="116"/>
        <v>15.488</v>
      </c>
      <c r="O1902" s="6">
        <v>0.75000000000000011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1.28</v>
      </c>
      <c r="Z1902" s="6">
        <v>0.96</v>
      </c>
      <c r="AA1902" s="6">
        <v>0.75</v>
      </c>
      <c r="AB1902" s="6">
        <v>-1.2800000000000011</v>
      </c>
      <c r="AC1902" s="6">
        <v>1.2800000000000011</v>
      </c>
      <c r="AD1902" s="22" t="s">
        <v>3140</v>
      </c>
      <c r="AE1902" s="23">
        <f t="shared" si="117"/>
        <v>15.488</v>
      </c>
      <c r="AF1902" s="24">
        <f t="shared" si="118"/>
        <v>0</v>
      </c>
      <c r="AG1902" s="23">
        <f t="shared" si="119"/>
        <v>1</v>
      </c>
    </row>
    <row r="1903" spans="1:33" x14ac:dyDescent="0.25">
      <c r="A1903" s="12" t="s">
        <v>31</v>
      </c>
      <c r="B1903" s="9">
        <v>46202</v>
      </c>
      <c r="C1903" s="10" t="s">
        <v>3001</v>
      </c>
      <c r="D1903" s="10" t="s">
        <v>3002</v>
      </c>
      <c r="E1903" s="10" t="s">
        <v>51</v>
      </c>
      <c r="F1903" s="10" t="s">
        <v>35</v>
      </c>
      <c r="G1903" s="10" t="s">
        <v>3146</v>
      </c>
      <c r="H1903" s="8" t="s">
        <v>36</v>
      </c>
      <c r="I1903" s="11">
        <v>22.86</v>
      </c>
      <c r="J1903" s="6">
        <v>20.962620000000001</v>
      </c>
      <c r="K1903" s="6">
        <v>0.91700000000000004</v>
      </c>
      <c r="L1903" s="6">
        <v>20.8</v>
      </c>
      <c r="M1903" s="11">
        <v>19.073599999999999</v>
      </c>
      <c r="N1903" s="11">
        <f t="shared" si="116"/>
        <v>19.074000000000002</v>
      </c>
      <c r="O1903" s="6">
        <v>0.91699999999999993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2.06</v>
      </c>
      <c r="Z1903" s="6">
        <v>1.8890199999999999</v>
      </c>
      <c r="AA1903" s="6">
        <v>0.91699999999999993</v>
      </c>
      <c r="AB1903" s="6">
        <v>-2.0599999999999987</v>
      </c>
      <c r="AC1903" s="6">
        <v>2.0599999999999987</v>
      </c>
      <c r="AD1903" s="22" t="s">
        <v>3140</v>
      </c>
      <c r="AE1903" s="23">
        <f t="shared" si="117"/>
        <v>19.074000000000002</v>
      </c>
      <c r="AF1903" s="24">
        <f t="shared" si="118"/>
        <v>0</v>
      </c>
      <c r="AG1903" s="23">
        <f t="shared" si="119"/>
        <v>1</v>
      </c>
    </row>
    <row r="1904" spans="1:33" hidden="1" x14ac:dyDescent="0.25">
      <c r="A1904" s="12" t="s">
        <v>31</v>
      </c>
      <c r="B1904" s="9">
        <v>46202</v>
      </c>
      <c r="C1904" s="10" t="s">
        <v>3003</v>
      </c>
      <c r="D1904" s="10" t="s">
        <v>2881</v>
      </c>
      <c r="E1904" s="10" t="s">
        <v>51</v>
      </c>
      <c r="F1904" s="10" t="s">
        <v>35</v>
      </c>
      <c r="G1904" s="10" t="s">
        <v>3145</v>
      </c>
      <c r="H1904" s="8" t="s">
        <v>41</v>
      </c>
      <c r="I1904" s="11">
        <v>35.54</v>
      </c>
      <c r="J1904" s="6">
        <v>26.655000000000001</v>
      </c>
      <c r="K1904" s="6">
        <v>0.75</v>
      </c>
      <c r="L1904" s="6">
        <v>34.22</v>
      </c>
      <c r="M1904" s="11">
        <v>25.664999999999999</v>
      </c>
      <c r="N1904" s="11">
        <f t="shared" si="116"/>
        <v>25.664999999999999</v>
      </c>
      <c r="O1904" s="6">
        <v>0.75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1.32</v>
      </c>
      <c r="Z1904" s="6">
        <v>0.99</v>
      </c>
      <c r="AA1904" s="6">
        <v>0.75</v>
      </c>
      <c r="AB1904" s="6">
        <v>-1.3200000000000003</v>
      </c>
      <c r="AC1904" s="6">
        <v>1.3200000000000003</v>
      </c>
      <c r="AD1904" s="22" t="s">
        <v>3140</v>
      </c>
      <c r="AE1904" s="23">
        <f t="shared" si="117"/>
        <v>25.664999999999999</v>
      </c>
      <c r="AF1904" s="24">
        <f t="shared" si="118"/>
        <v>0</v>
      </c>
      <c r="AG1904" s="23">
        <f t="shared" si="119"/>
        <v>2</v>
      </c>
    </row>
    <row r="1905" spans="1:33" hidden="1" x14ac:dyDescent="0.25">
      <c r="A1905" s="12" t="s">
        <v>31</v>
      </c>
      <c r="B1905" s="9">
        <v>46202</v>
      </c>
      <c r="C1905" s="10" t="s">
        <v>3004</v>
      </c>
      <c r="D1905" s="10" t="s">
        <v>3005</v>
      </c>
      <c r="E1905" s="10" t="s">
        <v>51</v>
      </c>
      <c r="F1905" s="10" t="s">
        <v>35</v>
      </c>
      <c r="G1905" s="10" t="s">
        <v>3145</v>
      </c>
      <c r="H1905" s="8" t="s">
        <v>41</v>
      </c>
      <c r="I1905" s="11">
        <v>30.75</v>
      </c>
      <c r="J1905" s="6">
        <v>23.0625</v>
      </c>
      <c r="K1905" s="6">
        <v>0.75</v>
      </c>
      <c r="L1905" s="6">
        <v>28.15</v>
      </c>
      <c r="M1905" s="11">
        <v>21.112500000000001</v>
      </c>
      <c r="N1905" s="11">
        <f t="shared" si="116"/>
        <v>21.113</v>
      </c>
      <c r="O1905" s="6">
        <v>0.75000000000000011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2.6</v>
      </c>
      <c r="Z1905" s="6">
        <v>1.95</v>
      </c>
      <c r="AA1905" s="6">
        <v>0.75</v>
      </c>
      <c r="AB1905" s="6">
        <v>-2.6000000000000014</v>
      </c>
      <c r="AC1905" s="6">
        <v>2.6000000000000014</v>
      </c>
      <c r="AD1905" s="22" t="s">
        <v>3140</v>
      </c>
      <c r="AE1905" s="23">
        <f t="shared" si="117"/>
        <v>21.113</v>
      </c>
      <c r="AF1905" s="24">
        <f t="shared" si="118"/>
        <v>0</v>
      </c>
      <c r="AG1905" s="23">
        <f t="shared" si="119"/>
        <v>1</v>
      </c>
    </row>
    <row r="1906" spans="1:33" x14ac:dyDescent="0.25">
      <c r="A1906" s="12" t="s">
        <v>31</v>
      </c>
      <c r="B1906" s="9">
        <v>46202</v>
      </c>
      <c r="C1906" s="10" t="s">
        <v>3006</v>
      </c>
      <c r="D1906" s="10" t="s">
        <v>3007</v>
      </c>
      <c r="E1906" s="10" t="s">
        <v>51</v>
      </c>
      <c r="F1906" s="10" t="s">
        <v>35</v>
      </c>
      <c r="G1906" s="10" t="s">
        <v>3146</v>
      </c>
      <c r="H1906" s="8" t="s">
        <v>36</v>
      </c>
      <c r="I1906" s="11">
        <v>19.010000000000002</v>
      </c>
      <c r="J1906" s="6">
        <v>17.432169999999999</v>
      </c>
      <c r="K1906" s="6">
        <v>0.91699999999999993</v>
      </c>
      <c r="L1906" s="6">
        <v>16.3</v>
      </c>
      <c r="M1906" s="11">
        <v>14.947100000000001</v>
      </c>
      <c r="N1906" s="11">
        <f t="shared" si="116"/>
        <v>14.947999999999999</v>
      </c>
      <c r="O1906" s="6">
        <v>0.91700000000000004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2.71</v>
      </c>
      <c r="Z1906" s="6">
        <v>2.4850699999999999</v>
      </c>
      <c r="AA1906" s="6">
        <v>0.91699999999999993</v>
      </c>
      <c r="AB1906" s="6">
        <v>-2.7100000000000009</v>
      </c>
      <c r="AC1906" s="6">
        <v>2.7100000000000009</v>
      </c>
      <c r="AD1906" s="23" t="s">
        <v>3143</v>
      </c>
      <c r="AE1906" s="23">
        <f t="shared" si="117"/>
        <v>14.873999999999999</v>
      </c>
      <c r="AF1906" s="24">
        <f t="shared" si="118"/>
        <v>7.3999999999999844E-2</v>
      </c>
      <c r="AG1906" s="23">
        <f t="shared" si="119"/>
        <v>2</v>
      </c>
    </row>
    <row r="1907" spans="1:33" x14ac:dyDescent="0.25">
      <c r="A1907" s="12" t="s">
        <v>31</v>
      </c>
      <c r="B1907" s="9">
        <v>46202</v>
      </c>
      <c r="C1907" s="10" t="s">
        <v>3008</v>
      </c>
      <c r="D1907" s="10" t="s">
        <v>3009</v>
      </c>
      <c r="E1907" s="10" t="s">
        <v>51</v>
      </c>
      <c r="F1907" s="10" t="s">
        <v>35</v>
      </c>
      <c r="G1907" s="10" t="s">
        <v>3146</v>
      </c>
      <c r="H1907" s="8" t="s">
        <v>36</v>
      </c>
      <c r="I1907" s="11">
        <v>25.6</v>
      </c>
      <c r="J1907" s="6">
        <v>23.475200000000001</v>
      </c>
      <c r="K1907" s="6">
        <v>0.91700000000000004</v>
      </c>
      <c r="L1907" s="6">
        <v>23.35</v>
      </c>
      <c r="M1907" s="11">
        <v>21.411950000000001</v>
      </c>
      <c r="N1907" s="11">
        <f t="shared" si="116"/>
        <v>21.412000000000003</v>
      </c>
      <c r="O1907" s="6">
        <v>0.91700000000000004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2.25</v>
      </c>
      <c r="Z1907" s="6">
        <v>2.06325</v>
      </c>
      <c r="AA1907" s="6">
        <v>0.91700000000000004</v>
      </c>
      <c r="AB1907" s="6">
        <v>-2.25</v>
      </c>
      <c r="AC1907" s="6">
        <v>2.25</v>
      </c>
      <c r="AD1907" s="22" t="s">
        <v>3140</v>
      </c>
      <c r="AE1907" s="23">
        <f t="shared" si="117"/>
        <v>21.412000000000003</v>
      </c>
      <c r="AF1907" s="24">
        <f t="shared" si="118"/>
        <v>0</v>
      </c>
      <c r="AG1907" s="23">
        <f t="shared" si="119"/>
        <v>1</v>
      </c>
    </row>
    <row r="1908" spans="1:33" ht="20" hidden="1" customHeight="1" x14ac:dyDescent="0.25">
      <c r="A1908" s="12" t="s">
        <v>31</v>
      </c>
      <c r="B1908" s="9">
        <v>46202</v>
      </c>
      <c r="C1908" s="10" t="s">
        <v>3010</v>
      </c>
      <c r="D1908" s="10" t="s">
        <v>3011</v>
      </c>
      <c r="E1908" s="10" t="s">
        <v>51</v>
      </c>
      <c r="F1908" s="10" t="s">
        <v>35</v>
      </c>
      <c r="G1908" s="10" t="s">
        <v>3145</v>
      </c>
      <c r="H1908" s="8" t="s">
        <v>48</v>
      </c>
      <c r="I1908" s="11">
        <v>116.74</v>
      </c>
      <c r="J1908" s="6">
        <v>87.555000000000007</v>
      </c>
      <c r="K1908" s="6">
        <v>0.75000000000000011</v>
      </c>
      <c r="L1908" s="6">
        <v>112.35</v>
      </c>
      <c r="M1908" s="11">
        <v>84.262500000000003</v>
      </c>
      <c r="N1908" s="11">
        <f t="shared" si="116"/>
        <v>84.263000000000005</v>
      </c>
      <c r="O1908" s="6">
        <v>0.75000000000000011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4.3899999999999997</v>
      </c>
      <c r="Z1908" s="6">
        <v>3.2925</v>
      </c>
      <c r="AA1908" s="6">
        <v>0.75</v>
      </c>
      <c r="AB1908" s="6">
        <v>-4.3900000000000006</v>
      </c>
      <c r="AC1908" s="6">
        <v>4.3900000000000006</v>
      </c>
      <c r="AD1908" s="23" t="s">
        <v>3143</v>
      </c>
      <c r="AE1908" s="23">
        <f t="shared" si="117"/>
        <v>79.283000000000001</v>
      </c>
      <c r="AF1908" s="24">
        <f t="shared" si="118"/>
        <v>4.980000000000004</v>
      </c>
      <c r="AG1908" s="23">
        <f t="shared" si="119"/>
        <v>2</v>
      </c>
    </row>
    <row r="1909" spans="1:33" ht="12.5" hidden="1" customHeight="1" x14ac:dyDescent="0.25">
      <c r="A1909" s="12" t="s">
        <v>31</v>
      </c>
      <c r="B1909" s="9">
        <v>46202</v>
      </c>
      <c r="C1909" s="8" t="s">
        <v>3012</v>
      </c>
      <c r="D1909" s="10" t="s">
        <v>3013</v>
      </c>
      <c r="E1909" s="10" t="s">
        <v>51</v>
      </c>
      <c r="F1909" s="10" t="s">
        <v>35</v>
      </c>
      <c r="G1909" s="10" t="s">
        <v>3145</v>
      </c>
      <c r="H1909" s="8" t="s">
        <v>48</v>
      </c>
      <c r="I1909" s="11">
        <v>27.68</v>
      </c>
      <c r="J1909" s="6">
        <v>20.76</v>
      </c>
      <c r="K1909" s="6">
        <v>0.75000000000000011</v>
      </c>
      <c r="L1909" s="6">
        <v>26.44</v>
      </c>
      <c r="M1909" s="11">
        <v>19.829999999999998</v>
      </c>
      <c r="N1909" s="11">
        <f t="shared" si="116"/>
        <v>19.829999999999998</v>
      </c>
      <c r="O1909" s="6">
        <v>0.74999999999999989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1.24</v>
      </c>
      <c r="Z1909" s="6">
        <v>0.93</v>
      </c>
      <c r="AA1909" s="6">
        <v>0.75</v>
      </c>
      <c r="AB1909" s="6">
        <v>-1.2399999999999984</v>
      </c>
      <c r="AC1909" s="6">
        <v>1.2399999999999984</v>
      </c>
      <c r="AD1909" s="22" t="s">
        <v>3140</v>
      </c>
      <c r="AE1909" s="23">
        <f t="shared" si="117"/>
        <v>19.829999999999998</v>
      </c>
      <c r="AF1909" s="24">
        <f t="shared" si="118"/>
        <v>0</v>
      </c>
      <c r="AG1909" s="23">
        <f t="shared" si="119"/>
        <v>1</v>
      </c>
    </row>
    <row r="1910" spans="1:33" ht="12.5" customHeight="1" x14ac:dyDescent="0.25">
      <c r="A1910" s="12" t="s">
        <v>31</v>
      </c>
      <c r="B1910" s="9">
        <v>46202</v>
      </c>
      <c r="C1910" s="12" t="s">
        <v>3012</v>
      </c>
      <c r="D1910" s="10" t="s">
        <v>3014</v>
      </c>
      <c r="E1910" s="10" t="s">
        <v>51</v>
      </c>
      <c r="F1910" s="10" t="s">
        <v>35</v>
      </c>
      <c r="G1910" s="10" t="s">
        <v>3146</v>
      </c>
      <c r="H1910" s="8" t="s">
        <v>36</v>
      </c>
      <c r="I1910" s="11">
        <v>57.8</v>
      </c>
      <c r="J1910" s="6">
        <v>53.002600000000001</v>
      </c>
      <c r="K1910" s="6">
        <v>0.91700000000000004</v>
      </c>
      <c r="L1910" s="6">
        <v>54</v>
      </c>
      <c r="M1910" s="11">
        <v>49.518000000000001</v>
      </c>
      <c r="N1910" s="11">
        <f t="shared" si="116"/>
        <v>49.518000000000001</v>
      </c>
      <c r="O1910" s="6">
        <v>0.91700000000000004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3.8</v>
      </c>
      <c r="Z1910" s="6">
        <v>3.4845999999999999</v>
      </c>
      <c r="AA1910" s="6">
        <v>0.91700000000000004</v>
      </c>
      <c r="AB1910" s="6">
        <v>-3.7999999999999972</v>
      </c>
      <c r="AC1910" s="6">
        <v>3.7999999999999972</v>
      </c>
      <c r="AD1910" s="22" t="s">
        <v>3140</v>
      </c>
      <c r="AE1910" s="23">
        <f t="shared" si="117"/>
        <v>49.518000000000001</v>
      </c>
      <c r="AF1910" s="24">
        <f t="shared" si="118"/>
        <v>0</v>
      </c>
      <c r="AG1910" s="23">
        <f t="shared" si="119"/>
        <v>1</v>
      </c>
    </row>
    <row r="1911" spans="1:33" ht="12.5" customHeight="1" x14ac:dyDescent="0.25">
      <c r="A1911" s="12" t="s">
        <v>31</v>
      </c>
      <c r="B1911" s="9">
        <v>46202</v>
      </c>
      <c r="C1911" s="13" t="s">
        <v>3012</v>
      </c>
      <c r="D1911" s="10" t="s">
        <v>3015</v>
      </c>
      <c r="E1911" s="10" t="s">
        <v>51</v>
      </c>
      <c r="F1911" s="10" t="s">
        <v>35</v>
      </c>
      <c r="G1911" s="10" t="s">
        <v>3146</v>
      </c>
      <c r="H1911" s="8" t="s">
        <v>36</v>
      </c>
      <c r="I1911" s="11">
        <v>21.05</v>
      </c>
      <c r="J1911" s="6">
        <v>19.302849999999999</v>
      </c>
      <c r="K1911" s="6">
        <v>0.91699999999999993</v>
      </c>
      <c r="L1911" s="6">
        <v>17.600000000000001</v>
      </c>
      <c r="M1911" s="11">
        <v>16.139199999999999</v>
      </c>
      <c r="N1911" s="11">
        <f t="shared" si="116"/>
        <v>16.14</v>
      </c>
      <c r="O1911" s="6">
        <v>0.91699999999999982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3.45</v>
      </c>
      <c r="Z1911" s="6">
        <v>3.1636500000000001</v>
      </c>
      <c r="AA1911" s="6">
        <v>0.91699999999999993</v>
      </c>
      <c r="AB1911" s="6">
        <v>-3.4499999999999993</v>
      </c>
      <c r="AC1911" s="6">
        <v>3.4499999999999993</v>
      </c>
      <c r="AD1911" s="22" t="s">
        <v>3140</v>
      </c>
      <c r="AE1911" s="23">
        <f t="shared" si="117"/>
        <v>16.14</v>
      </c>
      <c r="AF1911" s="24">
        <f t="shared" si="118"/>
        <v>0</v>
      </c>
      <c r="AG1911" s="23">
        <f t="shared" si="119"/>
        <v>1</v>
      </c>
    </row>
    <row r="1912" spans="1:33" x14ac:dyDescent="0.25">
      <c r="A1912" s="12" t="s">
        <v>31</v>
      </c>
      <c r="B1912" s="9">
        <v>46202</v>
      </c>
      <c r="C1912" s="10" t="s">
        <v>3016</v>
      </c>
      <c r="D1912" s="10" t="s">
        <v>3017</v>
      </c>
      <c r="E1912" s="10" t="s">
        <v>51</v>
      </c>
      <c r="F1912" s="10" t="s">
        <v>35</v>
      </c>
      <c r="G1912" s="10" t="s">
        <v>3146</v>
      </c>
      <c r="H1912" s="8" t="s">
        <v>36</v>
      </c>
      <c r="I1912" s="11">
        <v>2.82</v>
      </c>
      <c r="J1912" s="6">
        <v>2.5859399999999999</v>
      </c>
      <c r="K1912" s="6">
        <v>0.91700000000000004</v>
      </c>
      <c r="L1912" s="6">
        <v>2.82</v>
      </c>
      <c r="M1912" s="11">
        <v>2.5859399999999999</v>
      </c>
      <c r="N1912" s="11">
        <f t="shared" si="116"/>
        <v>2.5859999999999999</v>
      </c>
      <c r="O1912" s="6">
        <v>0.91700000000000004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22" t="s">
        <v>3140</v>
      </c>
      <c r="AE1912" s="23">
        <f t="shared" si="117"/>
        <v>2.5859999999999999</v>
      </c>
      <c r="AF1912" s="24">
        <f t="shared" si="118"/>
        <v>0</v>
      </c>
      <c r="AG1912" s="23">
        <f t="shared" si="119"/>
        <v>2</v>
      </c>
    </row>
    <row r="1913" spans="1:33" x14ac:dyDescent="0.25">
      <c r="A1913" s="12" t="s">
        <v>31</v>
      </c>
      <c r="B1913" s="9">
        <v>46202</v>
      </c>
      <c r="C1913" s="10" t="s">
        <v>3018</v>
      </c>
      <c r="D1913" s="10" t="s">
        <v>3019</v>
      </c>
      <c r="E1913" s="10" t="s">
        <v>51</v>
      </c>
      <c r="F1913" s="10" t="s">
        <v>35</v>
      </c>
      <c r="G1913" s="10" t="s">
        <v>3146</v>
      </c>
      <c r="H1913" s="8" t="s">
        <v>36</v>
      </c>
      <c r="I1913" s="11">
        <v>32.93</v>
      </c>
      <c r="J1913" s="6">
        <v>30.196809999999999</v>
      </c>
      <c r="K1913" s="6">
        <v>0.91700000000000004</v>
      </c>
      <c r="L1913" s="6">
        <v>32.93</v>
      </c>
      <c r="M1913" s="11">
        <v>30.196809999999999</v>
      </c>
      <c r="N1913" s="11">
        <f t="shared" si="116"/>
        <v>30.197000000000003</v>
      </c>
      <c r="O1913" s="6">
        <v>0.91700000000000004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23" t="s">
        <v>3143</v>
      </c>
      <c r="AE1913" s="23">
        <f t="shared" si="117"/>
        <v>28.748000000000001</v>
      </c>
      <c r="AF1913" s="24">
        <f t="shared" si="118"/>
        <v>1.4490000000000016</v>
      </c>
      <c r="AG1913" s="23">
        <f t="shared" si="119"/>
        <v>2</v>
      </c>
    </row>
    <row r="1914" spans="1:33" x14ac:dyDescent="0.25">
      <c r="A1914" s="12" t="s">
        <v>31</v>
      </c>
      <c r="B1914" s="9">
        <v>46202</v>
      </c>
      <c r="C1914" s="10" t="s">
        <v>3020</v>
      </c>
      <c r="D1914" s="10" t="s">
        <v>3021</v>
      </c>
      <c r="E1914" s="10" t="s">
        <v>51</v>
      </c>
      <c r="F1914" s="10" t="s">
        <v>35</v>
      </c>
      <c r="G1914" s="10" t="s">
        <v>3146</v>
      </c>
      <c r="H1914" s="8" t="s">
        <v>36</v>
      </c>
      <c r="I1914" s="11">
        <v>93.23</v>
      </c>
      <c r="J1914" s="6">
        <v>85.491910000000004</v>
      </c>
      <c r="K1914" s="6">
        <v>0.91700000000000004</v>
      </c>
      <c r="L1914" s="6">
        <v>87.5</v>
      </c>
      <c r="M1914" s="11">
        <v>80.237499999999997</v>
      </c>
      <c r="N1914" s="11">
        <f t="shared" si="116"/>
        <v>80.238</v>
      </c>
      <c r="O1914" s="6">
        <v>0.91699999999999993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5.73</v>
      </c>
      <c r="Z1914" s="6">
        <v>5.25441</v>
      </c>
      <c r="AA1914" s="6">
        <v>0.91699999999999993</v>
      </c>
      <c r="AB1914" s="6">
        <v>-5.730000000000004</v>
      </c>
      <c r="AC1914" s="6">
        <v>5.730000000000004</v>
      </c>
      <c r="AD1914" s="22" t="s">
        <v>3140</v>
      </c>
      <c r="AE1914" s="23">
        <f t="shared" si="117"/>
        <v>80.238</v>
      </c>
      <c r="AF1914" s="24">
        <f t="shared" si="118"/>
        <v>0</v>
      </c>
      <c r="AG1914" s="23">
        <f t="shared" si="119"/>
        <v>1</v>
      </c>
    </row>
    <row r="1915" spans="1:33" x14ac:dyDescent="0.25">
      <c r="A1915" s="12" t="s">
        <v>31</v>
      </c>
      <c r="B1915" s="9">
        <v>46202</v>
      </c>
      <c r="C1915" s="10" t="s">
        <v>3022</v>
      </c>
      <c r="D1915" s="10" t="s">
        <v>3017</v>
      </c>
      <c r="E1915" s="10" t="s">
        <v>51</v>
      </c>
      <c r="F1915" s="10" t="s">
        <v>35</v>
      </c>
      <c r="G1915" s="10" t="s">
        <v>3146</v>
      </c>
      <c r="H1915" s="8" t="s">
        <v>36</v>
      </c>
      <c r="I1915" s="11">
        <v>5.09</v>
      </c>
      <c r="J1915" s="6">
        <v>4.6675300000000002</v>
      </c>
      <c r="K1915" s="6">
        <v>0.91700000000000004</v>
      </c>
      <c r="L1915" s="6">
        <v>4.7298999999999998</v>
      </c>
      <c r="M1915" s="11">
        <v>4.3373182999999997</v>
      </c>
      <c r="N1915" s="11">
        <f t="shared" si="116"/>
        <v>4.3380000000000001</v>
      </c>
      <c r="O1915" s="6">
        <v>0.91700000000000004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0.36009999999999998</v>
      </c>
      <c r="Z1915" s="6">
        <v>0.3302117</v>
      </c>
      <c r="AA1915" s="6">
        <v>0.91700000000000004</v>
      </c>
      <c r="AB1915" s="6">
        <v>-0.36010000000000009</v>
      </c>
      <c r="AC1915" s="6">
        <v>0.36010000000000009</v>
      </c>
      <c r="AD1915" s="23" t="s">
        <v>3143</v>
      </c>
      <c r="AE1915" s="23">
        <f t="shared" si="117"/>
        <v>2.5859999999999999</v>
      </c>
      <c r="AF1915" s="24">
        <f t="shared" si="118"/>
        <v>1.7520000000000002</v>
      </c>
      <c r="AG1915" s="23">
        <f t="shared" si="119"/>
        <v>2</v>
      </c>
    </row>
    <row r="1916" spans="1:33" x14ac:dyDescent="0.25">
      <c r="A1916" s="12" t="s">
        <v>31</v>
      </c>
      <c r="B1916" s="9">
        <v>46202</v>
      </c>
      <c r="C1916" s="10" t="s">
        <v>3023</v>
      </c>
      <c r="D1916" s="10" t="s">
        <v>2988</v>
      </c>
      <c r="E1916" s="10" t="s">
        <v>51</v>
      </c>
      <c r="F1916" s="10" t="s">
        <v>35</v>
      </c>
      <c r="G1916" s="10" t="s">
        <v>3146</v>
      </c>
      <c r="H1916" s="8" t="s">
        <v>36</v>
      </c>
      <c r="I1916" s="11">
        <v>68.510000000000005</v>
      </c>
      <c r="J1916" s="6">
        <v>62.82367</v>
      </c>
      <c r="K1916" s="6">
        <v>0.91699999999999993</v>
      </c>
      <c r="L1916" s="6">
        <v>68.510000000000005</v>
      </c>
      <c r="M1916" s="11">
        <v>62.82367</v>
      </c>
      <c r="N1916" s="11">
        <f t="shared" si="116"/>
        <v>62.823999999999998</v>
      </c>
      <c r="O1916" s="6">
        <v>0.91699999999999993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0</v>
      </c>
      <c r="AD1916" s="22" t="s">
        <v>3140</v>
      </c>
      <c r="AE1916" s="23">
        <f t="shared" si="117"/>
        <v>62.823999999999998</v>
      </c>
      <c r="AF1916" s="24">
        <f t="shared" si="118"/>
        <v>0</v>
      </c>
      <c r="AG1916" s="23">
        <f t="shared" si="119"/>
        <v>3</v>
      </c>
    </row>
    <row r="1917" spans="1:33" hidden="1" x14ac:dyDescent="0.25">
      <c r="A1917" s="12" t="s">
        <v>31</v>
      </c>
      <c r="B1917" s="9">
        <v>46202</v>
      </c>
      <c r="C1917" s="10" t="s">
        <v>3024</v>
      </c>
      <c r="D1917" s="10" t="s">
        <v>2938</v>
      </c>
      <c r="E1917" s="10" t="s">
        <v>51</v>
      </c>
      <c r="F1917" s="10" t="s">
        <v>35</v>
      </c>
      <c r="G1917" s="10" t="s">
        <v>3145</v>
      </c>
      <c r="H1917" s="8" t="s">
        <v>41</v>
      </c>
      <c r="I1917" s="11">
        <v>1.44</v>
      </c>
      <c r="J1917" s="6">
        <v>1.08</v>
      </c>
      <c r="K1917" s="6">
        <v>0.75000000000000011</v>
      </c>
      <c r="L1917" s="6">
        <v>1.44</v>
      </c>
      <c r="M1917" s="11">
        <v>1.08</v>
      </c>
      <c r="N1917" s="11">
        <f t="shared" si="116"/>
        <v>1.08</v>
      </c>
      <c r="O1917" s="6">
        <v>0.75000000000000011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23" t="s">
        <v>3143</v>
      </c>
      <c r="AE1917" s="23">
        <f t="shared" si="117"/>
        <v>0.61499999999999999</v>
      </c>
      <c r="AF1917" s="24">
        <f t="shared" si="118"/>
        <v>0.46500000000000008</v>
      </c>
      <c r="AG1917" s="23">
        <f t="shared" si="119"/>
        <v>2</v>
      </c>
    </row>
    <row r="1918" spans="1:33" x14ac:dyDescent="0.25">
      <c r="A1918" s="12" t="s">
        <v>31</v>
      </c>
      <c r="B1918" s="9">
        <v>46202</v>
      </c>
      <c r="C1918" s="10" t="s">
        <v>3025</v>
      </c>
      <c r="D1918" s="10" t="s">
        <v>2870</v>
      </c>
      <c r="E1918" s="10" t="s">
        <v>51</v>
      </c>
      <c r="F1918" s="10" t="s">
        <v>35</v>
      </c>
      <c r="G1918" s="10" t="s">
        <v>3146</v>
      </c>
      <c r="H1918" s="8" t="s">
        <v>36</v>
      </c>
      <c r="I1918" s="11">
        <v>11.52</v>
      </c>
      <c r="J1918" s="6">
        <v>10.563840000000001</v>
      </c>
      <c r="K1918" s="6">
        <v>0.91700000000000015</v>
      </c>
      <c r="L1918" s="6">
        <v>10.68</v>
      </c>
      <c r="M1918" s="11">
        <v>9.7935599999999994</v>
      </c>
      <c r="N1918" s="11">
        <f t="shared" si="116"/>
        <v>9.7939999999999987</v>
      </c>
      <c r="O1918" s="6">
        <v>0.91699999999999993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0.84</v>
      </c>
      <c r="Z1918" s="6">
        <v>0.77027999999999996</v>
      </c>
      <c r="AA1918" s="6">
        <v>0.91700000000000004</v>
      </c>
      <c r="AB1918" s="6">
        <v>-0.83999999999999986</v>
      </c>
      <c r="AC1918" s="6">
        <v>0.83999999999999986</v>
      </c>
      <c r="AD1918" s="23" t="s">
        <v>3143</v>
      </c>
      <c r="AE1918" s="23">
        <f t="shared" si="117"/>
        <v>6.7770000000000001</v>
      </c>
      <c r="AF1918" s="24">
        <f t="shared" si="118"/>
        <v>3.0169999999999986</v>
      </c>
      <c r="AG1918" s="23">
        <f t="shared" si="119"/>
        <v>2</v>
      </c>
    </row>
    <row r="1919" spans="1:33" ht="12.5" customHeight="1" x14ac:dyDescent="0.25">
      <c r="A1919" s="12" t="s">
        <v>31</v>
      </c>
      <c r="B1919" s="9">
        <v>46202</v>
      </c>
      <c r="C1919" s="8" t="s">
        <v>3026</v>
      </c>
      <c r="D1919" s="10" t="s">
        <v>3027</v>
      </c>
      <c r="E1919" s="10" t="s">
        <v>51</v>
      </c>
      <c r="F1919" s="10" t="s">
        <v>35</v>
      </c>
      <c r="G1919" s="10" t="s">
        <v>3146</v>
      </c>
      <c r="H1919" s="8" t="s">
        <v>36</v>
      </c>
      <c r="I1919" s="11">
        <v>169.57</v>
      </c>
      <c r="J1919" s="6">
        <v>155.49569</v>
      </c>
      <c r="K1919" s="6">
        <v>0.91700000000000004</v>
      </c>
      <c r="L1919" s="6">
        <v>163.04</v>
      </c>
      <c r="M1919" s="11">
        <v>149.50767999999999</v>
      </c>
      <c r="N1919" s="11">
        <f t="shared" si="116"/>
        <v>149.50800000000001</v>
      </c>
      <c r="O1919" s="6">
        <v>0.91700000000000004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6.53</v>
      </c>
      <c r="Z1919" s="6">
        <v>5.9880100000000001</v>
      </c>
      <c r="AA1919" s="6">
        <v>0.91699999999999993</v>
      </c>
      <c r="AB1919" s="6">
        <v>-6.5300000000000011</v>
      </c>
      <c r="AC1919" s="6">
        <v>6.5300000000000011</v>
      </c>
      <c r="AD1919" s="22" t="s">
        <v>3140</v>
      </c>
      <c r="AE1919" s="23">
        <f t="shared" si="117"/>
        <v>149.50800000000001</v>
      </c>
      <c r="AF1919" s="24">
        <f t="shared" si="118"/>
        <v>0</v>
      </c>
      <c r="AG1919" s="23">
        <f t="shared" si="119"/>
        <v>1</v>
      </c>
    </row>
    <row r="1920" spans="1:33" ht="12.5" customHeight="1" x14ac:dyDescent="0.25">
      <c r="A1920" s="12" t="s">
        <v>31</v>
      </c>
      <c r="B1920" s="9">
        <v>46202</v>
      </c>
      <c r="C1920" s="12" t="s">
        <v>3026</v>
      </c>
      <c r="D1920" s="10" t="s">
        <v>3028</v>
      </c>
      <c r="E1920" s="10" t="s">
        <v>51</v>
      </c>
      <c r="F1920" s="10" t="s">
        <v>35</v>
      </c>
      <c r="G1920" s="10" t="s">
        <v>3146</v>
      </c>
      <c r="H1920" s="8" t="s">
        <v>36</v>
      </c>
      <c r="I1920" s="11">
        <v>13.56</v>
      </c>
      <c r="J1920" s="6">
        <v>12.434519999999999</v>
      </c>
      <c r="K1920" s="6">
        <v>0.91699999999999993</v>
      </c>
      <c r="L1920" s="6">
        <v>12.45</v>
      </c>
      <c r="M1920" s="11">
        <v>11.416650000000001</v>
      </c>
      <c r="N1920" s="11">
        <f t="shared" si="116"/>
        <v>11.417</v>
      </c>
      <c r="O1920" s="6">
        <v>0.91700000000000015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1.1100000000000001</v>
      </c>
      <c r="Z1920" s="6">
        <v>1.0178700000000001</v>
      </c>
      <c r="AA1920" s="6">
        <v>0.91699999999999993</v>
      </c>
      <c r="AB1920" s="6">
        <v>-1.1100000000000012</v>
      </c>
      <c r="AC1920" s="6">
        <v>1.1100000000000012</v>
      </c>
      <c r="AD1920" s="22" t="s">
        <v>3140</v>
      </c>
      <c r="AE1920" s="23">
        <f t="shared" si="117"/>
        <v>11.417</v>
      </c>
      <c r="AF1920" s="24">
        <f t="shared" si="118"/>
        <v>0</v>
      </c>
      <c r="AG1920" s="23">
        <f t="shared" si="119"/>
        <v>1</v>
      </c>
    </row>
    <row r="1921" spans="1:33" ht="12.5" customHeight="1" x14ac:dyDescent="0.25">
      <c r="A1921" s="12" t="s">
        <v>31</v>
      </c>
      <c r="B1921" s="9">
        <v>46202</v>
      </c>
      <c r="C1921" s="13" t="s">
        <v>3026</v>
      </c>
      <c r="D1921" s="10" t="s">
        <v>3029</v>
      </c>
      <c r="E1921" s="10" t="s">
        <v>51</v>
      </c>
      <c r="F1921" s="10" t="s">
        <v>35</v>
      </c>
      <c r="G1921" s="10" t="s">
        <v>3146</v>
      </c>
      <c r="H1921" s="8" t="s">
        <v>36</v>
      </c>
      <c r="I1921" s="11">
        <v>1.75</v>
      </c>
      <c r="J1921" s="6">
        <v>1.6047499999999999</v>
      </c>
      <c r="K1921" s="6">
        <v>0.91699999999999993</v>
      </c>
      <c r="L1921" s="6">
        <v>1.55</v>
      </c>
      <c r="M1921" s="11">
        <v>1.4213499999999999</v>
      </c>
      <c r="N1921" s="11">
        <f t="shared" si="116"/>
        <v>1.4219999999999999</v>
      </c>
      <c r="O1921" s="6">
        <v>0.91699999999999993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0.2</v>
      </c>
      <c r="Z1921" s="6">
        <v>0.18340000000000001</v>
      </c>
      <c r="AA1921" s="6">
        <v>0.91700000000000004</v>
      </c>
      <c r="AB1921" s="6">
        <v>-0.19999999999999996</v>
      </c>
      <c r="AC1921" s="6">
        <v>0.19999999999999996</v>
      </c>
      <c r="AD1921" s="22" t="s">
        <v>3140</v>
      </c>
      <c r="AE1921" s="23">
        <f t="shared" si="117"/>
        <v>1.4219999999999999</v>
      </c>
      <c r="AF1921" s="24">
        <f t="shared" si="118"/>
        <v>0</v>
      </c>
      <c r="AG1921" s="23">
        <f t="shared" si="119"/>
        <v>1</v>
      </c>
    </row>
    <row r="1922" spans="1:33" ht="12.5" customHeight="1" x14ac:dyDescent="0.25">
      <c r="A1922" s="12" t="s">
        <v>31</v>
      </c>
      <c r="B1922" s="9">
        <v>46202</v>
      </c>
      <c r="C1922" s="8" t="s">
        <v>3030</v>
      </c>
      <c r="D1922" s="10" t="s">
        <v>3031</v>
      </c>
      <c r="E1922" s="10" t="s">
        <v>51</v>
      </c>
      <c r="F1922" s="10" t="s">
        <v>35</v>
      </c>
      <c r="G1922" s="10" t="s">
        <v>3146</v>
      </c>
      <c r="H1922" s="8" t="s">
        <v>36</v>
      </c>
      <c r="I1922" s="11">
        <v>24.33</v>
      </c>
      <c r="J1922" s="6">
        <v>22.31061</v>
      </c>
      <c r="K1922" s="6">
        <v>0.91700000000000004</v>
      </c>
      <c r="L1922" s="6">
        <v>21.34</v>
      </c>
      <c r="M1922" s="11">
        <v>19.56878</v>
      </c>
      <c r="N1922" s="11">
        <f t="shared" si="116"/>
        <v>19.569000000000003</v>
      </c>
      <c r="O1922" s="6">
        <v>0.91700000000000004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2.99</v>
      </c>
      <c r="Z1922" s="6">
        <v>2.7418300000000002</v>
      </c>
      <c r="AA1922" s="6">
        <v>0.91700000000000004</v>
      </c>
      <c r="AB1922" s="6">
        <v>-2.9899999999999984</v>
      </c>
      <c r="AC1922" s="6">
        <v>2.9899999999999984</v>
      </c>
      <c r="AD1922" s="22" t="s">
        <v>3140</v>
      </c>
      <c r="AE1922" s="23">
        <f t="shared" si="117"/>
        <v>19.569000000000003</v>
      </c>
      <c r="AF1922" s="24">
        <f t="shared" si="118"/>
        <v>0</v>
      </c>
      <c r="AG1922" s="23">
        <f t="shared" si="119"/>
        <v>1</v>
      </c>
    </row>
    <row r="1923" spans="1:33" ht="12.5" customHeight="1" x14ac:dyDescent="0.25">
      <c r="A1923" s="12" t="s">
        <v>31</v>
      </c>
      <c r="B1923" s="9">
        <v>46202</v>
      </c>
      <c r="C1923" s="13" t="s">
        <v>3030</v>
      </c>
      <c r="D1923" s="10" t="s">
        <v>3032</v>
      </c>
      <c r="E1923" s="10" t="s">
        <v>51</v>
      </c>
      <c r="F1923" s="10" t="s">
        <v>35</v>
      </c>
      <c r="G1923" s="10" t="s">
        <v>3146</v>
      </c>
      <c r="H1923" s="8" t="s">
        <v>36</v>
      </c>
      <c r="I1923" s="11">
        <v>2.96</v>
      </c>
      <c r="J1923" s="6">
        <v>2.7143199999999998</v>
      </c>
      <c r="K1923" s="6">
        <v>0.91699999999999993</v>
      </c>
      <c r="L1923" s="6">
        <v>2.74</v>
      </c>
      <c r="M1923" s="11">
        <v>2.5125799999999998</v>
      </c>
      <c r="N1923" s="11">
        <f t="shared" ref="N1923:N1986" si="120">ROUNDUP(M1923,3)</f>
        <v>2.5129999999999999</v>
      </c>
      <c r="O1923" s="6">
        <v>0.91699999999999982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0.22</v>
      </c>
      <c r="Z1923" s="6">
        <v>0.20174</v>
      </c>
      <c r="AA1923" s="6">
        <v>0.91700000000000004</v>
      </c>
      <c r="AB1923" s="6">
        <v>-0.21999999999999975</v>
      </c>
      <c r="AC1923" s="6">
        <v>0.21999999999999975</v>
      </c>
      <c r="AD1923" s="22" t="s">
        <v>3140</v>
      </c>
      <c r="AE1923" s="23">
        <f t="shared" ref="AE1923:AE1986" si="121">_xlfn.MINIFS(N:N,D:D,D1923)</f>
        <v>2.5129999999999999</v>
      </c>
      <c r="AF1923" s="24">
        <f t="shared" ref="AF1923:AF1986" si="122">N1923-AE1923</f>
        <v>0</v>
      </c>
      <c r="AG1923" s="23">
        <f t="shared" ref="AG1923:AG1986" si="123">COUNTIF(D:D,D1923)</f>
        <v>1</v>
      </c>
    </row>
    <row r="1924" spans="1:33" ht="20" hidden="1" customHeight="1" x14ac:dyDescent="0.25">
      <c r="A1924" s="12" t="s">
        <v>31</v>
      </c>
      <c r="B1924" s="9">
        <v>46202</v>
      </c>
      <c r="C1924" s="10" t="s">
        <v>3033</v>
      </c>
      <c r="D1924" s="10" t="s">
        <v>3011</v>
      </c>
      <c r="E1924" s="10" t="s">
        <v>51</v>
      </c>
      <c r="F1924" s="10" t="s">
        <v>35</v>
      </c>
      <c r="G1924" s="10" t="s">
        <v>3145</v>
      </c>
      <c r="H1924" s="8" t="s">
        <v>48</v>
      </c>
      <c r="I1924" s="11">
        <v>105.71</v>
      </c>
      <c r="J1924" s="6">
        <v>79.282499999999999</v>
      </c>
      <c r="K1924" s="6">
        <v>0.75</v>
      </c>
      <c r="L1924" s="6">
        <v>105.71</v>
      </c>
      <c r="M1924" s="11">
        <v>79.282499999999999</v>
      </c>
      <c r="N1924" s="11">
        <f t="shared" si="120"/>
        <v>79.283000000000001</v>
      </c>
      <c r="O1924" s="6">
        <v>0.75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0</v>
      </c>
      <c r="AD1924" s="22" t="s">
        <v>3140</v>
      </c>
      <c r="AE1924" s="23">
        <f t="shared" si="121"/>
        <v>79.283000000000001</v>
      </c>
      <c r="AF1924" s="24">
        <f t="shared" si="122"/>
        <v>0</v>
      </c>
      <c r="AG1924" s="23">
        <f t="shared" si="123"/>
        <v>2</v>
      </c>
    </row>
    <row r="1925" spans="1:33" ht="12.5" hidden="1" customHeight="1" x14ac:dyDescent="0.25">
      <c r="A1925" s="12" t="s">
        <v>31</v>
      </c>
      <c r="B1925" s="9">
        <v>46202</v>
      </c>
      <c r="C1925" s="8" t="s">
        <v>3034</v>
      </c>
      <c r="D1925" s="10" t="s">
        <v>3035</v>
      </c>
      <c r="E1925" s="10" t="s">
        <v>51</v>
      </c>
      <c r="F1925" s="10" t="s">
        <v>35</v>
      </c>
      <c r="G1925" s="10" t="s">
        <v>3145</v>
      </c>
      <c r="H1925" s="8" t="s">
        <v>48</v>
      </c>
      <c r="I1925" s="11">
        <v>40.83</v>
      </c>
      <c r="J1925" s="6">
        <v>30.622499999999999</v>
      </c>
      <c r="K1925" s="6">
        <v>0.75</v>
      </c>
      <c r="L1925" s="6">
        <v>36.5</v>
      </c>
      <c r="M1925" s="11">
        <v>27.375</v>
      </c>
      <c r="N1925" s="11">
        <f t="shared" si="120"/>
        <v>27.375</v>
      </c>
      <c r="O1925" s="6">
        <v>0.75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4.33</v>
      </c>
      <c r="Z1925" s="6">
        <v>3.2475000000000001</v>
      </c>
      <c r="AA1925" s="6">
        <v>0.75</v>
      </c>
      <c r="AB1925" s="6">
        <v>-4.3299999999999983</v>
      </c>
      <c r="AC1925" s="6">
        <v>4.3299999999999983</v>
      </c>
      <c r="AD1925" s="22" t="s">
        <v>3140</v>
      </c>
      <c r="AE1925" s="23">
        <f t="shared" si="121"/>
        <v>27.375</v>
      </c>
      <c r="AF1925" s="24">
        <f t="shared" si="122"/>
        <v>0</v>
      </c>
      <c r="AG1925" s="23">
        <f t="shared" si="123"/>
        <v>1</v>
      </c>
    </row>
    <row r="1926" spans="1:33" ht="12.5" customHeight="1" x14ac:dyDescent="0.25">
      <c r="A1926" s="12" t="s">
        <v>31</v>
      </c>
      <c r="B1926" s="9">
        <v>46202</v>
      </c>
      <c r="C1926" s="12" t="s">
        <v>3034</v>
      </c>
      <c r="D1926" s="10" t="s">
        <v>3036</v>
      </c>
      <c r="E1926" s="10" t="s">
        <v>51</v>
      </c>
      <c r="F1926" s="10" t="s">
        <v>35</v>
      </c>
      <c r="G1926" s="10" t="s">
        <v>3146</v>
      </c>
      <c r="H1926" s="8" t="s">
        <v>36</v>
      </c>
      <c r="I1926" s="11">
        <v>110.32</v>
      </c>
      <c r="J1926" s="6">
        <v>101.16343999999999</v>
      </c>
      <c r="K1926" s="6">
        <v>0.91700000000000004</v>
      </c>
      <c r="L1926" s="6">
        <v>106.42</v>
      </c>
      <c r="M1926" s="11">
        <v>97.587140000000005</v>
      </c>
      <c r="N1926" s="11">
        <f t="shared" si="120"/>
        <v>97.588000000000008</v>
      </c>
      <c r="O1926" s="6">
        <v>0.91700000000000004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3.9</v>
      </c>
      <c r="Z1926" s="6">
        <v>3.5762999999999998</v>
      </c>
      <c r="AA1926" s="6">
        <v>0.91699999999999993</v>
      </c>
      <c r="AB1926" s="6">
        <v>-3.8999999999999915</v>
      </c>
      <c r="AC1926" s="6">
        <v>3.8999999999999915</v>
      </c>
      <c r="AD1926" s="22" t="s">
        <v>3140</v>
      </c>
      <c r="AE1926" s="23">
        <f t="shared" si="121"/>
        <v>97.588000000000008</v>
      </c>
      <c r="AF1926" s="24">
        <f t="shared" si="122"/>
        <v>0</v>
      </c>
      <c r="AG1926" s="23">
        <f t="shared" si="123"/>
        <v>1</v>
      </c>
    </row>
    <row r="1927" spans="1:33" ht="12.5" customHeight="1" x14ac:dyDescent="0.25">
      <c r="A1927" s="12" t="s">
        <v>31</v>
      </c>
      <c r="B1927" s="9">
        <v>46202</v>
      </c>
      <c r="C1927" s="12" t="s">
        <v>3034</v>
      </c>
      <c r="D1927" s="10" t="s">
        <v>3037</v>
      </c>
      <c r="E1927" s="10" t="s">
        <v>51</v>
      </c>
      <c r="F1927" s="10" t="s">
        <v>35</v>
      </c>
      <c r="G1927" s="10" t="s">
        <v>3146</v>
      </c>
      <c r="H1927" s="8" t="s">
        <v>36</v>
      </c>
      <c r="I1927" s="11">
        <v>125.44</v>
      </c>
      <c r="J1927" s="6">
        <v>115.02848</v>
      </c>
      <c r="K1927" s="6">
        <v>0.91700000000000004</v>
      </c>
      <c r="L1927" s="6">
        <v>118.7</v>
      </c>
      <c r="M1927" s="11">
        <v>108.8479</v>
      </c>
      <c r="N1927" s="11">
        <f t="shared" si="120"/>
        <v>108.848</v>
      </c>
      <c r="O1927" s="6">
        <v>0.91699999999999993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6.74</v>
      </c>
      <c r="Z1927" s="6">
        <v>6.18058</v>
      </c>
      <c r="AA1927" s="6">
        <v>0.91699999999999993</v>
      </c>
      <c r="AB1927" s="6">
        <v>-6.7399999999999949</v>
      </c>
      <c r="AC1927" s="6">
        <v>6.7399999999999949</v>
      </c>
      <c r="AD1927" s="22" t="s">
        <v>3140</v>
      </c>
      <c r="AE1927" s="23">
        <f t="shared" si="121"/>
        <v>108.848</v>
      </c>
      <c r="AF1927" s="24">
        <f t="shared" si="122"/>
        <v>0</v>
      </c>
      <c r="AG1927" s="23">
        <f t="shared" si="123"/>
        <v>1</v>
      </c>
    </row>
    <row r="1928" spans="1:33" ht="12.5" customHeight="1" x14ac:dyDescent="0.25">
      <c r="A1928" s="12" t="s">
        <v>31</v>
      </c>
      <c r="B1928" s="9">
        <v>46202</v>
      </c>
      <c r="C1928" s="12" t="s">
        <v>3034</v>
      </c>
      <c r="D1928" s="10" t="s">
        <v>3007</v>
      </c>
      <c r="E1928" s="10" t="s">
        <v>51</v>
      </c>
      <c r="F1928" s="10" t="s">
        <v>35</v>
      </c>
      <c r="G1928" s="10" t="s">
        <v>3146</v>
      </c>
      <c r="H1928" s="8" t="s">
        <v>36</v>
      </c>
      <c r="I1928" s="11">
        <v>16.440000000000001</v>
      </c>
      <c r="J1928" s="6">
        <v>15.075480000000001</v>
      </c>
      <c r="K1928" s="6">
        <v>0.91699999999999993</v>
      </c>
      <c r="L1928" s="6">
        <v>16.22</v>
      </c>
      <c r="M1928" s="11">
        <v>14.87374</v>
      </c>
      <c r="N1928" s="11">
        <f t="shared" si="120"/>
        <v>14.873999999999999</v>
      </c>
      <c r="O1928" s="6">
        <v>0.91700000000000004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0.22</v>
      </c>
      <c r="Z1928" s="6">
        <v>0.20174</v>
      </c>
      <c r="AA1928" s="6">
        <v>0.91700000000000004</v>
      </c>
      <c r="AB1928" s="6">
        <v>-0.22000000000000242</v>
      </c>
      <c r="AC1928" s="6">
        <v>0.22000000000000242</v>
      </c>
      <c r="AD1928" s="22" t="s">
        <v>3140</v>
      </c>
      <c r="AE1928" s="23">
        <f t="shared" si="121"/>
        <v>14.873999999999999</v>
      </c>
      <c r="AF1928" s="24">
        <f t="shared" si="122"/>
        <v>0</v>
      </c>
      <c r="AG1928" s="23">
        <f t="shared" si="123"/>
        <v>2</v>
      </c>
    </row>
    <row r="1929" spans="1:33" ht="12.5" customHeight="1" x14ac:dyDescent="0.25">
      <c r="A1929" s="12" t="s">
        <v>31</v>
      </c>
      <c r="B1929" s="9">
        <v>46202</v>
      </c>
      <c r="C1929" s="13" t="s">
        <v>3034</v>
      </c>
      <c r="D1929" s="10" t="s">
        <v>3038</v>
      </c>
      <c r="E1929" s="10" t="s">
        <v>51</v>
      </c>
      <c r="F1929" s="10" t="s">
        <v>35</v>
      </c>
      <c r="G1929" s="10" t="s">
        <v>3146</v>
      </c>
      <c r="H1929" s="8" t="s">
        <v>36</v>
      </c>
      <c r="I1929" s="11">
        <v>23.98</v>
      </c>
      <c r="J1929" s="6">
        <v>21.989660000000001</v>
      </c>
      <c r="K1929" s="6">
        <v>0.91700000000000004</v>
      </c>
      <c r="L1929" s="6">
        <v>23.23</v>
      </c>
      <c r="M1929" s="11">
        <v>21.301909999999999</v>
      </c>
      <c r="N1929" s="11">
        <f t="shared" si="120"/>
        <v>21.302</v>
      </c>
      <c r="O1929" s="6">
        <v>0.91699999999999993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0.75</v>
      </c>
      <c r="Z1929" s="6">
        <v>0.68774999999999997</v>
      </c>
      <c r="AA1929" s="6">
        <v>0.91699999999999993</v>
      </c>
      <c r="AB1929" s="6">
        <v>-0.75</v>
      </c>
      <c r="AC1929" s="6">
        <v>0.75</v>
      </c>
      <c r="AD1929" s="22" t="s">
        <v>3140</v>
      </c>
      <c r="AE1929" s="23">
        <f t="shared" si="121"/>
        <v>21.302</v>
      </c>
      <c r="AF1929" s="24">
        <f t="shared" si="122"/>
        <v>0</v>
      </c>
      <c r="AG1929" s="23">
        <f t="shared" si="123"/>
        <v>1</v>
      </c>
    </row>
    <row r="1930" spans="1:33" x14ac:dyDescent="0.25">
      <c r="A1930" s="12" t="s">
        <v>31</v>
      </c>
      <c r="B1930" s="9">
        <v>46202</v>
      </c>
      <c r="C1930" s="10" t="s">
        <v>3039</v>
      </c>
      <c r="D1930" s="10" t="s">
        <v>2901</v>
      </c>
      <c r="E1930" s="10" t="s">
        <v>51</v>
      </c>
      <c r="F1930" s="10" t="s">
        <v>35</v>
      </c>
      <c r="G1930" s="10" t="s">
        <v>3146</v>
      </c>
      <c r="H1930" s="8" t="s">
        <v>36</v>
      </c>
      <c r="I1930" s="11">
        <v>48.56</v>
      </c>
      <c r="J1930" s="6">
        <v>44.529519999999998</v>
      </c>
      <c r="K1930" s="6">
        <v>0.91699999999999993</v>
      </c>
      <c r="L1930" s="6">
        <v>46.59</v>
      </c>
      <c r="M1930" s="11">
        <v>42.723030000000001</v>
      </c>
      <c r="N1930" s="11">
        <f t="shared" si="120"/>
        <v>42.723999999999997</v>
      </c>
      <c r="O1930" s="6">
        <v>0.91699999999999993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1.97</v>
      </c>
      <c r="Z1930" s="6">
        <v>1.8064899999999999</v>
      </c>
      <c r="AA1930" s="6">
        <v>0.91699999999999993</v>
      </c>
      <c r="AB1930" s="6">
        <v>-1.9699999999999989</v>
      </c>
      <c r="AC1930" s="6">
        <v>1.9699999999999989</v>
      </c>
      <c r="AD1930" s="22" t="s">
        <v>3140</v>
      </c>
      <c r="AE1930" s="23">
        <f t="shared" si="121"/>
        <v>42.723999999999997</v>
      </c>
      <c r="AF1930" s="24">
        <f t="shared" si="122"/>
        <v>0</v>
      </c>
      <c r="AG1930" s="23">
        <f t="shared" si="123"/>
        <v>2</v>
      </c>
    </row>
    <row r="1931" spans="1:33" hidden="1" x14ac:dyDescent="0.25">
      <c r="A1931" s="12" t="s">
        <v>31</v>
      </c>
      <c r="B1931" s="9">
        <v>46202</v>
      </c>
      <c r="C1931" s="10" t="s">
        <v>3040</v>
      </c>
      <c r="D1931" s="10" t="s">
        <v>3041</v>
      </c>
      <c r="E1931" s="10" t="s">
        <v>51</v>
      </c>
      <c r="F1931" s="10" t="s">
        <v>35</v>
      </c>
      <c r="G1931" s="10" t="s">
        <v>3145</v>
      </c>
      <c r="H1931" s="8" t="s">
        <v>41</v>
      </c>
      <c r="I1931" s="11">
        <v>91.66</v>
      </c>
      <c r="J1931" s="6">
        <v>68.745000000000005</v>
      </c>
      <c r="K1931" s="6">
        <v>0.75000000000000011</v>
      </c>
      <c r="L1931" s="6">
        <v>85.15</v>
      </c>
      <c r="M1931" s="11">
        <v>63.862499999999997</v>
      </c>
      <c r="N1931" s="11">
        <f t="shared" si="120"/>
        <v>63.863</v>
      </c>
      <c r="O1931" s="6">
        <v>0.74999999999999989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6.51</v>
      </c>
      <c r="Z1931" s="6">
        <v>4.8825000000000003</v>
      </c>
      <c r="AA1931" s="6">
        <v>0.75000000000000011</v>
      </c>
      <c r="AB1931" s="6">
        <v>-6.5099999999999909</v>
      </c>
      <c r="AC1931" s="6">
        <v>6.5099999999999909</v>
      </c>
      <c r="AD1931" s="22" t="s">
        <v>3140</v>
      </c>
      <c r="AE1931" s="23">
        <f t="shared" si="121"/>
        <v>63.863</v>
      </c>
      <c r="AF1931" s="24">
        <f t="shared" si="122"/>
        <v>0</v>
      </c>
      <c r="AG1931" s="23">
        <f t="shared" si="123"/>
        <v>1</v>
      </c>
    </row>
    <row r="1932" spans="1:33" x14ac:dyDescent="0.25">
      <c r="A1932" s="12" t="s">
        <v>31</v>
      </c>
      <c r="B1932" s="9">
        <v>46202</v>
      </c>
      <c r="C1932" s="10" t="s">
        <v>3042</v>
      </c>
      <c r="D1932" s="10" t="s">
        <v>3043</v>
      </c>
      <c r="E1932" s="10" t="s">
        <v>51</v>
      </c>
      <c r="F1932" s="10" t="s">
        <v>35</v>
      </c>
      <c r="G1932" s="10" t="s">
        <v>3146</v>
      </c>
      <c r="H1932" s="8" t="s">
        <v>36</v>
      </c>
      <c r="I1932" s="11">
        <v>58.56</v>
      </c>
      <c r="J1932" s="6">
        <v>53.69952</v>
      </c>
      <c r="K1932" s="6">
        <v>0.91699999999999993</v>
      </c>
      <c r="L1932" s="6">
        <v>55.35</v>
      </c>
      <c r="M1932" s="11">
        <v>50.755949999999999</v>
      </c>
      <c r="N1932" s="11">
        <f t="shared" si="120"/>
        <v>50.756</v>
      </c>
      <c r="O1932" s="6">
        <v>0.91699999999999993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3.21</v>
      </c>
      <c r="Z1932" s="6">
        <v>2.9435699999999998</v>
      </c>
      <c r="AA1932" s="6">
        <v>0.91699999999999993</v>
      </c>
      <c r="AB1932" s="6">
        <v>-3.2100000000000009</v>
      </c>
      <c r="AC1932" s="6">
        <v>3.2100000000000009</v>
      </c>
      <c r="AD1932" s="22" t="s">
        <v>3140</v>
      </c>
      <c r="AE1932" s="23">
        <f t="shared" si="121"/>
        <v>50.756</v>
      </c>
      <c r="AF1932" s="24">
        <f t="shared" si="122"/>
        <v>0</v>
      </c>
      <c r="AG1932" s="23">
        <f t="shared" si="123"/>
        <v>1</v>
      </c>
    </row>
    <row r="1933" spans="1:33" x14ac:dyDescent="0.25">
      <c r="A1933" s="12" t="s">
        <v>31</v>
      </c>
      <c r="B1933" s="9">
        <v>46202</v>
      </c>
      <c r="C1933" s="10" t="s">
        <v>3044</v>
      </c>
      <c r="D1933" s="10" t="s">
        <v>3045</v>
      </c>
      <c r="E1933" s="10" t="s">
        <v>51</v>
      </c>
      <c r="F1933" s="10" t="s">
        <v>35</v>
      </c>
      <c r="G1933" s="10" t="s">
        <v>3146</v>
      </c>
      <c r="H1933" s="8" t="s">
        <v>36</v>
      </c>
      <c r="I1933" s="11">
        <v>12.09</v>
      </c>
      <c r="J1933" s="6">
        <v>11.08653</v>
      </c>
      <c r="K1933" s="6">
        <v>0.91700000000000004</v>
      </c>
      <c r="L1933" s="6">
        <v>10.55</v>
      </c>
      <c r="M1933" s="11">
        <v>9.6743500000000004</v>
      </c>
      <c r="N1933" s="11">
        <f t="shared" si="120"/>
        <v>9.6749999999999989</v>
      </c>
      <c r="O1933" s="6">
        <v>0.91699999999999993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1.54</v>
      </c>
      <c r="Z1933" s="6">
        <v>1.41218</v>
      </c>
      <c r="AA1933" s="6">
        <v>0.91699999999999993</v>
      </c>
      <c r="AB1933" s="6">
        <v>-1.5399999999999991</v>
      </c>
      <c r="AC1933" s="6">
        <v>1.5399999999999991</v>
      </c>
      <c r="AD1933" s="22" t="s">
        <v>3140</v>
      </c>
      <c r="AE1933" s="23">
        <f t="shared" si="121"/>
        <v>9.6749999999999989</v>
      </c>
      <c r="AF1933" s="24">
        <f t="shared" si="122"/>
        <v>0</v>
      </c>
      <c r="AG1933" s="23">
        <f t="shared" si="123"/>
        <v>1</v>
      </c>
    </row>
    <row r="1934" spans="1:33" ht="12.5" hidden="1" customHeight="1" x14ac:dyDescent="0.25">
      <c r="A1934" s="12" t="s">
        <v>31</v>
      </c>
      <c r="B1934" s="9">
        <v>46202</v>
      </c>
      <c r="C1934" s="8" t="s">
        <v>3046</v>
      </c>
      <c r="D1934" s="8" t="s">
        <v>3047</v>
      </c>
      <c r="E1934" s="8" t="s">
        <v>51</v>
      </c>
      <c r="F1934" s="8" t="s">
        <v>35</v>
      </c>
      <c r="G1934" s="10" t="s">
        <v>3145</v>
      </c>
      <c r="H1934" s="8" t="s">
        <v>48</v>
      </c>
      <c r="I1934" s="11">
        <v>4.915</v>
      </c>
      <c r="J1934" s="6">
        <v>3.6862499999999998</v>
      </c>
      <c r="K1934" s="6">
        <v>0.75</v>
      </c>
      <c r="L1934" s="6">
        <v>4.915</v>
      </c>
      <c r="M1934" s="11">
        <v>3.6862499999999998</v>
      </c>
      <c r="N1934" s="11">
        <f t="shared" si="120"/>
        <v>3.6869999999999998</v>
      </c>
      <c r="O1934" s="6">
        <v>0.75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  <c r="AC1934" s="6">
        <v>0</v>
      </c>
      <c r="AD1934" s="23" t="s">
        <v>3143</v>
      </c>
      <c r="AE1934" s="23">
        <f t="shared" si="121"/>
        <v>0.41299999999999998</v>
      </c>
      <c r="AF1934" s="24">
        <f t="shared" si="122"/>
        <v>3.274</v>
      </c>
      <c r="AG1934" s="23">
        <f t="shared" si="123"/>
        <v>2</v>
      </c>
    </row>
    <row r="1935" spans="1:33" ht="12.5" hidden="1" customHeight="1" x14ac:dyDescent="0.25">
      <c r="A1935" s="12" t="s">
        <v>31</v>
      </c>
      <c r="B1935" s="9">
        <v>46202</v>
      </c>
      <c r="C1935" s="13" t="s">
        <v>3046</v>
      </c>
      <c r="D1935" s="13" t="s">
        <v>3047</v>
      </c>
      <c r="E1935" s="13" t="s">
        <v>51</v>
      </c>
      <c r="F1935" s="13" t="s">
        <v>35</v>
      </c>
      <c r="G1935" s="10" t="s">
        <v>3145</v>
      </c>
      <c r="H1935" s="8" t="s">
        <v>481</v>
      </c>
      <c r="I1935" s="11">
        <v>0.55000000000000004</v>
      </c>
      <c r="J1935" s="6">
        <v>0.41249999999999998</v>
      </c>
      <c r="K1935" s="6">
        <v>0.74999999999999989</v>
      </c>
      <c r="L1935" s="6">
        <v>0.55000000000000004</v>
      </c>
      <c r="M1935" s="11">
        <v>0.41249999999999998</v>
      </c>
      <c r="N1935" s="11">
        <f t="shared" si="120"/>
        <v>0.41299999999999998</v>
      </c>
      <c r="O1935" s="6">
        <v>0.74999999999999989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22" t="s">
        <v>3140</v>
      </c>
      <c r="AE1935" s="23">
        <f t="shared" si="121"/>
        <v>0.41299999999999998</v>
      </c>
      <c r="AF1935" s="24">
        <f t="shared" si="122"/>
        <v>0</v>
      </c>
      <c r="AG1935" s="23">
        <f t="shared" si="123"/>
        <v>2</v>
      </c>
    </row>
    <row r="1936" spans="1:33" x14ac:dyDescent="0.25">
      <c r="A1936" s="12" t="s">
        <v>31</v>
      </c>
      <c r="B1936" s="9">
        <v>46202</v>
      </c>
      <c r="C1936" s="10" t="s">
        <v>3048</v>
      </c>
      <c r="D1936" s="10" t="s">
        <v>3049</v>
      </c>
      <c r="E1936" s="10" t="s">
        <v>51</v>
      </c>
      <c r="F1936" s="10" t="s">
        <v>35</v>
      </c>
      <c r="G1936" s="10" t="s">
        <v>3146</v>
      </c>
      <c r="H1936" s="8" t="s">
        <v>36</v>
      </c>
      <c r="I1936" s="11">
        <v>9.61</v>
      </c>
      <c r="J1936" s="6">
        <v>8.8123699999999996</v>
      </c>
      <c r="K1936" s="6">
        <v>0.91700000000000004</v>
      </c>
      <c r="L1936" s="6">
        <v>9.15</v>
      </c>
      <c r="M1936" s="11">
        <v>8.3905499999999993</v>
      </c>
      <c r="N1936" s="11">
        <f t="shared" si="120"/>
        <v>8.391</v>
      </c>
      <c r="O1936" s="6">
        <v>0.91699999999999993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0.46</v>
      </c>
      <c r="Z1936" s="6">
        <v>0.42181999999999997</v>
      </c>
      <c r="AA1936" s="6">
        <v>0.91699999999999993</v>
      </c>
      <c r="AB1936" s="6">
        <v>-0.45999999999999908</v>
      </c>
      <c r="AC1936" s="6">
        <v>0.45999999999999908</v>
      </c>
      <c r="AD1936" s="23" t="s">
        <v>3143</v>
      </c>
      <c r="AE1936" s="23">
        <f t="shared" si="121"/>
        <v>7.9050000000000002</v>
      </c>
      <c r="AF1936" s="24">
        <f t="shared" si="122"/>
        <v>0.48599999999999977</v>
      </c>
      <c r="AG1936" s="23">
        <f t="shared" si="123"/>
        <v>2</v>
      </c>
    </row>
    <row r="1937" spans="1:33" x14ac:dyDescent="0.25">
      <c r="A1937" s="12" t="s">
        <v>31</v>
      </c>
      <c r="B1937" s="9">
        <v>46202</v>
      </c>
      <c r="C1937" s="10" t="s">
        <v>3050</v>
      </c>
      <c r="D1937" s="10" t="s">
        <v>3051</v>
      </c>
      <c r="E1937" s="10" t="s">
        <v>51</v>
      </c>
      <c r="F1937" s="10" t="s">
        <v>35</v>
      </c>
      <c r="G1937" s="10" t="s">
        <v>3146</v>
      </c>
      <c r="H1937" s="8" t="s">
        <v>36</v>
      </c>
      <c r="I1937" s="11">
        <v>11.85</v>
      </c>
      <c r="J1937" s="6">
        <v>10.86645</v>
      </c>
      <c r="K1937" s="6">
        <v>0.91700000000000004</v>
      </c>
      <c r="L1937" s="6">
        <v>11.28</v>
      </c>
      <c r="M1937" s="11">
        <v>10.34376</v>
      </c>
      <c r="N1937" s="11">
        <f t="shared" si="120"/>
        <v>10.343999999999999</v>
      </c>
      <c r="O1937" s="6">
        <v>0.91700000000000004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0.56999999999999995</v>
      </c>
      <c r="Z1937" s="6">
        <v>0.52268999999999999</v>
      </c>
      <c r="AA1937" s="6">
        <v>0.91700000000000004</v>
      </c>
      <c r="AB1937" s="6">
        <v>-0.57000000000000028</v>
      </c>
      <c r="AC1937" s="6">
        <v>0.57000000000000028</v>
      </c>
      <c r="AD1937" s="23" t="s">
        <v>3143</v>
      </c>
      <c r="AE1937" s="23">
        <f t="shared" si="121"/>
        <v>9.802999999999999</v>
      </c>
      <c r="AF1937" s="24">
        <f t="shared" si="122"/>
        <v>0.54100000000000037</v>
      </c>
      <c r="AG1937" s="23">
        <f t="shared" si="123"/>
        <v>2</v>
      </c>
    </row>
    <row r="1938" spans="1:33" ht="12.5" customHeight="1" x14ac:dyDescent="0.25">
      <c r="A1938" s="12" t="s">
        <v>31</v>
      </c>
      <c r="B1938" s="9">
        <v>46202</v>
      </c>
      <c r="C1938" s="8" t="s">
        <v>3052</v>
      </c>
      <c r="D1938" s="10" t="s">
        <v>3053</v>
      </c>
      <c r="E1938" s="10" t="s">
        <v>51</v>
      </c>
      <c r="F1938" s="10" t="s">
        <v>35</v>
      </c>
      <c r="G1938" s="10" t="s">
        <v>3146</v>
      </c>
      <c r="H1938" s="8" t="s">
        <v>36</v>
      </c>
      <c r="I1938" s="11">
        <v>8.11</v>
      </c>
      <c r="J1938" s="6">
        <v>7.4368699999999999</v>
      </c>
      <c r="K1938" s="6">
        <v>0.91700000000000004</v>
      </c>
      <c r="L1938" s="6">
        <v>7.81</v>
      </c>
      <c r="M1938" s="11">
        <v>7.1617699999999997</v>
      </c>
      <c r="N1938" s="11">
        <f t="shared" si="120"/>
        <v>7.1619999999999999</v>
      </c>
      <c r="O1938" s="6">
        <v>0.91700000000000004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0.3</v>
      </c>
      <c r="Z1938" s="6">
        <v>0.27510000000000001</v>
      </c>
      <c r="AA1938" s="6">
        <v>0.91700000000000004</v>
      </c>
      <c r="AB1938" s="6">
        <v>-0.29999999999999982</v>
      </c>
      <c r="AC1938" s="6">
        <v>0.29999999999999982</v>
      </c>
      <c r="AD1938" s="22" t="s">
        <v>3140</v>
      </c>
      <c r="AE1938" s="23">
        <f t="shared" si="121"/>
        <v>7.1619999999999999</v>
      </c>
      <c r="AF1938" s="24">
        <f t="shared" si="122"/>
        <v>0</v>
      </c>
      <c r="AG1938" s="23">
        <f t="shared" si="123"/>
        <v>1</v>
      </c>
    </row>
    <row r="1939" spans="1:33" ht="12.5" customHeight="1" x14ac:dyDescent="0.25">
      <c r="A1939" s="12" t="s">
        <v>31</v>
      </c>
      <c r="B1939" s="9">
        <v>46202</v>
      </c>
      <c r="C1939" s="12" t="s">
        <v>3052</v>
      </c>
      <c r="D1939" s="10" t="s">
        <v>3054</v>
      </c>
      <c r="E1939" s="10" t="s">
        <v>51</v>
      </c>
      <c r="F1939" s="10" t="s">
        <v>35</v>
      </c>
      <c r="G1939" s="10" t="s">
        <v>3146</v>
      </c>
      <c r="H1939" s="8" t="s">
        <v>36</v>
      </c>
      <c r="I1939" s="11">
        <v>10.88</v>
      </c>
      <c r="J1939" s="6">
        <v>9.9769600000000001</v>
      </c>
      <c r="K1939" s="6">
        <v>0.91699999999999993</v>
      </c>
      <c r="L1939" s="6">
        <v>10.18</v>
      </c>
      <c r="M1939" s="11">
        <v>9.3350600000000004</v>
      </c>
      <c r="N1939" s="11">
        <f t="shared" si="120"/>
        <v>9.3360000000000003</v>
      </c>
      <c r="O1939" s="6">
        <v>0.91700000000000004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0.7</v>
      </c>
      <c r="Z1939" s="6">
        <v>0.64190000000000003</v>
      </c>
      <c r="AA1939" s="6">
        <v>0.91700000000000015</v>
      </c>
      <c r="AB1939" s="6">
        <v>-0.70000000000000107</v>
      </c>
      <c r="AC1939" s="6">
        <v>0.70000000000000107</v>
      </c>
      <c r="AD1939" s="22" t="s">
        <v>3140</v>
      </c>
      <c r="AE1939" s="23">
        <f t="shared" si="121"/>
        <v>9.3360000000000003</v>
      </c>
      <c r="AF1939" s="24">
        <f t="shared" si="122"/>
        <v>0</v>
      </c>
      <c r="AG1939" s="23">
        <f t="shared" si="123"/>
        <v>1</v>
      </c>
    </row>
    <row r="1940" spans="1:33" ht="12.5" customHeight="1" x14ac:dyDescent="0.25">
      <c r="A1940" s="12" t="s">
        <v>31</v>
      </c>
      <c r="B1940" s="9">
        <v>46202</v>
      </c>
      <c r="C1940" s="12" t="s">
        <v>3052</v>
      </c>
      <c r="D1940" s="10" t="s">
        <v>3055</v>
      </c>
      <c r="E1940" s="10" t="s">
        <v>51</v>
      </c>
      <c r="F1940" s="10" t="s">
        <v>35</v>
      </c>
      <c r="G1940" s="10" t="s">
        <v>3146</v>
      </c>
      <c r="H1940" s="8" t="s">
        <v>36</v>
      </c>
      <c r="I1940" s="11">
        <v>93.09</v>
      </c>
      <c r="J1940" s="6">
        <v>85.363529999999997</v>
      </c>
      <c r="K1940" s="6">
        <v>0.91699999999999993</v>
      </c>
      <c r="L1940" s="6">
        <v>89.67</v>
      </c>
      <c r="M1940" s="11">
        <v>82.22739</v>
      </c>
      <c r="N1940" s="11">
        <f t="shared" si="120"/>
        <v>82.228000000000009</v>
      </c>
      <c r="O1940" s="6">
        <v>0.91699999999999993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3.42</v>
      </c>
      <c r="Z1940" s="6">
        <v>3.1361400000000001</v>
      </c>
      <c r="AA1940" s="6">
        <v>0.91700000000000004</v>
      </c>
      <c r="AB1940" s="6">
        <v>-3.4200000000000017</v>
      </c>
      <c r="AC1940" s="6">
        <v>3.4200000000000017</v>
      </c>
      <c r="AD1940" s="22" t="s">
        <v>3140</v>
      </c>
      <c r="AE1940" s="23">
        <f t="shared" si="121"/>
        <v>82.228000000000009</v>
      </c>
      <c r="AF1940" s="24">
        <f t="shared" si="122"/>
        <v>0</v>
      </c>
      <c r="AG1940" s="23">
        <f t="shared" si="123"/>
        <v>1</v>
      </c>
    </row>
    <row r="1941" spans="1:33" ht="12.5" customHeight="1" x14ac:dyDescent="0.25">
      <c r="A1941" s="12" t="s">
        <v>31</v>
      </c>
      <c r="B1941" s="9">
        <v>46202</v>
      </c>
      <c r="C1941" s="12" t="s">
        <v>3052</v>
      </c>
      <c r="D1941" s="10" t="s">
        <v>3056</v>
      </c>
      <c r="E1941" s="10" t="s">
        <v>51</v>
      </c>
      <c r="F1941" s="10" t="s">
        <v>35</v>
      </c>
      <c r="G1941" s="10" t="s">
        <v>3146</v>
      </c>
      <c r="H1941" s="8" t="s">
        <v>36</v>
      </c>
      <c r="I1941" s="11">
        <v>22.68</v>
      </c>
      <c r="J1941" s="6">
        <v>20.797560000000001</v>
      </c>
      <c r="K1941" s="6">
        <v>0.91700000000000004</v>
      </c>
      <c r="L1941" s="6">
        <v>21.64</v>
      </c>
      <c r="M1941" s="11">
        <v>19.843879999999999</v>
      </c>
      <c r="N1941" s="11">
        <f t="shared" si="120"/>
        <v>19.844000000000001</v>
      </c>
      <c r="O1941" s="6">
        <v>0.91699999999999993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1.04</v>
      </c>
      <c r="Z1941" s="6">
        <v>0.95367999999999997</v>
      </c>
      <c r="AA1941" s="6">
        <v>0.91699999999999993</v>
      </c>
      <c r="AB1941" s="6">
        <v>-1.0399999999999991</v>
      </c>
      <c r="AC1941" s="6">
        <v>1.0399999999999991</v>
      </c>
      <c r="AD1941" s="22" t="s">
        <v>3140</v>
      </c>
      <c r="AE1941" s="23">
        <f t="shared" si="121"/>
        <v>19.844000000000001</v>
      </c>
      <c r="AF1941" s="24">
        <f t="shared" si="122"/>
        <v>0</v>
      </c>
      <c r="AG1941" s="23">
        <f t="shared" si="123"/>
        <v>1</v>
      </c>
    </row>
    <row r="1942" spans="1:33" ht="12.5" customHeight="1" x14ac:dyDescent="0.25">
      <c r="A1942" s="12" t="s">
        <v>31</v>
      </c>
      <c r="B1942" s="9">
        <v>46202</v>
      </c>
      <c r="C1942" s="12" t="s">
        <v>3052</v>
      </c>
      <c r="D1942" s="10" t="s">
        <v>3057</v>
      </c>
      <c r="E1942" s="10" t="s">
        <v>51</v>
      </c>
      <c r="F1942" s="10" t="s">
        <v>35</v>
      </c>
      <c r="G1942" s="10" t="s">
        <v>3146</v>
      </c>
      <c r="H1942" s="8" t="s">
        <v>36</v>
      </c>
      <c r="I1942" s="11">
        <v>24.06</v>
      </c>
      <c r="J1942" s="6">
        <v>22.063020000000002</v>
      </c>
      <c r="K1942" s="6">
        <v>0.91700000000000015</v>
      </c>
      <c r="L1942" s="6">
        <v>22.64</v>
      </c>
      <c r="M1942" s="11">
        <v>20.76088</v>
      </c>
      <c r="N1942" s="11">
        <f t="shared" si="120"/>
        <v>20.761000000000003</v>
      </c>
      <c r="O1942" s="6">
        <v>0.91700000000000004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1.42</v>
      </c>
      <c r="Z1942" s="6">
        <v>1.3021400000000001</v>
      </c>
      <c r="AA1942" s="6">
        <v>0.91700000000000015</v>
      </c>
      <c r="AB1942" s="6">
        <v>-1.4199999999999982</v>
      </c>
      <c r="AC1942" s="6">
        <v>1.4199999999999982</v>
      </c>
      <c r="AD1942" s="22" t="s">
        <v>3140</v>
      </c>
      <c r="AE1942" s="23">
        <f t="shared" si="121"/>
        <v>20.761000000000003</v>
      </c>
      <c r="AF1942" s="24">
        <f t="shared" si="122"/>
        <v>0</v>
      </c>
      <c r="AG1942" s="23">
        <f t="shared" si="123"/>
        <v>1</v>
      </c>
    </row>
    <row r="1943" spans="1:33" ht="12.5" customHeight="1" x14ac:dyDescent="0.25">
      <c r="A1943" s="12" t="s">
        <v>31</v>
      </c>
      <c r="B1943" s="9">
        <v>46202</v>
      </c>
      <c r="C1943" s="12" t="s">
        <v>3052</v>
      </c>
      <c r="D1943" s="10" t="s">
        <v>3058</v>
      </c>
      <c r="E1943" s="10" t="s">
        <v>51</v>
      </c>
      <c r="F1943" s="10" t="s">
        <v>35</v>
      </c>
      <c r="G1943" s="10" t="s">
        <v>3146</v>
      </c>
      <c r="H1943" s="8" t="s">
        <v>36</v>
      </c>
      <c r="I1943" s="11">
        <v>22.23</v>
      </c>
      <c r="J1943" s="6">
        <v>20.384910000000001</v>
      </c>
      <c r="K1943" s="6">
        <v>0.91700000000000004</v>
      </c>
      <c r="L1943" s="6">
        <v>21.08</v>
      </c>
      <c r="M1943" s="11">
        <v>19.330359999999999</v>
      </c>
      <c r="N1943" s="11">
        <f t="shared" si="120"/>
        <v>19.331</v>
      </c>
      <c r="O1943" s="6">
        <v>0.91700000000000004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1.1499999999999999</v>
      </c>
      <c r="Z1943" s="6">
        <v>1.0545500000000001</v>
      </c>
      <c r="AA1943" s="6">
        <v>0.91700000000000015</v>
      </c>
      <c r="AB1943" s="6">
        <v>-1.1500000000000021</v>
      </c>
      <c r="AC1943" s="6">
        <v>1.1500000000000021</v>
      </c>
      <c r="AD1943" s="22" t="s">
        <v>3140</v>
      </c>
      <c r="AE1943" s="23">
        <f t="shared" si="121"/>
        <v>19.331</v>
      </c>
      <c r="AF1943" s="24">
        <f t="shared" si="122"/>
        <v>0</v>
      </c>
      <c r="AG1943" s="23">
        <f t="shared" si="123"/>
        <v>1</v>
      </c>
    </row>
    <row r="1944" spans="1:33" ht="12.5" customHeight="1" x14ac:dyDescent="0.25">
      <c r="A1944" s="12" t="s">
        <v>31</v>
      </c>
      <c r="B1944" s="9">
        <v>46202</v>
      </c>
      <c r="C1944" s="13" t="s">
        <v>3052</v>
      </c>
      <c r="D1944" s="10" t="s">
        <v>3059</v>
      </c>
      <c r="E1944" s="10" t="s">
        <v>51</v>
      </c>
      <c r="F1944" s="10" t="s">
        <v>35</v>
      </c>
      <c r="G1944" s="10" t="s">
        <v>3146</v>
      </c>
      <c r="H1944" s="8" t="s">
        <v>36</v>
      </c>
      <c r="I1944" s="11">
        <v>25.33</v>
      </c>
      <c r="J1944" s="6">
        <v>23.227609999999999</v>
      </c>
      <c r="K1944" s="6">
        <v>0.91700000000000004</v>
      </c>
      <c r="L1944" s="6">
        <v>24.17</v>
      </c>
      <c r="M1944" s="11">
        <v>22.163889999999999</v>
      </c>
      <c r="N1944" s="11">
        <f t="shared" si="120"/>
        <v>22.164000000000001</v>
      </c>
      <c r="O1944" s="6">
        <v>0.91699999999999993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6">
        <v>0</v>
      </c>
      <c r="Y1944" s="6">
        <v>1.1599999999999999</v>
      </c>
      <c r="Z1944" s="6">
        <v>1.06372</v>
      </c>
      <c r="AA1944" s="6">
        <v>0.91700000000000004</v>
      </c>
      <c r="AB1944" s="6">
        <v>-1.1599999999999966</v>
      </c>
      <c r="AC1944" s="6">
        <v>1.1599999999999966</v>
      </c>
      <c r="AD1944" s="22" t="s">
        <v>3140</v>
      </c>
      <c r="AE1944" s="23">
        <f t="shared" si="121"/>
        <v>22.164000000000001</v>
      </c>
      <c r="AF1944" s="24">
        <f t="shared" si="122"/>
        <v>0</v>
      </c>
      <c r="AG1944" s="23">
        <f t="shared" si="123"/>
        <v>1</v>
      </c>
    </row>
    <row r="1945" spans="1:33" x14ac:dyDescent="0.25">
      <c r="A1945" s="12" t="s">
        <v>31</v>
      </c>
      <c r="B1945" s="9">
        <v>46202</v>
      </c>
      <c r="C1945" s="10" t="s">
        <v>3060</v>
      </c>
      <c r="D1945" s="10" t="s">
        <v>3061</v>
      </c>
      <c r="E1945" s="10" t="s">
        <v>51</v>
      </c>
      <c r="F1945" s="10" t="s">
        <v>35</v>
      </c>
      <c r="G1945" s="10" t="s">
        <v>3146</v>
      </c>
      <c r="H1945" s="8" t="s">
        <v>36</v>
      </c>
      <c r="I1945" s="11">
        <v>9</v>
      </c>
      <c r="J1945" s="6">
        <v>8.2530000000000001</v>
      </c>
      <c r="K1945" s="6">
        <v>0.91700000000000004</v>
      </c>
      <c r="L1945" s="6">
        <v>8.51</v>
      </c>
      <c r="M1945" s="11">
        <v>7.8036700000000003</v>
      </c>
      <c r="N1945" s="11">
        <f t="shared" si="120"/>
        <v>7.8040000000000003</v>
      </c>
      <c r="O1945" s="6">
        <v>0.91700000000000004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0.49</v>
      </c>
      <c r="Z1945" s="6">
        <v>0.44933000000000001</v>
      </c>
      <c r="AA1945" s="6">
        <v>0.91700000000000004</v>
      </c>
      <c r="AB1945" s="6">
        <v>-0.49000000000000021</v>
      </c>
      <c r="AC1945" s="6">
        <v>0.49000000000000021</v>
      </c>
      <c r="AD1945" s="23" t="s">
        <v>3143</v>
      </c>
      <c r="AE1945" s="23">
        <f t="shared" si="121"/>
        <v>7.2910000000000004</v>
      </c>
      <c r="AF1945" s="24">
        <f t="shared" si="122"/>
        <v>0.5129999999999999</v>
      </c>
      <c r="AG1945" s="23">
        <f t="shared" si="123"/>
        <v>2</v>
      </c>
    </row>
    <row r="1946" spans="1:33" x14ac:dyDescent="0.25">
      <c r="A1946" s="12" t="s">
        <v>31</v>
      </c>
      <c r="B1946" s="9">
        <v>46202</v>
      </c>
      <c r="C1946" s="10" t="s">
        <v>3062</v>
      </c>
      <c r="D1946" s="10" t="s">
        <v>3063</v>
      </c>
      <c r="E1946" s="10" t="s">
        <v>51</v>
      </c>
      <c r="F1946" s="10" t="s">
        <v>35</v>
      </c>
      <c r="G1946" s="10" t="s">
        <v>3146</v>
      </c>
      <c r="H1946" s="8" t="s">
        <v>36</v>
      </c>
      <c r="I1946" s="11">
        <v>65.069999999999993</v>
      </c>
      <c r="J1946" s="6">
        <v>59.66919</v>
      </c>
      <c r="K1946" s="6">
        <v>0.91700000000000015</v>
      </c>
      <c r="L1946" s="6">
        <v>60.14</v>
      </c>
      <c r="M1946" s="11">
        <v>55.148380000000003</v>
      </c>
      <c r="N1946" s="11">
        <f t="shared" si="120"/>
        <v>55.149000000000001</v>
      </c>
      <c r="O1946" s="6">
        <v>0.91700000000000004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  <c r="X1946" s="6">
        <v>0</v>
      </c>
      <c r="Y1946" s="6">
        <v>4.93</v>
      </c>
      <c r="Z1946" s="6">
        <v>4.52081</v>
      </c>
      <c r="AA1946" s="6">
        <v>0.91700000000000004</v>
      </c>
      <c r="AB1946" s="6">
        <v>-4.9299999999999926</v>
      </c>
      <c r="AC1946" s="6">
        <v>4.9299999999999926</v>
      </c>
      <c r="AD1946" s="22" t="s">
        <v>3140</v>
      </c>
      <c r="AE1946" s="23">
        <f t="shared" si="121"/>
        <v>55.149000000000001</v>
      </c>
      <c r="AF1946" s="24">
        <f t="shared" si="122"/>
        <v>0</v>
      </c>
      <c r="AG1946" s="23">
        <f t="shared" si="123"/>
        <v>1</v>
      </c>
    </row>
    <row r="1947" spans="1:33" ht="12.5" customHeight="1" x14ac:dyDescent="0.25">
      <c r="A1947" s="12" t="s">
        <v>31</v>
      </c>
      <c r="B1947" s="9">
        <v>46202</v>
      </c>
      <c r="C1947" s="8" t="s">
        <v>3064</v>
      </c>
      <c r="D1947" s="10" t="s">
        <v>3065</v>
      </c>
      <c r="E1947" s="10" t="s">
        <v>51</v>
      </c>
      <c r="F1947" s="10" t="s">
        <v>35</v>
      </c>
      <c r="G1947" s="10" t="s">
        <v>3146</v>
      </c>
      <c r="H1947" s="8" t="s">
        <v>36</v>
      </c>
      <c r="I1947" s="11">
        <v>106.08</v>
      </c>
      <c r="J1947" s="6">
        <v>97.275360000000006</v>
      </c>
      <c r="K1947" s="6">
        <v>0.91700000000000004</v>
      </c>
      <c r="L1947" s="6">
        <v>100.72</v>
      </c>
      <c r="M1947" s="11">
        <v>92.360240000000005</v>
      </c>
      <c r="N1947" s="11">
        <f t="shared" si="120"/>
        <v>92.361000000000004</v>
      </c>
      <c r="O1947" s="6">
        <v>0.91700000000000004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5.36</v>
      </c>
      <c r="Z1947" s="6">
        <v>4.9151199999999999</v>
      </c>
      <c r="AA1947" s="6">
        <v>0.91699999999999993</v>
      </c>
      <c r="AB1947" s="6">
        <v>-5.36</v>
      </c>
      <c r="AC1947" s="6">
        <v>5.36</v>
      </c>
      <c r="AD1947" s="22" t="s">
        <v>3140</v>
      </c>
      <c r="AE1947" s="23">
        <f t="shared" si="121"/>
        <v>92.361000000000004</v>
      </c>
      <c r="AF1947" s="24">
        <f t="shared" si="122"/>
        <v>0</v>
      </c>
      <c r="AG1947" s="23">
        <f t="shared" si="123"/>
        <v>1</v>
      </c>
    </row>
    <row r="1948" spans="1:33" ht="12.5" customHeight="1" x14ac:dyDescent="0.25">
      <c r="A1948" s="12" t="s">
        <v>31</v>
      </c>
      <c r="B1948" s="9">
        <v>46202</v>
      </c>
      <c r="C1948" s="13" t="s">
        <v>3064</v>
      </c>
      <c r="D1948" s="10" t="s">
        <v>3066</v>
      </c>
      <c r="E1948" s="10" t="s">
        <v>51</v>
      </c>
      <c r="F1948" s="10" t="s">
        <v>35</v>
      </c>
      <c r="G1948" s="10" t="s">
        <v>3146</v>
      </c>
      <c r="H1948" s="8" t="s">
        <v>36</v>
      </c>
      <c r="I1948" s="11">
        <v>10.35</v>
      </c>
      <c r="J1948" s="6">
        <v>9.4909499999999998</v>
      </c>
      <c r="K1948" s="6">
        <v>0.91700000000000004</v>
      </c>
      <c r="L1948" s="6">
        <v>9.3800000000000008</v>
      </c>
      <c r="M1948" s="11">
        <v>8.6014599999999994</v>
      </c>
      <c r="N1948" s="11">
        <f t="shared" si="120"/>
        <v>8.6020000000000003</v>
      </c>
      <c r="O1948" s="6">
        <v>0.91699999999999982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0.97</v>
      </c>
      <c r="Z1948" s="6">
        <v>0.88949</v>
      </c>
      <c r="AA1948" s="6">
        <v>0.91700000000000004</v>
      </c>
      <c r="AB1948" s="6">
        <v>-0.96999999999999886</v>
      </c>
      <c r="AC1948" s="6">
        <v>0.96999999999999886</v>
      </c>
      <c r="AD1948" s="22" t="s">
        <v>3140</v>
      </c>
      <c r="AE1948" s="23">
        <f t="shared" si="121"/>
        <v>8.6020000000000003</v>
      </c>
      <c r="AF1948" s="24">
        <f t="shared" si="122"/>
        <v>0</v>
      </c>
      <c r="AG1948" s="23">
        <f t="shared" si="123"/>
        <v>1</v>
      </c>
    </row>
    <row r="1949" spans="1:33" x14ac:dyDescent="0.25">
      <c r="A1949" s="12" t="s">
        <v>31</v>
      </c>
      <c r="B1949" s="9">
        <v>46202</v>
      </c>
      <c r="C1949" s="10" t="s">
        <v>3067</v>
      </c>
      <c r="D1949" s="10" t="s">
        <v>3068</v>
      </c>
      <c r="E1949" s="10" t="s">
        <v>51</v>
      </c>
      <c r="F1949" s="10" t="s">
        <v>35</v>
      </c>
      <c r="G1949" s="10" t="s">
        <v>3146</v>
      </c>
      <c r="H1949" s="8" t="s">
        <v>36</v>
      </c>
      <c r="I1949" s="11">
        <v>67.040000000000006</v>
      </c>
      <c r="J1949" s="6">
        <v>61.475679999999997</v>
      </c>
      <c r="K1949" s="6">
        <v>0.91699999999999982</v>
      </c>
      <c r="L1949" s="6">
        <v>63.6</v>
      </c>
      <c r="M1949" s="11">
        <v>58.321199999999997</v>
      </c>
      <c r="N1949" s="11">
        <f t="shared" si="120"/>
        <v>58.321999999999996</v>
      </c>
      <c r="O1949" s="6">
        <v>0.91699999999999993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3.44</v>
      </c>
      <c r="Z1949" s="6">
        <v>3.15448</v>
      </c>
      <c r="AA1949" s="6">
        <v>0.91700000000000004</v>
      </c>
      <c r="AB1949" s="6">
        <v>-3.4400000000000048</v>
      </c>
      <c r="AC1949" s="6">
        <v>3.4400000000000048</v>
      </c>
      <c r="AD1949" s="22" t="s">
        <v>3140</v>
      </c>
      <c r="AE1949" s="23">
        <f t="shared" si="121"/>
        <v>58.321999999999996</v>
      </c>
      <c r="AF1949" s="24">
        <f t="shared" si="122"/>
        <v>0</v>
      </c>
      <c r="AG1949" s="23">
        <f t="shared" si="123"/>
        <v>1</v>
      </c>
    </row>
    <row r="1950" spans="1:33" x14ac:dyDescent="0.25">
      <c r="A1950" s="12" t="s">
        <v>31</v>
      </c>
      <c r="B1950" s="9">
        <v>46202</v>
      </c>
      <c r="C1950" s="10" t="s">
        <v>3069</v>
      </c>
      <c r="D1950" s="10" t="s">
        <v>3070</v>
      </c>
      <c r="E1950" s="10" t="s">
        <v>51</v>
      </c>
      <c r="F1950" s="10" t="s">
        <v>35</v>
      </c>
      <c r="G1950" s="10" t="s">
        <v>3146</v>
      </c>
      <c r="H1950" s="8" t="s">
        <v>36</v>
      </c>
      <c r="I1950" s="11">
        <v>25.07</v>
      </c>
      <c r="J1950" s="6">
        <v>22.989190000000001</v>
      </c>
      <c r="K1950" s="6">
        <v>0.91700000000000004</v>
      </c>
      <c r="L1950" s="6">
        <v>24.25</v>
      </c>
      <c r="M1950" s="11">
        <v>22.23725</v>
      </c>
      <c r="N1950" s="11">
        <f t="shared" si="120"/>
        <v>22.238</v>
      </c>
      <c r="O1950" s="6">
        <v>0.91699999999999993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0.82</v>
      </c>
      <c r="Z1950" s="6">
        <v>0.75194000000000005</v>
      </c>
      <c r="AA1950" s="6">
        <v>0.91700000000000015</v>
      </c>
      <c r="AB1950" s="6">
        <v>-0.82000000000000028</v>
      </c>
      <c r="AC1950" s="6">
        <v>0.82000000000000028</v>
      </c>
      <c r="AD1950" s="22" t="s">
        <v>3140</v>
      </c>
      <c r="AE1950" s="23">
        <f t="shared" si="121"/>
        <v>22.238</v>
      </c>
      <c r="AF1950" s="24">
        <f t="shared" si="122"/>
        <v>0</v>
      </c>
      <c r="AG1950" s="23">
        <f t="shared" si="123"/>
        <v>1</v>
      </c>
    </row>
    <row r="1951" spans="1:33" x14ac:dyDescent="0.25">
      <c r="A1951" s="12" t="s">
        <v>31</v>
      </c>
      <c r="B1951" s="9">
        <v>46202</v>
      </c>
      <c r="C1951" s="10" t="s">
        <v>3071</v>
      </c>
      <c r="D1951" s="10" t="s">
        <v>3072</v>
      </c>
      <c r="E1951" s="10" t="s">
        <v>51</v>
      </c>
      <c r="F1951" s="10" t="s">
        <v>35</v>
      </c>
      <c r="G1951" s="10" t="s">
        <v>3146</v>
      </c>
      <c r="H1951" s="8" t="s">
        <v>36</v>
      </c>
      <c r="I1951" s="11">
        <v>15.03</v>
      </c>
      <c r="J1951" s="6">
        <v>13.78251</v>
      </c>
      <c r="K1951" s="6">
        <v>0.91700000000000004</v>
      </c>
      <c r="L1951" s="6">
        <v>14.21</v>
      </c>
      <c r="M1951" s="11">
        <v>13.030570000000001</v>
      </c>
      <c r="N1951" s="11">
        <f t="shared" si="120"/>
        <v>13.030999999999999</v>
      </c>
      <c r="O1951" s="6">
        <v>0.91700000000000004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0.82</v>
      </c>
      <c r="Z1951" s="6">
        <v>0.75194000000000005</v>
      </c>
      <c r="AA1951" s="6">
        <v>0.91700000000000015</v>
      </c>
      <c r="AB1951" s="6">
        <v>-0.81999999999999851</v>
      </c>
      <c r="AC1951" s="6">
        <v>0.81999999999999851</v>
      </c>
      <c r="AD1951" s="22" t="s">
        <v>3140</v>
      </c>
      <c r="AE1951" s="23">
        <f t="shared" si="121"/>
        <v>13.030999999999999</v>
      </c>
      <c r="AF1951" s="24">
        <f t="shared" si="122"/>
        <v>0</v>
      </c>
      <c r="AG1951" s="23">
        <f t="shared" si="123"/>
        <v>1</v>
      </c>
    </row>
    <row r="1952" spans="1:33" x14ac:dyDescent="0.25">
      <c r="A1952" s="12" t="s">
        <v>31</v>
      </c>
      <c r="B1952" s="9">
        <v>46202</v>
      </c>
      <c r="C1952" s="10" t="s">
        <v>3073</v>
      </c>
      <c r="D1952" s="10" t="s">
        <v>3019</v>
      </c>
      <c r="E1952" s="10" t="s">
        <v>51</v>
      </c>
      <c r="F1952" s="10" t="s">
        <v>35</v>
      </c>
      <c r="G1952" s="10" t="s">
        <v>3146</v>
      </c>
      <c r="H1952" s="8" t="s">
        <v>36</v>
      </c>
      <c r="I1952" s="11">
        <v>32.92</v>
      </c>
      <c r="J1952" s="6">
        <v>30.187639999999998</v>
      </c>
      <c r="K1952" s="6">
        <v>0.91699999999999993</v>
      </c>
      <c r="L1952" s="6">
        <v>31.35</v>
      </c>
      <c r="M1952" s="11">
        <v>28.747949999999999</v>
      </c>
      <c r="N1952" s="11">
        <f t="shared" si="120"/>
        <v>28.748000000000001</v>
      </c>
      <c r="O1952" s="6">
        <v>0.91699999999999993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1.57</v>
      </c>
      <c r="Z1952" s="6">
        <v>1.4396899999999999</v>
      </c>
      <c r="AA1952" s="6">
        <v>0.91699999999999993</v>
      </c>
      <c r="AB1952" s="6">
        <v>-1.5700000000000003</v>
      </c>
      <c r="AC1952" s="6">
        <v>1.5700000000000003</v>
      </c>
      <c r="AD1952" s="22" t="s">
        <v>3140</v>
      </c>
      <c r="AE1952" s="23">
        <f t="shared" si="121"/>
        <v>28.748000000000001</v>
      </c>
      <c r="AF1952" s="24">
        <f t="shared" si="122"/>
        <v>0</v>
      </c>
      <c r="AG1952" s="23">
        <f t="shared" si="123"/>
        <v>2</v>
      </c>
    </row>
    <row r="1953" spans="1:33" ht="12.5" customHeight="1" x14ac:dyDescent="0.25">
      <c r="A1953" s="12" t="s">
        <v>31</v>
      </c>
      <c r="B1953" s="9">
        <v>46203</v>
      </c>
      <c r="C1953" s="10" t="s">
        <v>3074</v>
      </c>
      <c r="D1953" s="10" t="s">
        <v>3075</v>
      </c>
      <c r="E1953" s="10" t="s">
        <v>34</v>
      </c>
      <c r="F1953" s="10" t="s">
        <v>35</v>
      </c>
      <c r="G1953" s="10" t="s">
        <v>3146</v>
      </c>
      <c r="H1953" s="8" t="s">
        <v>36</v>
      </c>
      <c r="I1953" s="11">
        <v>173.04</v>
      </c>
      <c r="J1953" s="6">
        <v>158.67768000000001</v>
      </c>
      <c r="K1953" s="6">
        <v>0.91700000000000015</v>
      </c>
      <c r="L1953" s="6">
        <v>157.69</v>
      </c>
      <c r="M1953" s="11">
        <v>144.60173</v>
      </c>
      <c r="N1953" s="11">
        <f t="shared" si="120"/>
        <v>144.602</v>
      </c>
      <c r="O1953" s="6">
        <v>0.91700000000000004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15.35</v>
      </c>
      <c r="Z1953" s="6">
        <v>14.075950000000001</v>
      </c>
      <c r="AA1953" s="6">
        <v>0.91700000000000004</v>
      </c>
      <c r="AB1953" s="6">
        <v>-15.349999999999994</v>
      </c>
      <c r="AC1953" s="6">
        <v>15.349999999999994</v>
      </c>
      <c r="AD1953" s="22" t="s">
        <v>3140</v>
      </c>
      <c r="AE1953" s="23">
        <f t="shared" si="121"/>
        <v>144.602</v>
      </c>
      <c r="AF1953" s="24">
        <f t="shared" si="122"/>
        <v>0</v>
      </c>
      <c r="AG1953" s="23">
        <f t="shared" si="123"/>
        <v>1</v>
      </c>
    </row>
    <row r="1954" spans="1:33" ht="12.5" customHeight="1" x14ac:dyDescent="0.25">
      <c r="A1954" s="12" t="s">
        <v>31</v>
      </c>
      <c r="B1954" s="9">
        <v>46203</v>
      </c>
      <c r="C1954" s="10" t="s">
        <v>3076</v>
      </c>
      <c r="D1954" s="10" t="s">
        <v>3077</v>
      </c>
      <c r="E1954" s="10" t="s">
        <v>34</v>
      </c>
      <c r="F1954" s="10" t="s">
        <v>35</v>
      </c>
      <c r="G1954" s="10" t="s">
        <v>3146</v>
      </c>
      <c r="H1954" s="8" t="s">
        <v>36</v>
      </c>
      <c r="I1954" s="11">
        <v>108.55</v>
      </c>
      <c r="J1954" s="6">
        <v>99.540350000000004</v>
      </c>
      <c r="K1954" s="6">
        <v>0.91700000000000004</v>
      </c>
      <c r="L1954" s="6">
        <v>108.55</v>
      </c>
      <c r="M1954" s="11">
        <v>99.540350000000004</v>
      </c>
      <c r="N1954" s="11">
        <f t="shared" si="120"/>
        <v>99.541000000000011</v>
      </c>
      <c r="O1954" s="6">
        <v>0.91700000000000004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0</v>
      </c>
      <c r="AC1954" s="6">
        <v>0</v>
      </c>
      <c r="AD1954" s="22" t="s">
        <v>3140</v>
      </c>
      <c r="AE1954" s="23">
        <f t="shared" si="121"/>
        <v>99.541000000000011</v>
      </c>
      <c r="AF1954" s="24">
        <f t="shared" si="122"/>
        <v>0</v>
      </c>
      <c r="AG1954" s="23">
        <f t="shared" si="123"/>
        <v>1</v>
      </c>
    </row>
    <row r="1955" spans="1:33" ht="12.5" customHeight="1" x14ac:dyDescent="0.25">
      <c r="A1955" s="12" t="s">
        <v>31</v>
      </c>
      <c r="B1955" s="9">
        <v>46203</v>
      </c>
      <c r="C1955" s="10" t="s">
        <v>3078</v>
      </c>
      <c r="D1955" s="10" t="s">
        <v>2963</v>
      </c>
      <c r="E1955" s="10" t="s">
        <v>34</v>
      </c>
      <c r="F1955" s="10" t="s">
        <v>35</v>
      </c>
      <c r="G1955" s="10" t="s">
        <v>3146</v>
      </c>
      <c r="H1955" s="8" t="s">
        <v>36</v>
      </c>
      <c r="I1955" s="11">
        <v>69.67</v>
      </c>
      <c r="J1955" s="6">
        <v>63.887390000000003</v>
      </c>
      <c r="K1955" s="6">
        <v>0.91700000000000004</v>
      </c>
      <c r="L1955" s="6">
        <v>67.010000000000005</v>
      </c>
      <c r="M1955" s="11">
        <v>61.448169999999998</v>
      </c>
      <c r="N1955" s="11">
        <f t="shared" si="120"/>
        <v>61.448999999999998</v>
      </c>
      <c r="O1955" s="6">
        <v>0.91699999999999993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2.66</v>
      </c>
      <c r="Z1955" s="6">
        <v>2.4392200000000002</v>
      </c>
      <c r="AA1955" s="6">
        <v>0.91700000000000004</v>
      </c>
      <c r="AB1955" s="6">
        <v>-2.6599999999999966</v>
      </c>
      <c r="AC1955" s="6">
        <v>2.6599999999999966</v>
      </c>
      <c r="AD1955" s="22" t="s">
        <v>3140</v>
      </c>
      <c r="AE1955" s="23">
        <f t="shared" si="121"/>
        <v>61.448999999999998</v>
      </c>
      <c r="AF1955" s="24">
        <f t="shared" si="122"/>
        <v>0</v>
      </c>
      <c r="AG1955" s="23">
        <f t="shared" si="123"/>
        <v>2</v>
      </c>
    </row>
    <row r="1956" spans="1:33" ht="12.5" customHeight="1" x14ac:dyDescent="0.25">
      <c r="A1956" s="12" t="s">
        <v>31</v>
      </c>
      <c r="B1956" s="9">
        <v>46203</v>
      </c>
      <c r="C1956" s="10" t="s">
        <v>3079</v>
      </c>
      <c r="D1956" s="10" t="s">
        <v>3080</v>
      </c>
      <c r="E1956" s="10" t="s">
        <v>34</v>
      </c>
      <c r="F1956" s="10" t="s">
        <v>35</v>
      </c>
      <c r="G1956" s="10" t="s">
        <v>3146</v>
      </c>
      <c r="H1956" s="8" t="s">
        <v>36</v>
      </c>
      <c r="I1956" s="11">
        <v>63.26</v>
      </c>
      <c r="J1956" s="6">
        <v>58.009419999999999</v>
      </c>
      <c r="K1956" s="6">
        <v>0.91700000000000004</v>
      </c>
      <c r="L1956" s="6">
        <v>59.82</v>
      </c>
      <c r="M1956" s="11">
        <v>54.854939999999999</v>
      </c>
      <c r="N1956" s="11">
        <f t="shared" si="120"/>
        <v>54.854999999999997</v>
      </c>
      <c r="O1956" s="6">
        <v>0.91699999999999993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3.44</v>
      </c>
      <c r="Z1956" s="6">
        <v>3.15448</v>
      </c>
      <c r="AA1956" s="6">
        <v>0.91700000000000004</v>
      </c>
      <c r="AB1956" s="6">
        <v>-3.4399999999999977</v>
      </c>
      <c r="AC1956" s="6">
        <v>3.4399999999999977</v>
      </c>
      <c r="AD1956" s="22" t="s">
        <v>3140</v>
      </c>
      <c r="AE1956" s="23">
        <f t="shared" si="121"/>
        <v>54.854999999999997</v>
      </c>
      <c r="AF1956" s="24">
        <f t="shared" si="122"/>
        <v>0</v>
      </c>
      <c r="AG1956" s="23">
        <f t="shared" si="123"/>
        <v>1</v>
      </c>
    </row>
    <row r="1957" spans="1:33" x14ac:dyDescent="0.25">
      <c r="A1957" s="12" t="s">
        <v>31</v>
      </c>
      <c r="B1957" s="9">
        <v>46203</v>
      </c>
      <c r="C1957" s="10" t="s">
        <v>3081</v>
      </c>
      <c r="D1957" s="10" t="s">
        <v>338</v>
      </c>
      <c r="E1957" s="10" t="s">
        <v>34</v>
      </c>
      <c r="F1957" s="10" t="s">
        <v>35</v>
      </c>
      <c r="G1957" s="10" t="s">
        <v>3146</v>
      </c>
      <c r="H1957" s="8" t="s">
        <v>36</v>
      </c>
      <c r="I1957" s="11">
        <v>9.01</v>
      </c>
      <c r="J1957" s="6">
        <v>8.2621699999999993</v>
      </c>
      <c r="K1957" s="6">
        <v>0.91699999999999993</v>
      </c>
      <c r="L1957" s="6">
        <v>0</v>
      </c>
      <c r="M1957" s="11">
        <v>0</v>
      </c>
      <c r="N1957" s="11">
        <f t="shared" si="120"/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9.01</v>
      </c>
      <c r="Z1957" s="6">
        <v>8.2621699999999993</v>
      </c>
      <c r="AA1957" s="6">
        <v>0.91699999999999993</v>
      </c>
      <c r="AB1957" s="6">
        <v>-9.01</v>
      </c>
      <c r="AC1957" s="6">
        <v>9.01</v>
      </c>
      <c r="AD1957" s="23" t="s">
        <v>3143</v>
      </c>
      <c r="AE1957" s="23">
        <f t="shared" si="121"/>
        <v>0</v>
      </c>
      <c r="AF1957" s="24">
        <f t="shared" si="122"/>
        <v>0</v>
      </c>
      <c r="AG1957" s="23">
        <f t="shared" si="123"/>
        <v>67</v>
      </c>
    </row>
    <row r="1958" spans="1:33" ht="12.5" hidden="1" customHeight="1" x14ac:dyDescent="0.25">
      <c r="A1958" s="12" t="s">
        <v>31</v>
      </c>
      <c r="B1958" s="9">
        <v>46203</v>
      </c>
      <c r="C1958" s="8" t="s">
        <v>3082</v>
      </c>
      <c r="D1958" s="8" t="s">
        <v>338</v>
      </c>
      <c r="E1958" s="8" t="s">
        <v>34</v>
      </c>
      <c r="F1958" s="8" t="s">
        <v>35</v>
      </c>
      <c r="G1958" s="10" t="s">
        <v>3145</v>
      </c>
      <c r="H1958" s="8" t="s">
        <v>48</v>
      </c>
      <c r="I1958" s="11">
        <v>1.1000000000000001</v>
      </c>
      <c r="J1958" s="6">
        <v>0.82499999999999996</v>
      </c>
      <c r="K1958" s="6">
        <v>0.74999999999999989</v>
      </c>
      <c r="L1958" s="6">
        <v>1.1000000000000001</v>
      </c>
      <c r="M1958" s="11">
        <v>0.82499999999999996</v>
      </c>
      <c r="N1958" s="11">
        <f t="shared" si="120"/>
        <v>0.82499999999999996</v>
      </c>
      <c r="O1958" s="6">
        <v>0.74999999999999989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23" t="s">
        <v>3143</v>
      </c>
      <c r="AE1958" s="23">
        <f t="shared" si="121"/>
        <v>0</v>
      </c>
      <c r="AF1958" s="24">
        <f t="shared" si="122"/>
        <v>0.82499999999999996</v>
      </c>
      <c r="AG1958" s="23">
        <f t="shared" si="123"/>
        <v>67</v>
      </c>
    </row>
    <row r="1959" spans="1:33" ht="12.5" hidden="1" customHeight="1" x14ac:dyDescent="0.25">
      <c r="A1959" s="12" t="s">
        <v>31</v>
      </c>
      <c r="B1959" s="9">
        <v>46203</v>
      </c>
      <c r="C1959" s="13" t="s">
        <v>3082</v>
      </c>
      <c r="D1959" s="13" t="s">
        <v>338</v>
      </c>
      <c r="E1959" s="13" t="s">
        <v>34</v>
      </c>
      <c r="F1959" s="13" t="s">
        <v>35</v>
      </c>
      <c r="G1959" s="10" t="s">
        <v>3145</v>
      </c>
      <c r="H1959" s="8" t="s">
        <v>41</v>
      </c>
      <c r="I1959" s="11">
        <v>12.67</v>
      </c>
      <c r="J1959" s="6">
        <v>9.5024999999999995</v>
      </c>
      <c r="K1959" s="6">
        <v>0.75</v>
      </c>
      <c r="L1959" s="6">
        <v>11.8</v>
      </c>
      <c r="M1959" s="11">
        <v>8.85</v>
      </c>
      <c r="N1959" s="11">
        <f t="shared" si="120"/>
        <v>8.85</v>
      </c>
      <c r="O1959" s="6">
        <v>0.74999999999999989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0.87</v>
      </c>
      <c r="Z1959" s="6">
        <v>0.65249999999999997</v>
      </c>
      <c r="AA1959" s="6">
        <v>0.75</v>
      </c>
      <c r="AB1959" s="6">
        <v>-0.86999999999999922</v>
      </c>
      <c r="AC1959" s="6">
        <v>0.86999999999999922</v>
      </c>
      <c r="AD1959" s="23" t="s">
        <v>3143</v>
      </c>
      <c r="AE1959" s="23">
        <f t="shared" si="121"/>
        <v>0</v>
      </c>
      <c r="AF1959" s="24">
        <f t="shared" si="122"/>
        <v>8.85</v>
      </c>
      <c r="AG1959" s="23">
        <f t="shared" si="123"/>
        <v>67</v>
      </c>
    </row>
    <row r="1960" spans="1:33" x14ac:dyDescent="0.25">
      <c r="A1960" s="12" t="s">
        <v>31</v>
      </c>
      <c r="B1960" s="9">
        <v>46203</v>
      </c>
      <c r="C1960" s="10" t="s">
        <v>3083</v>
      </c>
      <c r="D1960" s="10" t="s">
        <v>3084</v>
      </c>
      <c r="E1960" s="10" t="s">
        <v>51</v>
      </c>
      <c r="F1960" s="10" t="s">
        <v>35</v>
      </c>
      <c r="G1960" s="10" t="s">
        <v>3146</v>
      </c>
      <c r="H1960" s="8" t="s">
        <v>36</v>
      </c>
      <c r="I1960" s="11">
        <v>116.42</v>
      </c>
      <c r="J1960" s="6">
        <v>106.75714000000001</v>
      </c>
      <c r="K1960" s="6">
        <v>0.91700000000000004</v>
      </c>
      <c r="L1960" s="6">
        <v>110.72</v>
      </c>
      <c r="M1960" s="11">
        <v>101.53024000000001</v>
      </c>
      <c r="N1960" s="11">
        <f t="shared" si="120"/>
        <v>101.53100000000001</v>
      </c>
      <c r="O1960" s="6">
        <v>0.91700000000000004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5.7</v>
      </c>
      <c r="Z1960" s="6">
        <v>5.2268999999999997</v>
      </c>
      <c r="AA1960" s="6">
        <v>0.91699999999999993</v>
      </c>
      <c r="AB1960" s="6">
        <v>-5.7000000000000028</v>
      </c>
      <c r="AC1960" s="6">
        <v>5.7000000000000028</v>
      </c>
      <c r="AD1960" s="22" t="s">
        <v>3140</v>
      </c>
      <c r="AE1960" s="23">
        <f t="shared" si="121"/>
        <v>101.53100000000001</v>
      </c>
      <c r="AF1960" s="24">
        <f t="shared" si="122"/>
        <v>0</v>
      </c>
      <c r="AG1960" s="23">
        <f t="shared" si="123"/>
        <v>1</v>
      </c>
    </row>
    <row r="1961" spans="1:33" x14ac:dyDescent="0.25">
      <c r="A1961" s="12" t="s">
        <v>31</v>
      </c>
      <c r="B1961" s="9">
        <v>46203</v>
      </c>
      <c r="C1961" s="10" t="s">
        <v>3085</v>
      </c>
      <c r="D1961" s="10" t="s">
        <v>3086</v>
      </c>
      <c r="E1961" s="10" t="s">
        <v>51</v>
      </c>
      <c r="F1961" s="10" t="s">
        <v>35</v>
      </c>
      <c r="G1961" s="10" t="s">
        <v>3146</v>
      </c>
      <c r="H1961" s="8" t="s">
        <v>36</v>
      </c>
      <c r="I1961" s="11">
        <v>21.45</v>
      </c>
      <c r="J1961" s="6">
        <v>19.669650000000001</v>
      </c>
      <c r="K1961" s="6">
        <v>0.91700000000000004</v>
      </c>
      <c r="L1961" s="6">
        <v>19.559999999999999</v>
      </c>
      <c r="M1961" s="11">
        <v>17.936520000000002</v>
      </c>
      <c r="N1961" s="11">
        <f t="shared" si="120"/>
        <v>17.937000000000001</v>
      </c>
      <c r="O1961" s="6">
        <v>0.91700000000000015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1.89</v>
      </c>
      <c r="Z1961" s="6">
        <v>1.7331300000000001</v>
      </c>
      <c r="AA1961" s="6">
        <v>0.91700000000000004</v>
      </c>
      <c r="AB1961" s="6">
        <v>-1.8900000000000006</v>
      </c>
      <c r="AC1961" s="6">
        <v>1.8900000000000006</v>
      </c>
      <c r="AD1961" s="22" t="s">
        <v>3140</v>
      </c>
      <c r="AE1961" s="23">
        <f t="shared" si="121"/>
        <v>17.937000000000001</v>
      </c>
      <c r="AF1961" s="24">
        <f t="shared" si="122"/>
        <v>0</v>
      </c>
      <c r="AG1961" s="23">
        <f t="shared" si="123"/>
        <v>1</v>
      </c>
    </row>
    <row r="1962" spans="1:33" hidden="1" x14ac:dyDescent="0.25">
      <c r="A1962" s="12" t="s">
        <v>31</v>
      </c>
      <c r="B1962" s="9">
        <v>46203</v>
      </c>
      <c r="C1962" s="10" t="s">
        <v>3087</v>
      </c>
      <c r="D1962" s="10" t="s">
        <v>3088</v>
      </c>
      <c r="E1962" s="10" t="s">
        <v>51</v>
      </c>
      <c r="F1962" s="10" t="s">
        <v>35</v>
      </c>
      <c r="G1962" s="10" t="s">
        <v>3145</v>
      </c>
      <c r="H1962" s="8" t="s">
        <v>41</v>
      </c>
      <c r="I1962" s="11">
        <v>21.63</v>
      </c>
      <c r="J1962" s="6">
        <v>16.2225</v>
      </c>
      <c r="K1962" s="6">
        <v>0.75</v>
      </c>
      <c r="L1962" s="6">
        <v>20.22</v>
      </c>
      <c r="M1962" s="11">
        <v>15.164999999999999</v>
      </c>
      <c r="N1962" s="11">
        <f t="shared" si="120"/>
        <v>15.164999999999999</v>
      </c>
      <c r="O1962" s="6">
        <v>0.75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1.41</v>
      </c>
      <c r="Z1962" s="6">
        <v>1.0575000000000001</v>
      </c>
      <c r="AA1962" s="6">
        <v>0.75000000000000011</v>
      </c>
      <c r="AB1962" s="6">
        <v>-1.41</v>
      </c>
      <c r="AC1962" s="6">
        <v>1.41</v>
      </c>
      <c r="AD1962" s="22" t="s">
        <v>3140</v>
      </c>
      <c r="AE1962" s="23">
        <f t="shared" si="121"/>
        <v>15.164999999999999</v>
      </c>
      <c r="AF1962" s="24">
        <f t="shared" si="122"/>
        <v>0</v>
      </c>
      <c r="AG1962" s="23">
        <f t="shared" si="123"/>
        <v>1</v>
      </c>
    </row>
    <row r="1963" spans="1:33" x14ac:dyDescent="0.25">
      <c r="A1963" s="12" t="s">
        <v>31</v>
      </c>
      <c r="B1963" s="9">
        <v>46203</v>
      </c>
      <c r="C1963" s="10" t="s">
        <v>3089</v>
      </c>
      <c r="D1963" s="10" t="s">
        <v>3090</v>
      </c>
      <c r="E1963" s="10" t="s">
        <v>51</v>
      </c>
      <c r="F1963" s="10" t="s">
        <v>35</v>
      </c>
      <c r="G1963" s="10" t="s">
        <v>3146</v>
      </c>
      <c r="H1963" s="8" t="s">
        <v>36</v>
      </c>
      <c r="I1963" s="11">
        <v>24.19</v>
      </c>
      <c r="J1963" s="6">
        <v>22.182230000000001</v>
      </c>
      <c r="K1963" s="6">
        <v>0.91699999999999993</v>
      </c>
      <c r="L1963" s="6">
        <v>22.9</v>
      </c>
      <c r="M1963" s="11">
        <v>20.999300000000002</v>
      </c>
      <c r="N1963" s="11">
        <f t="shared" si="120"/>
        <v>21</v>
      </c>
      <c r="O1963" s="6">
        <v>0.91700000000000015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1.29</v>
      </c>
      <c r="Z1963" s="6">
        <v>1.18293</v>
      </c>
      <c r="AA1963" s="6">
        <v>0.91700000000000004</v>
      </c>
      <c r="AB1963" s="6">
        <v>-1.2900000000000027</v>
      </c>
      <c r="AC1963" s="6">
        <v>1.2900000000000027</v>
      </c>
      <c r="AD1963" s="22" t="s">
        <v>3140</v>
      </c>
      <c r="AE1963" s="23">
        <f t="shared" si="121"/>
        <v>21</v>
      </c>
      <c r="AF1963" s="24">
        <f t="shared" si="122"/>
        <v>0</v>
      </c>
      <c r="AG1963" s="23">
        <f t="shared" si="123"/>
        <v>1</v>
      </c>
    </row>
    <row r="1964" spans="1:33" x14ac:dyDescent="0.25">
      <c r="A1964" s="12" t="s">
        <v>31</v>
      </c>
      <c r="B1964" s="9">
        <v>46203</v>
      </c>
      <c r="C1964" s="10" t="s">
        <v>3091</v>
      </c>
      <c r="D1964" s="10" t="s">
        <v>3092</v>
      </c>
      <c r="E1964" s="10" t="s">
        <v>51</v>
      </c>
      <c r="F1964" s="10" t="s">
        <v>35</v>
      </c>
      <c r="G1964" s="10" t="s">
        <v>3146</v>
      </c>
      <c r="H1964" s="8" t="s">
        <v>36</v>
      </c>
      <c r="I1964" s="11">
        <v>31.28</v>
      </c>
      <c r="J1964" s="6">
        <v>28.683759999999999</v>
      </c>
      <c r="K1964" s="6">
        <v>0.91699999999999993</v>
      </c>
      <c r="L1964" s="6">
        <v>29.21</v>
      </c>
      <c r="M1964" s="11">
        <v>26.78557</v>
      </c>
      <c r="N1964" s="11">
        <f t="shared" si="120"/>
        <v>26.786000000000001</v>
      </c>
      <c r="O1964" s="6">
        <v>0.91699999999999993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2.0699999999999998</v>
      </c>
      <c r="Z1964" s="6">
        <v>1.89819</v>
      </c>
      <c r="AA1964" s="6">
        <v>0.91700000000000004</v>
      </c>
      <c r="AB1964" s="6">
        <v>-2.0700000000000003</v>
      </c>
      <c r="AC1964" s="6">
        <v>2.0700000000000003</v>
      </c>
      <c r="AD1964" s="22" t="s">
        <v>3140</v>
      </c>
      <c r="AE1964" s="23">
        <f t="shared" si="121"/>
        <v>26.786000000000001</v>
      </c>
      <c r="AF1964" s="24">
        <f t="shared" si="122"/>
        <v>0</v>
      </c>
      <c r="AG1964" s="23">
        <f t="shared" si="123"/>
        <v>1</v>
      </c>
    </row>
    <row r="1965" spans="1:33" x14ac:dyDescent="0.25">
      <c r="A1965" s="12" t="s">
        <v>31</v>
      </c>
      <c r="B1965" s="9">
        <v>46203</v>
      </c>
      <c r="C1965" s="10" t="s">
        <v>3093</v>
      </c>
      <c r="D1965" s="10" t="s">
        <v>3051</v>
      </c>
      <c r="E1965" s="10" t="s">
        <v>51</v>
      </c>
      <c r="F1965" s="10" t="s">
        <v>35</v>
      </c>
      <c r="G1965" s="10" t="s">
        <v>3146</v>
      </c>
      <c r="H1965" s="8" t="s">
        <v>36</v>
      </c>
      <c r="I1965" s="11">
        <v>10.69</v>
      </c>
      <c r="J1965" s="6">
        <v>9.8027300000000004</v>
      </c>
      <c r="K1965" s="6">
        <v>0.91700000000000004</v>
      </c>
      <c r="L1965" s="6">
        <v>10.69</v>
      </c>
      <c r="M1965" s="11">
        <v>9.8027300000000004</v>
      </c>
      <c r="N1965" s="11">
        <f t="shared" si="120"/>
        <v>9.802999999999999</v>
      </c>
      <c r="O1965" s="6">
        <v>0.91700000000000004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  <c r="AC1965" s="6">
        <v>0</v>
      </c>
      <c r="AD1965" s="22" t="s">
        <v>3140</v>
      </c>
      <c r="AE1965" s="23">
        <f t="shared" si="121"/>
        <v>9.802999999999999</v>
      </c>
      <c r="AF1965" s="24">
        <f t="shared" si="122"/>
        <v>0</v>
      </c>
      <c r="AG1965" s="23">
        <f t="shared" si="123"/>
        <v>2</v>
      </c>
    </row>
    <row r="1966" spans="1:33" x14ac:dyDescent="0.25">
      <c r="A1966" s="12" t="s">
        <v>31</v>
      </c>
      <c r="B1966" s="9">
        <v>46203</v>
      </c>
      <c r="C1966" s="10" t="s">
        <v>3094</v>
      </c>
      <c r="D1966" s="10" t="s">
        <v>3049</v>
      </c>
      <c r="E1966" s="10" t="s">
        <v>51</v>
      </c>
      <c r="F1966" s="10" t="s">
        <v>35</v>
      </c>
      <c r="G1966" s="10" t="s">
        <v>3146</v>
      </c>
      <c r="H1966" s="8" t="s">
        <v>36</v>
      </c>
      <c r="I1966" s="11">
        <v>8.6199999999999992</v>
      </c>
      <c r="J1966" s="6">
        <v>7.9045399999999999</v>
      </c>
      <c r="K1966" s="6">
        <v>0.91700000000000004</v>
      </c>
      <c r="L1966" s="6">
        <v>8.6199999999999992</v>
      </c>
      <c r="M1966" s="11">
        <v>7.9045399999999999</v>
      </c>
      <c r="N1966" s="11">
        <f t="shared" si="120"/>
        <v>7.9050000000000002</v>
      </c>
      <c r="O1966" s="6">
        <v>0.91700000000000004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  <c r="AC1966" s="6">
        <v>0</v>
      </c>
      <c r="AD1966" s="22" t="s">
        <v>3140</v>
      </c>
      <c r="AE1966" s="23">
        <f t="shared" si="121"/>
        <v>7.9050000000000002</v>
      </c>
      <c r="AF1966" s="24">
        <f t="shared" si="122"/>
        <v>0</v>
      </c>
      <c r="AG1966" s="23">
        <f t="shared" si="123"/>
        <v>2</v>
      </c>
    </row>
    <row r="1967" spans="1:33" x14ac:dyDescent="0.25">
      <c r="A1967" s="12" t="s">
        <v>31</v>
      </c>
      <c r="B1967" s="9">
        <v>46203</v>
      </c>
      <c r="C1967" s="10" t="s">
        <v>3095</v>
      </c>
      <c r="D1967" s="10" t="s">
        <v>3096</v>
      </c>
      <c r="E1967" s="10" t="s">
        <v>51</v>
      </c>
      <c r="F1967" s="10" t="s">
        <v>35</v>
      </c>
      <c r="G1967" s="10" t="s">
        <v>3146</v>
      </c>
      <c r="H1967" s="8" t="s">
        <v>36</v>
      </c>
      <c r="I1967" s="11">
        <v>6.03</v>
      </c>
      <c r="J1967" s="6">
        <v>5.5295100000000001</v>
      </c>
      <c r="K1967" s="6">
        <v>0.91700000000000004</v>
      </c>
      <c r="L1967" s="6">
        <v>5.77</v>
      </c>
      <c r="M1967" s="11">
        <v>5.2910899999999996</v>
      </c>
      <c r="N1967" s="11">
        <f t="shared" si="120"/>
        <v>5.2920000000000007</v>
      </c>
      <c r="O1967" s="6">
        <v>0.91700000000000004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6">
        <v>0</v>
      </c>
      <c r="Y1967" s="6">
        <v>0.26</v>
      </c>
      <c r="Z1967" s="6">
        <v>0.23841999999999999</v>
      </c>
      <c r="AA1967" s="6">
        <v>0.91699999999999993</v>
      </c>
      <c r="AB1967" s="6">
        <v>-0.26000000000000068</v>
      </c>
      <c r="AC1967" s="6">
        <v>0.26000000000000068</v>
      </c>
      <c r="AD1967" s="22" t="s">
        <v>3140</v>
      </c>
      <c r="AE1967" s="23">
        <f t="shared" si="121"/>
        <v>5.2920000000000007</v>
      </c>
      <c r="AF1967" s="24">
        <f t="shared" si="122"/>
        <v>0</v>
      </c>
      <c r="AG1967" s="23">
        <f t="shared" si="123"/>
        <v>1</v>
      </c>
    </row>
    <row r="1968" spans="1:33" x14ac:dyDescent="0.25">
      <c r="A1968" s="12" t="s">
        <v>31</v>
      </c>
      <c r="B1968" s="9">
        <v>46203</v>
      </c>
      <c r="C1968" s="10" t="s">
        <v>3097</v>
      </c>
      <c r="D1968" s="10" t="s">
        <v>3098</v>
      </c>
      <c r="E1968" s="10" t="s">
        <v>51</v>
      </c>
      <c r="F1968" s="10" t="s">
        <v>35</v>
      </c>
      <c r="G1968" s="10" t="s">
        <v>3146</v>
      </c>
      <c r="H1968" s="8" t="s">
        <v>36</v>
      </c>
      <c r="I1968" s="11">
        <v>69.459999999999994</v>
      </c>
      <c r="J1968" s="6">
        <v>63.69482</v>
      </c>
      <c r="K1968" s="6">
        <v>0.91700000000000004</v>
      </c>
      <c r="L1968" s="6">
        <v>65.67</v>
      </c>
      <c r="M1968" s="11">
        <v>60.219389999999997</v>
      </c>
      <c r="N1968" s="11">
        <f t="shared" si="120"/>
        <v>60.22</v>
      </c>
      <c r="O1968" s="6">
        <v>0.91699999999999993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3.79</v>
      </c>
      <c r="Z1968" s="6">
        <v>3.4754299999999998</v>
      </c>
      <c r="AA1968" s="6">
        <v>0.91699999999999993</v>
      </c>
      <c r="AB1968" s="6">
        <v>-3.789999999999992</v>
      </c>
      <c r="AC1968" s="6">
        <v>3.789999999999992</v>
      </c>
      <c r="AD1968" s="22" t="s">
        <v>3140</v>
      </c>
      <c r="AE1968" s="23">
        <f t="shared" si="121"/>
        <v>60.22</v>
      </c>
      <c r="AF1968" s="24">
        <f t="shared" si="122"/>
        <v>0</v>
      </c>
      <c r="AG1968" s="23">
        <f t="shared" si="123"/>
        <v>1</v>
      </c>
    </row>
    <row r="1969" spans="1:33" ht="20" hidden="1" customHeight="1" x14ac:dyDescent="0.25">
      <c r="A1969" s="12" t="s">
        <v>31</v>
      </c>
      <c r="B1969" s="9">
        <v>46203</v>
      </c>
      <c r="C1969" s="10" t="s">
        <v>3099</v>
      </c>
      <c r="D1969" s="10" t="s">
        <v>3100</v>
      </c>
      <c r="E1969" s="10" t="s">
        <v>51</v>
      </c>
      <c r="F1969" s="10" t="s">
        <v>35</v>
      </c>
      <c r="G1969" s="10" t="s">
        <v>3145</v>
      </c>
      <c r="H1969" s="8" t="s">
        <v>48</v>
      </c>
      <c r="I1969" s="11">
        <v>22.84</v>
      </c>
      <c r="J1969" s="6">
        <v>17.13</v>
      </c>
      <c r="K1969" s="6">
        <v>0.75</v>
      </c>
      <c r="L1969" s="6">
        <v>19.940000000000001</v>
      </c>
      <c r="M1969" s="11">
        <v>14.955</v>
      </c>
      <c r="N1969" s="11">
        <f t="shared" si="120"/>
        <v>14.955</v>
      </c>
      <c r="O1969" s="6">
        <v>0.75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2.9</v>
      </c>
      <c r="Z1969" s="6">
        <v>2.1749999999999998</v>
      </c>
      <c r="AA1969" s="6">
        <v>0.75</v>
      </c>
      <c r="AB1969" s="6">
        <v>-2.8999999999999986</v>
      </c>
      <c r="AC1969" s="6">
        <v>2.8999999999999986</v>
      </c>
      <c r="AD1969" s="22" t="s">
        <v>3140</v>
      </c>
      <c r="AE1969" s="23">
        <f t="shared" si="121"/>
        <v>14.955</v>
      </c>
      <c r="AF1969" s="24">
        <f t="shared" si="122"/>
        <v>0</v>
      </c>
      <c r="AG1969" s="23">
        <f t="shared" si="123"/>
        <v>1</v>
      </c>
    </row>
    <row r="1970" spans="1:33" x14ac:dyDescent="0.25">
      <c r="A1970" s="12" t="s">
        <v>31</v>
      </c>
      <c r="B1970" s="9">
        <v>46203</v>
      </c>
      <c r="C1970" s="10" t="s">
        <v>3101</v>
      </c>
      <c r="D1970" s="10" t="s">
        <v>3102</v>
      </c>
      <c r="E1970" s="10" t="s">
        <v>51</v>
      </c>
      <c r="F1970" s="10" t="s">
        <v>35</v>
      </c>
      <c r="G1970" s="10" t="s">
        <v>3146</v>
      </c>
      <c r="H1970" s="8" t="s">
        <v>36</v>
      </c>
      <c r="I1970" s="11">
        <v>7.1879999999999997</v>
      </c>
      <c r="J1970" s="6">
        <v>6.5913959999999996</v>
      </c>
      <c r="K1970" s="6">
        <v>0.91699999999999993</v>
      </c>
      <c r="L1970" s="6">
        <v>6.9980000000000002</v>
      </c>
      <c r="M1970" s="11">
        <v>6.4171659999999999</v>
      </c>
      <c r="N1970" s="11">
        <f t="shared" si="120"/>
        <v>6.4180000000000001</v>
      </c>
      <c r="O1970" s="6">
        <v>0.91699999999999993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0.19</v>
      </c>
      <c r="Z1970" s="6">
        <v>0.17423</v>
      </c>
      <c r="AA1970" s="6">
        <v>0.91699999999999993</v>
      </c>
      <c r="AB1970" s="6">
        <v>-0.1899999999999995</v>
      </c>
      <c r="AC1970" s="6">
        <v>0.1899999999999995</v>
      </c>
      <c r="AD1970" s="22" t="s">
        <v>3140</v>
      </c>
      <c r="AE1970" s="23">
        <f t="shared" si="121"/>
        <v>6.4180000000000001</v>
      </c>
      <c r="AF1970" s="24">
        <f t="shared" si="122"/>
        <v>0</v>
      </c>
      <c r="AG1970" s="23">
        <f t="shared" si="123"/>
        <v>1</v>
      </c>
    </row>
    <row r="1971" spans="1:33" ht="20" hidden="1" customHeight="1" x14ac:dyDescent="0.25">
      <c r="A1971" s="12" t="s">
        <v>31</v>
      </c>
      <c r="B1971" s="9">
        <v>46203</v>
      </c>
      <c r="C1971" s="10" t="s">
        <v>3103</v>
      </c>
      <c r="D1971" s="10" t="s">
        <v>3104</v>
      </c>
      <c r="E1971" s="10" t="s">
        <v>51</v>
      </c>
      <c r="F1971" s="10" t="s">
        <v>35</v>
      </c>
      <c r="G1971" s="10" t="s">
        <v>3145</v>
      </c>
      <c r="H1971" s="8" t="s">
        <v>48</v>
      </c>
      <c r="I1971" s="11">
        <v>31.17</v>
      </c>
      <c r="J1971" s="6">
        <v>23.377500000000001</v>
      </c>
      <c r="K1971" s="6">
        <v>0.75</v>
      </c>
      <c r="L1971" s="6">
        <v>29.6</v>
      </c>
      <c r="M1971" s="11">
        <v>22.2</v>
      </c>
      <c r="N1971" s="11">
        <f t="shared" si="120"/>
        <v>22.2</v>
      </c>
      <c r="O1971" s="6">
        <v>0.74999999999999989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1.57</v>
      </c>
      <c r="Z1971" s="6">
        <v>1.1775</v>
      </c>
      <c r="AA1971" s="6">
        <v>0.75</v>
      </c>
      <c r="AB1971" s="6">
        <v>-1.5700000000000003</v>
      </c>
      <c r="AC1971" s="6">
        <v>1.5700000000000003</v>
      </c>
      <c r="AD1971" s="22" t="s">
        <v>3140</v>
      </c>
      <c r="AE1971" s="23">
        <f t="shared" si="121"/>
        <v>22.2</v>
      </c>
      <c r="AF1971" s="24">
        <f t="shared" si="122"/>
        <v>0</v>
      </c>
      <c r="AG1971" s="23">
        <f t="shared" si="123"/>
        <v>1</v>
      </c>
    </row>
    <row r="1972" spans="1:33" x14ac:dyDescent="0.25">
      <c r="A1972" s="12" t="s">
        <v>31</v>
      </c>
      <c r="B1972" s="9">
        <v>46203</v>
      </c>
      <c r="C1972" s="10" t="s">
        <v>3105</v>
      </c>
      <c r="D1972" s="10" t="s">
        <v>3106</v>
      </c>
      <c r="E1972" s="10" t="s">
        <v>51</v>
      </c>
      <c r="F1972" s="10" t="s">
        <v>35</v>
      </c>
      <c r="G1972" s="10" t="s">
        <v>3146</v>
      </c>
      <c r="H1972" s="8" t="s">
        <v>36</v>
      </c>
      <c r="I1972" s="11">
        <v>17.64</v>
      </c>
      <c r="J1972" s="6">
        <v>16.175879999999999</v>
      </c>
      <c r="K1972" s="6">
        <v>0.91699999999999993</v>
      </c>
      <c r="L1972" s="6">
        <v>16.190000000000001</v>
      </c>
      <c r="M1972" s="11">
        <v>14.84623</v>
      </c>
      <c r="N1972" s="11">
        <f t="shared" si="120"/>
        <v>14.847</v>
      </c>
      <c r="O1972" s="6">
        <v>0.91699999999999993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1.45</v>
      </c>
      <c r="Z1972" s="6">
        <v>1.32965</v>
      </c>
      <c r="AA1972" s="6">
        <v>0.91700000000000004</v>
      </c>
      <c r="AB1972" s="6">
        <v>-1.4499999999999993</v>
      </c>
      <c r="AC1972" s="6">
        <v>1.4499999999999993</v>
      </c>
      <c r="AD1972" s="22" t="s">
        <v>3140</v>
      </c>
      <c r="AE1972" s="23">
        <f t="shared" si="121"/>
        <v>14.847</v>
      </c>
      <c r="AF1972" s="24">
        <f t="shared" si="122"/>
        <v>0</v>
      </c>
      <c r="AG1972" s="23">
        <f t="shared" si="123"/>
        <v>1</v>
      </c>
    </row>
    <row r="1973" spans="1:33" x14ac:dyDescent="0.25">
      <c r="A1973" s="12" t="s">
        <v>31</v>
      </c>
      <c r="B1973" s="9">
        <v>46203</v>
      </c>
      <c r="C1973" s="10" t="s">
        <v>3107</v>
      </c>
      <c r="D1973" s="10" t="s">
        <v>3108</v>
      </c>
      <c r="E1973" s="10" t="s">
        <v>51</v>
      </c>
      <c r="F1973" s="10" t="s">
        <v>35</v>
      </c>
      <c r="G1973" s="10" t="s">
        <v>3146</v>
      </c>
      <c r="H1973" s="8" t="s">
        <v>36</v>
      </c>
      <c r="I1973" s="11">
        <v>69.739999999999995</v>
      </c>
      <c r="J1973" s="6">
        <v>63.95158</v>
      </c>
      <c r="K1973" s="6">
        <v>0.91700000000000004</v>
      </c>
      <c r="L1973" s="6">
        <v>65.63</v>
      </c>
      <c r="M1973" s="11">
        <v>60.18271</v>
      </c>
      <c r="N1973" s="11">
        <f t="shared" si="120"/>
        <v>60.183</v>
      </c>
      <c r="O1973" s="6">
        <v>0.91700000000000004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4.1100000000000003</v>
      </c>
      <c r="Z1973" s="6">
        <v>3.7688700000000002</v>
      </c>
      <c r="AA1973" s="6">
        <v>0.91699999999999993</v>
      </c>
      <c r="AB1973" s="6">
        <v>-4.1099999999999994</v>
      </c>
      <c r="AC1973" s="6">
        <v>4.1099999999999994</v>
      </c>
      <c r="AD1973" s="22" t="s">
        <v>3140</v>
      </c>
      <c r="AE1973" s="23">
        <f t="shared" si="121"/>
        <v>60.183</v>
      </c>
      <c r="AF1973" s="24">
        <f t="shared" si="122"/>
        <v>0</v>
      </c>
      <c r="AG1973" s="23">
        <f t="shared" si="123"/>
        <v>1</v>
      </c>
    </row>
    <row r="1974" spans="1:33" ht="12.5" customHeight="1" x14ac:dyDescent="0.25">
      <c r="A1974" s="12" t="s">
        <v>31</v>
      </c>
      <c r="B1974" s="9">
        <v>46203</v>
      </c>
      <c r="C1974" s="8" t="s">
        <v>3109</v>
      </c>
      <c r="D1974" s="10" t="s">
        <v>3061</v>
      </c>
      <c r="E1974" s="10" t="s">
        <v>51</v>
      </c>
      <c r="F1974" s="10" t="s">
        <v>35</v>
      </c>
      <c r="G1974" s="10" t="s">
        <v>3146</v>
      </c>
      <c r="H1974" s="8" t="s">
        <v>36</v>
      </c>
      <c r="I1974" s="11">
        <v>7.95</v>
      </c>
      <c r="J1974" s="6">
        <v>7.2901499999999997</v>
      </c>
      <c r="K1974" s="6">
        <v>0.91699999999999993</v>
      </c>
      <c r="L1974" s="6">
        <v>7.95</v>
      </c>
      <c r="M1974" s="11">
        <v>7.2901499999999997</v>
      </c>
      <c r="N1974" s="11">
        <f t="shared" si="120"/>
        <v>7.2910000000000004</v>
      </c>
      <c r="O1974" s="6">
        <v>0.91699999999999993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0</v>
      </c>
      <c r="AC1974" s="6">
        <v>0</v>
      </c>
      <c r="AD1974" s="22" t="s">
        <v>3140</v>
      </c>
      <c r="AE1974" s="23">
        <f t="shared" si="121"/>
        <v>7.2910000000000004</v>
      </c>
      <c r="AF1974" s="24">
        <f t="shared" si="122"/>
        <v>0</v>
      </c>
      <c r="AG1974" s="23">
        <f t="shared" si="123"/>
        <v>2</v>
      </c>
    </row>
    <row r="1975" spans="1:33" ht="12.5" hidden="1" customHeight="1" x14ac:dyDescent="0.25">
      <c r="A1975" s="12" t="s">
        <v>31</v>
      </c>
      <c r="B1975" s="9">
        <v>46203</v>
      </c>
      <c r="C1975" s="12" t="s">
        <v>3109</v>
      </c>
      <c r="D1975" s="10" t="s">
        <v>3110</v>
      </c>
      <c r="E1975" s="10" t="s">
        <v>51</v>
      </c>
      <c r="F1975" s="10" t="s">
        <v>35</v>
      </c>
      <c r="G1975" s="10" t="s">
        <v>3145</v>
      </c>
      <c r="H1975" s="8" t="s">
        <v>41</v>
      </c>
      <c r="I1975" s="11">
        <v>62.96</v>
      </c>
      <c r="J1975" s="6">
        <v>47.22</v>
      </c>
      <c r="K1975" s="6">
        <v>0.75</v>
      </c>
      <c r="L1975" s="6">
        <v>62.96</v>
      </c>
      <c r="M1975" s="11">
        <v>47.22</v>
      </c>
      <c r="N1975" s="11">
        <f t="shared" si="120"/>
        <v>47.22</v>
      </c>
      <c r="O1975" s="6">
        <v>0.75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  <c r="AC1975" s="6">
        <v>0</v>
      </c>
      <c r="AD1975" s="22" t="s">
        <v>3140</v>
      </c>
      <c r="AE1975" s="23">
        <f t="shared" si="121"/>
        <v>47.22</v>
      </c>
      <c r="AF1975" s="24">
        <f t="shared" si="122"/>
        <v>0</v>
      </c>
      <c r="AG1975" s="23">
        <f t="shared" si="123"/>
        <v>1</v>
      </c>
    </row>
    <row r="1976" spans="1:33" ht="12.5" hidden="1" customHeight="1" x14ac:dyDescent="0.25">
      <c r="A1976" s="12" t="s">
        <v>31</v>
      </c>
      <c r="B1976" s="9">
        <v>46203</v>
      </c>
      <c r="C1976" s="13" t="s">
        <v>3109</v>
      </c>
      <c r="D1976" s="10" t="s">
        <v>3111</v>
      </c>
      <c r="E1976" s="10" t="s">
        <v>51</v>
      </c>
      <c r="F1976" s="10" t="s">
        <v>35</v>
      </c>
      <c r="G1976" s="10" t="s">
        <v>3145</v>
      </c>
      <c r="H1976" s="8" t="s">
        <v>48</v>
      </c>
      <c r="I1976" s="11">
        <v>21.33</v>
      </c>
      <c r="J1976" s="6">
        <v>15.9975</v>
      </c>
      <c r="K1976" s="6">
        <v>0.75000000000000011</v>
      </c>
      <c r="L1976" s="6">
        <v>21.33</v>
      </c>
      <c r="M1976" s="11">
        <v>15.9975</v>
      </c>
      <c r="N1976" s="11">
        <f t="shared" si="120"/>
        <v>15.997999999999999</v>
      </c>
      <c r="O1976" s="6">
        <v>0.75000000000000011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0</v>
      </c>
      <c r="AD1976" s="22" t="s">
        <v>3140</v>
      </c>
      <c r="AE1976" s="23">
        <f t="shared" si="121"/>
        <v>15.997999999999999</v>
      </c>
      <c r="AF1976" s="24">
        <f t="shared" si="122"/>
        <v>0</v>
      </c>
      <c r="AG1976" s="23">
        <f t="shared" si="123"/>
        <v>1</v>
      </c>
    </row>
    <row r="1977" spans="1:33" ht="12.5" hidden="1" customHeight="1" x14ac:dyDescent="0.25">
      <c r="A1977" s="12" t="s">
        <v>31</v>
      </c>
      <c r="B1977" s="9">
        <v>46203</v>
      </c>
      <c r="C1977" s="8" t="s">
        <v>3112</v>
      </c>
      <c r="D1977" s="10" t="s">
        <v>3113</v>
      </c>
      <c r="E1977" s="10" t="s">
        <v>51</v>
      </c>
      <c r="F1977" s="10" t="s">
        <v>35</v>
      </c>
      <c r="G1977" s="10" t="s">
        <v>3145</v>
      </c>
      <c r="H1977" s="8" t="s">
        <v>41</v>
      </c>
      <c r="I1977" s="11">
        <v>29.69</v>
      </c>
      <c r="J1977" s="6">
        <v>22.267499999999998</v>
      </c>
      <c r="K1977" s="6">
        <v>0.74999999999999989</v>
      </c>
      <c r="L1977" s="6">
        <v>28.03</v>
      </c>
      <c r="M1977" s="11">
        <v>21.022500000000001</v>
      </c>
      <c r="N1977" s="11">
        <f t="shared" si="120"/>
        <v>21.023</v>
      </c>
      <c r="O1977" s="6">
        <v>0.75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1.66</v>
      </c>
      <c r="Z1977" s="6">
        <v>1.2450000000000001</v>
      </c>
      <c r="AA1977" s="6">
        <v>0.75000000000000011</v>
      </c>
      <c r="AB1977" s="6">
        <v>-1.66</v>
      </c>
      <c r="AC1977" s="6">
        <v>1.66</v>
      </c>
      <c r="AD1977" s="22" t="s">
        <v>3140</v>
      </c>
      <c r="AE1977" s="23">
        <f t="shared" si="121"/>
        <v>21.023</v>
      </c>
      <c r="AF1977" s="24">
        <f t="shared" si="122"/>
        <v>0</v>
      </c>
      <c r="AG1977" s="23">
        <f t="shared" si="123"/>
        <v>1</v>
      </c>
    </row>
    <row r="1978" spans="1:33" ht="12.5" customHeight="1" x14ac:dyDescent="0.25">
      <c r="A1978" s="12" t="s">
        <v>31</v>
      </c>
      <c r="B1978" s="9">
        <v>46203</v>
      </c>
      <c r="C1978" s="12" t="s">
        <v>3112</v>
      </c>
      <c r="D1978" s="10" t="s">
        <v>3114</v>
      </c>
      <c r="E1978" s="10" t="s">
        <v>51</v>
      </c>
      <c r="F1978" s="10" t="s">
        <v>35</v>
      </c>
      <c r="G1978" s="10" t="s">
        <v>3146</v>
      </c>
      <c r="H1978" s="8" t="s">
        <v>36</v>
      </c>
      <c r="I1978" s="11">
        <v>21.550999999999998</v>
      </c>
      <c r="J1978" s="6">
        <v>19.762267000000001</v>
      </c>
      <c r="K1978" s="6">
        <v>0.91700000000000015</v>
      </c>
      <c r="L1978" s="6">
        <v>21.541</v>
      </c>
      <c r="M1978" s="11">
        <v>19.753097</v>
      </c>
      <c r="N1978" s="11">
        <f t="shared" si="120"/>
        <v>19.754000000000001</v>
      </c>
      <c r="O1978" s="6">
        <v>0.91700000000000004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0.01</v>
      </c>
      <c r="Z1978" s="6">
        <v>9.1699999999999993E-3</v>
      </c>
      <c r="AA1978" s="6">
        <v>0.91699999999999993</v>
      </c>
      <c r="AB1978" s="6">
        <v>-9.9999999999980105E-3</v>
      </c>
      <c r="AC1978" s="6">
        <v>9.9999999999980105E-3</v>
      </c>
      <c r="AD1978" s="22" t="s">
        <v>3140</v>
      </c>
      <c r="AE1978" s="23">
        <f t="shared" si="121"/>
        <v>19.754000000000001</v>
      </c>
      <c r="AF1978" s="24">
        <f t="shared" si="122"/>
        <v>0</v>
      </c>
      <c r="AG1978" s="23">
        <f t="shared" si="123"/>
        <v>1</v>
      </c>
    </row>
    <row r="1979" spans="1:33" ht="12.5" hidden="1" customHeight="1" x14ac:dyDescent="0.25">
      <c r="A1979" s="12" t="s">
        <v>31</v>
      </c>
      <c r="B1979" s="9">
        <v>46203</v>
      </c>
      <c r="C1979" s="12" t="s">
        <v>3112</v>
      </c>
      <c r="D1979" s="10" t="s">
        <v>3115</v>
      </c>
      <c r="E1979" s="10" t="s">
        <v>51</v>
      </c>
      <c r="F1979" s="10" t="s">
        <v>35</v>
      </c>
      <c r="G1979" s="10" t="s">
        <v>3145</v>
      </c>
      <c r="H1979" s="8" t="s">
        <v>48</v>
      </c>
      <c r="I1979" s="11">
        <v>15.26</v>
      </c>
      <c r="J1979" s="6">
        <v>11.445</v>
      </c>
      <c r="K1979" s="6">
        <v>0.75</v>
      </c>
      <c r="L1979" s="6">
        <v>15.26</v>
      </c>
      <c r="M1979" s="11">
        <v>11.445</v>
      </c>
      <c r="N1979" s="11">
        <f t="shared" si="120"/>
        <v>11.445</v>
      </c>
      <c r="O1979" s="6">
        <v>0.75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22" t="s">
        <v>3140</v>
      </c>
      <c r="AE1979" s="23">
        <f t="shared" si="121"/>
        <v>11.445</v>
      </c>
      <c r="AF1979" s="24">
        <f t="shared" si="122"/>
        <v>0</v>
      </c>
      <c r="AG1979" s="23">
        <f t="shared" si="123"/>
        <v>1</v>
      </c>
    </row>
    <row r="1980" spans="1:33" ht="12.5" hidden="1" customHeight="1" x14ac:dyDescent="0.25">
      <c r="A1980" s="12" t="s">
        <v>31</v>
      </c>
      <c r="B1980" s="9">
        <v>46203</v>
      </c>
      <c r="C1980" s="12" t="s">
        <v>3112</v>
      </c>
      <c r="D1980" s="10" t="s">
        <v>3116</v>
      </c>
      <c r="E1980" s="10" t="s">
        <v>51</v>
      </c>
      <c r="F1980" s="10" t="s">
        <v>35</v>
      </c>
      <c r="G1980" s="10" t="s">
        <v>3145</v>
      </c>
      <c r="H1980" s="8" t="s">
        <v>48</v>
      </c>
      <c r="I1980" s="11">
        <v>21.37</v>
      </c>
      <c r="J1980" s="6">
        <v>16.0275</v>
      </c>
      <c r="K1980" s="6">
        <v>0.75</v>
      </c>
      <c r="L1980" s="6">
        <v>21.37</v>
      </c>
      <c r="M1980" s="11">
        <v>16.0275</v>
      </c>
      <c r="N1980" s="11">
        <f t="shared" si="120"/>
        <v>16.028000000000002</v>
      </c>
      <c r="O1980" s="6">
        <v>0.75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22" t="s">
        <v>3140</v>
      </c>
      <c r="AE1980" s="23">
        <f t="shared" si="121"/>
        <v>16.028000000000002</v>
      </c>
      <c r="AF1980" s="24">
        <f t="shared" si="122"/>
        <v>0</v>
      </c>
      <c r="AG1980" s="23">
        <f t="shared" si="123"/>
        <v>1</v>
      </c>
    </row>
    <row r="1981" spans="1:33" ht="12.5" hidden="1" customHeight="1" x14ac:dyDescent="0.25">
      <c r="A1981" s="12" t="s">
        <v>31</v>
      </c>
      <c r="B1981" s="9">
        <v>46203</v>
      </c>
      <c r="C1981" s="13" t="s">
        <v>3112</v>
      </c>
      <c r="D1981" s="10" t="s">
        <v>3117</v>
      </c>
      <c r="E1981" s="10" t="s">
        <v>51</v>
      </c>
      <c r="F1981" s="10" t="s">
        <v>35</v>
      </c>
      <c r="G1981" s="10" t="s">
        <v>3145</v>
      </c>
      <c r="H1981" s="8" t="s">
        <v>48</v>
      </c>
      <c r="I1981" s="11">
        <v>15.23</v>
      </c>
      <c r="J1981" s="6">
        <v>11.422499999999999</v>
      </c>
      <c r="K1981" s="6">
        <v>0.74999999999999989</v>
      </c>
      <c r="L1981" s="6">
        <v>15.23</v>
      </c>
      <c r="M1981" s="11">
        <v>11.422499999999999</v>
      </c>
      <c r="N1981" s="11">
        <f t="shared" si="120"/>
        <v>11.423</v>
      </c>
      <c r="O1981" s="6">
        <v>0.74999999999999989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  <c r="AC1981" s="6">
        <v>0</v>
      </c>
      <c r="AD1981" s="22" t="s">
        <v>3140</v>
      </c>
      <c r="AE1981" s="23">
        <f t="shared" si="121"/>
        <v>11.423</v>
      </c>
      <c r="AF1981" s="24">
        <f t="shared" si="122"/>
        <v>0</v>
      </c>
      <c r="AG1981" s="23">
        <f t="shared" si="123"/>
        <v>1</v>
      </c>
    </row>
    <row r="1982" spans="1:33" x14ac:dyDescent="0.25">
      <c r="A1982" s="12" t="s">
        <v>31</v>
      </c>
      <c r="B1982" s="9">
        <v>46203</v>
      </c>
      <c r="C1982" s="10" t="s">
        <v>3118</v>
      </c>
      <c r="D1982" s="10" t="s">
        <v>3119</v>
      </c>
      <c r="E1982" s="10" t="s">
        <v>51</v>
      </c>
      <c r="F1982" s="10" t="s">
        <v>35</v>
      </c>
      <c r="G1982" s="10" t="s">
        <v>3146</v>
      </c>
      <c r="H1982" s="8" t="s">
        <v>36</v>
      </c>
      <c r="I1982" s="11">
        <v>102.27</v>
      </c>
      <c r="J1982" s="6">
        <v>93.781589999999994</v>
      </c>
      <c r="K1982" s="6">
        <v>0.91699999999999993</v>
      </c>
      <c r="L1982" s="6">
        <v>96.79</v>
      </c>
      <c r="M1982" s="11">
        <v>88.756429999999995</v>
      </c>
      <c r="N1982" s="11">
        <f t="shared" si="120"/>
        <v>88.757000000000005</v>
      </c>
      <c r="O1982" s="6">
        <v>0.91699999999999993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5.48</v>
      </c>
      <c r="Z1982" s="6">
        <v>5.0251599999999996</v>
      </c>
      <c r="AA1982" s="6">
        <v>0.91699999999999982</v>
      </c>
      <c r="AB1982" s="6">
        <v>-5.4799999999999898</v>
      </c>
      <c r="AC1982" s="6">
        <v>5.4799999999999898</v>
      </c>
      <c r="AD1982" s="22" t="s">
        <v>3140</v>
      </c>
      <c r="AE1982" s="23">
        <f t="shared" si="121"/>
        <v>88.757000000000005</v>
      </c>
      <c r="AF1982" s="24">
        <f t="shared" si="122"/>
        <v>0</v>
      </c>
      <c r="AG1982" s="23">
        <f t="shared" si="123"/>
        <v>1</v>
      </c>
    </row>
    <row r="1983" spans="1:33" x14ac:dyDescent="0.25">
      <c r="A1983" s="12" t="s">
        <v>31</v>
      </c>
      <c r="B1983" s="9">
        <v>46203</v>
      </c>
      <c r="C1983" s="10" t="s">
        <v>3120</v>
      </c>
      <c r="D1983" s="10" t="s">
        <v>3121</v>
      </c>
      <c r="E1983" s="10" t="s">
        <v>51</v>
      </c>
      <c r="F1983" s="10" t="s">
        <v>35</v>
      </c>
      <c r="G1983" s="10" t="s">
        <v>3146</v>
      </c>
      <c r="H1983" s="8" t="s">
        <v>36</v>
      </c>
      <c r="I1983" s="11">
        <v>8.99</v>
      </c>
      <c r="J1983" s="6">
        <v>8.2438300000000009</v>
      </c>
      <c r="K1983" s="6">
        <v>0.91700000000000004</v>
      </c>
      <c r="L1983" s="6">
        <v>8.2899999999999991</v>
      </c>
      <c r="M1983" s="11">
        <v>7.6019300000000003</v>
      </c>
      <c r="N1983" s="11">
        <f t="shared" si="120"/>
        <v>7.6020000000000003</v>
      </c>
      <c r="O1983" s="6">
        <v>0.91700000000000015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0.7</v>
      </c>
      <c r="Z1983" s="6">
        <v>0.64190000000000003</v>
      </c>
      <c r="AA1983" s="6">
        <v>0.91700000000000015</v>
      </c>
      <c r="AB1983" s="6">
        <v>-0.70000000000000107</v>
      </c>
      <c r="AC1983" s="6">
        <v>0.70000000000000107</v>
      </c>
      <c r="AD1983" s="22" t="s">
        <v>3140</v>
      </c>
      <c r="AE1983" s="23">
        <f t="shared" si="121"/>
        <v>7.6020000000000003</v>
      </c>
      <c r="AF1983" s="24">
        <f t="shared" si="122"/>
        <v>0</v>
      </c>
      <c r="AG1983" s="23">
        <f t="shared" si="123"/>
        <v>1</v>
      </c>
    </row>
    <row r="1984" spans="1:33" hidden="1" x14ac:dyDescent="0.25">
      <c r="A1984" s="12" t="s">
        <v>31</v>
      </c>
      <c r="B1984" s="9">
        <v>46203</v>
      </c>
      <c r="C1984" s="10" t="s">
        <v>3122</v>
      </c>
      <c r="D1984" s="10" t="s">
        <v>3123</v>
      </c>
      <c r="E1984" s="10" t="s">
        <v>51</v>
      </c>
      <c r="F1984" s="10" t="s">
        <v>35</v>
      </c>
      <c r="G1984" s="10" t="s">
        <v>3145</v>
      </c>
      <c r="H1984" s="8" t="s">
        <v>41</v>
      </c>
      <c r="I1984" s="11">
        <v>20.55</v>
      </c>
      <c r="J1984" s="6">
        <v>15.4125</v>
      </c>
      <c r="K1984" s="6">
        <v>0.75</v>
      </c>
      <c r="L1984" s="6">
        <v>19.350000000000001</v>
      </c>
      <c r="M1984" s="11">
        <v>14.512499999999999</v>
      </c>
      <c r="N1984" s="11">
        <f t="shared" si="120"/>
        <v>14.513</v>
      </c>
      <c r="O1984" s="6">
        <v>0.74999999999999989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1.2</v>
      </c>
      <c r="Z1984" s="6">
        <v>0.9</v>
      </c>
      <c r="AA1984" s="6">
        <v>0.75</v>
      </c>
      <c r="AB1984" s="6">
        <v>-1.1999999999999993</v>
      </c>
      <c r="AC1984" s="6">
        <v>1.1999999999999993</v>
      </c>
      <c r="AD1984" s="22" t="s">
        <v>3140</v>
      </c>
      <c r="AE1984" s="23">
        <f t="shared" si="121"/>
        <v>14.513</v>
      </c>
      <c r="AF1984" s="24">
        <f t="shared" si="122"/>
        <v>0</v>
      </c>
      <c r="AG1984" s="23">
        <f t="shared" si="123"/>
        <v>1</v>
      </c>
    </row>
    <row r="1985" spans="1:33" x14ac:dyDescent="0.25">
      <c r="A1985" s="12" t="s">
        <v>31</v>
      </c>
      <c r="B1985" s="9">
        <v>46203</v>
      </c>
      <c r="C1985" s="10" t="s">
        <v>3124</v>
      </c>
      <c r="D1985" s="10" t="s">
        <v>3125</v>
      </c>
      <c r="E1985" s="10" t="s">
        <v>51</v>
      </c>
      <c r="F1985" s="10" t="s">
        <v>35</v>
      </c>
      <c r="G1985" s="10" t="s">
        <v>3146</v>
      </c>
      <c r="H1985" s="8" t="s">
        <v>36</v>
      </c>
      <c r="I1985" s="11">
        <v>25.16</v>
      </c>
      <c r="J1985" s="6">
        <v>23.071719999999999</v>
      </c>
      <c r="K1985" s="6">
        <v>0.91699999999999993</v>
      </c>
      <c r="L1985" s="6">
        <v>23.17</v>
      </c>
      <c r="M1985" s="11">
        <v>21.24689</v>
      </c>
      <c r="N1985" s="11">
        <f t="shared" si="120"/>
        <v>21.247</v>
      </c>
      <c r="O1985" s="6">
        <v>0.91699999999999993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1.99</v>
      </c>
      <c r="Z1985" s="6">
        <v>1.82483</v>
      </c>
      <c r="AA1985" s="6">
        <v>0.91699999999999993</v>
      </c>
      <c r="AB1985" s="6">
        <v>-1.9899999999999984</v>
      </c>
      <c r="AC1985" s="6">
        <v>1.9899999999999984</v>
      </c>
      <c r="AD1985" s="22" t="s">
        <v>3140</v>
      </c>
      <c r="AE1985" s="23">
        <f t="shared" si="121"/>
        <v>21.247</v>
      </c>
      <c r="AF1985" s="24">
        <f t="shared" si="122"/>
        <v>0</v>
      </c>
      <c r="AG1985" s="23">
        <f t="shared" si="123"/>
        <v>1</v>
      </c>
    </row>
    <row r="1986" spans="1:33" x14ac:dyDescent="0.25">
      <c r="A1986" s="13" t="s">
        <v>31</v>
      </c>
      <c r="B1986" s="9">
        <v>46203</v>
      </c>
      <c r="C1986" s="10" t="s">
        <v>3126</v>
      </c>
      <c r="D1986" s="10" t="s">
        <v>338</v>
      </c>
      <c r="E1986" s="10" t="s">
        <v>51</v>
      </c>
      <c r="F1986" s="10" t="s">
        <v>35</v>
      </c>
      <c r="G1986" s="10" t="s">
        <v>3146</v>
      </c>
      <c r="H1986" s="8" t="s">
        <v>36</v>
      </c>
      <c r="I1986" s="11">
        <v>13.53</v>
      </c>
      <c r="J1986" s="6">
        <v>12.40701</v>
      </c>
      <c r="K1986" s="6">
        <v>0.91700000000000004</v>
      </c>
      <c r="L1986" s="6">
        <v>12.31</v>
      </c>
      <c r="M1986" s="11">
        <v>11.288270000000001</v>
      </c>
      <c r="N1986" s="11">
        <f t="shared" si="120"/>
        <v>11.289</v>
      </c>
      <c r="O1986" s="6">
        <v>0.91700000000000004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1.22</v>
      </c>
      <c r="Z1986" s="6">
        <v>1.1187400000000001</v>
      </c>
      <c r="AA1986" s="6">
        <v>0.91700000000000004</v>
      </c>
      <c r="AB1986" s="6">
        <v>-1.2199999999999989</v>
      </c>
      <c r="AC1986" s="6">
        <v>1.2199999999999989</v>
      </c>
      <c r="AD1986" s="23" t="s">
        <v>3143</v>
      </c>
      <c r="AE1986" s="23">
        <f t="shared" si="121"/>
        <v>0</v>
      </c>
      <c r="AF1986" s="24">
        <f t="shared" si="122"/>
        <v>11.289</v>
      </c>
      <c r="AG1986" s="23">
        <f t="shared" si="123"/>
        <v>67</v>
      </c>
    </row>
    <row r="1987" spans="1:33" ht="20" customHeight="1" x14ac:dyDescent="0.25">
      <c r="A1987" s="8" t="s">
        <v>3127</v>
      </c>
      <c r="B1987" s="9">
        <v>46179</v>
      </c>
      <c r="C1987" s="10" t="s">
        <v>3128</v>
      </c>
      <c r="D1987" s="10" t="s">
        <v>3129</v>
      </c>
      <c r="E1987" s="10" t="s">
        <v>51</v>
      </c>
      <c r="F1987" s="10" t="s">
        <v>133</v>
      </c>
      <c r="G1987" s="10" t="s">
        <v>3146</v>
      </c>
      <c r="H1987" s="8" t="s">
        <v>36</v>
      </c>
      <c r="I1987" s="11">
        <v>125.59</v>
      </c>
      <c r="J1987" s="6">
        <v>115.16603000000001</v>
      </c>
      <c r="K1987" s="6">
        <v>0.91700000000000004</v>
      </c>
      <c r="L1987" s="6">
        <v>125.48</v>
      </c>
      <c r="M1987" s="11">
        <v>115.06516000000001</v>
      </c>
      <c r="N1987" s="11">
        <f>ROUNDUP(M1987,3)</f>
        <v>115.066</v>
      </c>
      <c r="O1987" s="6">
        <v>0.91700000000000004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0.11</v>
      </c>
      <c r="Z1987" s="6">
        <v>0.10087</v>
      </c>
      <c r="AA1987" s="6">
        <v>0.91700000000000004</v>
      </c>
      <c r="AB1987" s="6">
        <v>-0.10999999999999943</v>
      </c>
      <c r="AC1987" s="6">
        <v>0.10999999999999943</v>
      </c>
      <c r="AD1987" s="23" t="s">
        <v>3142</v>
      </c>
      <c r="AE1987" s="23">
        <f>_xlfn.MINIFS(N:N,D:D,D1987)</f>
        <v>115.066</v>
      </c>
      <c r="AF1987" s="24">
        <f>N1987-AE1987</f>
        <v>0</v>
      </c>
      <c r="AG1987" s="23">
        <f>COUNTIF(D:D,D1987)</f>
        <v>1</v>
      </c>
    </row>
    <row r="1988" spans="1:33" ht="30" hidden="1" x14ac:dyDescent="0.25">
      <c r="A1988" s="12" t="s">
        <v>3127</v>
      </c>
      <c r="B1988" s="9">
        <v>46185</v>
      </c>
      <c r="C1988" s="10" t="s">
        <v>3130</v>
      </c>
      <c r="D1988" s="10" t="s">
        <v>3131</v>
      </c>
      <c r="E1988" s="10" t="s">
        <v>51</v>
      </c>
      <c r="F1988" s="10" t="s">
        <v>35</v>
      </c>
      <c r="G1988" s="10" t="s">
        <v>3145</v>
      </c>
      <c r="H1988" s="8" t="s">
        <v>41</v>
      </c>
      <c r="I1988" s="11">
        <v>8.08</v>
      </c>
      <c r="J1988" s="6">
        <v>6.06</v>
      </c>
      <c r="K1988" s="6">
        <v>0.75</v>
      </c>
      <c r="L1988" s="6">
        <v>8.08</v>
      </c>
      <c r="M1988" s="11">
        <v>6.06</v>
      </c>
      <c r="N1988" s="11">
        <f>ROUNDUP(M1988,3)</f>
        <v>6.06</v>
      </c>
      <c r="O1988" s="6">
        <v>0.75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22" t="s">
        <v>3140</v>
      </c>
      <c r="AE1988" s="23">
        <f>_xlfn.MINIFS(N:N,D:D,D1988)</f>
        <v>6.06</v>
      </c>
      <c r="AF1988" s="24">
        <f>N1988-AE1988</f>
        <v>0</v>
      </c>
      <c r="AG1988" s="23">
        <f>COUNTIF(D:D,D1988)</f>
        <v>1</v>
      </c>
    </row>
    <row r="1989" spans="1:33" ht="30" hidden="1" x14ac:dyDescent="0.25">
      <c r="A1989" s="13" t="s">
        <v>3127</v>
      </c>
      <c r="B1989" s="9">
        <v>46185</v>
      </c>
      <c r="C1989" s="10" t="s">
        <v>3132</v>
      </c>
      <c r="D1989" s="10" t="s">
        <v>3133</v>
      </c>
      <c r="E1989" s="10" t="s">
        <v>51</v>
      </c>
      <c r="F1989" s="10" t="s">
        <v>35</v>
      </c>
      <c r="G1989" s="10" t="s">
        <v>3145</v>
      </c>
      <c r="H1989" s="8" t="s">
        <v>41</v>
      </c>
      <c r="I1989" s="11">
        <v>0.73</v>
      </c>
      <c r="J1989" s="6">
        <v>0.54749999999999999</v>
      </c>
      <c r="K1989" s="6">
        <v>0.75</v>
      </c>
      <c r="L1989" s="6">
        <v>0.73</v>
      </c>
      <c r="M1989" s="11">
        <v>0.54749999999999999</v>
      </c>
      <c r="N1989" s="11">
        <f>ROUNDUP(M1989,3)</f>
        <v>0.54800000000000004</v>
      </c>
      <c r="O1989" s="6">
        <v>0.75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  <c r="AC1989" s="6">
        <v>0</v>
      </c>
      <c r="AD1989" s="22" t="s">
        <v>3140</v>
      </c>
      <c r="AE1989" s="23">
        <f>_xlfn.MINIFS(N:N,D:D,D1989)</f>
        <v>0.54800000000000004</v>
      </c>
      <c r="AF1989" s="24">
        <f>N1989-AE1989</f>
        <v>0</v>
      </c>
      <c r="AG1989" s="23">
        <f>COUNTIF(D:D,D1989)</f>
        <v>1</v>
      </c>
    </row>
    <row r="1990" spans="1:33" ht="409.6" hidden="1" customHeight="1" x14ac:dyDescent="0.25"/>
    <row r="1991" spans="1:33" ht="85.75" customHeight="1" x14ac:dyDescent="0.25"/>
  </sheetData>
  <autoFilter ref="A1:AW1989" xr:uid="{26583C68-E172-42A4-8DBD-54AE67B0AF26}">
    <filterColumn colId="7">
      <filters>
        <filter val="G-NA-91.70-YG"/>
        <filter val="G-NA-91.80-YG"/>
      </filters>
    </filterColumn>
  </autoFilter>
  <conditionalFormatting sqref="D1:D1048576">
    <cfRule type="duplicateValues" dxfId="0" priority="1" stopIfTrue="1"/>
  </conditionalFormatting>
  <pageMargins left="0.25" right="0.25" top="0.25" bottom="0.54167007874015749" header="0.25" footer="0.25"/>
  <pageSetup paperSize="9" orientation="portrait" r:id="rId1"/>
  <headerFooter alignWithMargins="0">
    <oddFooter>&amp;L&amp;"Arial"&amp;8&amp;BPage &amp;P of &amp;N&amp;B &amp;C&amp;"Arial"&amp;8&amp;B09/07/2026 6:06:57 PM&amp;B 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6295-01FD-464C-9FD0-27BAAEB10E74}">
  <dimension ref="A3:N14"/>
  <sheetViews>
    <sheetView tabSelected="1" topLeftCell="A2" workbookViewId="0">
      <selection activeCell="D23" sqref="D23"/>
    </sheetView>
  </sheetViews>
  <sheetFormatPr defaultRowHeight="12.5" x14ac:dyDescent="0.25"/>
  <cols>
    <col min="1" max="1" width="14.7265625" bestFit="1" customWidth="1"/>
    <col min="2" max="2" width="7.453125" bestFit="1" customWidth="1"/>
    <col min="3" max="3" width="18.6328125" bestFit="1" customWidth="1"/>
    <col min="4" max="4" width="14.08984375" bestFit="1" customWidth="1"/>
    <col min="5" max="5" width="19.6328125" bestFit="1" customWidth="1"/>
    <col min="6" max="6" width="15.08984375" bestFit="1" customWidth="1"/>
    <col min="7" max="7" width="21.90625" bestFit="1" customWidth="1"/>
    <col min="8" max="8" width="17.36328125" bestFit="1" customWidth="1"/>
    <col min="9" max="9" width="19.90625" bestFit="1" customWidth="1"/>
    <col min="10" max="10" width="22.7265625" bestFit="1" customWidth="1"/>
    <col min="11" max="11" width="21.26953125" bestFit="1" customWidth="1"/>
    <col min="12" max="12" width="24" bestFit="1" customWidth="1"/>
    <col min="13" max="13" width="18.1796875" bestFit="1" customWidth="1"/>
    <col min="14" max="14" width="16.453125" bestFit="1" customWidth="1"/>
  </cols>
  <sheetData>
    <row r="3" spans="1:14" x14ac:dyDescent="0.25">
      <c r="A3" s="25"/>
      <c r="B3" s="26"/>
      <c r="C3" s="29" t="s">
        <v>3151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</row>
    <row r="4" spans="1:14" x14ac:dyDescent="0.25">
      <c r="A4" s="29" t="s">
        <v>3136</v>
      </c>
      <c r="B4" s="29" t="s">
        <v>3135</v>
      </c>
      <c r="C4" s="25" t="s">
        <v>3150</v>
      </c>
      <c r="D4" s="40" t="s">
        <v>3152</v>
      </c>
      <c r="E4" s="40" t="s">
        <v>3153</v>
      </c>
      <c r="F4" s="40" t="s">
        <v>3154</v>
      </c>
      <c r="G4" s="40" t="s">
        <v>3155</v>
      </c>
      <c r="H4" s="40" t="s">
        <v>3156</v>
      </c>
      <c r="I4" s="40" t="s">
        <v>3157</v>
      </c>
      <c r="J4" s="40" t="s">
        <v>3158</v>
      </c>
      <c r="K4" s="40" t="s">
        <v>3159</v>
      </c>
      <c r="L4" s="40" t="s">
        <v>3160</v>
      </c>
      <c r="M4" s="40" t="s">
        <v>3161</v>
      </c>
      <c r="N4" s="33" t="s">
        <v>3162</v>
      </c>
    </row>
    <row r="5" spans="1:14" x14ac:dyDescent="0.25">
      <c r="A5" s="25" t="s">
        <v>3143</v>
      </c>
      <c r="B5" s="25" t="s">
        <v>3146</v>
      </c>
      <c r="C5" s="34">
        <v>14980.798200000007</v>
      </c>
      <c r="D5" s="41">
        <v>13737.395697900007</v>
      </c>
      <c r="E5" s="41">
        <v>14494.380799999995</v>
      </c>
      <c r="F5" s="41">
        <v>13291.350755900001</v>
      </c>
      <c r="G5" s="41">
        <v>0.5</v>
      </c>
      <c r="H5" s="41">
        <v>0.45850000000000002</v>
      </c>
      <c r="I5" s="41">
        <v>0</v>
      </c>
      <c r="J5" s="41">
        <v>0</v>
      </c>
      <c r="K5" s="41">
        <v>0</v>
      </c>
      <c r="L5" s="41">
        <v>0</v>
      </c>
      <c r="M5" s="41">
        <v>485.91739999999959</v>
      </c>
      <c r="N5" s="35">
        <v>445.5864420000002</v>
      </c>
    </row>
    <row r="6" spans="1:14" x14ac:dyDescent="0.25">
      <c r="A6" s="28"/>
      <c r="B6" s="30" t="s">
        <v>3145</v>
      </c>
      <c r="C6" s="36">
        <v>9068.0239999999958</v>
      </c>
      <c r="D6" s="42">
        <v>6801.0179999999946</v>
      </c>
      <c r="E6" s="42">
        <v>8691.354099999995</v>
      </c>
      <c r="F6" s="42">
        <v>6518.5155749999958</v>
      </c>
      <c r="G6" s="42">
        <v>2.34</v>
      </c>
      <c r="H6" s="42">
        <v>1.7550000000000001</v>
      </c>
      <c r="I6" s="42">
        <v>0</v>
      </c>
      <c r="J6" s="42">
        <v>0</v>
      </c>
      <c r="K6" s="42">
        <v>0</v>
      </c>
      <c r="L6" s="42">
        <v>0</v>
      </c>
      <c r="M6" s="42">
        <v>374.32990000000012</v>
      </c>
      <c r="N6" s="37">
        <v>280.74742499999996</v>
      </c>
    </row>
    <row r="7" spans="1:14" x14ac:dyDescent="0.25">
      <c r="A7" s="25" t="s">
        <v>3147</v>
      </c>
      <c r="B7" s="26"/>
      <c r="C7" s="34">
        <v>24048.822200000002</v>
      </c>
      <c r="D7" s="41">
        <v>20538.413697900003</v>
      </c>
      <c r="E7" s="41">
        <v>23185.734899999989</v>
      </c>
      <c r="F7" s="41">
        <v>19809.866330899997</v>
      </c>
      <c r="G7" s="41">
        <v>2.84</v>
      </c>
      <c r="H7" s="41">
        <v>2.2135000000000002</v>
      </c>
      <c r="I7" s="41">
        <v>0</v>
      </c>
      <c r="J7" s="41">
        <v>0</v>
      </c>
      <c r="K7" s="41">
        <v>0</v>
      </c>
      <c r="L7" s="41">
        <v>0</v>
      </c>
      <c r="M7" s="41">
        <v>860.24729999999977</v>
      </c>
      <c r="N7" s="35">
        <v>726.33386700000017</v>
      </c>
    </row>
    <row r="8" spans="1:14" x14ac:dyDescent="0.25">
      <c r="A8" s="25" t="s">
        <v>3140</v>
      </c>
      <c r="B8" s="25" t="s">
        <v>3146</v>
      </c>
      <c r="C8" s="34">
        <v>42406.752899999992</v>
      </c>
      <c r="D8" s="41">
        <v>38886.995963100017</v>
      </c>
      <c r="E8" s="41">
        <v>40300.910099999979</v>
      </c>
      <c r="F8" s="41">
        <v>36955.937992799983</v>
      </c>
      <c r="G8" s="41">
        <v>9.42</v>
      </c>
      <c r="H8" s="41">
        <v>8.6381399999999999</v>
      </c>
      <c r="I8" s="41">
        <v>0</v>
      </c>
      <c r="J8" s="41">
        <v>0</v>
      </c>
      <c r="K8" s="41">
        <v>0</v>
      </c>
      <c r="L8" s="41">
        <v>0</v>
      </c>
      <c r="M8" s="41">
        <v>2096.4227999999976</v>
      </c>
      <c r="N8" s="35">
        <v>1922.4198302999996</v>
      </c>
    </row>
    <row r="9" spans="1:14" x14ac:dyDescent="0.25">
      <c r="A9" s="28"/>
      <c r="B9" s="30" t="s">
        <v>3145</v>
      </c>
      <c r="C9" s="36">
        <v>25421.412700000019</v>
      </c>
      <c r="D9" s="42">
        <v>19066.059524999993</v>
      </c>
      <c r="E9" s="42">
        <v>23670.09860000003</v>
      </c>
      <c r="F9" s="42">
        <v>17752.573950000005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1751.3141000000014</v>
      </c>
      <c r="N9" s="37">
        <v>1313.4855749999999</v>
      </c>
    </row>
    <row r="10" spans="1:14" x14ac:dyDescent="0.25">
      <c r="A10" s="25" t="s">
        <v>3148</v>
      </c>
      <c r="B10" s="26"/>
      <c r="C10" s="34">
        <v>67828.165600000008</v>
      </c>
      <c r="D10" s="41">
        <v>57953.055488100013</v>
      </c>
      <c r="E10" s="41">
        <v>63971.008700000006</v>
      </c>
      <c r="F10" s="41">
        <v>54708.511942799989</v>
      </c>
      <c r="G10" s="41">
        <v>9.42</v>
      </c>
      <c r="H10" s="41">
        <v>8.6381399999999999</v>
      </c>
      <c r="I10" s="41">
        <v>0</v>
      </c>
      <c r="J10" s="41">
        <v>0</v>
      </c>
      <c r="K10" s="41">
        <v>0</v>
      </c>
      <c r="L10" s="41">
        <v>0</v>
      </c>
      <c r="M10" s="41">
        <v>3847.736899999999</v>
      </c>
      <c r="N10" s="35">
        <v>3235.9054052999995</v>
      </c>
    </row>
    <row r="11" spans="1:14" x14ac:dyDescent="0.25">
      <c r="A11" s="25" t="s">
        <v>3142</v>
      </c>
      <c r="B11" s="25" t="s">
        <v>3146</v>
      </c>
      <c r="C11" s="34">
        <v>376.55</v>
      </c>
      <c r="D11" s="41">
        <v>345.29634999999996</v>
      </c>
      <c r="E11" s="41">
        <v>374.56</v>
      </c>
      <c r="F11" s="41">
        <v>343.47152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1.99</v>
      </c>
      <c r="N11" s="35">
        <v>1.82483</v>
      </c>
    </row>
    <row r="12" spans="1:14" x14ac:dyDescent="0.25">
      <c r="A12" s="28"/>
      <c r="B12" s="30" t="s">
        <v>3145</v>
      </c>
      <c r="C12" s="36">
        <v>395.71999999999997</v>
      </c>
      <c r="D12" s="42">
        <v>296.78999999999996</v>
      </c>
      <c r="E12" s="42">
        <v>395.42</v>
      </c>
      <c r="F12" s="42">
        <v>296.565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0.30000000000000004</v>
      </c>
      <c r="N12" s="37">
        <v>0.22499999999999998</v>
      </c>
    </row>
    <row r="13" spans="1:14" x14ac:dyDescent="0.25">
      <c r="A13" s="25" t="s">
        <v>3149</v>
      </c>
      <c r="B13" s="26"/>
      <c r="C13" s="34">
        <v>772.27</v>
      </c>
      <c r="D13" s="41">
        <v>642.08634999999992</v>
      </c>
      <c r="E13" s="41">
        <v>769.98</v>
      </c>
      <c r="F13" s="41">
        <v>640.03652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2.29</v>
      </c>
      <c r="N13" s="35">
        <v>2.04983</v>
      </c>
    </row>
    <row r="14" spans="1:14" x14ac:dyDescent="0.25">
      <c r="A14" s="31" t="s">
        <v>3144</v>
      </c>
      <c r="B14" s="32"/>
      <c r="C14" s="38">
        <v>92649.257800000007</v>
      </c>
      <c r="D14" s="43">
        <v>79133.555536000014</v>
      </c>
      <c r="E14" s="43">
        <v>87926.723599999998</v>
      </c>
      <c r="F14" s="43">
        <v>75158.414793699994</v>
      </c>
      <c r="G14" s="43">
        <v>12.26</v>
      </c>
      <c r="H14" s="43">
        <v>10.85164</v>
      </c>
      <c r="I14" s="43">
        <v>0</v>
      </c>
      <c r="J14" s="43">
        <v>0</v>
      </c>
      <c r="K14" s="43">
        <v>0</v>
      </c>
      <c r="L14" s="43">
        <v>0</v>
      </c>
      <c r="M14" s="43">
        <v>4710.2741999999989</v>
      </c>
      <c r="N14" s="39">
        <v>3964.2891022999993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8E52-CA27-4C9F-A799-DD1DC7A5C6D0}">
  <dimension ref="A3:N19"/>
  <sheetViews>
    <sheetView workbookViewId="0">
      <selection activeCell="B19" sqref="B19"/>
    </sheetView>
  </sheetViews>
  <sheetFormatPr defaultRowHeight="12.5" x14ac:dyDescent="0.25"/>
  <cols>
    <col min="1" max="1" width="19" bestFit="1" customWidth="1"/>
    <col min="2" max="2" width="7.54296875" bestFit="1" customWidth="1"/>
    <col min="3" max="3" width="22.7265625" bestFit="1" customWidth="1"/>
    <col min="4" max="4" width="10" bestFit="1" customWidth="1"/>
    <col min="5" max="5" width="13.453125" bestFit="1" customWidth="1"/>
    <col min="6" max="6" width="10" bestFit="1" customWidth="1"/>
    <col min="7" max="7" width="16.36328125" bestFit="1" customWidth="1"/>
    <col min="8" max="8" width="11.90625" bestFit="1" customWidth="1"/>
    <col min="9" max="9" width="14.6328125" hidden="1" customWidth="1"/>
    <col min="10" max="10" width="17.08984375" hidden="1" customWidth="1"/>
    <col min="11" max="11" width="16.1796875" hidden="1" customWidth="1"/>
    <col min="12" max="12" width="18.6328125" hidden="1" customWidth="1"/>
    <col min="13" max="13" width="11.1796875" bestFit="1" customWidth="1"/>
    <col min="14" max="14" width="9.54296875" bestFit="1" customWidth="1"/>
  </cols>
  <sheetData>
    <row r="3" spans="1:14" x14ac:dyDescent="0.25">
      <c r="B3" s="45" t="s">
        <v>3163</v>
      </c>
      <c r="C3" s="45" t="s">
        <v>3164</v>
      </c>
    </row>
    <row r="6" spans="1:14" s="44" customFormat="1" ht="13" x14ac:dyDescent="0.3">
      <c r="A6" s="49" t="s">
        <v>3136</v>
      </c>
      <c r="B6" s="49" t="s">
        <v>3135</v>
      </c>
      <c r="C6" s="49" t="s">
        <v>11</v>
      </c>
      <c r="D6" s="49" t="s">
        <v>12</v>
      </c>
      <c r="E6" s="49" t="s">
        <v>14</v>
      </c>
      <c r="F6" s="49" t="s">
        <v>15</v>
      </c>
      <c r="G6" s="49" t="s">
        <v>17</v>
      </c>
      <c r="H6" s="49" t="s">
        <v>18</v>
      </c>
      <c r="I6" s="49" t="s">
        <v>20</v>
      </c>
      <c r="J6" s="49" t="s">
        <v>21</v>
      </c>
      <c r="K6" s="49" t="s">
        <v>23</v>
      </c>
      <c r="L6" s="49" t="s">
        <v>24</v>
      </c>
      <c r="M6" s="49" t="s">
        <v>26</v>
      </c>
      <c r="N6" s="49" t="s">
        <v>27</v>
      </c>
    </row>
    <row r="7" spans="1:14" x14ac:dyDescent="0.25">
      <c r="A7" s="23" t="s">
        <v>3140</v>
      </c>
      <c r="B7" s="23" t="s">
        <v>3146</v>
      </c>
      <c r="C7" s="46">
        <v>42406.752899999992</v>
      </c>
      <c r="D7" s="46">
        <v>38886.995963100017</v>
      </c>
      <c r="E7" s="46">
        <v>40300.910099999979</v>
      </c>
      <c r="F7" s="46">
        <v>36955.937992799983</v>
      </c>
      <c r="G7" s="46">
        <v>9.42</v>
      </c>
      <c r="H7" s="46">
        <v>8.6381399999999999</v>
      </c>
      <c r="I7" s="46">
        <v>0</v>
      </c>
      <c r="J7" s="46">
        <v>0</v>
      </c>
      <c r="K7" s="46">
        <v>0</v>
      </c>
      <c r="L7" s="46">
        <v>0</v>
      </c>
      <c r="M7" s="46">
        <v>2096.4227999999976</v>
      </c>
      <c r="N7" s="46">
        <v>1922.4198302999996</v>
      </c>
    </row>
    <row r="8" spans="1:14" x14ac:dyDescent="0.25">
      <c r="A8" s="23"/>
      <c r="B8" s="23" t="s">
        <v>3145</v>
      </c>
      <c r="C8" s="46">
        <v>25421.412700000019</v>
      </c>
      <c r="D8" s="46">
        <v>19066.059524999993</v>
      </c>
      <c r="E8" s="46">
        <v>23670.09860000003</v>
      </c>
      <c r="F8" s="46">
        <v>17752.573950000005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1751.3141000000014</v>
      </c>
      <c r="N8" s="46">
        <v>1313.4855749999999</v>
      </c>
    </row>
    <row r="9" spans="1:14" s="44" customFormat="1" ht="13" x14ac:dyDescent="0.3">
      <c r="A9" s="49" t="s">
        <v>3148</v>
      </c>
      <c r="B9" s="49"/>
      <c r="C9" s="47">
        <v>67828.165600000008</v>
      </c>
      <c r="D9" s="47">
        <v>57953.055488100013</v>
      </c>
      <c r="E9" s="47">
        <v>63971.008700000006</v>
      </c>
      <c r="F9" s="47">
        <v>54708.511942799989</v>
      </c>
      <c r="G9" s="47">
        <v>9.42</v>
      </c>
      <c r="H9" s="47">
        <v>8.6381399999999999</v>
      </c>
      <c r="I9" s="47">
        <v>0</v>
      </c>
      <c r="J9" s="47">
        <v>0</v>
      </c>
      <c r="K9" s="47">
        <v>0</v>
      </c>
      <c r="L9" s="47">
        <v>0</v>
      </c>
      <c r="M9" s="47">
        <v>3847.736899999999</v>
      </c>
      <c r="N9" s="47">
        <v>3235.9054052999995</v>
      </c>
    </row>
    <row r="10" spans="1:14" x14ac:dyDescent="0.25">
      <c r="A10" s="23"/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5">
      <c r="A11" s="23" t="s">
        <v>3143</v>
      </c>
      <c r="B11" s="23" t="s">
        <v>3146</v>
      </c>
      <c r="C11" s="46">
        <v>14980.798200000007</v>
      </c>
      <c r="D11" s="46">
        <v>13737.395697900007</v>
      </c>
      <c r="E11" s="46">
        <v>14494.380799999995</v>
      </c>
      <c r="F11" s="46">
        <v>13291.350755900001</v>
      </c>
      <c r="G11" s="46">
        <v>0.5</v>
      </c>
      <c r="H11" s="46">
        <v>0.45850000000000002</v>
      </c>
      <c r="I11" s="46">
        <v>0</v>
      </c>
      <c r="J11" s="46">
        <v>0</v>
      </c>
      <c r="K11" s="46">
        <v>0</v>
      </c>
      <c r="L11" s="46">
        <v>0</v>
      </c>
      <c r="M11" s="46">
        <v>485.91739999999959</v>
      </c>
      <c r="N11" s="46">
        <v>445.5864420000002</v>
      </c>
    </row>
    <row r="12" spans="1:14" x14ac:dyDescent="0.25">
      <c r="A12" s="23"/>
      <c r="B12" s="23" t="s">
        <v>3145</v>
      </c>
      <c r="C12" s="46">
        <v>9068.0239999999958</v>
      </c>
      <c r="D12" s="46">
        <v>6801.0179999999946</v>
      </c>
      <c r="E12" s="46">
        <v>8691.354099999995</v>
      </c>
      <c r="F12" s="46">
        <v>6518.5155749999958</v>
      </c>
      <c r="G12" s="46">
        <v>2.34</v>
      </c>
      <c r="H12" s="46">
        <v>1.7550000000000001</v>
      </c>
      <c r="I12" s="46">
        <v>0</v>
      </c>
      <c r="J12" s="46">
        <v>0</v>
      </c>
      <c r="K12" s="46">
        <v>0</v>
      </c>
      <c r="L12" s="46">
        <v>0</v>
      </c>
      <c r="M12" s="46">
        <v>374.32990000000012</v>
      </c>
      <c r="N12" s="46">
        <v>280.74742499999996</v>
      </c>
    </row>
    <row r="13" spans="1:14" s="44" customFormat="1" ht="13" x14ac:dyDescent="0.3">
      <c r="A13" s="49" t="s">
        <v>3147</v>
      </c>
      <c r="B13" s="49"/>
      <c r="C13" s="47">
        <v>24048.822200000002</v>
      </c>
      <c r="D13" s="47">
        <v>20538.413697900003</v>
      </c>
      <c r="E13" s="47">
        <v>23185.734899999989</v>
      </c>
      <c r="F13" s="47">
        <v>19809.866330899997</v>
      </c>
      <c r="G13" s="47">
        <v>2.84</v>
      </c>
      <c r="H13" s="47">
        <v>2.2135000000000002</v>
      </c>
      <c r="I13" s="47">
        <v>0</v>
      </c>
      <c r="J13" s="47">
        <v>0</v>
      </c>
      <c r="K13" s="47">
        <v>0</v>
      </c>
      <c r="L13" s="47">
        <v>0</v>
      </c>
      <c r="M13" s="47">
        <v>860.24729999999977</v>
      </c>
      <c r="N13" s="47">
        <v>726.33386700000017</v>
      </c>
    </row>
    <row r="14" spans="1:14" x14ac:dyDescent="0.25">
      <c r="A14" s="23"/>
      <c r="B14" s="23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</row>
    <row r="15" spans="1:14" x14ac:dyDescent="0.25">
      <c r="A15" s="23" t="s">
        <v>3142</v>
      </c>
      <c r="B15" s="23" t="s">
        <v>3146</v>
      </c>
      <c r="C15" s="46">
        <v>376.55</v>
      </c>
      <c r="D15" s="46">
        <v>345.29634999999996</v>
      </c>
      <c r="E15" s="46">
        <v>374.56</v>
      </c>
      <c r="F15" s="46">
        <v>343.47152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1.99</v>
      </c>
      <c r="N15" s="46">
        <v>1.82483</v>
      </c>
    </row>
    <row r="16" spans="1:14" x14ac:dyDescent="0.25">
      <c r="A16" s="23"/>
      <c r="B16" s="23" t="s">
        <v>3145</v>
      </c>
      <c r="C16" s="46">
        <v>395.71999999999997</v>
      </c>
      <c r="D16" s="46">
        <v>296.78999999999996</v>
      </c>
      <c r="E16" s="46">
        <v>395.42</v>
      </c>
      <c r="F16" s="46">
        <v>296.565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0.30000000000000004</v>
      </c>
      <c r="N16" s="46">
        <v>0.22499999999999998</v>
      </c>
    </row>
    <row r="17" spans="1:14" s="44" customFormat="1" ht="13" x14ac:dyDescent="0.3">
      <c r="A17" s="49" t="s">
        <v>3149</v>
      </c>
      <c r="B17" s="49"/>
      <c r="C17" s="47">
        <v>772.27</v>
      </c>
      <c r="D17" s="47">
        <v>642.08634999999992</v>
      </c>
      <c r="E17" s="47">
        <v>769.98</v>
      </c>
      <c r="F17" s="47">
        <v>640.03652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2.29</v>
      </c>
      <c r="N17" s="47">
        <v>2.04983</v>
      </c>
    </row>
    <row r="18" spans="1:14" x14ac:dyDescent="0.25">
      <c r="A18" s="23"/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x14ac:dyDescent="0.25">
      <c r="A19" s="50" t="s">
        <v>3144</v>
      </c>
      <c r="B19" s="50"/>
      <c r="C19" s="48">
        <v>92649.257800000007</v>
      </c>
      <c r="D19" s="48">
        <v>79133.555536000014</v>
      </c>
      <c r="E19" s="48">
        <v>87926.723599999998</v>
      </c>
      <c r="F19" s="48">
        <v>75158.414793699994</v>
      </c>
      <c r="G19" s="48">
        <v>12.26</v>
      </c>
      <c r="H19" s="48">
        <v>10.85164</v>
      </c>
      <c r="I19" s="48">
        <v>0</v>
      </c>
      <c r="J19" s="48">
        <v>0</v>
      </c>
      <c r="K19" s="48">
        <v>0</v>
      </c>
      <c r="L19" s="48">
        <v>0</v>
      </c>
      <c r="M19" s="48">
        <v>4710.2741999999989</v>
      </c>
      <c r="N19" s="48">
        <v>3964.2891022999993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original file </vt:lpstr>
      <vt:lpstr>working file</vt:lpstr>
      <vt:lpstr>PVT</vt:lpstr>
      <vt:lpstr>final file</vt:lpstr>
      <vt:lpstr>'original file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2026-07-09T13:00:04Z</dcterms:created>
  <dcterms:modified xsi:type="dcterms:W3CDTF">2026-07-10T07:04:51Z</dcterms:modified>
</cp:coreProperties>
</file>